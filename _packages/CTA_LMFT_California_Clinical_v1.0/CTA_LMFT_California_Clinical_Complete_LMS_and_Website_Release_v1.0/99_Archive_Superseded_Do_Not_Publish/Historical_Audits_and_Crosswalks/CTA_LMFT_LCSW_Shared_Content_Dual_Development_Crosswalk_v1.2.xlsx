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88e99ff9a43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982c6afba1354133"/>
    <x:sheet xmlns:r="http://schemas.openxmlformats.org/officeDocument/2006/relationships" name="Topic Crosswalk" sheetId="2" r:id="R83aa57168af147ea"/>
    <x:sheet xmlns:r="http://schemas.openxmlformats.org/officeDocument/2006/relationships" name="Blueprint Comparison" sheetId="3" r:id="R94b9475961ff48b0"/>
    <x:sheet xmlns:r="http://schemas.openxmlformats.org/officeDocument/2006/relationships" name="Workbook Architecture" sheetId="4" r:id="R061321835aea4df9"/>
    <x:sheet xmlns:r="http://schemas.openxmlformats.org/officeDocument/2006/relationships" name="Source Register" sheetId="5" r:id="R5207de07660248fb"/>
    <x:sheet xmlns:r="http://schemas.openxmlformats.org/officeDocument/2006/relationships" name="Development Dashboard" sheetId="6" r:id="Rc882e4a20c1a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2937"/>
      <x:name val="Carlito"/>
    </x:font>
    <x:font>
      <x:b/>
      <x:sz val="17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0E7490"/>
      </x:patternFill>
    </x:fill>
    <x:fill>
      <x:patternFill patternType="solid">
        <x:fgColor rgb="FF9C1C2B"/>
      </x:patternFill>
    </x:fill>
    <x:fill>
      <x:patternFill patternType="solid">
        <x:fgColor rgb="FFD9A441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D9EDEB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D7DC"/>
        </x:patternFill>
      </x:fill>
    </x:dxf>
    <x:dxf>
      <x:font>
        <x:b/>
      </x:font>
      <x:fill>
        <x:patternFill>
          <x:bgColor rgb="FFD9EAD3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1fb2cef7d34bea" /><Relationship Type="http://schemas.openxmlformats.org/officeDocument/2006/relationships/theme" Target="/xl/theme/theme1.xml" Id="R520de4ca1eb34e76" /><Relationship Type="http://schemas.openxmlformats.org/officeDocument/2006/relationships/sharedStrings" Target="/xl/sharedStrings.xml" Id="Radb05a6e53c64711" /><Relationship Type="http://schemas.openxmlformats.org/officeDocument/2006/relationships/worksheet" Target="/xl/worksheets/sheet1.xml" Id="R982c6afba1354133" /><Relationship Type="http://schemas.openxmlformats.org/officeDocument/2006/relationships/worksheet" Target="/xl/worksheets/sheet2.xml" Id="R83aa57168af147ea" /><Relationship Type="http://schemas.openxmlformats.org/officeDocument/2006/relationships/worksheet" Target="/xl/worksheets/sheet3.xml" Id="R94b9475961ff48b0" /><Relationship Type="http://schemas.openxmlformats.org/officeDocument/2006/relationships/worksheet" Target="/xl/worksheets/sheet4.xml" Id="R061321835aea4df9" /><Relationship Type="http://schemas.openxmlformats.org/officeDocument/2006/relationships/worksheet" Target="/xl/worksheets/sheet5.xml" Id="R5207de07660248fb" /><Relationship Type="http://schemas.openxmlformats.org/officeDocument/2006/relationships/worksheet" Target="/xl/worksheets/sheet6.xml" Id="Rc882e4a20c1a4d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a1e4ef58da24dc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a495cc3be0743c4" /><Relationship Type="http://schemas.openxmlformats.org/officeDocument/2006/relationships/chart" Target="/xl/drawings/charts/chart3.xml" Id="Rda565d954a1b43f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Topics</c:v>
          </c:tx>
          <c:cat>
            <c:strRef>
              <c:f>'Executive Summary'!$F$8:$F$11</c:f>
              <c:strCache>
                <c:ptCount val="0"/>
              </c:strCache>
            </c:strRef>
          </c:cat>
          <c:val>
            <c:numRef>
              <c:f>'Executive Summary'!$G$8:$G$11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Topics</c:v>
          </c:tx>
          <c:cat>
            <c:strRef>
              <c:f>'Development Dashboard'!$A$5:$A$8</c:f>
              <c:strCache>
                <c:ptCount val="0"/>
              </c:strCache>
            </c:strRef>
          </c:cat>
          <c:val>
            <c:numRef>
              <c:f>'Development Dashboard'!$B$5:$B$8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'Development Dashboard'!$F$5:$F$11</c:f>
              <c:strCache>
                <c:ptCount val="0"/>
              </c:strCache>
            </c:strRef>
          </c:cat>
          <c:val>
            <c:numRef>
              <c:f>'Development Dashboard'!$G$5:$G$11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1e4ef58da24dc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495cc3be0743c4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565d954a1b43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ualExamTopicCrosswalk" displayName="DualExamTopicCrosswalk" ref="A1:M65" headerRowCount="1">
  <x:tableColumns count="13">
    <x:tableColumn id="1" name="ID"/>
    <x:tableColumn id="2" name="Topic Cluster"/>
    <x:tableColumn id="3" name="Classification"/>
    <x:tableColumn id="4" name="Reusable Foundation %"/>
    <x:tableColumn id="5" name="Shared Draft Unit"/>
    <x:tableColumn id="6" name="LMFT Mapping"/>
    <x:tableColumn id="7" name="LCSW 2026 Mapping"/>
    <x:tableColumn id="8" name="Reusable Clinical Foundation"/>
    <x:tableColumn id="9" name="LMFT-Specific Adaptation"/>
    <x:tableColumn id="10" name="LCSW-Specific Adaptation"/>
    <x:tableColumn id="11" name="Question-Bank Rule"/>
    <x:tableColumn id="12" name="Development 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51f2b262c054d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ffcc32d0a548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7c753e1ae6cb4c4b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8" hidden="0" customWidth="1"/>
    <x:col min="3" max="3" width="18" hidden="0" customWidth="1"/>
    <x:col min="4" max="4" width="40" hidden="0" customWidth="1"/>
    <x:col min="5" max="5" width="40" hidden="0" customWidth="1"/>
    <x:col min="6" max="6" width="18" hidden="0" customWidth="1"/>
    <x:col min="7" max="7" width="32" hidden="0" customWidth="1"/>
    <x:col min="8" max="8" width="16" hidden="0" customWidth="1"/>
  </x:cols>
  <x:sheetData>
    <x:row r="1">
      <x:c r="A1" s="6" t="str">
        <x:v>CTA LMFT–LCSW Exam Preparation
Shared Content and Dual-Development Crosswalk</x:v>
      </x:c>
      <x:c r="B1" s="6"/>
      <x:c r="C1" s="6"/>
      <x:c r="D1" s="6"/>
      <x:c r="E1" s="6"/>
      <x:c r="F1" s="6"/>
      <x:c r="G1" s="6"/>
      <x:c r="H1" s="6"/>
    </x:row>
    <x:row r="2">
      <x:c r="A2" s="6"/>
      <x:c r="B2" s="6"/>
      <x:c r="C2" s="6"/>
      <x:c r="D2" s="6"/>
      <x:c r="E2" s="6"/>
      <x:c r="F2" s="6"/>
      <x:c r="G2" s="6"/>
      <x:c r="H2" s="6"/>
    </x:row>
    <x:row r="3">
      <x:c r="A3" s="14" t="str">
        <x:v>Development model: research and draft the reusable clinical foundation once, then create profession-specific LMFT and LCSW framing, legal/ethical content, examples, rationales, and question banks.</x:v>
      </x:c>
      <x:c r="B3" s="14"/>
      <x:c r="C3" s="14"/>
      <x:c r="D3" s="14"/>
      <x:c r="E3" s="14"/>
      <x:c r="F3" s="14"/>
      <x:c r="G3" s="14"/>
      <x:c r="H3" s="14"/>
    </x:row>
    <x:row r="5">
      <x:c r="A5" s="20" t="str">
        <x:v>Current Exam Structures</x:v>
      </x:c>
      <x:c r="B5" s="20"/>
      <x:c r="C5" s="20"/>
      <x:c r="D5" s="20"/>
      <x:c r="F5" s="33" t="str">
        <x:v>Dual-Development Metrics</x:v>
      </x:c>
      <x:c r="G5" s="33"/>
      <x:c r="H5" s="33"/>
    </x:row>
    <x:row r="6">
      <x:c r="A6" s="25" t="str">
        <x:v>Metric</x:v>
      </x:c>
      <x:c r="B6" s="25" t="str">
        <x:v>LMFT California Clinical</x:v>
      </x:c>
      <x:c r="C6" s="25" t="str">
        <x:v>LCSW ASWB Clinical</x:v>
      </x:c>
      <x:c r="D6" s="25" t="str">
        <x:v>Development Control</x:v>
      </x:c>
      <x:c r="F6" s="39" t="str">
        <x:v>Topics mapped</x:v>
      </x:c>
      <x:c r="G6" s="28" t="n">
        <x:f>COUNTA('Topic Crosswalk'!B:B)-1</x:f>
        <x:v>64</x:v>
      </x:c>
    </x:row>
    <x:row r="7">
      <x:c r="A7" s="29" t="str">
        <x:v>Scored questions</x:v>
      </x:c>
      <x:c r="B7" s="29" t="n">
        <x:v>125</x:v>
      </x:c>
      <x:c r="C7" s="29" t="n">
        <x:v>110</x:v>
      </x:c>
      <x:c r="D7" s="29" t="str">
        <x:v>Use official blueprint weights, not a guessed fixed item count by chapter.</x:v>
      </x:c>
      <x:c r="F7" s="39" t="str">
        <x:v>Estimated reusable foundation</x:v>
      </x:c>
      <x:c r="G7" s="37" t="n">
        <x:f>AVERAGE('Topic Crosswalk'!D2:D65)</x:f>
        <x:v>0.6210937499999998</x:v>
      </x:c>
    </x:row>
    <x:row r="8">
      <x:c r="A8" s="29" t="str">
        <x:v>Unscored questions</x:v>
      </x:c>
      <x:c r="B8" s="29" t="n">
        <x:v>25</x:v>
      </x:c>
      <x:c r="C8" s="29" t="n">
        <x:v>12</x:v>
      </x:c>
      <x:c r="D8" s="29" t="str">
        <x:v>Treat every item as scored during preparation.</x:v>
      </x:c>
      <x:c r="F8" s="39" t="str">
        <x:v>Shared Core topics</x:v>
      </x:c>
      <x:c r="G8" s="28" t="n">
        <x:f>COUNTIF('Topic Crosswalk'!C:C,"Shared Core")</x:f>
        <x:v>30</x:v>
      </x:c>
    </x:row>
    <x:row r="9">
      <x:c r="A9" s="29" t="str">
        <x:v>Total questions</x:v>
      </x:c>
      <x:c r="B9" s="29" t="n">
        <x:v>150</x:v>
      </x:c>
      <x:c r="C9" s="29" t="n">
        <x:v>122</x:v>
      </x:c>
      <x:c r="D9" s="29" t="str">
        <x:v>Build stamina and pacing for the applicable exam.</x:v>
      </x:c>
      <x:c r="F9" s="39" t="str">
        <x:v>Shared—Different Framing</x:v>
      </x:c>
      <x:c r="G9" s="28" t="n">
        <x:f>COUNTIF('Topic Crosswalk'!C:C,"Shared - Different Framing")</x:f>
        <x:v>17</x:v>
      </x:c>
    </x:row>
    <x:row r="10">
      <x:c r="A10" s="29" t="str">
        <x:v>Time</x:v>
      </x:c>
      <x:c r="B10" s="29" t="str">
        <x:v>240 minutes</x:v>
      </x:c>
      <x:c r="C10" s="29" t="str">
        <x:v>240 minutes</x:v>
      </x:c>
      <x:c r="D10" s="29" t="str">
        <x:v>LCSW 2026 format applies to exams on/after August 3, 2026.</x:v>
      </x:c>
      <x:c r="F10" s="39" t="str">
        <x:v>LMFT-Specific topics</x:v>
      </x:c>
      <x:c r="G10" s="28" t="n">
        <x:f>COUNTIF('Topic Crosswalk'!C:C,"LMFT-Specific")</x:f>
        <x:v>7</x:v>
      </x:c>
    </x:row>
    <x:row r="11">
      <x:c r="F11" s="39" t="str">
        <x:v>LCSW-Specific topics</x:v>
      </x:c>
      <x:c r="G11" s="28" t="n">
        <x:f>COUNTIF('Topic Crosswalk'!C:C,"LCSW-Specific")</x:f>
        <x:v>10</x:v>
      </x:c>
    </x:row>
    <x:row r="13">
      <x:c r="A13" s="43" t="str">
        <x:v>Recommended Product Architecture</x:v>
      </x:c>
      <x:c r="B13" s="43"/>
      <x:c r="C13" s="43"/>
      <x:c r="D13" s="43"/>
      <x:c r="E13" s="43"/>
      <x:c r="F13" s="43"/>
      <x:c r="G13" s="43"/>
      <x:c r="H13" s="43"/>
    </x:row>
    <x:row r="14">
      <x:c r="A14" s="25" t="str">
        <x:v>Layer</x:v>
      </x:c>
      <x:c r="B14" s="25" t="str">
        <x:v>Purpose</x:v>
      </x:c>
      <x:c r="C14" s="25" t="str">
        <x:v>Shared Draft?</x:v>
      </x:c>
      <x:c r="D14" s="25" t="str">
        <x:v>LMFT Adaptation</x:v>
      </x:c>
      <x:c r="E14" s="25" t="str">
        <x:v>LCSW Adaptation</x:v>
      </x:c>
      <x:c r="F14" s="25" t="str">
        <x:v>Question Bank</x:v>
      </x:c>
      <x:c r="G14" s="25" t="str">
        <x:v>Legal Source Control</x:v>
      </x:c>
      <x:c r="H14" s="25" t="str">
        <x:v>Status</x:v>
      </x:c>
    </x:row>
    <x:row r="15">
      <x:c r="A15" s="29" t="str">
        <x:v>Shared Clinical Foundation</x:v>
      </x:c>
      <x:c r="B15" s="29" t="str">
        <x:v>Research notes, explanations, examples, memory aids, and clinical decision rules.</x:v>
      </x:c>
      <x:c r="C15" s="29" t="str">
        <x:v>Yes</x:v>
      </x:c>
      <x:c r="D15" s="29" t="str">
        <x:v>Systemic and California-specific framing.</x:v>
      </x:c>
      <x:c r="E15" s="29" t="str">
        <x:v>Social work values, person-in-environment, and ASWB framing.</x:v>
      </x:c>
      <x:c r="F15" s="29" t="str">
        <x:v>No direct reuse</x:v>
      </x:c>
      <x:c r="G15" s="29" t="str">
        <x:v>Clinical evidence sources</x:v>
      </x:c>
      <x:c r="H15" s="29" t="str">
        <x:v>Planned</x:v>
      </x:c>
    </x:row>
    <x:row r="16">
      <x:c r="A16" s="29" t="str">
        <x:v>Exam Strategy</x:v>
      </x:c>
      <x:c r="B16" s="29" t="str">
        <x:v>Teach how to answer the exam that the candidate will actually take.</x:v>
      </x:c>
      <x:c r="C16" s="29" t="str">
        <x:v>Partial</x:v>
      </x:c>
      <x:c r="D16" s="29" t="str">
        <x:v>BBS/Pearson LMFT style and domains.</x:v>
      </x:c>
      <x:c r="E16" s="29" t="str">
        <x:v>ASWB qualifiers, applied knowledge, and 2026 structure.</x:v>
      </x:c>
      <x:c r="F16" s="29" t="str">
        <x:v>Separate</x:v>
      </x:c>
      <x:c r="G16" s="29" t="str">
        <x:v>Official handbooks</x:v>
      </x:c>
      <x:c r="H16" s="29" t="str">
        <x:v>Planned</x:v>
      </x:c>
    </x:row>
    <x:row r="17">
      <x:c r="A17" s="29" t="str">
        <x:v>Professional Ethics</x:v>
      </x:c>
      <x:c r="B17" s="29" t="str">
        <x:v>Teach overlapping concepts once, then fork into controlling frameworks.</x:v>
      </x:c>
      <x:c r="C17" s="29" t="str">
        <x:v>Partial</x:v>
      </x:c>
      <x:c r="D17" s="29" t="str">
        <x:v>California LMFT statutes/regulations and professional duties.</x:v>
      </x:c>
      <x:c r="E17" s="29" t="str">
        <x:v>ASWB Values and Ethics, NASW framework, and jurisdiction-sensitive reasoning.</x:v>
      </x:c>
      <x:c r="F17" s="29" t="str">
        <x:v>Separate</x:v>
      </x:c>
      <x:c r="G17" s="29" t="str">
        <x:v>Current profession-specific authorities</x:v>
      </x:c>
      <x:c r="H17" s="29" t="str">
        <x:v>Planned</x:v>
      </x:c>
    </x:row>
    <x:row r="18">
      <x:c r="A18" s="29" t="str">
        <x:v>Track Workbooks</x:v>
      </x:c>
      <x:c r="B18" s="29" t="str">
        <x:v>Profession-specific organization, examples, terminology, and emphasis.</x:v>
      </x:c>
      <x:c r="C18" s="29" t="str">
        <x:v>No</x:v>
      </x:c>
      <x:c r="D18" s="29" t="str">
        <x:v>12-workbook LMFT system.</x:v>
      </x:c>
      <x:c r="E18" s="29" t="str">
        <x:v>12-workbook LCSW system.</x:v>
      </x:c>
      <x:c r="F18" s="29" t="str">
        <x:v>Separate</x:v>
      </x:c>
      <x:c r="G18" s="29" t="str">
        <x:v>Blueprint-specific</x:v>
      </x:c>
      <x:c r="H18" s="29" t="str">
        <x:v>Planned</x:v>
      </x:c>
    </x:row>
    <x:row r="19">
      <x:c r="A19" s="29" t="str">
        <x:v>Mock Examinations</x:v>
      </x:c>
      <x:c r="B19" s="29" t="str">
        <x:v>Integrated readiness and pacing practice.</x:v>
      </x:c>
      <x:c r="C19" s="29" t="str">
        <x:v>No</x:v>
      </x:c>
      <x:c r="D19" s="29" t="str">
        <x:v>LMFT domain weighting and vignette style.</x:v>
      </x:c>
      <x:c r="E19" s="29" t="str">
        <x:v>LCSW 2026 weighting and applied-knowledge style.</x:v>
      </x:c>
      <x:c r="F19" s="29" t="str">
        <x:v>Separate</x:v>
      </x:c>
      <x:c r="G19" s="29" t="str">
        <x:v>Original CTA items only</x:v>
      </x:c>
      <x:c r="H19" s="29" t="str">
        <x:v>Planned</x:v>
      </x:c>
    </x:row>
    <x:row r="21">
      <x:c r="A21" s="49" t="str">
        <x:v>Non-Negotiable Development Rules</x:v>
      </x:c>
      <x:c r="B21" s="49"/>
      <x:c r="C21" s="49"/>
      <x:c r="D21" s="49"/>
      <x:c r="E21" s="49"/>
      <x:c r="F21" s="49"/>
      <x:c r="G21" s="49"/>
      <x:c r="H21" s="49"/>
    </x:row>
    <x:row r="22">
      <x:c r="A22" s="54" t="str">
        <x:v>Rule</x:v>
      </x:c>
      <x:c r="B22" s="54" t="str">
        <x:v>Why it matters</x:v>
      </x:c>
      <x:c r="C22" t="str"/>
      <x:c r="D22" t="str"/>
      <x:c r="E22" t="str"/>
      <x:c r="F22" t="str"/>
      <x:c r="G22" t="str"/>
      <x:c r="H22" t="str"/>
    </x:row>
    <x:row r="23">
      <x:c r="A23" s="29" t="str">
        <x:v>Write the shared explanation once; do not copy the finished chapter verbatim between programs.</x:v>
      </x:c>
      <x:c r="B23" s="29" t="str">
        <x:v>The professions use different organizing lenses and exam logic.</x:v>
      </x:c>
      <x:c r="C23" t="str"/>
      <x:c r="D23" t="str"/>
      <x:c r="E23" t="str"/>
      <x:c r="F23" t="str"/>
      <x:c r="G23" t="str"/>
      <x:c r="H23" t="str"/>
    </x:row>
    <x:row r="24">
      <x:c r="A24" s="29" t="str">
        <x:v>Maintain separate question banks and rationales.</x:v>
      </x:c>
      <x:c r="B24" s="29" t="str">
        <x:v>LMFT items should test systemic/California clinical reasoning; LCSW items should test applied social work knowledge and values.</x:v>
      </x:c>
      <x:c r="C24" t="str"/>
      <x:c r="D24" t="str"/>
      <x:c r="E24" t="str"/>
      <x:c r="F24" t="str"/>
      <x:c r="G24" t="str"/>
      <x:c r="H24" t="str"/>
    </x:row>
    <x:row r="25">
      <x:c r="A25" s="29" t="str">
        <x:v>Use the August 3, 2026 ASWB blueprint for the future-facing LCSW program.</x:v>
      </x:c>
      <x:c r="B25" s="29" t="str">
        <x:v>The official exam changes to 122 total questions and three content areas.</x:v>
      </x:c>
      <x:c r="C25" t="str"/>
      <x:c r="D25" t="str"/>
      <x:c r="E25" t="str"/>
      <x:c r="F25" t="str"/>
      <x:c r="G25" t="str"/>
      <x:c r="H25" t="str"/>
    </x:row>
    <x:row r="26">
      <x:c r="A26" s="29" t="str">
        <x:v>Perform separate legal and ethical audits before publication.</x:v>
      </x:c>
      <x:c r="B26" s="29" t="str">
        <x:v>California LMFT clinical law and the national ASWB Values and Ethics framework are not interchangeable.</x:v>
      </x:c>
      <x:c r="C26" t="str"/>
      <x:c r="D26" t="str"/>
      <x:c r="E26" t="str"/>
      <x:c r="F26" t="str"/>
      <x:c r="G26" t="str"/>
      <x:c r="H26" t="str"/>
    </x:row>
    <x:row r="28" ht="36" customHeight="1">
      <x:c r="A28" s="81" t="str">
        <x:v>Revision v1.2: Corrected the August 2026 ASWB Clinical content-area weights to 36% Values and Ethics, 32% Assessment and Planning, and 32% Intervention and Practice, based on the Clinical content outline in the May 2026 ASWB Examination Guidebook.</x:v>
      </x:c>
      <x:c r="B28" s="81"/>
      <x:c r="C28" s="81"/>
      <x:c r="D28" s="81"/>
      <x:c r="E28" s="81"/>
      <x:c r="F28" s="81"/>
      <x:c r="G28" s="81"/>
      <x:c r="H28" s="81"/>
    </x:row>
  </x:sheetData>
  <x:mergeCells>
    <x:mergeCell ref="A1:H2"/>
    <x:mergeCell ref="A3:H3"/>
    <x:mergeCell ref="A5:D5"/>
    <x:mergeCell ref="F5:H5"/>
    <x:mergeCell ref="A13:H13"/>
    <x:mergeCell ref="A21:H21"/>
    <x:mergeCell ref="A28:H28"/>
  </x:mergeCells>
  <x:pageMargins left="0.7" right="0.7" top="0.75" bottom="0.75" header="0.3" footer="0.3"/>
  <x:drawing xmlns:r="http://schemas.openxmlformats.org/officeDocument/2006/relationships" r:id="Re51f2b262c054d3d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5" hidden="0" customWidth="1"/>
    <x:col min="4" max="4" width="15" hidden="0" customWidth="1"/>
    <x:col min="5" max="5" width="16" hidden="0" customWidth="1"/>
    <x:col min="6" max="6" width="24" hidden="0" customWidth="1"/>
    <x:col min="7" max="7" width="24" hidden="0" customWidth="1"/>
    <x:col min="8" max="8" width="47" hidden="0" customWidth="1"/>
    <x:col min="9" max="9" width="48" hidden="0" customWidth="1"/>
    <x:col min="10" max="10" width="48" hidden="0" customWidth="1"/>
    <x:col min="11" max="11" width="31" hidden="0" customWidth="1"/>
    <x:col min="12" max="12" width="20" hidden="0" customWidth="1"/>
    <x:col min="13" max="13" width="26" hidden="0" customWidth="1"/>
  </x:cols>
  <x:sheetData>
    <x:row r="1">
      <x:c r="A1" s="63" t="str">
        <x:v>ID</x:v>
      </x:c>
      <x:c r="B1" s="63" t="str">
        <x:v>Topic Cluster</x:v>
      </x:c>
      <x:c r="C1" s="63" t="str">
        <x:v>Classification</x:v>
      </x:c>
      <x:c r="D1" s="63" t="str">
        <x:v>Reusable Foundation %</x:v>
      </x:c>
      <x:c r="E1" s="63" t="str">
        <x:v>Shared Draft Unit</x:v>
      </x:c>
      <x:c r="F1" s="63" t="str">
        <x:v>LMFT Mapping</x:v>
      </x:c>
      <x:c r="G1" s="63" t="str">
        <x:v>LCSW 2026 Mapping</x:v>
      </x:c>
      <x:c r="H1" s="63" t="str">
        <x:v>Reusable Clinical Foundation</x:v>
      </x:c>
      <x:c r="I1" s="63" t="str">
        <x:v>LMFT-Specific Adaptation</x:v>
      </x:c>
      <x:c r="J1" s="63" t="str">
        <x:v>LCSW-Specific Adaptation</x:v>
      </x:c>
      <x:c r="K1" s="63" t="str">
        <x:v>Question-Bank Rule</x:v>
      </x:c>
      <x:c r="L1" s="63" t="str">
        <x:v>Development Status</x:v>
      </x:c>
      <x:c r="M1" s="63" t="str">
        <x:v>Notes</x:v>
      </x:c>
    </x:row>
    <x:row r="2" ht="72" customHeight="1">
      <x:c r="A2" s="64" t="n">
        <x:v>1</x:v>
      </x:c>
      <x:c r="B2" s="64" t="str">
        <x:v>Question anatomy, qualifiers, and vignette reading</x:v>
      </x:c>
      <x:c r="C2" s="64" t="str">
        <x:v>Shared Core</x:v>
      </x:c>
      <x:c r="D2" s="65" t="n">
        <x:v>0.9</x:v>
      </x:c>
      <x:c r="E2" s="64" t="str">
        <x:v>SC1</x:v>
      </x:c>
      <x:c r="F2" s="64" t="str">
        <x:v>WB1; all domains</x:v>
      </x:c>
      <x:c r="G2" s="64" t="str">
        <x:v>LSW1; all content areas</x:v>
      </x:c>
      <x:c r="H2" s="64" t="str">
        <x:v>Teach stems, options, distractors, qualifiers, relevant facts, and one-best-answer reasoning.</x:v>
      </x:c>
      <x:c r="I2" s="64" t="str">
        <x:v>Emphasize BEST/NEXT/INITIAL systemic or clinical action and the LMFT domain being tested.</x:v>
      </x:c>
      <x:c r="J2" s="64" t="str">
        <x:v>Emphasize FIRST/NEXT/MOST appropriate social work action and applied knowledge.</x:v>
      </x:c>
      <x:c r="K2" s="64" t="str">
        <x:v>Use different stems, professions, and rationales; never duplicate secure exam content.</x:v>
      </x:c>
      <x:c r="L2" s="64" t="str">
        <x:v>Mapped - Not Drafted</x:v>
      </x:c>
      <x:c r="M2" s="64" t="str"/>
    </x:row>
    <x:row r="3" ht="72" customHeight="1">
      <x:c r="A3" s="64" t="n">
        <x:v>2</x:v>
      </x:c>
      <x:c r="B3" s="64" t="str">
        <x:v>Clinical process sequencing</x:v>
      </x:c>
      <x:c r="C3" s="64" t="str">
        <x:v>Shared Core</x:v>
      </x:c>
      <x:c r="D3" s="65" t="n">
        <x:v>0.9</x:v>
      </x:c>
      <x:c r="E3" s="64" t="str">
        <x:v>SC1</x:v>
      </x:c>
      <x:c r="F3" s="64" t="str">
        <x:v>WB1; Domains 1-5</x:v>
      </x:c>
      <x:c r="G3" s="64" t="str">
        <x:v>LSW1; Areas II-III</x:v>
      </x:c>
      <x:c r="H3" s="64" t="str">
        <x:v>Assess before intervening unless immediate safety or a controlling legal duty requires action.</x:v>
      </x:c>
      <x:c r="I3" s="64" t="str">
        <x:v>Frame sequencing through systemic assessment, unit of treatment, hypothesis, plan, intervention, evaluation.</x:v>
      </x:c>
      <x:c r="J3" s="64" t="str">
        <x:v>Frame sequencing through engagement, assessment, client participation, planning, intervention, evaluation, and referral.</x:v>
      </x:c>
      <x:c r="K3" s="64" t="str">
        <x:v>Rewrite separately for each exam track.</x:v>
      </x:c>
      <x:c r="L3" s="64" t="str">
        <x:v>Mapped - Not Drafted</x:v>
      </x:c>
      <x:c r="M3" s="64" t="str"/>
    </x:row>
    <x:row r="4" ht="72" customHeight="1">
      <x:c r="A4" s="64" t="n">
        <x:v>3</x:v>
      </x:c>
      <x:c r="B4" s="64" t="str">
        <x:v>Therapeutic alliance and rapport</x:v>
      </x:c>
      <x:c r="C4" s="64" t="str">
        <x:v>Shared Core</x:v>
      </x:c>
      <x:c r="D4" s="65" t="n">
        <x:v>0.9</x:v>
      </x:c>
      <x:c r="E4" s="64" t="str">
        <x:v>SC3</x:v>
      </x:c>
      <x:c r="F4" s="64" t="str">
        <x:v>WB2; Domain 1A</x:v>
      </x:c>
      <x:c r="G4" s="64" t="str">
        <x:v>LSW4/LSW8; IIIA</x:v>
      </x:c>
      <x:c r="H4" s="64" t="str">
        <x:v>Alliance-building, empathy, acceptance, validation, collaboration, and repair.</x:v>
      </x:c>
      <x:c r="I4" s="64" t="str">
        <x:v>Include multi-person alliances, balanced joining, and relational neutrality.</x:v>
      </x:c>
      <x:c r="J4" s="64" t="str">
        <x:v>Include client/client-system engagement, self-determination, and service-setting considerations.</x:v>
      </x:c>
      <x:c r="K4" s="64" t="str">
        <x:v>Rewrite separately for each exam track.</x:v>
      </x:c>
      <x:c r="L4" s="64" t="str">
        <x:v>Mapped - Not Drafted</x:v>
      </x:c>
      <x:c r="M4" s="64" t="str"/>
    </x:row>
    <x:row r="5" ht="72" customHeight="1">
      <x:c r="A5" s="64" t="n">
        <x:v>4</x:v>
      </x:c>
      <x:c r="B5" s="64" t="str">
        <x:v>Clinical interviewing and communication</x:v>
      </x:c>
      <x:c r="C5" s="64" t="str">
        <x:v>Shared Core</x:v>
      </x:c>
      <x:c r="D5" s="65" t="n">
        <x:v>0.9</x:v>
      </x:c>
      <x:c r="E5" s="64" t="str">
        <x:v>SC3</x:v>
      </x:c>
      <x:c r="F5" s="64" t="str">
        <x:v>WB2; Domain 1A</x:v>
      </x:c>
      <x:c r="G5" s="64" t="str">
        <x:v>LSW4; IIB</x:v>
      </x:c>
      <x:c r="H5" s="64" t="str">
        <x:v>Open and closed questions, clarification, reflection, confrontation, feedback, observation, and interpreters.</x:v>
      </x:c>
      <x:c r="I5" s="64" t="str">
        <x:v>Use systemic and circular questions and observe interactional patterns.</x:v>
      </x:c>
      <x:c r="J5" s="64" t="str">
        <x:v>Include language access, interpreters, client systems, and social work communication across settings.</x:v>
      </x:c>
      <x:c r="K5" s="64" t="str">
        <x:v>Rewrite separately for each exam track.</x:v>
      </x:c>
      <x:c r="L5" s="64" t="str">
        <x:v>Mapped - Not Drafted</x:v>
      </x:c>
      <x:c r="M5" s="64" t="str"/>
    </x:row>
    <x:row r="6" ht="72" customHeight="1">
      <x:c r="A6" s="64" t="n">
        <x:v>5</x:v>
      </x:c>
      <x:c r="B6" s="64" t="str">
        <x:v>Biopsychosocial and contextual assessment</x:v>
      </x:c>
      <x:c r="C6" s="64" t="str">
        <x:v>Shared Core</x:v>
      </x:c>
      <x:c r="D6" s="65" t="n">
        <x:v>0.9</x:v>
      </x:c>
      <x:c r="E6" s="64" t="str">
        <x:v>SC3</x:v>
      </x:c>
      <x:c r="F6" s="64" t="str">
        <x:v>WB2-WB4; Domain 1</x:v>
      </x:c>
      <x:c r="G6" s="64" t="str">
        <x:v>LSW3-LSW4; IIA-IIB</x:v>
      </x:c>
      <x:c r="H6" s="64" t="str">
        <x:v>Assess biological, psychological, social, relational, cultural, environmental, and functional factors.</x:v>
      </x:c>
      <x:c r="I6" s="64" t="str">
        <x:v>Add systemic unit of treatment and relational pattern analysis.</x:v>
      </x:c>
      <x:c r="J6" s="64" t="str">
        <x:v>Add person-in-environment, social determinants, community systems, and resource availability.</x:v>
      </x:c>
      <x:c r="K6" s="64" t="str">
        <x:v>Rewrite separately for each exam track.</x:v>
      </x:c>
      <x:c r="L6" s="64" t="str">
        <x:v>Mapped - Not Drafted</x:v>
      </x:c>
      <x:c r="M6" s="64" t="str"/>
    </x:row>
    <x:row r="7" ht="72" customHeight="1">
      <x:c r="A7" s="64" t="n">
        <x:v>6</x:v>
      </x:c>
      <x:c r="B7" s="64" t="str">
        <x:v>Mental status examination</x:v>
      </x:c>
      <x:c r="C7" s="64" t="str">
        <x:v>Shared Core</x:v>
      </x:c>
      <x:c r="D7" s="65" t="n">
        <x:v>0.9</x:v>
      </x:c>
      <x:c r="E7" s="64" t="str">
        <x:v>SC4</x:v>
      </x:c>
      <x:c r="F7" s="64" t="str">
        <x:v>WB2; Domain 1B</x:v>
      </x:c>
      <x:c r="G7" s="64" t="str">
        <x:v>LSW4; IIB</x:v>
      </x:c>
      <x:c r="H7" s="64" t="str">
        <x:v>Appearance, behavior, psychomotor activity, speech, mood, affect, thought, perception, cognition, insight, and judgment.</x:v>
      </x:c>
      <x:c r="I7" s="64" t="str">
        <x:v>Integrate MSE findings with couple/family functioning and referral decisions.</x:v>
      </x:c>
      <x:c r="J7" s="64" t="str">
        <x:v>Integrate MSE findings with level of care, service planning, medical consultation, and documentation.</x:v>
      </x:c>
      <x:c r="K7" s="64" t="str">
        <x:v>Rewrite separately for each exam track.</x:v>
      </x:c>
      <x:c r="L7" s="64" t="str">
        <x:v>Mapped - Not Drafted</x:v>
      </x:c>
      <x:c r="M7" s="64" t="str"/>
    </x:row>
    <x:row r="8" ht="72" customHeight="1">
      <x:c r="A8" s="64" t="n">
        <x:v>7</x:v>
      </x:c>
      <x:c r="B8" s="64" t="str">
        <x:v>Physical and medical factors</x:v>
      </x:c>
      <x:c r="C8" s="64" t="str">
        <x:v>Shared Core</x:v>
      </x:c>
      <x:c r="D8" s="65" t="n">
        <x:v>0.9</x:v>
      </x:c>
      <x:c r="E8" s="64" t="str">
        <x:v>SC4</x:v>
      </x:c>
      <x:c r="F8" s="64" t="str">
        <x:v>WB2; Domain 1B</x:v>
      </x:c>
      <x:c r="G8" s="64" t="str">
        <x:v>LSW5; IIA-IIC</x:v>
      </x:c>
      <x:c r="H8" s="64" t="str">
        <x:v>Medical conditions, health history, treatment adherence, functional effects, and medical rule-outs.</x:v>
      </x:c>
      <x:c r="I8" s="64" t="str">
        <x:v>Examine effects on caretakers and relational systems.</x:v>
      </x:c>
      <x:c r="J8" s="64" t="str">
        <x:v>Examine health-care access, social determinants, discharge planning, and interdisciplinary coordination.</x:v>
      </x:c>
      <x:c r="K8" s="64" t="str">
        <x:v>Rewrite separately for each exam track.</x:v>
      </x:c>
      <x:c r="L8" s="64" t="str">
        <x:v>Mapped - Not Drafted</x:v>
      </x:c>
      <x:c r="M8" s="64" t="str"/>
    </x:row>
    <x:row r="9" ht="72" customHeight="1">
      <x:c r="A9" s="64" t="n">
        <x:v>8</x:v>
      </x:c>
      <x:c r="B9" s="64" t="str">
        <x:v>Psychopharmacology and medication effects</x:v>
      </x:c>
      <x:c r="C9" s="64" t="str">
        <x:v>Shared Core</x:v>
      </x:c>
      <x:c r="D9" s="65" t="n">
        <x:v>0.9</x:v>
      </x:c>
      <x:c r="E9" s="64" t="str">
        <x:v>SC4</x:v>
      </x:c>
      <x:c r="F9" s="64" t="str">
        <x:v>WB2/WB5; Domains 1B-2</x:v>
      </x:c>
      <x:c r="G9" s="64" t="str">
        <x:v>LSW5; IIC</x:v>
      </x:c>
      <x:c r="H9" s="64" t="str">
        <x:v>Common medication classes, intended effects, side effects, adherence, and need for prescriber consultation.</x:v>
      </x:c>
      <x:c r="I9" s="64" t="str">
        <x:v>Focus on assessment, relational impact, and appropriate referral rather than prescribing.</x:v>
      </x:c>
      <x:c r="J9" s="64" t="str">
        <x:v>Focus on client education, adherence barriers, self-determination, care coordination, and medication evaluation referral.</x:v>
      </x:c>
      <x:c r="K9" s="64" t="str">
        <x:v>Rewrite separately for each exam track.</x:v>
      </x:c>
      <x:c r="L9" s="64" t="str">
        <x:v>Mapped - Not Drafted</x:v>
      </x:c>
      <x:c r="M9" s="64" t="str"/>
    </x:row>
    <x:row r="10" ht="72" customHeight="1">
      <x:c r="A10" s="64" t="n">
        <x:v>9</x:v>
      </x:c>
      <x:c r="B10" s="64" t="str">
        <x:v>Substance use, gambling, and addictive behavior</x:v>
      </x:c>
      <x:c r="C10" s="64" t="str">
        <x:v>Shared Core</x:v>
      </x:c>
      <x:c r="D10" s="65" t="n">
        <x:v>0.9</x:v>
      </x:c>
      <x:c r="E10" s="64" t="str">
        <x:v>SC4</x:v>
      </x:c>
      <x:c r="F10" s="64" t="str">
        <x:v>WB2/WB5/WB6/WB9</x:v>
      </x:c>
      <x:c r="G10" s="64" t="str">
        <x:v>LSW4-LSW6/LSW8; IIA-IIIB</x:v>
      </x:c>
      <x:c r="H10" s="64" t="str">
        <x:v>Screening, intoxication, withdrawal, overdose, functional impact, diagnosis, harm reduction, and recovery.</x:v>
      </x:c>
      <x:c r="I10" s="64" t="str">
        <x:v>Include effects on couples and family systems and relational treatment choices.</x:v>
      </x:c>
      <x:c r="J10" s="64" t="str">
        <x:v>Include harm reduction, service networks, case management, client readiness, and community resources.</x:v>
      </x:c>
      <x:c r="K10" s="64" t="str">
        <x:v>Rewrite separately for each exam track.</x:v>
      </x:c>
      <x:c r="L10" s="64" t="str">
        <x:v>Mapped - Not Drafted</x:v>
      </x:c>
      <x:c r="M10" s="64" t="str"/>
    </x:row>
    <x:row r="11" ht="72" customHeight="1">
      <x:c r="A11" s="64" t="n">
        <x:v>10</x:v>
      </x:c>
      <x:c r="B11" s="64" t="str">
        <x:v>Typical and atypical development across the lifespan</x:v>
      </x:c>
      <x:c r="C11" s="64" t="str">
        <x:v>Shared Core</x:v>
      </x:c>
      <x:c r="D11" s="65" t="n">
        <x:v>0.9</x:v>
      </x:c>
      <x:c r="E11" s="64" t="str">
        <x:v>SC2</x:v>
      </x:c>
      <x:c r="F11" s="64" t="str">
        <x:v>WB3; Domain 1C</x:v>
      </x:c>
      <x:c r="G11" s="64" t="str">
        <x:v>LSW3; IIA</x:v>
      </x:c>
      <x:c r="H11" s="64" t="str">
        <x:v>Physical, cognitive, emotional, sexual, psychosocial, and family development.</x:v>
      </x:c>
      <x:c r="I11" s="64" t="str">
        <x:v>Emphasize individual and family life-cycle transitions.</x:v>
      </x:c>
      <x:c r="J11" s="64" t="str">
        <x:v>Emphasize person-in-environment development and developmental impact across client systems.</x:v>
      </x:c>
      <x:c r="K11" s="64" t="str">
        <x:v>Rewrite separately for each exam track.</x:v>
      </x:c>
      <x:c r="L11" s="64" t="str">
        <x:v>Mapped - Not Drafted</x:v>
      </x:c>
      <x:c r="M11" s="64" t="str"/>
    </x:row>
    <x:row r="12" ht="72" customHeight="1">
      <x:c r="A12" s="64" t="n">
        <x:v>11</x:v>
      </x:c>
      <x:c r="B12" s="64" t="str">
        <x:v>Individual and family life-cycle transitions</x:v>
      </x:c>
      <x:c r="C12" s="64" t="str">
        <x:v>Shared Core</x:v>
      </x:c>
      <x:c r="D12" s="65" t="n">
        <x:v>0.9</x:v>
      </x:c>
      <x:c r="E12" s="64" t="str">
        <x:v>SC2</x:v>
      </x:c>
      <x:c r="F12" s="64" t="str">
        <x:v>WB3/WB8</x:v>
      </x:c>
      <x:c r="G12" s="64" t="str">
        <x:v>LSW3/LSW9; IIA-IIIB</x:v>
      </x:c>
      <x:c r="H12" s="64" t="str">
        <x:v>Transitions, role changes, disruptions, adaptation, and developmental tasks.</x:v>
      </x:c>
      <x:c r="I12" s="64" t="str">
        <x:v>Apply family life-cycle and relational transition models.</x:v>
      </x:c>
      <x:c r="J12" s="64" t="str">
        <x:v>Include service needs, caregiving, placement, community support, and resource implications.</x:v>
      </x:c>
      <x:c r="K12" s="64" t="str">
        <x:v>Rewrite separately for each exam track.</x:v>
      </x:c>
      <x:c r="L12" s="64" t="str">
        <x:v>Mapped - Not Drafted</x:v>
      </x:c>
      <x:c r="M12" s="64" t="str"/>
    </x:row>
    <x:row r="13" ht="72" customHeight="1">
      <x:c r="A13" s="64" t="n">
        <x:v>12</x:v>
      </x:c>
      <x:c r="B13" s="64" t="str">
        <x:v>Trauma, stressors, and crisis exposure</x:v>
      </x:c>
      <x:c r="C13" s="64" t="str">
        <x:v>Shared Core</x:v>
      </x:c>
      <x:c r="D13" s="65" t="n">
        <x:v>0.9</x:v>
      </x:c>
      <x:c r="E13" s="64" t="str">
        <x:v>SC2/SC6</x:v>
      </x:c>
      <x:c r="F13" s="64" t="str">
        <x:v>WB4/WB6/WB9</x:v>
      </x:c>
      <x:c r="G13" s="64" t="str">
        <x:v>LSW3/LSW6/LSW8; IIA-IIIB</x:v>
      </x:c>
      <x:c r="H13" s="64" t="str">
        <x:v>Acute, chronic, complex, intergenerational, historical, and vicarious trauma.</x:v>
      </x:c>
      <x:c r="I13" s="64" t="str">
        <x:v>Assess trauma's relational and systemic effects.</x:v>
      </x:c>
      <x:c r="J13" s="64" t="str">
        <x:v>Assess effects across individuals, families, groups, organizations, and communities.</x:v>
      </x:c>
      <x:c r="K13" s="64" t="str">
        <x:v>Rewrite separately for each exam track.</x:v>
      </x:c>
      <x:c r="L13" s="64" t="str">
        <x:v>Mapped - Not Drafted</x:v>
      </x:c>
      <x:c r="M13" s="64" t="str"/>
    </x:row>
    <x:row r="14" ht="72" customHeight="1">
      <x:c r="A14" s="64" t="n">
        <x:v>13</x:v>
      </x:c>
      <x:c r="B14" s="64" t="str">
        <x:v>Abuse, neglect, and exploitation</x:v>
      </x:c>
      <x:c r="C14" s="64" t="str">
        <x:v>Shared Core</x:v>
      </x:c>
      <x:c r="D14" s="65" t="n">
        <x:v>0.9</x:v>
      </x:c>
      <x:c r="E14" s="64" t="str">
        <x:v>SC6</x:v>
      </x:c>
      <x:c r="F14" s="64" t="str">
        <x:v>WB4/WB6/WB12</x:v>
      </x:c>
      <x:c r="G14" s="64" t="str">
        <x:v>LSW2/LSW6; IB-IIA</x:v>
      </x:c>
      <x:c r="H14" s="64" t="str">
        <x:v>Indicators, dynamics, perpetrator characteristics, safety, reporting, and protective intervention.</x:v>
      </x:c>
      <x:c r="I14" s="64" t="str">
        <x:v>Apply California reporting law and relational assessment.</x:v>
      </x:c>
      <x:c r="J14" s="64" t="str">
        <x:v>Apply jurisdiction-sensitive ethics, mandatory reporting, self-determination limits, and service coordination.</x:v>
      </x:c>
      <x:c r="K14" s="64" t="str">
        <x:v>Rewrite separately for each exam track.</x:v>
      </x:c>
      <x:c r="L14" s="64" t="str">
        <x:v>Mapped - Not Drafted</x:v>
      </x:c>
      <x:c r="M14" s="64" t="str"/>
    </x:row>
    <x:row r="15" ht="72" customHeight="1">
      <x:c r="A15" s="64" t="n">
        <x:v>14</x:v>
      </x:c>
      <x:c r="B15" s="64" t="str">
        <x:v>Grief, loss, separation, and bereavement</x:v>
      </x:c>
      <x:c r="C15" s="64" t="str">
        <x:v>Shared Core</x:v>
      </x:c>
      <x:c r="D15" s="65" t="n">
        <x:v>0.9</x:v>
      </x:c>
      <x:c r="E15" s="64" t="str">
        <x:v>SC2/SC8</x:v>
      </x:c>
      <x:c r="F15" s="64" t="str">
        <x:v>WB4/WB9</x:v>
      </x:c>
      <x:c r="G15" s="64" t="str">
        <x:v>LSW3/LSW8; IIA-IIIB</x:v>
      </x:c>
      <x:c r="H15" s="64" t="str">
        <x:v>Loss reactions, complicated grief indicators, developmental considerations, coping, and support.</x:v>
      </x:c>
      <x:c r="I15" s="64" t="str">
        <x:v>Include relational loss, family reorganization, and couple/family interventions.</x:v>
      </x:c>
      <x:c r="J15" s="64" t="str">
        <x:v>Include continuity of care, community resources, and end-of-life systems.</x:v>
      </x:c>
      <x:c r="K15" s="64" t="str">
        <x:v>Rewrite separately for each exam track.</x:v>
      </x:c>
      <x:c r="L15" s="64" t="str">
        <x:v>Mapped - Not Drafted</x:v>
      </x:c>
      <x:c r="M15" s="64" t="str"/>
    </x:row>
    <x:row r="16" ht="72" customHeight="1">
      <x:c r="A16" s="64" t="n">
        <x:v>15</x:v>
      </x:c>
      <x:c r="B16" s="64" t="str">
        <x:v>Aggression, impulsivity, and violence</x:v>
      </x:c>
      <x:c r="C16" s="64" t="str">
        <x:v>Shared Core</x:v>
      </x:c>
      <x:c r="D16" s="65" t="n">
        <x:v>0.9</x:v>
      </x:c>
      <x:c r="E16" s="64" t="str">
        <x:v>SC6/SC8</x:v>
      </x:c>
      <x:c r="F16" s="64" t="str">
        <x:v>WB4/WB6/WB9</x:v>
      </x:c>
      <x:c r="G16" s="64" t="str">
        <x:v>LSW4/LSW6/LSW8; IIA-IIB-IIIB</x:v>
      </x:c>
      <x:c r="H16" s="64" t="str">
        <x:v>Risk indicators, emotional regulation, anger management, violence prevention, and safety planning.</x:v>
      </x:c>
      <x:c r="I16" s="64" t="str">
        <x:v>Examine relational conflict cycles and systemic interventions.</x:v>
      </x:c>
      <x:c r="J16" s="64" t="str">
        <x:v>Examine service setting, risk management, referrals, and multidisciplinary response.</x:v>
      </x:c>
      <x:c r="K16" s="64" t="str">
        <x:v>Rewrite separately for each exam track.</x:v>
      </x:c>
      <x:c r="L16" s="64" t="str">
        <x:v>Mapped - Not Drafted</x:v>
      </x:c>
      <x:c r="M16" s="64" t="str"/>
    </x:row>
    <x:row r="17" ht="72" customHeight="1">
      <x:c r="A17" s="64" t="n">
        <x:v>16</x:v>
      </x:c>
      <x:c r="B17" s="64" t="str">
        <x:v>Culture, race, ethnicity, and spirituality</x:v>
      </x:c>
      <x:c r="C17" s="64" t="str">
        <x:v>Shared Core</x:v>
      </x:c>
      <x:c r="D17" s="65" t="n">
        <x:v>0.9</x:v>
      </x:c>
      <x:c r="E17" s="64" t="str">
        <x:v>SC2</x:v>
      </x:c>
      <x:c r="F17" s="64" t="str">
        <x:v>WB3/WB10</x:v>
      </x:c>
      <x:c r="G17" s="64" t="str">
        <x:v>LSW2-LSW3; IC-IIA</x:v>
      </x:c>
      <x:c r="H17" s="64" t="str">
        <x:v>Identity, beliefs, development, discrimination, microaggressions, oppression, access, and culturally responsive practice.</x:v>
      </x:c>
      <x:c r="I17" s="64" t="str">
        <x:v>Integrate cultural context into systemic hypotheses and relational interventions.</x:v>
      </x:c>
      <x:c r="J17" s="64" t="str">
        <x:v>Integrate cultural humility, social justice, accessibility, privilege, bias, and anti-oppressive practice.</x:v>
      </x:c>
      <x:c r="K17" s="64" t="str">
        <x:v>Rewrite separately for each exam track.</x:v>
      </x:c>
      <x:c r="L17" s="64" t="str">
        <x:v>Mapped - Not Drafted</x:v>
      </x:c>
      <x:c r="M17" s="64" t="str"/>
    </x:row>
    <x:row r="18" ht="72" customHeight="1">
      <x:c r="A18" s="64" t="n">
        <x:v>17</x:v>
      </x:c>
      <x:c r="B18" s="64" t="str">
        <x:v>Sexual orientation, gender identity, and intersectionality</x:v>
      </x:c>
      <x:c r="C18" s="64" t="str">
        <x:v>Shared Core</x:v>
      </x:c>
      <x:c r="D18" s="65" t="n">
        <x:v>0.9</x:v>
      </x:c>
      <x:c r="E18" s="64" t="str">
        <x:v>SC2</x:v>
      </x:c>
      <x:c r="F18" s="64" t="str">
        <x:v>WB3/WB10</x:v>
      </x:c>
      <x:c r="G18" s="64" t="str">
        <x:v>LSW2-LSW3; IC-IIA</x:v>
      </x:c>
      <x:c r="H18" s="64" t="str">
        <x:v>Identity development, minority stress, acceptance, discrimination, affirming practice, and protective factors.</x:v>
      </x:c>
      <x:c r="I18" s="64" t="str">
        <x:v>Address couple/family acceptance and relational effects.</x:v>
      </x:c>
      <x:c r="J18" s="64" t="str">
        <x:v>Address intersectionality, access, systems barriers, advocacy, and client self-determination.</x:v>
      </x:c>
      <x:c r="K18" s="64" t="str">
        <x:v>Rewrite separately for each exam track.</x:v>
      </x:c>
      <x:c r="L18" s="64" t="str">
        <x:v>Mapped - Not Drafted</x:v>
      </x:c>
      <x:c r="M18" s="64" t="str"/>
    </x:row>
    <x:row r="19" ht="72" customHeight="1">
      <x:c r="A19" s="64" t="n">
        <x:v>18</x:v>
      </x:c>
      <x:c r="B19" s="64" t="str">
        <x:v>Immigration, migration, and refugee experiences</x:v>
      </x:c>
      <x:c r="C19" s="64" t="str">
        <x:v>Shared Core</x:v>
      </x:c>
      <x:c r="D19" s="65" t="n">
        <x:v>0.9</x:v>
      </x:c>
      <x:c r="E19" s="64" t="str">
        <x:v>SC2</x:v>
      </x:c>
      <x:c r="F19" s="64" t="str">
        <x:v>WB3/WB6/WB10</x:v>
      </x:c>
      <x:c r="G19" s="64" t="str">
        <x:v>LSW2-LSW3/LSW6; IC-IIA</x:v>
      </x:c>
      <x:c r="H19" s="64" t="str">
        <x:v>Acculturation, migration stress, trauma, displacement, family separation, discrimination, and resources.</x:v>
      </x:c>
      <x:c r="I19" s="64" t="str">
        <x:v>Emphasize family-system disruption and relational adaptation.</x:v>
      </x:c>
      <x:c r="J19" s="64" t="str">
        <x:v>Emphasize legal/social-service systems, access barriers, exploitation risk, and community resources.</x:v>
      </x:c>
      <x:c r="K19" s="64" t="str">
        <x:v>Rewrite separately for each exam track.</x:v>
      </x:c>
      <x:c r="L19" s="64" t="str">
        <x:v>Mapped - Not Drafted</x:v>
      </x:c>
      <x:c r="M19" s="64" t="str"/>
    </x:row>
    <x:row r="20" ht="72" customHeight="1">
      <x:c r="A20" s="64" t="n">
        <x:v>19</x:v>
      </x:c>
      <x:c r="B20" s="64" t="str">
        <x:v>Poverty, housing instability, and socioeconomic stress</x:v>
      </x:c>
      <x:c r="C20" s="64" t="str">
        <x:v>Shared Core</x:v>
      </x:c>
      <x:c r="D20" s="65" t="n">
        <x:v>0.9</x:v>
      </x:c>
      <x:c r="E20" s="64" t="str">
        <x:v>SC2</x:v>
      </x:c>
      <x:c r="F20" s="64" t="str">
        <x:v>WB3/WB10</x:v>
      </x:c>
      <x:c r="G20" s="64" t="str">
        <x:v>LSW2-LSW3/LSW10; IC-IIA</x:v>
      </x:c>
      <x:c r="H20" s="64" t="str">
        <x:v>Economic vulnerability, housing, employment, access to care, psychosocial functioning, and resource barriers.</x:v>
      </x:c>
      <x:c r="I20" s="64" t="str">
        <x:v>Examine stress effects on couple/family dynamics.</x:v>
      </x:c>
      <x:c r="J20" s="64" t="str">
        <x:v>Examine social determinants, resource access, advocacy, policy, and service coordination.</x:v>
      </x:c>
      <x:c r="K20" s="64" t="str">
        <x:v>Rewrite separately for each exam track.</x:v>
      </x:c>
      <x:c r="L20" s="64" t="str">
        <x:v>Mapped - Not Drafted</x:v>
      </x:c>
      <x:c r="M20" s="64" t="str"/>
    </x:row>
    <x:row r="21" ht="72" customHeight="1">
      <x:c r="A21" s="64" t="n">
        <x:v>20</x:v>
      </x:c>
      <x:c r="B21" s="64" t="str">
        <x:v>Military service, deployment, combat, and reintegration</x:v>
      </x:c>
      <x:c r="C21" s="64" t="str">
        <x:v>Shared Core</x:v>
      </x:c>
      <x:c r="D21" s="65" t="n">
        <x:v>0.9</x:v>
      </x:c>
      <x:c r="E21" s="64" t="str">
        <x:v>SC2/SC8</x:v>
      </x:c>
      <x:c r="F21" s="64" t="str">
        <x:v>WB3/WB9</x:v>
      </x:c>
      <x:c r="G21" s="64" t="str">
        <x:v>LSW3/LSW8; IIA-IIIB</x:v>
      </x:c>
      <x:c r="H21" s="64" t="str">
        <x:v>Military culture, deployment, trauma, reintegration, family impact, and support systems.</x:v>
      </x:c>
      <x:c r="I21" s="64" t="str">
        <x:v>Emphasize couple and family relational changes.</x:v>
      </x:c>
      <x:c r="J21" s="64" t="str">
        <x:v>Emphasize systems of care, benefits/resources, and interdisciplinary coordination.</x:v>
      </x:c>
      <x:c r="K21" s="64" t="str">
        <x:v>Rewrite separately for each exam track.</x:v>
      </x:c>
      <x:c r="L21" s="64" t="str">
        <x:v>Mapped - Not Drafted</x:v>
      </x:c>
      <x:c r="M21" s="64" t="str"/>
    </x:row>
    <x:row r="22" ht="72" customHeight="1">
      <x:c r="A22" s="64" t="n">
        <x:v>21</x:v>
      </x:c>
      <x:c r="B22" s="64" t="str">
        <x:v>Strengths, resilience, coping, and protective factors</x:v>
      </x:c>
      <x:c r="C22" s="64" t="str">
        <x:v>Shared Core</x:v>
      </x:c>
      <x:c r="D22" s="65" t="n">
        <x:v>0.9</x:v>
      </x:c>
      <x:c r="E22" s="64" t="str">
        <x:v>SC3/SC8</x:v>
      </x:c>
      <x:c r="F22" s="64" t="str">
        <x:v>WB4/WB7/WB9</x:v>
      </x:c>
      <x:c r="G22" s="64" t="str">
        <x:v>LSW4/LSW8; IIB-IIIA</x:v>
      </x:c>
      <x:c r="H22" s="64" t="str">
        <x:v>Identify strengths, coping, resilience, protective factors, and client resources.</x:v>
      </x:c>
      <x:c r="I22" s="64" t="str">
        <x:v>Use strength-based systemic hypotheses and relational resources.</x:v>
      </x:c>
      <x:c r="J22" s="64" t="str">
        <x:v>Use empowerment, client participation, community resources, and person-in-environment strengths.</x:v>
      </x:c>
      <x:c r="K22" s="64" t="str">
        <x:v>Rewrite separately for each exam track.</x:v>
      </x:c>
      <x:c r="L22" s="64" t="str">
        <x:v>Mapped - Not Drafted</x:v>
      </x:c>
      <x:c r="M22" s="64" t="str"/>
    </x:row>
    <x:row r="23" ht="72" customHeight="1">
      <x:c r="A23" s="64" t="n">
        <x:v>22</x:v>
      </x:c>
      <x:c r="B23" s="64" t="str">
        <x:v>Suicide and self-harm risk assessment</x:v>
      </x:c>
      <x:c r="C23" s="64" t="str">
        <x:v>Shared Core</x:v>
      </x:c>
      <x:c r="D23" s="65" t="n">
        <x:v>0.9</x:v>
      </x:c>
      <x:c r="E23" s="64" t="str">
        <x:v>SC6</x:v>
      </x:c>
      <x:c r="F23" s="64" t="str">
        <x:v>WB6/WB12</x:v>
      </x:c>
      <x:c r="G23" s="64" t="str">
        <x:v>LSW6; IIB-IIIB</x:v>
      </x:c>
      <x:c r="H23" s="64" t="str">
        <x:v>Ideation, intent, plan, means, history, protective factors, imminence, safety planning, and level of care.</x:v>
      </x:c>
      <x:c r="I23" s="64" t="str">
        <x:v>Apply California-specific legal and emergency procedures where tested.</x:v>
      </x:c>
      <x:c r="J23" s="64" t="str">
        <x:v>Apply risk assessment, client participation, emergency referral, and jurisdiction-sensitive ethical duties.</x:v>
      </x:c>
      <x:c r="K23" s="64" t="str">
        <x:v>Rewrite separately for each exam track.</x:v>
      </x:c>
      <x:c r="L23" s="64" t="str">
        <x:v>Mapped - Not Drafted</x:v>
      </x:c>
      <x:c r="M23" s="64" t="str"/>
    </x:row>
    <x:row r="24" ht="72" customHeight="1">
      <x:c r="A24" s="64" t="n">
        <x:v>23</x:v>
      </x:c>
      <x:c r="B24" s="64" t="str">
        <x:v>Danger to others and threat assessment</x:v>
      </x:c>
      <x:c r="C24" s="64" t="str">
        <x:v>Shared Core</x:v>
      </x:c>
      <x:c r="D24" s="65" t="n">
        <x:v>0.9</x:v>
      </x:c>
      <x:c r="E24" s="64" t="str">
        <x:v>SC6</x:v>
      </x:c>
      <x:c r="F24" s="64" t="str">
        <x:v>WB6/WB12</x:v>
      </x:c>
      <x:c r="G24" s="64" t="str">
        <x:v>LSW6; IIB/IB</x:v>
      </x:c>
      <x:c r="H24" s="64" t="str">
        <x:v>Threat, target, intent, means, history, imminence, protective action, consultation, and documentation.</x:v>
      </x:c>
      <x:c r="I24" s="64" t="str">
        <x:v>Teach California duty-to-protect requirements as clinical exam content.</x:v>
      </x:c>
      <x:c r="J24" s="64" t="str">
        <x:v>Teach ethical and jurisdiction-sensitive threat response without turning the national exam into a California law course.</x:v>
      </x:c>
      <x:c r="K24" s="64" t="str">
        <x:v>Rewrite separately for each exam track.</x:v>
      </x:c>
      <x:c r="L24" s="64" t="str">
        <x:v>Mapped - Not Drafted</x:v>
      </x:c>
      <x:c r="M24" s="64" t="str"/>
    </x:row>
    <x:row r="25" ht="72" customHeight="1">
      <x:c r="A25" s="64" t="n">
        <x:v>24</x:v>
      </x:c>
      <x:c r="B25" s="64" t="str">
        <x:v>Crisis intervention and safety planning</x:v>
      </x:c>
      <x:c r="C25" s="64" t="str">
        <x:v>Shared Core</x:v>
      </x:c>
      <x:c r="D25" s="65" t="n">
        <x:v>0.9</x:v>
      </x:c>
      <x:c r="E25" s="64" t="str">
        <x:v>SC6</x:v>
      </x:c>
      <x:c r="F25" s="64" t="str">
        <x:v>WB6</x:v>
      </x:c>
      <x:c r="G25" s="64" t="str">
        <x:v>LSW6/LSW8; IIIB</x:v>
      </x:c>
      <x:c r="H25" s="64" t="str">
        <x:v>Stabilization, immediate safety, de-escalation, resources, hospitalization, follow-up, and documentation.</x:v>
      </x:c>
      <x:c r="I25" s="64" t="str">
        <x:v>Include relational/systemic safety and unit-of-treatment decisions.</x:v>
      </x:c>
      <x:c r="J25" s="64" t="str">
        <x:v>Include level of care, case management, resources, and interdisciplinary response.</x:v>
      </x:c>
      <x:c r="K25" s="64" t="str">
        <x:v>Rewrite separately for each exam track.</x:v>
      </x:c>
      <x:c r="L25" s="64" t="str">
        <x:v>Mapped - Not Drafted</x:v>
      </x:c>
      <x:c r="M25" s="64" t="str"/>
    </x:row>
    <x:row r="26" ht="72" customHeight="1">
      <x:c r="A26" s="64" t="n">
        <x:v>25</x:v>
      </x:c>
      <x:c r="B26" s="64" t="str">
        <x:v>DSM-5-TR diagnostic reasoning</x:v>
      </x:c>
      <x:c r="C26" s="64" t="str">
        <x:v>Shared Core</x:v>
      </x:c>
      <x:c r="D26" s="65" t="n">
        <x:v>0.9</x:v>
      </x:c>
      <x:c r="E26" s="64" t="str">
        <x:v>SC5</x:v>
      </x:c>
      <x:c r="F26" s="64" t="str">
        <x:v>WB5; Domain 2</x:v>
      </x:c>
      <x:c r="G26" s="64" t="str">
        <x:v>LSW5; IIB</x:v>
      </x:c>
      <x:c r="H26" s="64" t="str">
        <x:v>Symptoms, duration, severity, impairment, provisional diagnosis, clinically relevant conditions, and rule-outs.</x:v>
      </x:c>
      <x:c r="I26" s="64" t="str">
        <x:v>Integrate systemic and relational information without diagnosing the relationship as an individual disorder.</x:v>
      </x:c>
      <x:c r="J26" s="64" t="str">
        <x:v>Integrate person-in-environment factors, medical/substance rule-outs, and service implications.</x:v>
      </x:c>
      <x:c r="K26" s="64" t="str">
        <x:v>Rewrite separately for each exam track.</x:v>
      </x:c>
      <x:c r="L26" s="64" t="str">
        <x:v>Mapped - Not Drafted</x:v>
      </x:c>
      <x:c r="M26" s="64" t="str"/>
    </x:row>
    <x:row r="27" ht="72" customHeight="1">
      <x:c r="A27" s="64" t="n">
        <x:v>26</x:v>
      </x:c>
      <x:c r="B27" s="64" t="str">
        <x:v>Differential diagnosis and comorbidity</x:v>
      </x:c>
      <x:c r="C27" s="64" t="str">
        <x:v>Shared Core</x:v>
      </x:c>
      <x:c r="D27" s="65" t="n">
        <x:v>0.9</x:v>
      </x:c>
      <x:c r="E27" s="64" t="str">
        <x:v>SC5</x:v>
      </x:c>
      <x:c r="F27" s="64" t="str">
        <x:v>WB5</x:v>
      </x:c>
      <x:c r="G27" s="64" t="str">
        <x:v>LSW5; IIA-IIB</x:v>
      </x:c>
      <x:c r="H27" s="64" t="str">
        <x:v>Compare likely diagnoses, co-occurring conditions, medical/substance effects, and need for further assessment.</x:v>
      </x:c>
      <x:c r="I27" s="64" t="str">
        <x:v>Highlight how relational context affects presentation and treatment.</x:v>
      </x:c>
      <x:c r="J27" s="64" t="str">
        <x:v>Highlight functional impact, service setting, resources, and interdisciplinary evaluation.</x:v>
      </x:c>
      <x:c r="K27" s="64" t="str">
        <x:v>Rewrite separately for each exam track.</x:v>
      </x:c>
      <x:c r="L27" s="64" t="str">
        <x:v>Mapped - Not Drafted</x:v>
      </x:c>
      <x:c r="M27" s="64" t="str"/>
    </x:row>
    <x:row r="28" ht="72" customHeight="1">
      <x:c r="A28" s="64" t="n">
        <x:v>27</x:v>
      </x:c>
      <x:c r="B28" s="64" t="str">
        <x:v>Treatment and service planning</x:v>
      </x:c>
      <x:c r="C28" s="64" t="str">
        <x:v>Shared Core</x:v>
      </x:c>
      <x:c r="D28" s="65" t="n">
        <x:v>0.9</x:v>
      </x:c>
      <x:c r="E28" s="64" t="str">
        <x:v>SC7</x:v>
      </x:c>
      <x:c r="F28" s="64" t="str">
        <x:v>WB7</x:v>
      </x:c>
      <x:c r="G28" s="64" t="str">
        <x:v>LSW7; IIC</x:v>
      </x:c>
      <x:c r="H28" s="64" t="str">
        <x:v>Priorities, goals, objectives, modalities, client collaboration, access, referrals, and plan revision.</x:v>
      </x:c>
      <x:c r="I28" s="64" t="str">
        <x:v>Write systemic and relational goals and select unit of treatment.</x:v>
      </x:c>
      <x:c r="J28" s="64" t="str">
        <x:v>Include service plans, triage, community resources, client self-determination, and case management.</x:v>
      </x:c>
      <x:c r="K28" s="64" t="str">
        <x:v>Rewrite separately for each exam track.</x:v>
      </x:c>
      <x:c r="L28" s="64" t="str">
        <x:v>Mapped - Not Drafted</x:v>
      </x:c>
      <x:c r="M28" s="64" t="str"/>
    </x:row>
    <x:row r="29" ht="72" customHeight="1">
      <x:c r="A29" s="64" t="n">
        <x:v>28</x:v>
      </x:c>
      <x:c r="B29" s="64" t="str">
        <x:v>Evidence-based and theory-informed interventions</x:v>
      </x:c>
      <x:c r="C29" s="64" t="str">
        <x:v>Shared Core</x:v>
      </x:c>
      <x:c r="D29" s="65" t="n">
        <x:v>0.9</x:v>
      </x:c>
      <x:c r="E29" s="64" t="str">
        <x:v>SC8</x:v>
      </x:c>
      <x:c r="F29" s="64" t="str">
        <x:v>WB8-WB11</x:v>
      </x:c>
      <x:c r="G29" s="64" t="str">
        <x:v>LSW8-LSW9; IIIB</x:v>
      </x:c>
      <x:c r="H29" s="64" t="str">
        <x:v>Match interventions to diagnosis, goals, readiness, developmental level, culture, and context.</x:v>
      </x:c>
      <x:c r="I29" s="64" t="str">
        <x:v>Include greater depth in family systems and relational models.</x:v>
      </x:c>
      <x:c r="J29" s="64" t="str">
        <x:v>Include social work evidence-based practice, brief approaches, resource constraints, and service setting.</x:v>
      </x:c>
      <x:c r="K29" s="64" t="str">
        <x:v>Rewrite separately for each exam track.</x:v>
      </x:c>
      <x:c r="L29" s="64" t="str">
        <x:v>Mapped - Not Drafted</x:v>
      </x:c>
      <x:c r="M29" s="64" t="str"/>
    </x:row>
    <x:row r="30" ht="72" customHeight="1">
      <x:c r="A30" s="64" t="n">
        <x:v>29</x:v>
      </x:c>
      <x:c r="B30" s="64" t="str">
        <x:v>Progress monitoring and outcome evaluation</x:v>
      </x:c>
      <x:c r="C30" s="64" t="str">
        <x:v>Shared Core</x:v>
      </x:c>
      <x:c r="D30" s="65" t="n">
        <x:v>0.9</x:v>
      </x:c>
      <x:c r="E30" s="64" t="str">
        <x:v>SC7/SC10</x:v>
      </x:c>
      <x:c r="F30" s="64" t="str">
        <x:v>WB7</x:v>
      </x:c>
      <x:c r="G30" s="64" t="str">
        <x:v>LSW7/LSW11; IIC-IIIC</x:v>
      </x:c>
      <x:c r="H30" s="64" t="str">
        <x:v>Review goals, measure progress, evaluate alliance, revise plans, and identify ineffective treatment.</x:v>
      </x:c>
      <x:c r="I30" s="64" t="str">
        <x:v>Evaluate relational/systemic changes and interactional patterns.</x:v>
      </x:c>
      <x:c r="J30" s="64" t="str">
        <x:v>Evaluate intervention, service-plan, and program outcomes using clinical and system indicators.</x:v>
      </x:c>
      <x:c r="K30" s="64" t="str">
        <x:v>Rewrite separately for each exam track.</x:v>
      </x:c>
      <x:c r="L30" s="64" t="str">
        <x:v>Mapped - Not Drafted</x:v>
      </x:c>
      <x:c r="M30" s="64" t="str"/>
    </x:row>
    <x:row r="31" ht="72" customHeight="1">
      <x:c r="A31" s="64" t="n">
        <x:v>30</x:v>
      </x:c>
      <x:c r="B31" s="64" t="str">
        <x:v>Termination, discharge, aftercare, and follow-up</x:v>
      </x:c>
      <x:c r="C31" s="64" t="str">
        <x:v>Shared Core</x:v>
      </x:c>
      <x:c r="D31" s="65" t="n">
        <x:v>0.9</x:v>
      </x:c>
      <x:c r="E31" s="64" t="str">
        <x:v>SC10</x:v>
      </x:c>
      <x:c r="F31" s="64" t="str">
        <x:v>WB7/WB12</x:v>
      </x:c>
      <x:c r="G31" s="64" t="str">
        <x:v>LSW2/LSW7/LSW8; IB-IIC-IIIB</x:v>
      </x:c>
      <x:c r="H31" s="64" t="str">
        <x:v>Readiness, planned and premature termination, continuity, referrals, relapse prevention, and documentation.</x:v>
      </x:c>
      <x:c r="I31" s="64" t="str">
        <x:v>Include dependency, abandonment, relational endings, and California professional obligations.</x:v>
      </x:c>
      <x:c r="J31" s="64" t="str">
        <x:v>Include discharge, wraparound services, client choice, continuity of care, and ethical termination.</x:v>
      </x:c>
      <x:c r="K31" s="64" t="str">
        <x:v>Rewrite separately for each exam track.</x:v>
      </x:c>
      <x:c r="L31" s="64" t="str">
        <x:v>Mapped - Not Drafted</x:v>
      </x:c>
      <x:c r="M31" s="64" t="str"/>
    </x:row>
    <x:row r="32" ht="72" customHeight="1">
      <x:c r="A32" s="64" t="n">
        <x:v>31</x:v>
      </x:c>
      <x:c r="B32" s="64" t="str">
        <x:v>Family dynamics and functioning</x:v>
      </x:c>
      <x:c r="C32" s="64" t="str">
        <x:v>Shared - Different Framing</x:v>
      </x:c>
      <x:c r="D32" s="65" t="n">
        <x:v>0.65</x:v>
      </x:c>
      <x:c r="E32" s="64" t="str">
        <x:v>SC9</x:v>
      </x:c>
      <x:c r="F32" s="64" t="str">
        <x:v>WB4/WB8/WB11</x:v>
      </x:c>
      <x:c r="G32" s="64" t="str">
        <x:v>LSW3/LSW9; IIA-IIIB</x:v>
      </x:c>
      <x:c r="H32" s="64" t="str">
        <x:v>Family roles, patterns, boundaries, communication, attachment, conflict, and life-cycle effects.</x:v>
      </x:c>
      <x:c r="I32" s="64" t="str">
        <x:v>Treat systemic formulation and family change as a central clinical lens.</x:v>
      </x:c>
      <x:c r="J32" s="64" t="str">
        <x:v>Use family dynamics within person-in-environment, service planning, parenting, and client-system work.</x:v>
      </x:c>
      <x:c r="K32" s="64" t="str">
        <x:v>Rewrite separately for each exam track.</x:v>
      </x:c>
      <x:c r="L32" s="64" t="str">
        <x:v>Mapped - Not Drafted</x:v>
      </x:c>
      <x:c r="M32" s="64" t="str"/>
    </x:row>
    <x:row r="33" ht="72" customHeight="1">
      <x:c r="A33" s="64" t="n">
        <x:v>32</x:v>
      </x:c>
      <x:c r="B33" s="64" t="str">
        <x:v>Couple relationships, intimacy, and sexuality</x:v>
      </x:c>
      <x:c r="C33" s="64" t="str">
        <x:v>Shared - Different Framing</x:v>
      </x:c>
      <x:c r="D33" s="65" t="n">
        <x:v>0.65</x:v>
      </x:c>
      <x:c r="E33" s="64" t="str">
        <x:v>SC9</x:v>
      </x:c>
      <x:c r="F33" s="64" t="str">
        <x:v>WB4/WB8</x:v>
      </x:c>
      <x:c r="G33" s="64" t="str">
        <x:v>LSW3/LSW9; IIA-IIIB</x:v>
      </x:c>
      <x:c r="H33" s="64" t="str">
        <x:v>Relationship development, conflict, commitment, intimacy, sexuality, communication, and safety.</x:v>
      </x:c>
      <x:c r="I33" s="64" t="str">
        <x:v>Provide deeper couple assessment and relational treatment-model coverage.</x:v>
      </x:c>
      <x:c r="J33" s="64" t="str">
        <x:v>Teach couple interventions as one social work modality among individual, family, group, and systems work.</x:v>
      </x:c>
      <x:c r="K33" s="64" t="str">
        <x:v>Rewrite separately for each exam track.</x:v>
      </x:c>
      <x:c r="L33" s="64" t="str">
        <x:v>Mapped - Not Drafted</x:v>
      </x:c>
      <x:c r="M33" s="64" t="str"/>
    </x:row>
    <x:row r="34" ht="72" customHeight="1">
      <x:c r="A34" s="64" t="n">
        <x:v>33</x:v>
      </x:c>
      <x:c r="B34" s="64" t="str">
        <x:v>Parenting, caregiving, and family support</x:v>
      </x:c>
      <x:c r="C34" s="64" t="str">
        <x:v>Shared - Different Framing</x:v>
      </x:c>
      <x:c r="D34" s="65" t="n">
        <x:v>0.65</x:v>
      </x:c>
      <x:c r="E34" s="64" t="str">
        <x:v>SC9</x:v>
      </x:c>
      <x:c r="F34" s="64" t="str">
        <x:v>WB3/WB8/WB9</x:v>
      </x:c>
      <x:c r="G34" s="64" t="str">
        <x:v>LSW3/LSW9; IIA-IIIA-IIIB</x:v>
      </x:c>
      <x:c r="H34" s="64" t="str">
        <x:v>Parenting capacity, caregiver stress, attachment, skill building, support, and family impact.</x:v>
      </x:c>
      <x:c r="I34" s="64" t="str">
        <x:v>Emphasize parenting subsystems and family-therapy interventions.</x:v>
      </x:c>
      <x:c r="J34" s="64" t="str">
        <x:v>Emphasize caregiving resources, placement, service coordination, and parenting skill support.</x:v>
      </x:c>
      <x:c r="K34" s="64" t="str">
        <x:v>Rewrite separately for each exam track.</x:v>
      </x:c>
      <x:c r="L34" s="64" t="str">
        <x:v>Mapped - Not Drafted</x:v>
      </x:c>
      <x:c r="M34" s="64" t="str"/>
    </x:row>
    <x:row r="35" ht="72" customHeight="1">
      <x:c r="A35" s="64" t="n">
        <x:v>34</x:v>
      </x:c>
      <x:c r="B35" s="64" t="str">
        <x:v>Group processes and interventions</x:v>
      </x:c>
      <x:c r="C35" s="64" t="str">
        <x:v>Shared - Different Framing</x:v>
      </x:c>
      <x:c r="D35" s="65" t="n">
        <x:v>0.65</x:v>
      </x:c>
      <x:c r="E35" s="64" t="str">
        <x:v>SC9</x:v>
      </x:c>
      <x:c r="F35" s="64" t="str">
        <x:v>WB6/WB7/WB11</x:v>
      </x:c>
      <x:c r="G35" s="64" t="str">
        <x:v>LSW8-LSW9; IIIB</x:v>
      </x:c>
      <x:c r="H35" s="64" t="str">
        <x:v>Group formation, purpose, norms, cohesion, roles, conflict, facilitation, and termination.</x:v>
      </x:c>
      <x:c r="I35" s="64" t="str">
        <x:v>Use groups as an adjunct to systemic treatment and theory application.</x:v>
      </x:c>
      <x:c r="J35" s="64" t="str">
        <x:v>Include treatment, support, psychoeducational, task, and community group applications.</x:v>
      </x:c>
      <x:c r="K35" s="64" t="str">
        <x:v>Rewrite separately for each exam track.</x:v>
      </x:c>
      <x:c r="L35" s="64" t="str">
        <x:v>Mapped - Not Drafted</x:v>
      </x:c>
      <x:c r="M35" s="64" t="str"/>
    </x:row>
    <x:row r="36" ht="72" customHeight="1">
      <x:c r="A36" s="64" t="n">
        <x:v>35</x:v>
      </x:c>
      <x:c r="B36" s="64" t="str">
        <x:v>Community resources and referral decisions</x:v>
      </x:c>
      <x:c r="C36" s="64" t="str">
        <x:v>Shared - Different Framing</x:v>
      </x:c>
      <x:c r="D36" s="65" t="n">
        <x:v>0.65</x:v>
      </x:c>
      <x:c r="E36" s="64" t="str">
        <x:v>SC9</x:v>
      </x:c>
      <x:c r="F36" s="64" t="str">
        <x:v>WB4/WB7/WB11</x:v>
      </x:c>
      <x:c r="G36" s="64" t="str">
        <x:v>LSW4/LSW7/LSW10; IIC-IIIB</x:v>
      </x:c>
      <x:c r="H36" s="64" t="str">
        <x:v>Assess need, select resources, obtain consent, coordinate referral, and follow up.</x:v>
      </x:c>
      <x:c r="I36" s="64" t="str">
        <x:v>Emphasize adjunctive assessment and treatment-provider consultation.</x:v>
      </x:c>
      <x:c r="J36" s="64" t="str">
        <x:v>Emphasize resource mapping, access barriers, eligibility, service networks, and client advocacy.</x:v>
      </x:c>
      <x:c r="K36" s="64" t="str">
        <x:v>Rewrite separately for each exam track.</x:v>
      </x:c>
      <x:c r="L36" s="64" t="str">
        <x:v>Mapped - Not Drafted</x:v>
      </x:c>
      <x:c r="M36" s="64" t="str"/>
    </x:row>
    <x:row r="37" ht="72" customHeight="1">
      <x:c r="A37" s="64" t="n">
        <x:v>36</x:v>
      </x:c>
      <x:c r="B37" s="64" t="str">
        <x:v>Interdisciplinary and intradisciplinary collaboration</x:v>
      </x:c>
      <x:c r="C37" s="64" t="str">
        <x:v>Shared - Different Framing</x:v>
      </x:c>
      <x:c r="D37" s="65" t="n">
        <x:v>0.65</x:v>
      </x:c>
      <x:c r="E37" s="64" t="str">
        <x:v>SC9</x:v>
      </x:c>
      <x:c r="F37" s="64" t="str">
        <x:v>WB4/WB11</x:v>
      </x:c>
      <x:c r="G37" s="64" t="str">
        <x:v>LSW8/LSW10; IIIA</x:v>
      </x:c>
      <x:c r="H37" s="64" t="str">
        <x:v>Clarify roles, share information appropriately, coordinate care, and resolve team conflict.</x:v>
      </x:c>
      <x:c r="I37" s="64" t="str">
        <x:v>Emphasize clinical consultation that informs systemic treatment.</x:v>
      </x:c>
      <x:c r="J37" s="64" t="str">
        <x:v>Emphasize care conferences, IEPs, discharge planning, agency systems, and team-based service delivery.</x:v>
      </x:c>
      <x:c r="K37" s="64" t="str">
        <x:v>Rewrite separately for each exam track.</x:v>
      </x:c>
      <x:c r="L37" s="64" t="str">
        <x:v>Mapped - Not Drafted</x:v>
      </x:c>
      <x:c r="M37" s="64" t="str"/>
    </x:row>
    <x:row r="38" ht="72" customHeight="1">
      <x:c r="A38" s="64" t="n">
        <x:v>37</x:v>
      </x:c>
      <x:c r="B38" s="64" t="str">
        <x:v>Case management and care coordination</x:v>
      </x:c>
      <x:c r="C38" s="64" t="str">
        <x:v>Shared - Different Framing</x:v>
      </x:c>
      <x:c r="D38" s="65" t="n">
        <x:v>0.65</x:v>
      </x:c>
      <x:c r="E38" s="64" t="str">
        <x:v>SC9</x:v>
      </x:c>
      <x:c r="F38" s="64" t="str">
        <x:v>WB5/WB7/WB11</x:v>
      </x:c>
      <x:c r="G38" s="64" t="str">
        <x:v>LSW7/LSW10; IIC-IIIB</x:v>
      </x:c>
      <x:c r="H38" s="64" t="str">
        <x:v>Assess needs, sequence services, coordinate providers, document, monitor, and follow up.</x:v>
      </x:c>
      <x:c r="I38" s="64" t="str">
        <x:v>Keep case management secondary to the LMFT clinical-systemic examination emphasis.</x:v>
      </x:c>
      <x:c r="J38" s="64" t="str">
        <x:v>Treat case management, advocacy, service coordination, and resource access as central social work competencies.</x:v>
      </x:c>
      <x:c r="K38" s="64" t="str">
        <x:v>Rewrite separately for each exam track.</x:v>
      </x:c>
      <x:c r="L38" s="64" t="str">
        <x:v>Mapped - Not Drafted</x:v>
      </x:c>
      <x:c r="M38" s="64" t="str"/>
    </x:row>
    <x:row r="39" ht="72" customHeight="1">
      <x:c r="A39" s="64" t="n">
        <x:v>38</x:v>
      </x:c>
      <x:c r="B39" s="64" t="str">
        <x:v>Advocacy and barriers to care</x:v>
      </x:c>
      <x:c r="C39" s="64" t="str">
        <x:v>Shared - Different Framing</x:v>
      </x:c>
      <x:c r="D39" s="65" t="n">
        <x:v>0.65</x:v>
      </x:c>
      <x:c r="E39" s="64" t="str">
        <x:v>SC2/SC9</x:v>
      </x:c>
      <x:c r="F39" s="64" t="str">
        <x:v>WB3/WB7/WB10</x:v>
      </x:c>
      <x:c r="G39" s="64" t="str">
        <x:v>LSW2/LSW10; IC-IIIB</x:v>
      </x:c>
      <x:c r="H39" s="64" t="str">
        <x:v>Identify barriers, support client voice, improve access, and respond to discrimination or resource limitations.</x:v>
      </x:c>
      <x:c r="I39" s="64" t="str">
        <x:v>Frame advocacy around treatment access and systemic context.</x:v>
      </x:c>
      <x:c r="J39" s="64" t="str">
        <x:v>Provide deeper coverage of social justice, policy, systems advocacy, and community-resource access.</x:v>
      </x:c>
      <x:c r="K39" s="64" t="str">
        <x:v>Rewrite separately for each exam track.</x:v>
      </x:c>
      <x:c r="L39" s="64" t="str">
        <x:v>Mapped - Not Drafted</x:v>
      </x:c>
      <x:c r="M39" s="64" t="str"/>
    </x:row>
    <x:row r="40" ht="72" customHeight="1">
      <x:c r="A40" s="64" t="n">
        <x:v>39</x:v>
      </x:c>
      <x:c r="B40" s="64" t="str">
        <x:v>Informed consent and client participation</x:v>
      </x:c>
      <x:c r="C40" s="64" t="str">
        <x:v>Shared - Different Framing</x:v>
      </x:c>
      <x:c r="D40" s="65" t="n">
        <x:v>0.65</x:v>
      </x:c>
      <x:c r="E40" s="64" t="str">
        <x:v>SC10</x:v>
      </x:c>
      <x:c r="F40" s="64" t="str">
        <x:v>WB12</x:v>
      </x:c>
      <x:c r="G40" s="64" t="str">
        <x:v>LSW2/LSW7; IA-IB-IIC</x:v>
      </x:c>
      <x:c r="H40" s="64" t="str">
        <x:v>Purpose, risks, benefits, alternatives, limits, roles, fees, technology, and ongoing consent.</x:v>
      </x:c>
      <x:c r="I40" s="64" t="str">
        <x:v>Apply California-specific LMFT law and multi-client informed-consent issues.</x:v>
      </x:c>
      <x:c r="J40" s="64" t="str">
        <x:v>Emphasize self-determination, refusal of services, placement, medical treatment, and client/client-system participation.</x:v>
      </x:c>
      <x:c r="K40" s="64" t="str">
        <x:v>Rewrite separately for each exam track.</x:v>
      </x:c>
      <x:c r="L40" s="64" t="str">
        <x:v>Mapped - Not Drafted</x:v>
      </x:c>
      <x:c r="M40" s="64" t="str"/>
    </x:row>
    <x:row r="41" ht="72" customHeight="1">
      <x:c r="A41" s="64" t="n">
        <x:v>40</x:v>
      </x:c>
      <x:c r="B41" s="64" t="str">
        <x:v>Confidentiality, privacy, and disclosure</x:v>
      </x:c>
      <x:c r="C41" s="64" t="str">
        <x:v>Shared - Different Framing</x:v>
      </x:c>
      <x:c r="D41" s="65" t="n">
        <x:v>0.65</x:v>
      </x:c>
      <x:c r="E41" s="64" t="str">
        <x:v>SC10</x:v>
      </x:c>
      <x:c r="F41" s="64" t="str">
        <x:v>WB12</x:v>
      </x:c>
      <x:c r="G41" s="64" t="str">
        <x:v>LSW2; IA</x:v>
      </x:c>
      <x:c r="H41" s="64" t="str">
        <x:v>Confidentiality, privilege, releases, minimum necessary disclosure, consultation, emergencies, and records.</x:v>
      </x:c>
      <x:c r="I41" s="64" t="str">
        <x:v>Apply California statutes and multi-person treatment complexities.</x:v>
      </x:c>
      <x:c r="J41" s="64" t="str">
        <x:v>Apply ethical reasoning across health, school, agency, group, family, and community settings; avoid California-only assumptions.</x:v>
      </x:c>
      <x:c r="K41" s="64" t="str">
        <x:v>Rewrite separately for each exam track.</x:v>
      </x:c>
      <x:c r="L41" s="64" t="str">
        <x:v>Mapped - Not Drafted</x:v>
      </x:c>
      <x:c r="M41" s="64" t="str"/>
    </x:row>
    <x:row r="42" ht="72" customHeight="1">
      <x:c r="A42" s="64" t="n">
        <x:v>41</x:v>
      </x:c>
      <x:c r="B42" s="64" t="str">
        <x:v>Mandatory reporting and protective duties</x:v>
      </x:c>
      <x:c r="C42" s="64" t="str">
        <x:v>Shared - Different Framing</x:v>
      </x:c>
      <x:c r="D42" s="65" t="n">
        <x:v>0.65</x:v>
      </x:c>
      <x:c r="E42" s="64" t="str">
        <x:v>SC6/SC10</x:v>
      </x:c>
      <x:c r="F42" s="64" t="str">
        <x:v>WB6/WB12</x:v>
      </x:c>
      <x:c r="G42" s="64" t="str">
        <x:v>LSW2/LSW6; IB</x:v>
      </x:c>
      <x:c r="H42" s="64" t="str">
        <x:v>Recognize reportable concerns, immediate safety, consultation, reporting, client communication, and documentation.</x:v>
      </x:c>
      <x:c r="I42" s="64" t="str">
        <x:v>Teach California child, elder/dependent-adult, and duty-to-protect requirements directly.</x:v>
      </x:c>
      <x:c r="J42" s="64" t="str">
        <x:v>Teach general ethical and legal reasoning while identifying that exact duties vary by jurisdiction.</x:v>
      </x:c>
      <x:c r="K42" s="64" t="str">
        <x:v>Rewrite separately for each exam track.</x:v>
      </x:c>
      <x:c r="L42" s="64" t="str">
        <x:v>Mapped - Not Drafted</x:v>
      </x:c>
      <x:c r="M42" s="64" t="str"/>
    </x:row>
    <x:row r="43" ht="72" customHeight="1">
      <x:c r="A43" s="64" t="n">
        <x:v>42</x:v>
      </x:c>
      <x:c r="B43" s="64" t="str">
        <x:v>Professional boundaries, dual relationships, and conflicts of interest</x:v>
      </x:c>
      <x:c r="C43" s="64" t="str">
        <x:v>Shared - Different Framing</x:v>
      </x:c>
      <x:c r="D43" s="65" t="n">
        <x:v>0.65</x:v>
      </x:c>
      <x:c r="E43" s="64" t="str">
        <x:v>SC10</x:v>
      </x:c>
      <x:c r="F43" s="64" t="str">
        <x:v>WB12</x:v>
      </x:c>
      <x:c r="G43" s="64" t="str">
        <x:v>LSW2; IB</x:v>
      </x:c>
      <x:c r="H43" s="64" t="str">
        <x:v>Power, influence, self-disclosure, gifts, multiple roles, conflicts, consultation, and risk management.</x:v>
      </x:c>
      <x:c r="I43" s="64" t="str">
        <x:v>Apply CAMFT/California professional-practice framing and relational contexts.</x:v>
      </x:c>
      <x:c r="J43" s="64" t="str">
        <x:v>Apply NASW/social work values, agency settings, community overlap, and client-system power differentials.</x:v>
      </x:c>
      <x:c r="K43" s="64" t="str">
        <x:v>Rewrite separately for each exam track.</x:v>
      </x:c>
      <x:c r="L43" s="64" t="str">
        <x:v>Mapped - Not Drafted</x:v>
      </x:c>
      <x:c r="M43" s="64" t="str"/>
    </x:row>
    <x:row r="44" ht="72" customHeight="1">
      <x:c r="A44" s="64" t="n">
        <x:v>43</x:v>
      </x:c>
      <x:c r="B44" s="64" t="str">
        <x:v>Documentation and clinical records</x:v>
      </x:c>
      <x:c r="C44" s="64" t="str">
        <x:v>Shared - Different Framing</x:v>
      </x:c>
      <x:c r="D44" s="65" t="n">
        <x:v>0.65</x:v>
      </x:c>
      <x:c r="E44" s="64" t="str">
        <x:v>SC10</x:v>
      </x:c>
      <x:c r="F44" s="64" t="str">
        <x:v>WB10/WB12</x:v>
      </x:c>
      <x:c r="G44" s="64" t="str">
        <x:v>LSW2/LSW10; IB-IIIB</x:v>
      </x:c>
      <x:c r="H44" s="64" t="str">
        <x:v>Accurate, timely, objective, relevant, confidential documentation and record access/disclosure.</x:v>
      </x:c>
      <x:c r="I44" s="64" t="str">
        <x:v>Apply California LMFT retention, access, and professional-conduct requirements.</x:v>
      </x:c>
      <x:c r="J44" s="64" t="str">
        <x:v>Include case recording, service plans, billing support, agency documentation, and ethical record management.</x:v>
      </x:c>
      <x:c r="K44" s="64" t="str">
        <x:v>Rewrite separately for each exam track.</x:v>
      </x:c>
      <x:c r="L44" s="64" t="str">
        <x:v>Mapped - Not Drafted</x:v>
      </x:c>
      <x:c r="M44" s="64" t="str"/>
    </x:row>
    <x:row r="45" ht="72" customHeight="1">
      <x:c r="A45" s="64" t="n">
        <x:v>44</x:v>
      </x:c>
      <x:c r="B45" s="64" t="str">
        <x:v>Technology, telehealth, and electronic practice</x:v>
      </x:c>
      <x:c r="C45" s="64" t="str">
        <x:v>Shared - Different Framing</x:v>
      </x:c>
      <x:c r="D45" s="65" t="n">
        <x:v>0.65</x:v>
      </x:c>
      <x:c r="E45" s="64" t="str">
        <x:v>SC10</x:v>
      </x:c>
      <x:c r="F45" s="64" t="str">
        <x:v>WB12</x:v>
      </x:c>
      <x:c r="G45" s="64" t="str">
        <x:v>LSW2; IB</x:v>
      </x:c>
      <x:c r="H45" s="64" t="str">
        <x:v>Consent, identity, privacy, security, location, emergencies, competence, boundaries, and documentation.</x:v>
      </x:c>
      <x:c r="I45" s="64" t="str">
        <x:v>Apply California telehealth law and BBS requirements.</x:v>
      </x:c>
      <x:c r="J45" s="64" t="str">
        <x:v>Apply national ethical standards and jurisdiction-sensitive practice without overemphasizing California-specific rules.</x:v>
      </x:c>
      <x:c r="K45" s="64" t="str">
        <x:v>Rewrite separately for each exam track.</x:v>
      </x:c>
      <x:c r="L45" s="64" t="str">
        <x:v>Mapped - Not Drafted</x:v>
      </x:c>
      <x:c r="M45" s="64" t="str"/>
    </x:row>
    <x:row r="46" ht="72" customHeight="1">
      <x:c r="A46" s="64" t="n">
        <x:v>45</x:v>
      </x:c>
      <x:c r="B46" s="64" t="str">
        <x:v>Transference, countertransference, and professional use of self</x:v>
      </x:c>
      <x:c r="C46" s="64" t="str">
        <x:v>Shared - Different Framing</x:v>
      </x:c>
      <x:c r="D46" s="65" t="n">
        <x:v>0.65</x:v>
      </x:c>
      <x:c r="E46" s="64" t="str">
        <x:v>SC10</x:v>
      </x:c>
      <x:c r="F46" s="64" t="str">
        <x:v>WB7/WB10/WB12</x:v>
      </x:c>
      <x:c r="G46" s="64" t="str">
        <x:v>LSW2/LSW8/LSW11; IA-IIID</x:v>
      </x:c>
      <x:c r="H46" s="64" t="str">
        <x:v>Recognize reactions, maintain objectivity, use supervision, repair alliance, and protect clients.</x:v>
      </x:c>
      <x:c r="I46" s="64" t="str">
        <x:v>Emphasize in-session relational dynamics and systemic countertransference.</x:v>
      </x:c>
      <x:c r="J46" s="64" t="str">
        <x:v>Include professional use of self, supervision, organizational dynamics, privilege, bias, and client-system impact.</x:v>
      </x:c>
      <x:c r="K46" s="64" t="str">
        <x:v>Rewrite separately for each exam track.</x:v>
      </x:c>
      <x:c r="L46" s="64" t="str">
        <x:v>Mapped - Not Drafted</x:v>
      </x:c>
      <x:c r="M46" s="64" t="str"/>
    </x:row>
    <x:row r="47" ht="72" customHeight="1">
      <x:c r="A47" s="64" t="n">
        <x:v>46</x:v>
      </x:c>
      <x:c r="B47" s="64" t="str">
        <x:v>Supervision, consultation, and continuing competence</x:v>
      </x:c>
      <x:c r="C47" s="64" t="str">
        <x:v>Shared - Different Framing</x:v>
      </x:c>
      <x:c r="D47" s="65" t="n">
        <x:v>0.65</x:v>
      </x:c>
      <x:c r="E47" s="64" t="str">
        <x:v>SC10</x:v>
      </x:c>
      <x:c r="F47" s="64" t="str">
        <x:v>WB10/WB12</x:v>
      </x:c>
      <x:c r="G47" s="64" t="str">
        <x:v>LSW2/LSW11; IA-IIID</x:v>
      </x:c>
      <x:c r="H47" s="64" t="str">
        <x:v>Know when to consult, refer, seek supervision, document decisions, and maintain competence.</x:v>
      </x:c>
      <x:c r="I47" s="64" t="str">
        <x:v>Focus on scope of competence, California professional obligations, and clinical consultation.</x:v>
      </x:c>
      <x:c r="J47" s="64" t="str">
        <x:v>Include supervisee role, supervision models, administration, professional development, and risk management.</x:v>
      </x:c>
      <x:c r="K47" s="64" t="str">
        <x:v>Rewrite separately for each exam track.</x:v>
      </x:c>
      <x:c r="L47" s="64" t="str">
        <x:v>Mapped - Not Drafted</x:v>
      </x:c>
      <x:c r="M47" s="64" t="str"/>
    </x:row>
    <x:row r="48" ht="72" customHeight="1">
      <x:c r="A48" s="64" t="n">
        <x:v>47</x:v>
      </x:c>
      <x:c r="B48" s="64" t="str">
        <x:v>Burnout, secondary trauma, compassion fatigue, and self-care</x:v>
      </x:c>
      <x:c r="C48" s="64" t="str">
        <x:v>Shared - Different Framing</x:v>
      </x:c>
      <x:c r="D48" s="65" t="n">
        <x:v>0.65</x:v>
      </x:c>
      <x:c r="E48" s="64" t="str">
        <x:v>SC10</x:v>
      </x:c>
      <x:c r="F48" s="64" t="str">
        <x:v>WB10/WB12</x:v>
      </x:c>
      <x:c r="G48" s="64" t="str">
        <x:v>LSW2; IA</x:v>
      </x:c>
      <x:c r="H48" s="64" t="str">
        <x:v>Recognize impairment risk, use supports, maintain boundaries, and protect continuity of care.</x:v>
      </x:c>
      <x:c r="I48" s="64" t="str">
        <x:v>Tie impairment and competence to LMFT professional practice.</x:v>
      </x:c>
      <x:c r="J48" s="64" t="str">
        <x:v>Give stronger explicit coverage because the 2026 LCSW Values and Ethics outline names burnout, secondary trauma, compassion fatigue, and self-care.</x:v>
      </x:c>
      <x:c r="K48" s="64" t="str">
        <x:v>Rewrite separately for each exam track.</x:v>
      </x:c>
      <x:c r="L48" s="64" t="str">
        <x:v>Mapped - Not Drafted</x:v>
      </x:c>
      <x:c r="M48" s="64" t="str"/>
    </x:row>
    <x:row r="49" ht="72" customHeight="1">
      <x:c r="A49" s="64" t="n">
        <x:v>48</x:v>
      </x:c>
      <x:c r="B49" s="64" t="str">
        <x:v>Determining the unit of treatment</x:v>
      </x:c>
      <x:c r="C49" s="64" t="str">
        <x:v>LMFT-Specific</x:v>
      </x:c>
      <x:c r="D49" s="65" t="n">
        <x:v>0.1</x:v>
      </x:c>
      <x:c r="E49" s="64" t="str">
        <x:v>LMFT Track</x:v>
      </x:c>
      <x:c r="F49" s="64" t="str">
        <x:v>WB2; T1 and systemic overlay</x:v>
      </x:c>
      <x:c r="G49" s="64" t="str">
        <x:v>Not a distinct LCSW blueprint requirement</x:v>
      </x:c>
      <x:c r="H49" s="64" t="str">
        <x:v>Basic assessment of who is involved and what problem is presented.</x:v>
      </x:c>
      <x:c r="I49" s="64" t="str">
        <x:v>Decide individual, couple, family, or other relational unit and adjust as the clinical picture changes.</x:v>
      </x:c>
      <x:c r="J49" s="64" t="str">
        <x:v>Use client/client-system identification only as needed for social work assessment and service planning.</x:v>
      </x:c>
      <x:c r="K49" s="64" t="str">
        <x:v>Rewrite separately for each exam track.</x:v>
      </x:c>
      <x:c r="L49" s="64" t="str">
        <x:v>Mapped - Not Drafted</x:v>
      </x:c>
      <x:c r="M49" s="64" t="str"/>
    </x:row>
    <x:row r="50" ht="72" customHeight="1">
      <x:c r="A50" s="64" t="n">
        <x:v>49</x:v>
      </x:c>
      <x:c r="B50" s="64" t="str">
        <x:v>Genograms and multigenerational pattern analysis</x:v>
      </x:c>
      <x:c r="C50" s="64" t="str">
        <x:v>LMFT-Specific</x:v>
      </x:c>
      <x:c r="D50" s="65" t="n">
        <x:v>0.1</x:v>
      </x:c>
      <x:c r="E50" s="64" t="str">
        <x:v>LMFT Track</x:v>
      </x:c>
      <x:c r="F50" s="64" t="str">
        <x:v>WB4/WB8/WB11</x:v>
      </x:c>
      <x:c r="G50" s="64" t="str">
        <x:v>May support family assessment but is not explicitly central</x:v>
      </x:c>
      <x:c r="H50" s="64" t="str">
        <x:v>Basic family history and relationship mapping.</x:v>
      </x:c>
      <x:c r="I50" s="64" t="str">
        <x:v>Teach genogram construction, interpretation, intergenerational transmission, triangles, cutoffs, and family-of-origin hypotheses.</x:v>
      </x:c>
      <x:c r="J50" s="64" t="str">
        <x:v>Use selectively as one assessment tool, not as a defining exam framework.</x:v>
      </x:c>
      <x:c r="K50" s="64" t="str">
        <x:v>Rewrite separately for each exam track.</x:v>
      </x:c>
      <x:c r="L50" s="64" t="str">
        <x:v>Mapped - Not Drafted</x:v>
      </x:c>
      <x:c r="M50" s="64" t="str"/>
    </x:row>
    <x:row r="51" ht="72" customHeight="1">
      <x:c r="A51" s="64" t="n">
        <x:v>50</x:v>
      </x:c>
      <x:c r="B51" s="64" t="str">
        <x:v>Circular causality, triangulation, and identified-patient dynamics</x:v>
      </x:c>
      <x:c r="C51" s="64" t="str">
        <x:v>LMFT-Specific</x:v>
      </x:c>
      <x:c r="D51" s="65" t="n">
        <x:v>0.1</x:v>
      </x:c>
      <x:c r="E51" s="64" t="str">
        <x:v>LMFT Track</x:v>
      </x:c>
      <x:c r="F51" s="64" t="str">
        <x:v>WB4/WB8/WB11</x:v>
      </x:c>
      <x:c r="G51" s="64" t="str">
        <x:v>Related family-dynamics content only</x:v>
      </x:c>
      <x:c r="H51" s="64" t="str">
        <x:v>Basic reciprocal relationship patterns.</x:v>
      </x:c>
      <x:c r="I51" s="64" t="str">
        <x:v>Teach circular hypotheses, symptom-maintaining sequences, triangles, coalitions, boundaries, and identified-patient functions.</x:v>
      </x:c>
      <x:c r="J51" s="64" t="str">
        <x:v>Address reciprocal systems when clinically relevant without making these the organizing ASWB logic.</x:v>
      </x:c>
      <x:c r="K51" s="64" t="str">
        <x:v>Rewrite separately for each exam track.</x:v>
      </x:c>
      <x:c r="L51" s="64" t="str">
        <x:v>Mapped - Not Drafted</x:v>
      </x:c>
      <x:c r="M51" s="64" t="str"/>
    </x:row>
    <x:row r="52" ht="72" customHeight="1">
      <x:c r="A52" s="64" t="n">
        <x:v>51</x:v>
      </x:c>
      <x:c r="B52" s="64" t="str">
        <x:v>Family therapy models in depth</x:v>
      </x:c>
      <x:c r="C52" s="64" t="str">
        <x:v>LMFT-Specific</x:v>
      </x:c>
      <x:c r="D52" s="65" t="n">
        <x:v>0.1</x:v>
      </x:c>
      <x:c r="E52" s="64" t="str">
        <x:v>LMFT Track</x:v>
      </x:c>
      <x:c r="F52" s="64" t="str">
        <x:v>WB7/WB8/WB11</x:v>
      </x:c>
      <x:c r="G52" s="64" t="str">
        <x:v>Family therapy models appear in IIIB but with less depth</x:v>
      </x:c>
      <x:c r="H52" s="64" t="str">
        <x:v>Shared overview of theory-informed intervention selection.</x:v>
      </x:c>
      <x:c r="I52" s="64" t="str">
        <x:v>Deep coverage of Structural, Strategic, Bowen, Experiential, Attachment-based, Narrative, Solution-Focused, and related models.</x:v>
      </x:c>
      <x:c r="J52" s="64" t="str">
        <x:v>Teach recognition and appropriate use of family therapy approaches within broader social work practice.</x:v>
      </x:c>
      <x:c r="K52" s="64" t="str">
        <x:v>Rewrite separately for each exam track.</x:v>
      </x:c>
      <x:c r="L52" s="64" t="str">
        <x:v>Mapped - Not Drafted</x:v>
      </x:c>
      <x:c r="M52" s="64" t="str"/>
    </x:row>
    <x:row r="53" ht="72" customHeight="1">
      <x:c r="A53" s="64" t="n">
        <x:v>52</x:v>
      </x:c>
      <x:c r="B53" s="64" t="str">
        <x:v>Systemic hypotheses and relational case conceptualization</x:v>
      </x:c>
      <x:c r="C53" s="64" t="str">
        <x:v>LMFT-Specific</x:v>
      </x:c>
      <x:c r="D53" s="65" t="n">
        <x:v>0.1</x:v>
      </x:c>
      <x:c r="E53" s="64" t="str">
        <x:v>LMFT Track</x:v>
      </x:c>
      <x:c r="F53" s="64" t="str">
        <x:v>WB4/WB7</x:v>
      </x:c>
      <x:c r="G53" s="64" t="str">
        <x:v>Related to assessment and planning but not a separate ASWB organizing domain</x:v>
      </x:c>
      <x:c r="H53" s="64" t="str">
        <x:v>Shared biopsychosocial and contextual formulation.</x:v>
      </x:c>
      <x:c r="I53" s="64" t="str">
        <x:v>Build systemic hypotheses linking interactional cycles, family structure, attachment, context, and symptom function.</x:v>
      </x:c>
      <x:c r="J53" s="64" t="str">
        <x:v>Use person-in-environment assessment and client-system planning rather than formal systemic-hypothesis emphasis.</x:v>
      </x:c>
      <x:c r="K53" s="64" t="str">
        <x:v>Rewrite separately for each exam track.</x:v>
      </x:c>
      <x:c r="L53" s="64" t="str">
        <x:v>Mapped - Not Drafted</x:v>
      </x:c>
      <x:c r="M53" s="64" t="str"/>
    </x:row>
    <x:row r="54" ht="72" customHeight="1">
      <x:c r="A54" s="64" t="n">
        <x:v>53</x:v>
      </x:c>
      <x:c r="B54" s="64" t="str">
        <x:v>Systemic and relational treatment goals</x:v>
      </x:c>
      <x:c r="C54" s="64" t="str">
        <x:v>LMFT-Specific</x:v>
      </x:c>
      <x:c r="D54" s="65" t="n">
        <x:v>0.1</x:v>
      </x:c>
      <x:c r="E54" s="64" t="str">
        <x:v>LMFT Track</x:v>
      </x:c>
      <x:c r="F54" s="64" t="str">
        <x:v>WB7/WB8</x:v>
      </x:c>
      <x:c r="G54" s="64" t="str">
        <x:v>Related planning content</x:v>
      </x:c>
      <x:c r="H54" s="64" t="str">
        <x:v>Shared goal-writing and outcome measurement.</x:v>
      </x:c>
      <x:c r="I54" s="64" t="str">
        <x:v>Write goals targeting interactional patterns, boundaries, roles, attachment, communication, and relational functioning.</x:v>
      </x:c>
      <x:c r="J54" s="64" t="str">
        <x:v>Write client-centered clinical and service goals, including family work when indicated.</x:v>
      </x:c>
      <x:c r="K54" s="64" t="str">
        <x:v>Rewrite separately for each exam track.</x:v>
      </x:c>
      <x:c r="L54" s="64" t="str">
        <x:v>Mapped - Not Drafted</x:v>
      </x:c>
      <x:c r="M54" s="64" t="str"/>
    </x:row>
    <x:row r="55" ht="72" customHeight="1">
      <x:c r="A55" s="64" t="n">
        <x:v>54</x:v>
      </x:c>
      <x:c r="B55" s="64" t="str">
        <x:v>California LMFT legal and ethical obligations on the clinical exam</x:v>
      </x:c>
      <x:c r="C55" s="64" t="str">
        <x:v>LMFT-Specific</x:v>
      </x:c>
      <x:c r="D55" s="65" t="n">
        <x:v>0.1</x:v>
      </x:c>
      <x:c r="E55" s="64" t="str">
        <x:v>LMFT Track</x:v>
      </x:c>
      <x:c r="F55" s="64" t="str">
        <x:v>WB12; Domain 6</x:v>
      </x:c>
      <x:c r="G55" s="64" t="str">
        <x:v>California law belongs to separate LCSW Law and Ethics preparation, not the national ASWB blueprint</x:v>
      </x:c>
      <x:c r="H55" s="64" t="str">
        <x:v>Shared ethics concepts and California orientation.</x:v>
      </x:c>
      <x:c r="I55" s="64" t="str">
        <x:v>Teach California statutes, regulations, reporting, confidentiality, telehealth, records, and professional conduct as tested clinical content.</x:v>
      </x:c>
      <x:c r="J55" s="64" t="str">
        <x:v>Keep California licensure orientation supplemental and preserve the ASWB exam's national values-and-ethics framework.</x:v>
      </x:c>
      <x:c r="K55" s="64" t="str">
        <x:v>Rewrite separately for each exam track.</x:v>
      </x:c>
      <x:c r="L55" s="64" t="str">
        <x:v>Mapped - Not Drafted</x:v>
      </x:c>
      <x:c r="M55" s="64" t="str"/>
    </x:row>
    <x:row r="56" ht="72" customHeight="1">
      <x:c r="A56" s="64" t="n">
        <x:v>55</x:v>
      </x:c>
      <x:c r="B56" s="64" t="str">
        <x:v>Social work values, dignity, worth, and self-determination</x:v>
      </x:c>
      <x:c r="C56" s="64" t="str">
        <x:v>LCSW-Specific</x:v>
      </x:c>
      <x:c r="D56" s="65" t="n">
        <x:v>0.1</x:v>
      </x:c>
      <x:c r="E56" s="64" t="str">
        <x:v>LCSW Track</x:v>
      </x:c>
      <x:c r="F56" s="64" t="str">
        <x:v>Related ethics concepts only</x:v>
      </x:c>
      <x:c r="G56" s="64" t="str">
        <x:v>LSW2; IA-IB</x:v>
      </x:c>
      <x:c r="H56" s="64" t="str">
        <x:v>Shared respect, collaboration, consent, and client participation.</x:v>
      </x:c>
      <x:c r="I56" s="64" t="str">
        <x:v>Use general ethical principles without adopting ASWB profession-specific framing.</x:v>
      </x:c>
      <x:c r="J56" s="64" t="str">
        <x:v>Teach self-determination, right to refuse, dignity and worth, social justice, integrity, competence, and service as primary exam anchors.</x:v>
      </x:c>
      <x:c r="K56" s="64" t="str">
        <x:v>Rewrite separately for each exam track.</x:v>
      </x:c>
      <x:c r="L56" s="64" t="str">
        <x:v>Mapped - Not Drafted</x:v>
      </x:c>
      <x:c r="M56" s="64" t="str"/>
    </x:row>
    <x:row r="57" ht="72" customHeight="1">
      <x:c r="A57" s="64" t="n">
        <x:v>56</x:v>
      </x:c>
      <x:c r="B57" s="64" t="str">
        <x:v>Anti-oppressive, anti-racist, and social-justice practice</x:v>
      </x:c>
      <x:c r="C57" s="64" t="str">
        <x:v>LCSW-Specific</x:v>
      </x:c>
      <x:c r="D57" s="65" t="n">
        <x:v>0.1</x:v>
      </x:c>
      <x:c r="E57" s="64" t="str">
        <x:v>LCSW Track</x:v>
      </x:c>
      <x:c r="F57" s="64" t="str">
        <x:v>WB3/WB10 contextual material</x:v>
      </x:c>
      <x:c r="G57" s="64" t="str">
        <x:v>LSW2; IC</x:v>
      </x:c>
      <x:c r="H57" s="64" t="str">
        <x:v>Shared cultural responsiveness, discrimination, bias, oppression, and access.</x:v>
      </x:c>
      <x:c r="I57" s="64" t="str">
        <x:v>Integrate cultural context into systemic assessment and treatment.</x:v>
      </x:c>
      <x:c r="J57" s="64" t="str">
        <x:v>Provide dedicated coverage of anti-oppressive and anti-racist approaches, racial privilege, restorative practices, accessibility, and justice.</x:v>
      </x:c>
      <x:c r="K57" s="64" t="str">
        <x:v>Rewrite separately for each exam track.</x:v>
      </x:c>
      <x:c r="L57" s="64" t="str">
        <x:v>Mapped - Not Drafted</x:v>
      </x:c>
      <x:c r="M57" s="64" t="str"/>
    </x:row>
    <x:row r="58" ht="72" customHeight="1">
      <x:c r="A58" s="64" t="n">
        <x:v>57</x:v>
      </x:c>
      <x:c r="B58" s="64" t="str">
        <x:v>Person-in-environment and social determinants as the organizing lens</x:v>
      </x:c>
      <x:c r="C58" s="64" t="str">
        <x:v>LCSW-Specific</x:v>
      </x:c>
      <x:c r="D58" s="65" t="n">
        <x:v>0.1</x:v>
      </x:c>
      <x:c r="E58" s="64" t="str">
        <x:v>LCSW Track</x:v>
      </x:c>
      <x:c r="F58" s="64" t="str">
        <x:v>Shared biopsychosocial/systemic context</x:v>
      </x:c>
      <x:c r="G58" s="64" t="str">
        <x:v>LSW3-LSW10; IIA-IIIB</x:v>
      </x:c>
      <x:c r="H58" s="64" t="str">
        <x:v>Shared environmental and contextual assessment.</x:v>
      </x:c>
      <x:c r="I58" s="64" t="str">
        <x:v>Use family systems as the primary relational lens.</x:v>
      </x:c>
      <x:c r="J58" s="64" t="str">
        <x:v>Use person-in-environment, social determinants, policy, resources, and systems interaction as the central formulation lens.</x:v>
      </x:c>
      <x:c r="K58" s="64" t="str">
        <x:v>Rewrite separately for each exam track.</x:v>
      </x:c>
      <x:c r="L58" s="64" t="str">
        <x:v>Mapped - Not Drafted</x:v>
      </x:c>
      <x:c r="M58" s="64" t="str"/>
    </x:row>
    <x:row r="59" ht="72" customHeight="1">
      <x:c r="A59" s="64" t="n">
        <x:v>58</x:v>
      </x:c>
      <x:c r="B59" s="64" t="str">
        <x:v>Macro, organizational, and community practice</x:v>
      </x:c>
      <x:c r="C59" s="64" t="str">
        <x:v>LCSW-Specific</x:v>
      </x:c>
      <x:c r="D59" s="65" t="n">
        <x:v>0.1</x:v>
      </x:c>
      <x:c r="E59" s="64" t="str">
        <x:v>LCSW Track</x:v>
      </x:c>
      <x:c r="F59" s="64" t="str">
        <x:v>Limited consultation/referral overlap</x:v>
      </x:c>
      <x:c r="G59" s="64" t="str">
        <x:v>LSW10-LSW11; IIIA-IIID</x:v>
      </x:c>
      <x:c r="H59" s="64" t="str">
        <x:v>Shared awareness of organizations and community resources.</x:v>
      </x:c>
      <x:c r="I59" s="64" t="str">
        <x:v>Keep focus on clinical treatment systems.</x:v>
      </x:c>
      <x:c r="J59" s="64" t="str">
        <x:v>Teach organizations, community systems, service networks, formal documents, organizational development, and community-level intervention.</x:v>
      </x:c>
      <x:c r="K59" s="64" t="str">
        <x:v>Rewrite separately for each exam track.</x:v>
      </x:c>
      <x:c r="L59" s="64" t="str">
        <x:v>Mapped - Not Drafted</x:v>
      </x:c>
      <x:c r="M59" s="64" t="str"/>
    </x:row>
    <x:row r="60" ht="72" customHeight="1">
      <x:c r="A60" s="64" t="n">
        <x:v>59</x:v>
      </x:c>
      <x:c r="B60" s="64" t="str">
        <x:v>Program evaluation and social work research</x:v>
      </x:c>
      <x:c r="C60" s="64" t="str">
        <x:v>LCSW-Specific</x:v>
      </x:c>
      <x:c r="D60" s="65" t="n">
        <x:v>0.1</x:v>
      </x:c>
      <x:c r="E60" s="64" t="str">
        <x:v>LCSW Track</x:v>
      </x:c>
      <x:c r="F60" s="64" t="str">
        <x:v>Limited outcome-monitoring overlap</x:v>
      </x:c>
      <x:c r="G60" s="64" t="str">
        <x:v>LSW11; IIIC</x:v>
      </x:c>
      <x:c r="H60" s="64" t="str">
        <x:v>Shared progress measurement and evidence-based practice.</x:v>
      </x:c>
      <x:c r="I60" s="64" t="str">
        <x:v>Use clinical outcome monitoring only.</x:v>
      </x:c>
      <x:c r="J60" s="64" t="str">
        <x:v>Teach program objectives, formative/summative evaluation, cost-effectiveness, research design, data collection, reliability, validity, and quality assurance.</x:v>
      </x:c>
      <x:c r="K60" s="64" t="str">
        <x:v>Rewrite separately for each exam track.</x:v>
      </x:c>
      <x:c r="L60" s="64" t="str">
        <x:v>Mapped - Not Drafted</x:v>
      </x:c>
      <x:c r="M60" s="64" t="str"/>
    </x:row>
    <x:row r="61" ht="72" customHeight="1">
      <x:c r="A61" s="64" t="n">
        <x:v>60</x:v>
      </x:c>
      <x:c r="B61" s="64" t="str">
        <x:v>Supervision and administration</x:v>
      </x:c>
      <x:c r="C61" s="64" t="str">
        <x:v>LCSW-Specific</x:v>
      </x:c>
      <x:c r="D61" s="65" t="n">
        <x:v>0.1</x:v>
      </x:c>
      <x:c r="E61" s="64" t="str">
        <x:v>LCSW Track</x:v>
      </x:c>
      <x:c r="F61" s="64" t="str">
        <x:v>Professional consultation overlap</x:v>
      </x:c>
      <x:c r="G61" s="64" t="str">
        <x:v>LSW11; IIID</x:v>
      </x:c>
      <x:c r="H61" s="64" t="str">
        <x:v>Shared supervision, consultation, competence, and risk management.</x:v>
      </x:c>
      <x:c r="I61" s="64" t="str">
        <x:v>Limit to clinician consultation and competence.</x:v>
      </x:c>
      <x:c r="J61" s="64" t="str">
        <x:v>Teach supervisee role, supervision models, supervisory transference/countertransference, policies, procedures, organizational functioning, and administration.</x:v>
      </x:c>
      <x:c r="K61" s="64" t="str">
        <x:v>Rewrite separately for each exam track.</x:v>
      </x:c>
      <x:c r="L61" s="64" t="str">
        <x:v>Mapped - Not Drafted</x:v>
      </x:c>
      <x:c r="M61" s="64" t="str"/>
    </x:row>
    <x:row r="62" ht="72" customHeight="1">
      <x:c r="A62" s="64" t="n">
        <x:v>61</x:v>
      </x:c>
      <x:c r="B62" s="64" t="str">
        <x:v>Fiscal management, resource allocation, and responsible billing</x:v>
      </x:c>
      <x:c r="C62" s="64" t="str">
        <x:v>LCSW-Specific</x:v>
      </x:c>
      <x:c r="D62" s="65" t="n">
        <x:v>0.1</x:v>
      </x:c>
      <x:c r="E62" s="64" t="str">
        <x:v>LCSW Track</x:v>
      </x:c>
      <x:c r="F62" s="64" t="str">
        <x:v>Limited documentation/risk-management overlap</x:v>
      </x:c>
      <x:c r="G62" s="64" t="str">
        <x:v>LSW2/LSW11; IB-IIID</x:v>
      </x:c>
      <x:c r="H62" s="64" t="str">
        <x:v>Shared ethical documentation and service stewardship.</x:v>
      </x:c>
      <x:c r="I62" s="64" t="str">
        <x:v>Address fees and billing only as California professional-practice issues.</x:v>
      </x:c>
      <x:c r="J62" s="64" t="str">
        <x:v>Teach managed care, insurance reimbursement, incident-to billing, fiscal management, and resource allocation as explicit exam content.</x:v>
      </x:c>
      <x:c r="K62" s="64" t="str">
        <x:v>Rewrite separately for each exam track.</x:v>
      </x:c>
      <x:c r="L62" s="64" t="str">
        <x:v>Mapped - Not Drafted</x:v>
      </x:c>
      <x:c r="M62" s="64" t="str"/>
    </x:row>
    <x:row r="63" ht="72" customHeight="1">
      <x:c r="A63" s="64" t="n">
        <x:v>62</x:v>
      </x:c>
      <x:c r="B63" s="64" t="str">
        <x:v>Out-of-home placement, foster care, residential care, and criminal-justice systems</x:v>
      </x:c>
      <x:c r="C63" s="64" t="str">
        <x:v>LCSW-Specific</x:v>
      </x:c>
      <x:c r="D63" s="65" t="n">
        <x:v>0.1</x:v>
      </x:c>
      <x:c r="E63" s="64" t="str">
        <x:v>LCSW Track</x:v>
      </x:c>
      <x:c r="F63" s="64" t="str">
        <x:v>WB3 legal-system and contextual assessment</x:v>
      </x:c>
      <x:c r="G63" s="64" t="str">
        <x:v>LSW3/LSW10; IIA-IIIB</x:v>
      </x:c>
      <x:c r="H63" s="64" t="str">
        <x:v>Shared assessment of legal-system involvement, placement, trauma, and family impact.</x:v>
      </x:c>
      <x:c r="I63" s="64" t="str">
        <x:v>Use these contexts as clinical background and relational stressors.</x:v>
      </x:c>
      <x:c r="J63" s="64" t="str">
        <x:v>Teach placement systems, permanency, client rights, service coordination, discharge, advocacy, and system navigation.</x:v>
      </x:c>
      <x:c r="K63" s="64" t="str">
        <x:v>Rewrite separately for each exam track.</x:v>
      </x:c>
      <x:c r="L63" s="64" t="str">
        <x:v>Mapped - Not Drafted</x:v>
      </x:c>
      <x:c r="M63" s="64" t="str"/>
    </x:row>
    <x:row r="64" ht="72" customHeight="1">
      <x:c r="A64" s="64" t="n">
        <x:v>63</x:v>
      </x:c>
      <x:c r="B64" s="64" t="str">
        <x:v>Environmental justice, hazards, climate change, and globalization</x:v>
      </x:c>
      <x:c r="C64" s="64" t="str">
        <x:v>LCSW-Specific</x:v>
      </x:c>
      <x:c r="D64" s="65" t="n">
        <x:v>0.1</x:v>
      </x:c>
      <x:c r="E64" s="64" t="str">
        <x:v>LCSW Track</x:v>
      </x:c>
      <x:c r="F64" s="64" t="str">
        <x:v>Limited psychosocial-context overlap</x:v>
      </x:c>
      <x:c r="G64" s="64" t="str">
        <x:v>LSW2-LSW3; IC-IIA</x:v>
      </x:c>
      <x:c r="H64" s="64" t="str">
        <x:v>Shared awareness of environmental and sociopolitical stress.</x:v>
      </x:c>
      <x:c r="I64" s="64" t="str">
        <x:v>Address when relevant to client/family functioning.</x:v>
      </x:c>
      <x:c r="J64" s="64" t="str">
        <x:v>Teach environmental hazards, climate impacts, urbanization, globalization, displacement, and justice implications across client systems.</x:v>
      </x:c>
      <x:c r="K64" s="64" t="str">
        <x:v>Rewrite separately for each exam track.</x:v>
      </x:c>
      <x:c r="L64" s="64" t="str">
        <x:v>Mapped - Not Drafted</x:v>
      </x:c>
      <x:c r="M64" s="64" t="str"/>
    </x:row>
    <x:row r="65" ht="72" customHeight="1">
      <x:c r="A65" s="64" t="n">
        <x:v>64</x:v>
      </x:c>
      <x:c r="B65" s="64" t="str">
        <x:v>Government policy and service-delivery systems</x:v>
      </x:c>
      <x:c r="C65" s="64" t="str">
        <x:v>LCSW-Specific</x:v>
      </x:c>
      <x:c r="D65" s="65" t="n">
        <x:v>0.1</x:v>
      </x:c>
      <x:c r="E65" s="64" t="str">
        <x:v>LCSW Track</x:v>
      </x:c>
      <x:c r="F65" s="64" t="str">
        <x:v>California law as clinical duty</x:v>
      </x:c>
      <x:c r="G65" s="64" t="str">
        <x:v>LSW2/LSW10-LSW11; IB-IIIA-IIID</x:v>
      </x:c>
      <x:c r="H65" s="64" t="str">
        <x:v>Shared understanding that policy affects access, roles, and care.</x:v>
      </x:c>
      <x:c r="I65" s="64" t="str">
        <x:v>Focus on statutes governing LMFT clinical practice.</x:v>
      </x:c>
      <x:c r="J65" s="64" t="str">
        <x:v>Teach local/state/federal policy effects, advocacy, eligibility, agency procedures, service delivery, and organizational risk management.</x:v>
      </x:c>
      <x:c r="K65" s="64" t="str">
        <x:v>Rewrite separately for each exam track.</x:v>
      </x:c>
      <x:c r="L65" s="64" t="str">
        <x:v>Mapped - Not Drafted</x:v>
      </x:c>
      <x:c r="M65" s="64" t="str"/>
    </x:row>
  </x:sheetData>
  <x:conditionalFormatting sqref="C2:C65">
    <x:cfRule type="expression" dxfId="0" priority="1">
      <x:formula>C2="Shared Core"</x:formula>
    </x:cfRule>
    <x:cfRule type="expression" dxfId="1" priority="2">
      <x:formula>C2="Shared - Different Framing"</x:formula>
    </x:cfRule>
    <x:cfRule type="expression" dxfId="2" priority="3">
      <x:formula>C2="LMFT-Specific"</x:formula>
    </x:cfRule>
    <x:cfRule type="expression" dxfId="3" priority="4">
      <x:formula>C2="LCSW-Specific"</x:formula>
    </x:cfRule>
  </x:conditionalFormatting>
  <x:conditionalFormatting sqref="L2:L65">
    <x:cfRule type="expression" dxfId="4" priority="5">
      <x:formula>L2="Final"</x:formula>
    </x:cfRule>
    <x:cfRule type="expression" dxfId="5" priority="6">
      <x:formula>L2="Mapped - Not Drafted"</x:formula>
    </x:cfRule>
  </x:conditionalFormatting>
  <x:dataValidations count="1">
    <x:dataValidation type="list" sqref="L2:L65">
      <x:formula1>"Mapped - Not Drafted,Researching,Shared Draft Complete,LMFT Adapted,LCSW Adapted,Reviewed,Final"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ffcc32d0a548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2" hidden="0" customWidth="1"/>
    <x:col min="3" max="3" width="20" hidden="0" customWidth="1"/>
    <x:col min="4" max="4" width="49" hidden="0" customWidth="1"/>
    <x:col min="5" max="5" width="4" hidden="0" customWidth="1"/>
    <x:col min="6" max="6" width="35" hidden="0" customWidth="1"/>
    <x:col min="7" max="7" width="12" hidden="0" customWidth="1"/>
    <x:col min="8" max="8" width="21" hidden="0" customWidth="1"/>
    <x:col min="9" max="9" width="49" hidden="0" customWidth="1"/>
  </x:cols>
  <x:sheetData>
    <x:row r="1">
      <x:c r="A1" s="71" t="str">
        <x:v>Official Blueprint Comparison</x:v>
      </x:c>
      <x:c r="B1" s="71"/>
      <x:c r="C1" s="71"/>
      <x:c r="D1" s="71"/>
      <x:c r="E1" s="71"/>
      <x:c r="F1" s="71"/>
      <x:c r="G1" s="71"/>
      <x:c r="H1" s="71"/>
    </x:row>
    <x:row r="2">
      <x:c r="A2" s="71"/>
      <x:c r="B2" s="71"/>
      <x:c r="C2" s="71"/>
      <x:c r="D2" s="71"/>
      <x:c r="E2" s="71"/>
      <x:c r="F2" s="71"/>
      <x:c r="G2" s="71"/>
      <x:c r="H2" s="71"/>
    </x:row>
    <x:row r="4">
      <x:c r="A4" s="20" t="str">
        <x:v>LMFT California Clinical Examination</x:v>
      </x:c>
      <x:c r="B4" s="20"/>
      <x:c r="C4" s="20"/>
      <x:c r="D4" s="20"/>
      <x:c r="F4" s="43" t="str">
        <x:v>LCSW ASWB Clinical Examination — Exams on/after August 3, 2026</x:v>
      </x:c>
      <x:c r="G4" s="43"/>
      <x:c r="H4" s="43"/>
      <x:c r="I4" s="43"/>
    </x:row>
    <x:row r="5">
      <x:c r="A5" s="25" t="str">
        <x:v>Official Domain</x:v>
      </x:c>
      <x:c r="B5" s="25" t="str">
        <x:v>Weight</x:v>
      </x:c>
      <x:c r="C5" s="25" t="str">
        <x:v>Primary CTA Workbooks</x:v>
      </x:c>
      <x:c r="D5" s="25" t="str">
        <x:v>Coverage</x:v>
      </x:c>
      <x:c r="F5" s="25" t="str">
        <x:v>Official Content Area</x:v>
      </x:c>
      <x:c r="G5" s="25" t="str">
        <x:v>Weight</x:v>
      </x:c>
      <x:c r="H5" s="25" t="str">
        <x:v>Primary CTA Workbooks</x:v>
      </x:c>
      <x:c r="I5" s="25" t="str">
        <x:v>Coverage</x:v>
      </x:c>
    </x:row>
    <x:row r="6">
      <x:c r="A6" s="29" t="str">
        <x:v>1. Clinical Evaluation</x:v>
      </x:c>
      <x:c r="B6" s="61" t="n">
        <x:v>0.27</x:v>
      </x:c>
      <x:c r="C6" s="29" t="str">
        <x:v>WB2-WB4</x:v>
      </x:c>
      <x:c r="D6" s="29" t="str">
        <x:v>Engagement, assessment, context, relationships, trauma, strengths, consultation, and referral.</x:v>
      </x:c>
      <x:c r="F6" s="29" t="str">
        <x:v>I. Values and Ethics</x:v>
      </x:c>
      <x:c r="G6" s="61" t="n">
        <x:v>0.36</x:v>
      </x:c>
      <x:c r="H6" s="29" t="str">
        <x:v>LSW2</x:v>
      </x:c>
      <x:c r="I6" s="29" t="str">
        <x:v>Ethical principles, ethical service delivery, diversity, and social justice.</x:v>
      </x:c>
    </x:row>
    <x:row r="7">
      <x:c r="A7" s="29" t="str">
        <x:v>2. Developing a Diagnostic Impression</x:v>
      </x:c>
      <x:c r="B7" s="61" t="n">
        <x:v>0.11</x:v>
      </x:c>
      <x:c r="C7" s="29" t="str">
        <x:v>WB5</x:v>
      </x:c>
      <x:c r="D7" s="29" t="str">
        <x:v>Provisional and differential diagnosis.</x:v>
      </x:c>
      <x:c r="F7" s="29" t="str">
        <x:v>II. Assessment and Planning</x:v>
      </x:c>
      <x:c r="G7" s="61" t="n">
        <x:v>0.32</x:v>
      </x:c>
      <x:c r="H7" s="29" t="str">
        <x:v>LSW3-LSW7</x:v>
      </x:c>
      <x:c r="I7" s="29" t="str">
        <x:v>Assessment concepts, methods and techniques, diagnosis, risk, resources, and service/treatment planning.</x:v>
      </x:c>
    </x:row>
    <x:row r="8">
      <x:c r="A8" s="29" t="str">
        <x:v>3. Managing Crisis Situations</x:v>
      </x:c>
      <x:c r="B8" s="61" t="n">
        <x:v>0.11</x:v>
      </x:c>
      <x:c r="C8" s="29" t="str">
        <x:v>WB6</x:v>
      </x:c>
      <x:c r="D8" s="29" t="str">
        <x:v>Imminent danger, abuse, crisis exposure, stabilization, and safety.</x:v>
      </x:c>
      <x:c r="F8" s="29" t="str">
        <x:v>III. Intervention and Practice</x:v>
      </x:c>
      <x:c r="G8" s="61" t="n">
        <x:v>0.32</x:v>
      </x:c>
      <x:c r="H8" s="29" t="str">
        <x:v>LSW8-LSW11</x:v>
      </x:c>
      <x:c r="I8" s="29" t="str">
        <x:v>Practice concepts, intervention methods, evaluation/research, supervision, and administration.</x:v>
      </x:c>
    </x:row>
    <x:row r="9">
      <x:c r="A9" s="29" t="str">
        <x:v>4. Case Conceptualization and Planning</x:v>
      </x:c>
      <x:c r="B9" s="61" t="n">
        <x:v>0.12</x:v>
      </x:c>
      <x:c r="C9" s="29" t="str">
        <x:v>WB7</x:v>
      </x:c>
      <x:c r="D9" s="29" t="str">
        <x:v>Goals, outcomes, theory-informed plans, progress monitoring, and termination.</x:v>
      </x:c>
    </x:row>
    <x:row r="10">
      <x:c r="A10" s="29" t="str">
        <x:v>5. Treatment</x:v>
      </x:c>
      <x:c r="B10" s="61" t="n">
        <x:v>0.29</x:v>
      </x:c>
      <x:c r="C10" s="29" t="str">
        <x:v>WB8-WB11</x:v>
      </x:c>
      <x:c r="D10" s="29" t="str">
        <x:v>Relational, trauma, psychological, developmental, contextual, theory-specific, group, referral, and collaborative interventions.</x:v>
      </x:c>
    </x:row>
    <x:row r="11">
      <x:c r="A11" s="29" t="str">
        <x:v>6. Managing Legal and Ethical Obligations</x:v>
      </x:c>
      <x:c r="B11" s="61" t="n">
        <x:v>0.1</x:v>
      </x:c>
      <x:c r="C11" s="29" t="str">
        <x:v>WB12</x:v>
      </x:c>
      <x:c r="D11" s="29" t="str">
        <x:v>Consent, confidentiality, boundaries, technology, records, and third-party involvement.</x:v>
      </x:c>
    </x:row>
    <x:row r="14">
      <x:c r="A14" s="33" t="str">
        <x:v>LCSW 2026 Competency Structure</x:v>
      </x:c>
      <x:c r="B14" s="33"/>
      <x:c r="C14" s="33"/>
      <x:c r="D14" s="33"/>
      <x:c r="E14" s="33"/>
      <x:c r="F14" s="49" t="str">
        <x:v>Question-Writing Implications</x:v>
      </x:c>
      <x:c r="G14" s="49"/>
      <x:c r="H14" s="49"/>
      <x:c r="I14" s="49"/>
    </x:row>
    <x:row r="15">
      <x:c r="A15" s="25" t="str">
        <x:v>Code</x:v>
      </x:c>
      <x:c r="B15" s="25" t="str">
        <x:v>Content Area</x:v>
      </x:c>
      <x:c r="C15" s="25" t="str">
        <x:v>Competency</x:v>
      </x:c>
      <x:c r="D15" s="25" t="str">
        <x:v>Primary CTA Coverage</x:v>
      </x:c>
      <x:c r="F15" s="25" t="str">
        <x:v>Element</x:v>
      </x:c>
      <x:c r="G15" s="25" t="str">
        <x:v>LMFT Track</x:v>
      </x:c>
      <x:c r="H15" s="25" t="str">
        <x:v>LCSW Track</x:v>
      </x:c>
      <x:c r="I15" s="25" t="str">
        <x:v>Shared Rule</x:v>
      </x:c>
    </x:row>
    <x:row r="16">
      <x:c r="A16" s="29" t="str">
        <x:v>IA</x:v>
      </x:c>
      <x:c r="B16" s="29" t="str">
        <x:v>Values and Ethics</x:v>
      </x:c>
      <x:c r="C16" s="29" t="str">
        <x:v>Ethical Principles and Responsibilities</x:v>
      </x:c>
      <x:c r="D16" s="29" t="str">
        <x:v>LSW2</x:v>
      </x:c>
      <x:c r="F16" s="29" t="str">
        <x:v>Primary lens</x:v>
      </x:c>
      <x:c r="G16" s="29" t="str">
        <x:v>Systemic and relational clinical reasoning</x:v>
      </x:c>
      <x:c r="H16" s="29" t="str">
        <x:v>Applied social work knowledge and values</x:v>
      </x:c>
      <x:c r="I16" s="29" t="str">
        <x:v>Use clinically plausible distractors and one best answer.</x:v>
      </x:c>
    </x:row>
    <x:row r="17">
      <x:c r="A17" s="29" t="str">
        <x:v>IB</x:v>
      </x:c>
      <x:c r="B17" s="29" t="str">
        <x:v>Values and Ethics</x:v>
      </x:c>
      <x:c r="C17" s="29" t="str">
        <x:v>Ethical Service Delivery</x:v>
      </x:c>
      <x:c r="D17" s="29" t="str">
        <x:v>LSW2</x:v>
      </x:c>
      <x:c r="F17" s="29" t="str">
        <x:v>Legal framework</x:v>
      </x:c>
      <x:c r="G17" s="29" t="str">
        <x:v>California law appears directly in the clinical blueprint</x:v>
      </x:c>
      <x:c r="H17" s="29" t="str">
        <x:v>National ASWB values/ethics; exact law varies by jurisdiction</x:v>
      </x:c>
      <x:c r="I17" s="29" t="str">
        <x:v>Verify controlling authority before publication.</x:v>
      </x:c>
    </x:row>
    <x:row r="18">
      <x:c r="A18" s="29" t="str">
        <x:v>IC</x:v>
      </x:c>
      <x:c r="B18" s="29" t="str">
        <x:v>Values and Ethics</x:v>
      </x:c>
      <x:c r="C18" s="29" t="str">
        <x:v>Diversity and Social Justice</x:v>
      </x:c>
      <x:c r="D18" s="29" t="str">
        <x:v>LSW2-LSW3</x:v>
      </x:c>
      <x:c r="F18" s="29" t="str">
        <x:v>Family content</x:v>
      </x:c>
      <x:c r="G18" s="29" t="str">
        <x:v>Central and theory-dense</x:v>
      </x:c>
      <x:c r="H18" s="29" t="str">
        <x:v>One modality within broader social work practice</x:v>
      </x:c>
      <x:c r="I18" s="29" t="str">
        <x:v>Research core concepts once; rewrite framing.</x:v>
      </x:c>
    </x:row>
    <x:row r="19">
      <x:c r="A19" s="29" t="str">
        <x:v>IIA</x:v>
      </x:c>
      <x:c r="B19" s="29" t="str">
        <x:v>Assessment and Planning</x:v>
      </x:c>
      <x:c r="C19" s="29" t="str">
        <x:v>Assessment Concepts</x:v>
      </x:c>
      <x:c r="D19" s="29" t="str">
        <x:v>LSW3-LSW5</x:v>
      </x:c>
      <x:c r="F19" s="29" t="str">
        <x:v>Resources and systems</x:v>
      </x:c>
      <x:c r="G19" s="29" t="str">
        <x:v>Consultation/referral support clinical care</x:v>
      </x:c>
      <x:c r="H19" s="29" t="str">
        <x:v>Case management, advocacy, systems, and resources are central</x:v>
      </x:c>
      <x:c r="I19" s="29" t="str">
        <x:v>Use different decision priorities.</x:v>
      </x:c>
    </x:row>
    <x:row r="20">
      <x:c r="A20" s="29" t="str">
        <x:v>IIB</x:v>
      </x:c>
      <x:c r="B20" s="29" t="str">
        <x:v>Assessment and Planning</x:v>
      </x:c>
      <x:c r="C20" s="29" t="str">
        <x:v>Assessment Methods and Techniques</x:v>
      </x:c>
      <x:c r="D20" s="29" t="str">
        <x:v>LSW4-LSW6</x:v>
      </x:c>
      <x:c r="F20" s="29" t="str">
        <x:v>Question bank</x:v>
      </x:c>
      <x:c r="G20" s="29" t="str">
        <x:v>Separate original LMFT items</x:v>
      </x:c>
      <x:c r="H20" s="29" t="str">
        <x:v>Separate original LCSW items</x:v>
      </x:c>
      <x:c r="I20" s="29" t="str">
        <x:v>Do not reconstruct secure examination content.</x:v>
      </x:c>
    </x:row>
    <x:row r="21">
      <x:c r="A21" s="29" t="str">
        <x:v>IIC</x:v>
      </x:c>
      <x:c r="B21" s="29" t="str">
        <x:v>Assessment and Planning</x:v>
      </x:c>
      <x:c r="C21" s="29" t="str">
        <x:v>Assessment Practices</x:v>
      </x:c>
      <x:c r="D21" s="29" t="str">
        <x:v>LSW7/LSW10</x:v>
      </x:c>
    </x:row>
    <x:row r="22">
      <x:c r="A22" s="29" t="str">
        <x:v>IIIA</x:v>
      </x:c>
      <x:c r="B22" s="29" t="str">
        <x:v>Intervention and Practice</x:v>
      </x:c>
      <x:c r="C22" s="29" t="str">
        <x:v>Practice Concepts</x:v>
      </x:c>
      <x:c r="D22" s="29" t="str">
        <x:v>LSW8-LSW10</x:v>
      </x:c>
    </x:row>
    <x:row r="23">
      <x:c r="A23" s="29" t="str">
        <x:v>IIIB</x:v>
      </x:c>
      <x:c r="B23" s="29" t="str">
        <x:v>Intervention and Practice</x:v>
      </x:c>
      <x:c r="C23" s="29" t="str">
        <x:v>Intervention Methods and Techniques</x:v>
      </x:c>
      <x:c r="D23" s="29" t="str">
        <x:v>LSW8-LSW10</x:v>
      </x:c>
    </x:row>
    <x:row r="24">
      <x:c r="A24" s="29" t="str">
        <x:v>IIIC</x:v>
      </x:c>
      <x:c r="B24" s="29" t="str">
        <x:v>Intervention and Practice</x:v>
      </x:c>
      <x:c r="C24" s="29" t="str">
        <x:v>Practice Evaluation and Research</x:v>
      </x:c>
      <x:c r="D24" s="29" t="str">
        <x:v>LSW11</x:v>
      </x:c>
    </x:row>
    <x:row r="25">
      <x:c r="A25" s="29" t="str">
        <x:v>IIID</x:v>
      </x:c>
      <x:c r="B25" s="29" t="str">
        <x:v>Intervention and Practice</x:v>
      </x:c>
      <x:c r="C25" s="29" t="str">
        <x:v>Supervision and Administration</x:v>
      </x:c>
      <x:c r="D25" s="29" t="str">
        <x:v>LSW11</x:v>
      </x:c>
    </x:row>
  </x:sheetData>
  <x:mergeCells>
    <x:mergeCell ref="A1:H2"/>
    <x:mergeCell ref="A4:D4"/>
    <x:mergeCell ref="F4:I4"/>
    <x:mergeCell ref="A14:I14"/>
    <x:mergeCell ref="F14:I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3" hidden="0" customWidth="1"/>
    <x:col min="3" max="3" width="40" hidden="0" customWidth="1"/>
    <x:col min="4" max="4" width="43" hidden="0" customWidth="1"/>
    <x:col min="5" max="5" width="31" hidden="0" customWidth="1"/>
    <x:col min="6" max="6" width="28" hidden="0" customWidth="1"/>
    <x:col min="7" max="7" width="30" hidden="0" customWidth="1"/>
    <x:col min="8" max="8" width="18" hidden="0" customWidth="1"/>
    <x:col min="9" max="9" width="16" hidden="0" customWidth="1"/>
  </x:cols>
  <x:sheetData>
    <x:row r="1">
      <x:c r="A1" s="71" t="str">
        <x:v>Shared Core and Track Workbook Architecture</x:v>
      </x:c>
      <x:c r="B1" s="71"/>
      <x:c r="C1" s="71"/>
      <x:c r="D1" s="71"/>
      <x:c r="E1" s="71"/>
      <x:c r="F1" s="71"/>
      <x:c r="G1" s="71"/>
      <x:c r="H1" s="71"/>
    </x:row>
    <x:row r="2">
      <x:c r="A2" s="71"/>
      <x:c r="B2" s="71"/>
      <x:c r="C2" s="71"/>
      <x:c r="D2" s="71"/>
      <x:c r="E2" s="71"/>
      <x:c r="F2" s="71"/>
      <x:c r="G2" s="71"/>
      <x:c r="H2" s="71"/>
    </x:row>
    <x:row r="4">
      <x:c r="A4" s="33" t="str">
        <x:v>Shared Draft Units</x:v>
      </x:c>
      <x:c r="B4" s="33"/>
      <x:c r="C4" s="33"/>
      <x:c r="E4" s="20" t="str">
        <x:v>LMFT Track</x:v>
      </x:c>
      <x:c r="F4" s="20"/>
      <x:c r="H4" s="43" t="str">
        <x:v>LCSW Track</x:v>
      </x:c>
      <x:c r="I4" s="43"/>
    </x:row>
    <x:row r="5">
      <x:c r="A5" s="25" t="str">
        <x:v>Code</x:v>
      </x:c>
      <x:c r="B5" s="25" t="str">
        <x:v>Title</x:v>
      </x:c>
      <x:c r="C5" s="25" t="str">
        <x:v>Reusable Foundation</x:v>
      </x:c>
      <x:c r="E5" s="25" t="str">
        <x:v>Code</x:v>
      </x:c>
      <x:c r="F5" s="25" t="str">
        <x:v>Workbook</x:v>
      </x:c>
      <x:c r="H5" s="25" t="str">
        <x:v>Code</x:v>
      </x:c>
      <x:c r="I5" s="25" t="str">
        <x:v>Workbook</x:v>
      </x:c>
    </x:row>
    <x:row r="6">
      <x:c r="A6" s="29" t="str">
        <x:v>SC1</x:v>
      </x:c>
      <x:c r="B6" s="29" t="str">
        <x:v>Exam Reasoning and Question Strategy</x:v>
      </x:c>
      <x:c r="C6" s="29" t="str">
        <x:v>Qualifiers, vignette analysis, clinical sequencing, prioritization, and distractor elimination.</x:v>
      </x:c>
      <x:c r="E6" s="29" t="str">
        <x:v>WB1</x:v>
      </x:c>
      <x:c r="F6" s="29" t="str">
        <x:v>Exam Strategy and Clinical Reasoning</x:v>
      </x:c>
      <x:c r="H6" s="29" t="str">
        <x:v>LSW1</x:v>
      </x:c>
      <x:c r="I6" s="29" t="str">
        <x:v>ASWB Exam Strategy and Applied Reasoning</x:v>
      </x:c>
    </x:row>
    <x:row r="7">
      <x:c r="A7" s="29" t="str">
        <x:v>SC2</x:v>
      </x:c>
      <x:c r="B7" s="29" t="str">
        <x:v>Human Development, Diversity, and Context</x:v>
      </x:c>
      <x:c r="C7" s="29" t="str">
        <x:v>Development, life cycle, culture, identity, migration, poverty, military experience, and person/system context.</x:v>
      </x:c>
      <x:c r="E7" s="29" t="str">
        <x:v>WB2</x:v>
      </x:c>
      <x:c r="F7" s="29" t="str">
        <x:v>Clinical Engagement, Intake, and Mental Status</x:v>
      </x:c>
      <x:c r="H7" s="29" t="str">
        <x:v>LSW2</x:v>
      </x:c>
      <x:c r="I7" s="29" t="str">
        <x:v>Values, Ethics, Self-Determination, and Social Justice</x:v>
      </x:c>
    </x:row>
    <x:row r="8">
      <x:c r="A8" s="29" t="str">
        <x:v>SC3</x:v>
      </x:c>
      <x:c r="B8" s="29" t="str">
        <x:v>Engagement, Interviewing, and Assessment</x:v>
      </x:c>
      <x:c r="C8" s="29" t="str">
        <x:v>Alliance, interviewing, biopsychosocial/systemic assessment, strengths, and motivation.</x:v>
      </x:c>
      <x:c r="E8" s="29" t="str">
        <x:v>WB3</x:v>
      </x:c>
      <x:c r="F8" s="29" t="str">
        <x:v>Developmental, Psychosocial, and Diversity Assessment</x:v>
      </x:c>
      <x:c r="H8" s="29" t="str">
        <x:v>LSW3</x:v>
      </x:c>
      <x:c r="I8" s="29" t="str">
        <x:v>Human Development, Diversity, and Person-in-Environment</x:v>
      </x:c>
    </x:row>
    <x:row r="9">
      <x:c r="A9" s="29" t="str">
        <x:v>SC4</x:v>
      </x:c>
      <x:c r="B9" s="29" t="str">
        <x:v>Mental Status, Health, Medication, and Substance Factors</x:v>
      </x:c>
      <x:c r="C9" s="29" t="str">
        <x:v>MSE, medical rule-outs, psychopharmacology, substance use, and addictive behavior.</x:v>
      </x:c>
      <x:c r="E9" s="29" t="str">
        <x:v>WB4</x:v>
      </x:c>
      <x:c r="F9" s="29" t="str">
        <x:v>Relational, Family-System, Trauma, and Strengths Assessment</x:v>
      </x:c>
      <x:c r="H9" s="29" t="str">
        <x:v>LSW4</x:v>
      </x:c>
      <x:c r="I9" s="29" t="str">
        <x:v>Clinical Assessment, Interviewing, and Mental Status</x:v>
      </x:c>
    </x:row>
    <x:row r="10">
      <x:c r="A10" s="29" t="str">
        <x:v>SC5</x:v>
      </x:c>
      <x:c r="B10" s="29" t="str">
        <x:v>Diagnosis and Differential Diagnosis</x:v>
      </x:c>
      <x:c r="C10" s="29" t="str">
        <x:v>DSM-5-TR use, comorbidity, differential diagnosis, and clinically relevant conditions.</x:v>
      </x:c>
      <x:c r="E10" s="29" t="str">
        <x:v>WB5</x:v>
      </x:c>
      <x:c r="F10" s="29" t="str">
        <x:v>Diagnosis and Differential Diagnosis</x:v>
      </x:c>
      <x:c r="H10" s="29" t="str">
        <x:v>LSW5</x:v>
      </x:c>
      <x:c r="I10" s="29" t="str">
        <x:v>Diagnosis, Medical Factors, and Psychopharmacology</x:v>
      </x:c>
    </x:row>
    <x:row r="11">
      <x:c r="A11" s="29" t="str">
        <x:v>SC6</x:v>
      </x:c>
      <x:c r="B11" s="29" t="str">
        <x:v>Crisis, Abuse, and Safety</x:v>
      </x:c>
      <x:c r="C11" s="29" t="str">
        <x:v>Suicide, self-harm, danger, abuse, exploitation, crisis intervention, and safety planning.</x:v>
      </x:c>
      <x:c r="E11" s="29" t="str">
        <x:v>WB6</x:v>
      </x:c>
      <x:c r="F11" s="29" t="str">
        <x:v>Crisis Assessment and Immediate Intervention</x:v>
      </x:c>
      <x:c r="H11" s="29" t="str">
        <x:v>LSW6</x:v>
      </x:c>
      <x:c r="I11" s="29" t="str">
        <x:v>Crisis, Abuse, and Risk</x:v>
      </x:c>
    </x:row>
    <x:row r="12">
      <x:c r="A12" s="29" t="str">
        <x:v>SC7</x:v>
      </x:c>
      <x:c r="B12" s="29" t="str">
        <x:v>Planning, Goals, and Outcomes</x:v>
      </x:c>
      <x:c r="C12" s="29" t="str">
        <x:v>Treatment/service planning, measurable goals, modality selection, progress monitoring, and readiness for termination.</x:v>
      </x:c>
      <x:c r="E12" s="29" t="str">
        <x:v>WB7</x:v>
      </x:c>
      <x:c r="F12" s="29" t="str">
        <x:v>Treatment Planning, Progress Monitoring, and Termination</x:v>
      </x:c>
      <x:c r="H12" s="29" t="str">
        <x:v>LSW7</x:v>
      </x:c>
      <x:c r="I12" s="29" t="str">
        <x:v>Treatment and Service Planning</x:v>
      </x:c>
    </x:row>
    <x:row r="13">
      <x:c r="A13" s="29" t="str">
        <x:v>SC8</x:v>
      </x:c>
      <x:c r="B13" s="29" t="str">
        <x:v>Clinical Interventions</x:v>
      </x:c>
      <x:c r="C13" s="29" t="str">
        <x:v>Evidence-based approaches, trauma-informed care, coping, emotion regulation, addiction treatment, and psychoeducation.</x:v>
      </x:c>
      <x:c r="E13" s="29" t="str">
        <x:v>WB8</x:v>
      </x:c>
      <x:c r="F13" s="29" t="str">
        <x:v>Family, Couple, Attachment, and Relational Interventions</x:v>
      </x:c>
      <x:c r="H13" s="29" t="str">
        <x:v>LSW8</x:v>
      </x:c>
      <x:c r="I13" s="29" t="str">
        <x:v>Clinical Interventions and Trauma-Informed Care</x:v>
      </x:c>
    </x:row>
    <x:row r="14">
      <x:c r="A14" s="29" t="str">
        <x:v>SC9</x:v>
      </x:c>
      <x:c r="B14" s="29" t="str">
        <x:v>Relationships, Groups, Resources, and Collaboration</x:v>
      </x:c>
      <x:c r="C14" s="29" t="str">
        <x:v>Family/couple/group concepts, referrals, community resources, interdisciplinary work, and care coordination.</x:v>
      </x:c>
      <x:c r="E14" s="29" t="str">
        <x:v>WB9</x:v>
      </x:c>
      <x:c r="F14" s="29" t="str">
        <x:v>Trauma, Psychological, Behavioral, and Recovery Interventions</x:v>
      </x:c>
      <x:c r="H14" s="29" t="str">
        <x:v>LSW9</x:v>
      </x:c>
      <x:c r="I14" s="29" t="str">
        <x:v>Family, Couple, Group, and Parenting Practice</x:v>
      </x:c>
    </x:row>
    <x:row r="15">
      <x:c r="A15" s="29" t="str">
        <x:v>SC10</x:v>
      </x:c>
      <x:c r="B15" s="29" t="str">
        <x:v>Professional Practice and Termination</x:v>
      </x:c>
      <x:c r="C15" s="29" t="str">
        <x:v>Consent, confidentiality, boundaries, documentation, technology, supervision, self-care, termination, and aftercare.</x:v>
      </x:c>
      <x:c r="E15" s="29" t="str">
        <x:v>WB10</x:v>
      </x:c>
      <x:c r="F15" s="29" t="str">
        <x:v>Developmental, Cultural, and Contextual Interventions</x:v>
      </x:c>
      <x:c r="H15" s="29" t="str">
        <x:v>LSW10</x:v>
      </x:c>
      <x:c r="I15" s="29" t="str">
        <x:v>Case Management, Advocacy, Resources, and Collaboration</x:v>
      </x:c>
    </x:row>
    <x:row r="16">
      <x:c r="E16" s="29" t="str">
        <x:v>WB11</x:v>
      </x:c>
      <x:c r="F16" s="29" t="str">
        <x:v>Theory, Groups, Referral, and Interdisciplinary Practice</x:v>
      </x:c>
      <x:c r="H16" s="29" t="str">
        <x:v>LSW11</x:v>
      </x:c>
      <x:c r="I16" s="29" t="str">
        <x:v>Evaluation, Research, Supervision, and Administration</x:v>
      </x:c>
    </x:row>
    <x:row r="17">
      <x:c r="E17" s="29" t="str">
        <x:v>WB12</x:v>
      </x:c>
      <x:c r="F17" s="29" t="str">
        <x:v>California Legal, Ethical, and Professional Practice</x:v>
      </x:c>
      <x:c r="H17" s="29" t="str">
        <x:v>LSW12</x:v>
      </x:c>
      <x:c r="I17" s="29" t="str">
        <x:v>Integrated Review and Full-Length Practice Examinations</x:v>
      </x:c>
    </x:row>
    <x:row r="19">
      <x:c r="A19" s="49" t="str">
        <x:v>Recommended Production Sequence</x:v>
      </x:c>
      <x:c r="B19" s="49"/>
      <x:c r="C19" s="49"/>
      <x:c r="D19" s="49"/>
      <x:c r="E19" s="49"/>
      <x:c r="F19" s="49"/>
      <x:c r="G19" s="49"/>
      <x:c r="H19" s="49"/>
      <x:c r="I19" s="49"/>
    </x:row>
    <x:row r="20">
      <x:c r="A20" s="25" t="str">
        <x:v>Phase</x:v>
      </x:c>
      <x:c r="B20" s="25" t="str">
        <x:v>Shared Deliverable</x:v>
      </x:c>
      <x:c r="C20" s="25" t="str">
        <x:v>LMFT Fork</x:v>
      </x:c>
      <x:c r="D20" s="25" t="str">
        <x:v>LCSW Fork</x:v>
      </x:c>
      <x:c r="E20" s="25" t="str">
        <x:v>Question Work</x:v>
      </x:c>
      <x:c r="F20" s="25" t="str">
        <x:v>Source Review</x:v>
      </x:c>
      <x:c r="G20" s="25" t="str">
        <x:v>Completion Gate</x:v>
      </x:c>
      <x:c r="H20" s="25" t="str">
        <x:v>Owner</x:v>
      </x:c>
      <x:c r="I20" s="25" t="str">
        <x:v>Status</x:v>
      </x:c>
    </x:row>
    <x:row r="21">
      <x:c r="A21" s="29" t="str">
        <x:v>1. Blueprint Lock</x:v>
      </x:c>
      <x:c r="B21" s="29" t="str">
        <x:v>Confirm official outlines, mechanics, terminology, and source hierarchy.</x:v>
      </x:c>
      <x:c r="C21" s="29" t="str">
        <x:v>Lock LMFT task crosswalk.</x:v>
      </x:c>
      <x:c r="D21" s="29" t="str">
        <x:v>Lock August 2026 ASWB applied-knowledge crosswalk.</x:v>
      </x:c>
      <x:c r="E21" s="29" t="str">
        <x:v>None</x:v>
      </x:c>
      <x:c r="F21" s="29" t="str">
        <x:v>Official handbooks and outlines</x:v>
      </x:c>
      <x:c r="G21" s="29" t="str">
        <x:v>No unmapped official content</x:v>
      </x:c>
      <x:c r="H21" s="29" t="str"/>
      <x:c r="I21" s="29" t="str">
        <x:v>Planned</x:v>
      </x:c>
    </x:row>
    <x:row r="22">
      <x:c r="A22" s="29" t="str">
        <x:v>2. Core Research</x:v>
      </x:c>
      <x:c r="B22" s="29" t="str">
        <x:v>Prepare source notes for SC1-SC10.</x:v>
      </x:c>
      <x:c r="C22" s="29" t="str">
        <x:v>Flag systemic and California-specific additions.</x:v>
      </x:c>
      <x:c r="D22" s="29" t="str">
        <x:v>Flag values, PIE, systems, research, and administration additions.</x:v>
      </x:c>
      <x:c r="E22" s="29" t="str">
        <x:v>Question specifications only</x:v>
      </x:c>
      <x:c r="F22" s="29" t="str">
        <x:v>Clinical and professional sources</x:v>
      </x:c>
      <x:c r="G22" s="29" t="str">
        <x:v>Sources approved</x:v>
      </x:c>
      <x:c r="H22" s="29" t="str"/>
      <x:c r="I22" s="29" t="str">
        <x:v>Planned</x:v>
      </x:c>
    </x:row>
    <x:row r="23">
      <x:c r="A23" s="29" t="str">
        <x:v>3. Shared Draft</x:v>
      </x:c>
      <x:c r="B23" s="29" t="str">
        <x:v>Draft reusable explanations, examples, memory aids, and decision rules.</x:v>
      </x:c>
      <x:c r="C23" s="29" t="str">
        <x:v>Do not finalize profession language yet.</x:v>
      </x:c>
      <x:c r="D23" s="29" t="str">
        <x:v>Do not finalize profession language yet.</x:v>
      </x:c>
      <x:c r="E23" s="29" t="str">
        <x:v>Create separate item-writing plans</x:v>
      </x:c>
      <x:c r="F23" s="29" t="str">
        <x:v>Citation check</x:v>
      </x:c>
      <x:c r="G23" s="29" t="str">
        <x:v>Shared draft reviewed</x:v>
      </x:c>
      <x:c r="H23" s="29" t="str"/>
      <x:c r="I23" s="29" t="str">
        <x:v>Planned</x:v>
      </x:c>
    </x:row>
    <x:row r="24">
      <x:c r="A24" s="29" t="str">
        <x:v>4. LMFT Adaptation</x:v>
      </x:c>
      <x:c r="B24" s="29" t="str">
        <x:v>Use shared draft as source material.</x:v>
      </x:c>
      <x:c r="C24" s="29" t="str">
        <x:v>Add systemic formulation, family-theory depth, and California law.</x:v>
      </x:c>
      <x:c r="D24" s="29" t="str">
        <x:v>No change</x:v>
      </x:c>
      <x:c r="E24" s="29" t="str">
        <x:v>Write LMFT-only items and rationales</x:v>
      </x:c>
      <x:c r="F24" s="29" t="str">
        <x:v>California legal audit</x:v>
      </x:c>
      <x:c r="G24" s="29" t="str">
        <x:v>LMFT chapters reviewed</x:v>
      </x:c>
      <x:c r="H24" s="29" t="str"/>
      <x:c r="I24" s="29" t="str">
        <x:v>Planned</x:v>
      </x:c>
    </x:row>
    <x:row r="25">
      <x:c r="A25" s="29" t="str">
        <x:v>5. LCSW Adaptation</x:v>
      </x:c>
      <x:c r="B25" s="29" t="str">
        <x:v>Use shared draft as source material.</x:v>
      </x:c>
      <x:c r="C25" s="29" t="str">
        <x:v>No change</x:v>
      </x:c>
      <x:c r="D25" s="29" t="str">
        <x:v>Add values, self-determination, PIE, justice, systems, research, and administration.</x:v>
      </x:c>
      <x:c r="E25" s="29" t="str">
        <x:v>Write LCSW-only items and rationales</x:v>
      </x:c>
      <x:c r="F25" s="29" t="str">
        <x:v>ASWB blueprint audit</x:v>
      </x:c>
      <x:c r="G25" s="29" t="str">
        <x:v>LCSW chapters reviewed</x:v>
      </x:c>
      <x:c r="H25" s="29" t="str"/>
      <x:c r="I25" s="29" t="str">
        <x:v>Planned</x:v>
      </x:c>
    </x:row>
    <x:row r="26">
      <x:c r="A26" s="29" t="str">
        <x:v>6. Integrated Assessment</x:v>
      </x:c>
      <x:c r="B26" s="29" t="str">
        <x:v>Cross-check shared terminology and avoid contradictions.</x:v>
      </x:c>
      <x:c r="C26" s="29" t="str">
        <x:v>Build LMFT domain-weighted quizzes and mocks.</x:v>
      </x:c>
      <x:c r="D26" s="29" t="str">
        <x:v>Build LCSW 2026 weighted quizzes and mocks.</x:v>
      </x:c>
      <x:c r="E26" s="29" t="str">
        <x:v>Psychometric and bias review</x:v>
      </x:c>
      <x:c r="F26" s="29" t="str">
        <x:v>Security/copyright review</x:v>
      </x:c>
      <x:c r="G26" s="29" t="str">
        <x:v>Original item banks approved</x:v>
      </x:c>
      <x:c r="H26" s="29" t="str"/>
      <x:c r="I26" s="29" t="str">
        <x:v>Planned</x:v>
      </x:c>
    </x:row>
    <x:row r="27">
      <x:c r="A27" s="29" t="str">
        <x:v>7. Publication Audit</x:v>
      </x:c>
      <x:c r="B27" s="29" t="str">
        <x:v>Verify all current and shared clinical claims.</x:v>
      </x:c>
      <x:c r="C27" s="29" t="str">
        <x:v>Final California law and regulation audit.</x:v>
      </x:c>
      <x:c r="D27" s="29" t="str">
        <x:v>Final ASWB structure and ethics audit.</x:v>
      </x:c>
      <x:c r="E27" s="29" t="str">
        <x:v>Final item QA</x:v>
      </x:c>
      <x:c r="F27" s="29" t="str">
        <x:v>Dated source register</x:v>
      </x:c>
      <x:c r="G27" s="29" t="str">
        <x:v>Publication ready</x:v>
      </x:c>
      <x:c r="H27" s="29" t="str"/>
      <x:c r="I27" s="29" t="str">
        <x:v>Planned</x:v>
      </x:c>
    </x:row>
    <x:row r="28">
      <x:c r="A28" s="29" t="str">
        <x:v>8. Maintenance</x:v>
      </x:c>
      <x:c r="B28" s="29" t="str">
        <x:v>Track clinical-source changes.</x:v>
      </x:c>
      <x:c r="C28" s="29" t="str">
        <x:v>Monitor BBS/Pearson changes.</x:v>
      </x:c>
      <x:c r="D28" s="29" t="str">
        <x:v>Monitor ASWB blueprint and administration changes.</x:v>
      </x:c>
      <x:c r="E28" s="29" t="str">
        <x:v>Retire/update affected items</x:v>
      </x:c>
      <x:c r="F28" s="29" t="str">
        <x:v>Scheduled review</x:v>
      </x:c>
      <x:c r="G28" s="29" t="str">
        <x:v>Version update released</x:v>
      </x:c>
      <x:c r="H28" s="29" t="str"/>
      <x:c r="I28" s="29" t="str">
        <x:v>Planned</x:v>
      </x:c>
    </x:row>
  </x:sheetData>
  <x:mergeCells>
    <x:mergeCell ref="A1:H2"/>
    <x:mergeCell ref="A4:C4"/>
    <x:mergeCell ref="E4:F4"/>
    <x:mergeCell ref="H4:I4"/>
    <x:mergeCell ref="A19:I19"/>
  </x:mergeCells>
  <x:dataValidations count="1">
    <x:dataValidation type="list" sqref="I21:I28">
      <x:formula1>"Planned,In Progress,Blocked,Reviewed,Complete"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5" hidden="0" customWidth="1"/>
    <x:col min="3" max="3" width="39" hidden="0" customWidth="1"/>
    <x:col min="4" max="4" width="52" hidden="0" customWidth="1"/>
    <x:col min="5" max="5" width="48" hidden="0" customWidth="1"/>
    <x:col min="6" max="6" width="62" hidden="0" customWidth="1"/>
  </x:cols>
  <x:sheetData>
    <x:row r="1">
      <x:c r="A1" s="71" t="str">
        <x:v>Source Register and Publication Controls</x:v>
      </x:c>
      <x:c r="B1" s="71"/>
      <x:c r="C1" s="71"/>
      <x:c r="D1" s="71"/>
      <x:c r="E1" s="71"/>
      <x:c r="F1" s="71"/>
    </x:row>
    <x:row r="2">
      <x:c r="A2" s="71"/>
      <x:c r="B2" s="71"/>
      <x:c r="C2" s="71"/>
      <x:c r="D2" s="71"/>
      <x:c r="E2" s="71"/>
      <x:c r="F2" s="71"/>
    </x:row>
    <x:row r="4">
      <x:c r="A4" s="77" t="str">
        <x:v>Source</x:v>
      </x:c>
      <x:c r="B4" s="77" t="str">
        <x:v>Version / Date</x:v>
      </x:c>
      <x:c r="C4" s="77" t="str">
        <x:v>Program Role</x:v>
      </x:c>
      <x:c r="D4" s="77" t="str">
        <x:v>Key Source-Derived Point</x:v>
      </x:c>
      <x:c r="E4" s="77" t="str">
        <x:v>Control / Limitation</x:v>
      </x:c>
      <x:c r="F4" s="77" t="str">
        <x:v>URL or File</x:v>
      </x:c>
    </x:row>
    <x:row r="5" ht="85" customHeight="1">
      <x:c r="A5" s="29" t="str">
        <x:v>ASWB Examination Guidebook — 2026 Blueprints</x:v>
      </x:c>
      <x:c r="B5" s="29" t="str">
        <x:v>May 2026; exams on/after August 3, 2026</x:v>
      </x:c>
      <x:c r="C5" s="29" t="str">
        <x:v>Controlling LCSW Clinical blueprint and exam structure.</x:v>
      </x:c>
      <x:c r="D5" s="29" t="str">
        <x:v>122 total questions, including 12 unscored; 110 scored; four hours; Clinical content areas are Values and Ethics 36%, Assessment and Planning 32%, and Intervention and Practice 32%.</x:v>
      </x:c>
      <x:c r="E5" s="29" t="str">
        <x:v>Use for the future-facing LCSW program. Recheck before publication for later amendments.</x:v>
      </x:c>
      <x:c r="F5" s="29" t="str">
        <x:v>https://www.aswb.org/wp-content/uploads/2026/05/2026-Social-Work-Licensing-Exam-Guidebook-5.4.2026.pdf</x:v>
      </x:c>
    </x:row>
    <x:row r="6" ht="85" customHeight="1">
      <x:c r="A6" s="29" t="str">
        <x:v>ASWB 2026 Exam Transition Page</x:v>
      </x:c>
      <x:c r="B6" s="29" t="str">
        <x:v>Current July 2026</x:v>
      </x:c>
      <x:c r="C6" s="29" t="str">
        <x:v>Controls transition date and comparison with pre-August exam.</x:v>
      </x:c>
      <x:c r="D6" s="29" t="str">
        <x:v>The new exams begin August 3, 2026 and use three content areas, fewer questions, and more applied-knowledge questions.</x:v>
      </x:c>
      <x:c r="E6" s="29" t="str">
        <x:v>The candidate's testing date determines the applicable blueprint.</x:v>
      </x:c>
      <x:c r="F6" s="29" t="str">
        <x:v>https://www.aswb.org/2026exams/</x:v>
      </x:c>
    </x:row>
    <x:row r="7" ht="85" customHeight="1">
      <x:c r="A7" s="29" t="str">
        <x:v>ACSW Candidate Handbook.pdf</x:v>
      </x:c>
      <x:c r="B7" s="29" t="str">
        <x:v>March 2026</x:v>
      </x:c>
      <x:c r="C7" s="29" t="str">
        <x:v>Uploaded pre-August ASWB guidebook and source for recall/application/reasoning explanation.</x:v>
      </x:c>
      <x:c r="D7" s="29" t="str">
        <x:v>Describes the earlier 170-question format and the three cognitive levels: recall, application, and reasoning.</x:v>
      </x:c>
      <x:c r="E7" s="29" t="str">
        <x:v>Do not use its old question count or 2018 blueprint as the future program's controlling structure.</x:v>
      </x:c>
      <x:c r="F7" s="29" t="str">
        <x:v>Uploaded file: ACSW Candidate Handbook.pdf</x:v>
      </x:c>
    </x:row>
    <x:row r="8" ht="85" customHeight="1">
      <x:c r="A8" s="29" t="str">
        <x:v>LCSW Handbook.pdf</x:v>
      </x:c>
      <x:c r="B8" s="29" t="str">
        <x:v>California BBS; revision May 2024</x:v>
      </x:c>
      <x:c r="C8" s="29" t="str">
        <x:v>California LCSW licensure orientation.</x:v>
      </x:c>
      <x:c r="D8" s="29" t="str">
        <x:v>After BBS approval, California applicants take the ASWB Clinical exam; the California Law and Ethics exam is a separate requirement.</x:v>
      </x:c>
      <x:c r="E8" s="29" t="str">
        <x:v>Licensure process guidance is not the national ASWB content blueprint and should be rechecked for current requirements.</x:v>
      </x:c>
      <x:c r="F8" s="29" t="str">
        <x:v>Uploaded file: LCSW Handbook.pdf</x:v>
      </x:c>
    </x:row>
    <x:row r="9" ht="85" customHeight="1">
      <x:c r="A9" s="29" t="str">
        <x:v>Licensed Marriage and Family Therapist Written Clinical Examination Outline</x:v>
      </x:c>
      <x:c r="B9" s="29" t="str">
        <x:v>Effective January 1, 2021</x:v>
      </x:c>
      <x:c r="C9" s="29" t="str">
        <x:v>Controlling LMFT domain/task map used in the existing CTA LMFT master crosswalk.</x:v>
      </x:c>
      <x:c r="D9" s="29" t="str">
        <x:v>Six domains with official task and knowledge statements covering clinical evaluation, diagnosis, crisis, planning, treatment, and legal/ethical obligations.</x:v>
      </x:c>
      <x:c r="E9" s="29" t="str">
        <x:v>Recheck BBS/Pearson for a revised outline before publication.</x:v>
      </x:c>
      <x:c r="F9" s="29" t="str">
        <x:v>Uploaded file: LMFT Clinical Exam Outline.pdf</x:v>
      </x:c>
    </x:row>
    <x:row r="10" ht="85" customHeight="1">
      <x:c r="A10" s="29" t="str">
        <x:v>CTA LMFT Clinical Exam Master Content Crosswalk v1.0</x:v>
      </x:c>
      <x:c r="B10" s="29" t="str">
        <x:v>July 22, 2026</x:v>
      </x:c>
      <x:c r="C10" s="29" t="str">
        <x:v>Existing LMFT source-of-truth workbook.</x:v>
      </x:c>
      <x:c r="D10" s="29" t="str">
        <x:v>Maps 124 official LMFT task statements to the 12-workbook CTA system.</x:v>
      </x:c>
      <x:c r="E10" s="29" t="str">
        <x:v>Maintain version control when LMFT chapters or official source documents change.</x:v>
      </x:c>
      <x:c r="F10" s="29" t="str">
        <x:v>Local file: CTA_LMFT_Clinical_Exam_Master_Content_Crosswalk_v1.0.xlsx</x:v>
      </x:c>
    </x:row>
    <x:row r="11" ht="85" customHeight="1">
      <x:c r="A11" s="29" t="str">
        <x:v>BBS Statutes and Regulations</x:v>
      </x:c>
      <x:c r="B11" s="29" t="str">
        <x:v>January 2026</x:v>
      </x:c>
      <x:c r="C11" s="29" t="str">
        <x:v>California legal baseline for both professions; direct LMFT clinical-law source and LCSW licensure supplement.</x:v>
      </x:c>
      <x:c r="D11" s="29" t="str">
        <x:v>Contains LMFT and LCSW practice acts, reporting statutes, telehealth, records, and professional-conduct provisions.</x:v>
      </x:c>
      <x:c r="E11" s="29" t="str">
        <x:v>The publication is condensed and says enacted law controls; conduct a current-law audit before publication.</x:v>
      </x:c>
      <x:c r="F11" s="29" t="str">
        <x:v>Uploaded file: lawsregs.pdf</x:v>
      </x:c>
    </x:row>
    <x:row r="12" ht="85" customHeight="1">
      <x:c r="A12" s="29" t="str">
        <x:v>CTA Course Development Standards v1.0</x:v>
      </x:c>
      <x:c r="B12" s="29" t="str">
        <x:v>July 2026</x:v>
      </x:c>
      <x:c r="C12" s="29" t="str">
        <x:v>Controls CTA exam-preparation format, tone, chapter elements, and rationales.</x:v>
      </x:c>
      <x:c r="D12" s="29" t="str">
        <x:v>Use the Recognize → Apply → Analyze → Integrate progression and complete rationales for every option.</x:v>
      </x:c>
      <x:c r="E12" s="29" t="str">
        <x:v>Profession-specific exam blueprints control content completeness and weighting.</x:v>
      </x:c>
      <x:c r="F12" s="29" t="str">
        <x:v>Uploaded file: CTA Course Development Standards v1.0(1).docx</x:v>
      </x:c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3" hidden="0" customWidth="1"/>
    <x:col min="3" max="3" width="21" hidden="0" customWidth="1"/>
    <x:col min="4" max="4" width="17" hidden="0" customWidth="1"/>
    <x:col min="5" max="5" width="4" hidden="0" customWidth="1"/>
    <x:col min="6" max="6" width="25" hidden="0" customWidth="1"/>
    <x:col min="7" max="7" width="14" hidden="0" customWidth="1"/>
    <x:col min="8" max="8" width="4" hidden="0" customWidth="1"/>
  </x:cols>
  <x:sheetData>
    <x:row r="1">
      <x:c r="A1" s="71" t="str">
        <x:v>Dual-Program Development Dashboard</x:v>
      </x:c>
      <x:c r="B1" s="71"/>
      <x:c r="C1" s="71"/>
      <x:c r="D1" s="71"/>
      <x:c r="E1" s="71"/>
      <x:c r="F1" s="71"/>
      <x:c r="G1" s="71"/>
      <x:c r="H1" s="71"/>
    </x:row>
    <x:row r="2">
      <x:c r="A2" s="71"/>
      <x:c r="B2" s="71"/>
      <x:c r="C2" s="71"/>
      <x:c r="D2" s="71"/>
      <x:c r="E2" s="71"/>
      <x:c r="F2" s="71"/>
      <x:c r="G2" s="71"/>
      <x:c r="H2" s="71"/>
    </x:row>
    <x:row r="4">
      <x:c r="A4" s="19" t="str">
        <x:v>Classification</x:v>
      </x:c>
      <x:c r="B4" s="19" t="str">
        <x:v>Topic Count</x:v>
      </x:c>
      <x:c r="C4" s="19" t="str">
        <x:v>Average Reuse %</x:v>
      </x:c>
      <x:c r="D4" s="19" t="str">
        <x:v>Final Topics</x:v>
      </x:c>
      <x:c r="F4" s="32" t="str">
        <x:v>Development Status</x:v>
      </x:c>
      <x:c r="G4" s="32" t="str">
        <x:v>Count</x:v>
      </x:c>
    </x:row>
    <x:row r="5">
      <x:c r="A5" s="28" t="str">
        <x:v>Shared Core</x:v>
      </x:c>
      <x:c r="B5" s="28" t="n">
        <x:f>COUNTIF('Topic Crosswalk'!C:C,"Shared Core")</x:f>
        <x:v>30</x:v>
      </x:c>
      <x:c r="C5" s="37" t="n">
        <x:f>AVERAGEIF('Topic Crosswalk'!C:C,"Shared Core",'Topic Crosswalk'!D:D)</x:f>
        <x:v>0.8999999999999996</x:v>
      </x:c>
      <x:c r="D5" s="28" t="n">
        <x:f>COUNTIFS('Topic Crosswalk'!C:C,"Shared Core",'Topic Crosswalk'!L:L,"Final")</x:f>
        <x:v>0</x:v>
      </x:c>
      <x:c r="F5" s="28" t="str">
        <x:v>Mapped - Not Drafted</x:v>
      </x:c>
      <x:c r="G5" s="28" t="n">
        <x:f>COUNTIF('Topic Crosswalk'!L:L,"Mapped - Not Drafted")</x:f>
        <x:v>64</x:v>
      </x:c>
    </x:row>
    <x:row r="6">
      <x:c r="A6" s="28" t="str">
        <x:v>Shared - Different Framing</x:v>
      </x:c>
      <x:c r="B6" s="28" t="n">
        <x:f>COUNTIF('Topic Crosswalk'!C:C,"Shared - Different Framing")</x:f>
        <x:v>17</x:v>
      </x:c>
      <x:c r="C6" s="37" t="n">
        <x:f>AVERAGEIF('Topic Crosswalk'!C:C,"Shared - Different Framing",'Topic Crosswalk'!D:D)</x:f>
        <x:v>0.6500000000000001</x:v>
      </x:c>
      <x:c r="D6" s="28" t="n">
        <x:f>COUNTIFS('Topic Crosswalk'!C:C,"Shared - Different Framing",'Topic Crosswalk'!L:L,"Final")</x:f>
        <x:v>0</x:v>
      </x:c>
      <x:c r="F6" s="28" t="str">
        <x:v>Researching</x:v>
      </x:c>
      <x:c r="G6" s="28" t="n">
        <x:f>COUNTIF('Topic Crosswalk'!L:L,"Researching")</x:f>
        <x:v>0</x:v>
      </x:c>
    </x:row>
    <x:row r="7">
      <x:c r="A7" s="28" t="str">
        <x:v>LMFT-Specific</x:v>
      </x:c>
      <x:c r="B7" s="28" t="n">
        <x:f>COUNTIF('Topic Crosswalk'!C:C,"LMFT-Specific")</x:f>
        <x:v>7</x:v>
      </x:c>
      <x:c r="C7" s="37" t="n">
        <x:f>AVERAGEIF('Topic Crosswalk'!C:C,"LMFT-Specific",'Topic Crosswalk'!D:D)</x:f>
        <x:v>0.09999999999999999</x:v>
      </x:c>
      <x:c r="D7" s="28" t="n">
        <x:f>COUNTIFS('Topic Crosswalk'!C:C,"LMFT-Specific",'Topic Crosswalk'!L:L,"Final")</x:f>
        <x:v>0</x:v>
      </x:c>
      <x:c r="F7" s="28" t="str">
        <x:v>Shared Draft Complete</x:v>
      </x:c>
      <x:c r="G7" s="28" t="n">
        <x:f>COUNTIF('Topic Crosswalk'!L:L,"Shared Draft Complete")</x:f>
        <x:v>0</x:v>
      </x:c>
    </x:row>
    <x:row r="8">
      <x:c r="A8" s="28" t="str">
        <x:v>LCSW-Specific</x:v>
      </x:c>
      <x:c r="B8" s="28" t="n">
        <x:f>COUNTIF('Topic Crosswalk'!C:C,"LCSW-Specific")</x:f>
        <x:v>10</x:v>
      </x:c>
      <x:c r="C8" s="37" t="n">
        <x:f>AVERAGEIF('Topic Crosswalk'!C:C,"LCSW-Specific",'Topic Crosswalk'!D:D)</x:f>
        <x:v>0.09999999999999999</x:v>
      </x:c>
      <x:c r="D8" s="28" t="n">
        <x:f>COUNTIFS('Topic Crosswalk'!C:C,"LCSW-Specific",'Topic Crosswalk'!L:L,"Final")</x:f>
        <x:v>0</x:v>
      </x:c>
      <x:c r="F8" s="28" t="str">
        <x:v>LMFT Adapted</x:v>
      </x:c>
      <x:c r="G8" s="28" t="n">
        <x:f>COUNTIF('Topic Crosswalk'!L:L,"LMFT Adapted")</x:f>
        <x:v>0</x:v>
      </x:c>
    </x:row>
    <x:row r="9">
      <x:c r="F9" s="28" t="str">
        <x:v>LCSW Adapted</x:v>
      </x:c>
      <x:c r="G9" s="28" t="n">
        <x:f>COUNTIF('Topic Crosswalk'!L:L,"LCSW Adapted")</x:f>
        <x:v>0</x:v>
      </x:c>
    </x:row>
    <x:row r="10">
      <x:c r="F10" s="28" t="str">
        <x:v>Reviewed</x:v>
      </x:c>
      <x:c r="G10" s="28" t="n">
        <x:f>COUNTIF('Topic Crosswalk'!L:L,"Reviewed")</x:f>
        <x:v>0</x:v>
      </x:c>
    </x:row>
    <x:row r="11">
      <x:c r="A11" s="49" t="str">
        <x:v>Program Gates</x:v>
      </x:c>
      <x:c r="B11" s="49"/>
      <x:c r="C11" s="49"/>
      <x:c r="D11" s="49"/>
      <x:c r="F11" s="28" t="str">
        <x:v>Final</x:v>
      </x:c>
      <x:c r="G11" s="28" t="n">
        <x:f>COUNTIF('Topic Crosswalk'!L:L,"Final")</x:f>
        <x:v>0</x:v>
      </x:c>
    </x:row>
    <x:row r="12">
      <x:c r="A12" s="25" t="str">
        <x:v>Gate</x:v>
      </x:c>
      <x:c r="B12" s="25" t="str">
        <x:v>Definition</x:v>
      </x:c>
      <x:c r="C12" s="25" t="str">
        <x:v>Formula / Metric</x:v>
      </x:c>
      <x:c r="D12" s="25" t="str">
        <x:v>Current Result</x:v>
      </x:c>
    </x:row>
    <x:row r="13">
      <x:c r="A13" s="29" t="str">
        <x:v>Mapping complete</x:v>
      </x:c>
      <x:c r="B13" s="29" t="str">
        <x:v>Every crosswalk topic has both profession mappings.</x:v>
      </x:c>
      <x:c r="C13" s="29" t="str">
        <x:v>64 topics</x:v>
      </x:c>
      <x:c r="D13" s="29" t="n">
        <x:f>COUNTA('Topic Crosswalk'!B:B)-1</x:f>
        <x:v>64</x:v>
      </x:c>
    </x:row>
    <x:row r="14">
      <x:c r="A14" s="29" t="str">
        <x:v>Shared research complete</x:v>
      </x:c>
      <x:c r="B14" s="29" t="str">
        <x:v>All shared topics have completed source notes.</x:v>
      </x:c>
      <x:c r="C14" s="29" t="str">
        <x:v>Status count</x:v>
      </x:c>
      <x:c r="D14" s="29" t="n">
        <x:f>COUNTIF('Topic Crosswalk'!L:L,"Shared Draft Complete")</x:f>
        <x:v>0</x:v>
      </x:c>
    </x:row>
    <x:row r="15">
      <x:c r="A15" s="29" t="str">
        <x:v>LMFT adaptation complete</x:v>
      </x:c>
      <x:c r="B15" s="29" t="str">
        <x:v>All LMFT-relevant topics adapted and reviewed.</x:v>
      </x:c>
      <x:c r="C15" s="29" t="str">
        <x:v>Status count</x:v>
      </x:c>
      <x:c r="D15" s="29" t="n">
        <x:f>COUNTIF('Topic Crosswalk'!L:L,"LMFT Adapted")</x:f>
        <x:v>0</x:v>
      </x:c>
    </x:row>
    <x:row r="16">
      <x:c r="A16" s="29" t="str">
        <x:v>LCSW adaptation complete</x:v>
      </x:c>
      <x:c r="B16" s="29" t="str">
        <x:v>All LCSW-relevant topics adapted and reviewed.</x:v>
      </x:c>
      <x:c r="C16" s="29" t="str">
        <x:v>Status count</x:v>
      </x:c>
      <x:c r="D16" s="29" t="n">
        <x:f>COUNTIF('Topic Crosswalk'!L:L,"LCSW Adapted")</x:f>
        <x:v>0</x:v>
      </x:c>
    </x:row>
    <x:row r="17">
      <x:c r="A17" s="29" t="str">
        <x:v>Publication ready</x:v>
      </x:c>
      <x:c r="B17" s="29" t="str">
        <x:v>All topics final and source audits complete.</x:v>
      </x:c>
      <x:c r="C17" s="29" t="str">
        <x:v>Final count = total</x:v>
      </x:c>
      <x:c r="D17" s="29" t="n">
        <x:f>COUNTIF('Topic Crosswalk'!L:L,"Final")</x:f>
        <x:v>0</x:v>
      </x:c>
    </x:row>
  </x:sheetData>
  <x:mergeCells>
    <x:mergeCell ref="A1:H2"/>
    <x:mergeCell ref="A11:D11"/>
  </x:mergeCells>
  <x:pageMargins left="0.7" right="0.7" top="0.75" bottom="0.75" header="0.3" footer="0.3"/>
  <x:drawing xmlns:r="http://schemas.openxmlformats.org/officeDocument/2006/relationships" r:id="R7c753e1ae6cb4c4b"/>
</x:worksheet>
</file>