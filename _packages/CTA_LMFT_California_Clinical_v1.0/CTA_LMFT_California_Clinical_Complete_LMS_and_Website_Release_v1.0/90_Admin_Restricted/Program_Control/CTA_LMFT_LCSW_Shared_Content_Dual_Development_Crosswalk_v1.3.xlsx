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2.xml" ContentType="application/vnd.openxmlformats-officedocument.drawing+xml"/>
  <Override PartName="/xl/drawings/charts/chart2.xml" ContentType="application/vnd.openxmlformats-officedocument.drawingml.chart+xml"/>
  <Override PartName="/xl/drawings/charts/chart3.xml" ContentType="application/vnd.openxmlformats-officedocument.drawingml.char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748917ddafa454d" /></Relationships>
</file>

<file path=xl/workbook.xml><?xml version="1.0" encoding="utf-8"?>
<x:workbook xmlns:x="http://schemas.openxmlformats.org/spreadsheetml/2006/main">
  <x:sheets>
    <x:sheet xmlns:r="http://schemas.openxmlformats.org/officeDocument/2006/relationships" name="Executive Summary" sheetId="1" r:id="R7e287f9c98af4529"/>
    <x:sheet xmlns:r="http://schemas.openxmlformats.org/officeDocument/2006/relationships" name="Topic Crosswalk" sheetId="2" r:id="R1f845a004faf4c73"/>
    <x:sheet xmlns:r="http://schemas.openxmlformats.org/officeDocument/2006/relationships" name="Blueprint Comparison" sheetId="3" r:id="R5d10be8c984d4784"/>
    <x:sheet xmlns:r="http://schemas.openxmlformats.org/officeDocument/2006/relationships" name="Workbook Architecture" sheetId="4" r:id="R10a2424adb2d402b"/>
    <x:sheet xmlns:r="http://schemas.openxmlformats.org/officeDocument/2006/relationships" name="Source Register" sheetId="5" r:id="R9f401f04fd6e425b"/>
    <x:sheet xmlns:r="http://schemas.openxmlformats.org/officeDocument/2006/relationships" name="Development Dashboard" sheetId="6" r:id="Rcb699b4a7cc74d70"/>
    <x:sheet xmlns:r="http://schemas.openxmlformats.org/officeDocument/2006/relationships" name="Release Control" sheetId="7" r:id="Rc739c87693a54d1b"/>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13">
    <x:font>
      <x:sz val="11"/>
      <x:name val="Carlito"/>
    </x:font>
    <x:font>
      <x:b/>
      <x:sz val="18"/>
      <x:color rgb="FFFFFFFF"/>
      <x:name val="Carlito"/>
    </x:font>
    <x:font>
      <x:i/>
      <x:sz val="11"/>
      <x:color rgb="FF1F2937"/>
      <x:name val="Carlito"/>
    </x:font>
    <x:font>
      <x:b/>
      <x:sz val="11"/>
      <x:color rgb="FFFFFFFF"/>
      <x:name val="Carlito"/>
    </x:font>
    <x:font>
      <x:b/>
      <x:sz val="11"/>
      <x:name val="Carlito"/>
    </x:font>
    <x:font>
      <x:b/>
      <x:sz val="11"/>
      <x:color rgb="FF1F2937"/>
      <x:name val="Carlito"/>
    </x:font>
    <x:font>
      <x:b/>
      <x:sz val="17"/>
      <x:color rgb="FFFFFFFF"/>
      <x:name val="Carlito"/>
    </x:font>
    <x:font>
      <x:b/>
      <x:sz val="16"/>
      <x:color rgb="FFFFFFFF"/>
      <x:name val="Carlito"/>
    </x:font>
    <x:font>
      <x:b/>
      <x:sz val="13"/>
      <x:color rgb="FFFFFFFF"/>
      <x:name val="Carlito"/>
    </x:font>
    <x:font>
      <x:b/>
      <x:sz val="10"/>
      <x:color rgb="FFFFFFFF"/>
      <x:name val="Montserrat"/>
    </x:font>
    <x:font>
      <x:sz val="10"/>
      <x:name val="Montserrat"/>
    </x:font>
    <x:font>
      <x:b/>
      <x:sz val="16"/>
      <x:color rgb="FFFFFFFF"/>
      <x:name val="Montserrat"/>
    </x:font>
    <x:font>
      <x:b/>
      <x:sz val="13"/>
      <x:color rgb="FFFFFFFF"/>
      <x:name val="Montserrat"/>
    </x:font>
  </x:fonts>
  <x:fills count="12">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1F4E78"/>
      </x:patternFill>
    </x:fill>
    <x:fill>
      <x:patternFill patternType="solid">
        <x:fgColor rgb="FF0E7490"/>
      </x:patternFill>
    </x:fill>
    <x:fill>
      <x:patternFill patternType="solid">
        <x:fgColor rgb="FF9C1C2B"/>
      </x:patternFill>
    </x:fill>
    <x:fill>
      <x:patternFill patternType="solid">
        <x:fgColor rgb="FFD9A441"/>
      </x:patternFill>
    </x:fill>
    <x:fill>
      <x:patternFill patternType="solid">
        <x:fgColor rgb="FFFFF2CC"/>
      </x:patternFill>
    </x:fill>
    <x:fill>
      <x:patternFill patternType="solid">
        <x:fgColor rgb="FFFFF2CC"/>
      </x:patternFill>
    </x:fill>
    <x:fill>
      <x:patternFill patternType="solid">
        <x:fgColor rgb="FF14294B"/>
      </x:patternFill>
    </x:fill>
    <x:fill>
      <x:patternFill patternType="solid">
        <x:fgColor rgb="FF1B9E9A"/>
      </x:patternFill>
    </x:fill>
  </x:fills>
  <x:borders count="2">
    <x:border/>
    <x:border/>
  </x:borders>
  <x:cellStyleXfs count="1">
    <x:xf numFmtId="0" fontId="0" fillId="0" borderId="0"/>
  </x:cellStyleXfs>
  <x:cellXfs count="105">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center"/>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horizontal="center"/>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1" xfId="0" applyNumberFormat="1" applyFont="1" applyFill="1" applyBorder="1"/>
    <x:xf numFmtId="0" fontId="3" fillId="2" borderId="1" xfId="0" applyNumberFormat="1" applyFont="1" applyFill="1" applyBorder="1" applyAlignment="1">
      <x:alignment wrapText="1"/>
    </x:xf>
    <x:xf numFmtId="0" fontId="0" fillId="0" borderId="0"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5" borderId="0" xfId="0" applyNumberFormat="1" applyFont="1" applyFill="1" applyBorder="1"/>
    <x:xf numFmtId="0" fontId="3" fillId="5" borderId="0" xfId="0" applyNumberFormat="1" applyFont="1" applyFill="1" applyBorder="1"/>
    <x:xf numFmtId="0" fontId="3" fillId="5" borderId="0" xfId="0" applyNumberFormat="1" applyFont="1" applyFill="1" applyBorder="1" applyAlignment="1">
      <x:alignment horizontal="center"/>
    </x:xf>
    <x:xf numFmtId="0" fontId="0" fillId="5" borderId="1" xfId="0" applyNumberFormat="1" applyFont="1" applyFill="1" applyBorder="1"/>
    <x:xf numFmtId="0" fontId="3" fillId="5" borderId="1" xfId="0" applyNumberFormat="1" applyFont="1" applyFill="1" applyBorder="1"/>
    <x:xf numFmtId="0" fontId="3" fillId="5" borderId="1" xfId="0" applyNumberFormat="1" applyFont="1" applyFill="1" applyBorder="1" applyAlignment="1">
      <x:alignment horizontal="center"/>
    </x:xf>
    <x:xf numFmtId="200" fontId="0" fillId="0" borderId="0" xfId="0" applyNumberFormat="1" applyFont="1" applyFill="1" applyBorder="1"/>
    <x:xf numFmtId="200" fontId="0" fillId="0" borderId="1" xfId="0" applyNumberFormat="1" applyFont="1" applyFill="1" applyBorder="1"/>
    <x:xf numFmtId="0" fontId="4" fillId="0" borderId="0" xfId="0" applyNumberFormat="1" applyFont="1" applyFill="1" applyBorder="1"/>
    <x:xf numFmtId="0" fontId="4" fillId="0" borderId="1" xfId="0" applyNumberFormat="1" applyFont="1" applyFill="1" applyBorder="1"/>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horizontal="center"/>
    </x:xf>
    <x:xf numFmtId="0" fontId="0" fillId="6" borderId="1" xfId="0" applyNumberFormat="1" applyFont="1" applyFill="1" applyBorder="1"/>
    <x:xf numFmtId="0" fontId="3" fillId="6" borderId="1" xfId="0" applyNumberFormat="1" applyFont="1" applyFill="1" applyBorder="1"/>
    <x:xf numFmtId="0" fontId="3" fillId="6" borderId="1" xfId="0" applyNumberFormat="1" applyFont="1" applyFill="1" applyBorder="1" applyAlignment="1">
      <x:alignment horizontal="center"/>
    </x:xf>
    <x:xf numFmtId="0" fontId="0" fillId="7" borderId="0" xfId="0" applyNumberFormat="1" applyFont="1" applyFill="1" applyBorder="1"/>
    <x:xf numFmtId="0" fontId="5" fillId="7" borderId="0" xfId="0" applyNumberFormat="1" applyFont="1" applyFill="1" applyBorder="1"/>
    <x:xf numFmtId="0" fontId="5" fillId="7" borderId="0" xfId="0" applyNumberFormat="1" applyFont="1" applyFill="1" applyBorder="1" applyAlignment="1">
      <x:alignment horizontal="center"/>
    </x:xf>
    <x:xf numFmtId="0" fontId="0" fillId="7" borderId="1" xfId="0" applyNumberFormat="1" applyFont="1" applyFill="1" applyBorder="1"/>
    <x:xf numFmtId="0" fontId="5" fillId="7" borderId="1" xfId="0" applyNumberFormat="1" applyFont="1" applyFill="1" applyBorder="1"/>
    <x:xf numFmtId="0" fontId="5" fillId="7" borderId="1" xfId="0" applyNumberFormat="1" applyFont="1" applyFill="1" applyBorder="1" applyAlignment="1">
      <x:alignment horizontal="center"/>
    </x:xf>
    <x:xf numFmtId="0" fontId="0" fillId="8" borderId="0" xfId="0" applyNumberFormat="1" applyFont="1" applyFill="1" applyBorder="1" applyAlignment="1">
      <x:alignment wrapText="1"/>
    </x:xf>
    <x:xf numFmtId="0" fontId="4" fillId="8" borderId="0" xfId="0" applyNumberFormat="1" applyFont="1" applyFill="1" applyBorder="1" applyAlignment="1">
      <x:alignment wrapText="1"/>
    </x:xf>
    <x:xf numFmtId="0" fontId="0" fillId="8" borderId="1" xfId="0" applyNumberFormat="1" applyFont="1" applyFill="1" applyBorder="1" applyAlignment="1">
      <x:alignment wrapText="1"/>
    </x:xf>
    <x:xf numFmtId="0" fontId="4" fillId="8" borderId="1"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0" fontId="3" fillId="2" borderId="1" xfId="0" applyNumberFormat="1" applyFont="1" applyFill="1" applyBorder="1" applyAlignment="1">
      <x:alignment horizontal="center" wrapText="1"/>
    </x:xf>
    <x:xf numFmtId="0" fontId="3" fillId="2" borderId="1" xfId="0" applyNumberFormat="1" applyFont="1" applyFill="1" applyBorder="1" applyAlignment="1">
      <x:alignment horizontal="center" vertical="center" wrapText="1"/>
    </x:xf>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0" fontId="3"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0" fontId="3"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0" fontId="6" fillId="2" borderId="0" xfId="0" applyNumberFormat="1" applyFont="1" applyFill="1" applyBorder="1"/>
    <x:xf numFmtId="0" fontId="6" fillId="2" borderId="0" xfId="0" applyNumberFormat="1" applyFont="1" applyFill="1" applyBorder="1" applyAlignment="1">
      <x:alignment horizontal="center"/>
    </x:xf>
    <x:xf numFmtId="0" fontId="6" fillId="2" borderId="0" xfId="0" applyNumberFormat="1" applyFont="1" applyFill="1" applyBorder="1" applyAlignment="1">
      <x:alignment horizontal="center" vertical="center"/>
    </x:xf>
    <x:xf numFmtId="0" fontId="6" fillId="2" borderId="1" xfId="0" applyNumberFormat="1" applyFont="1" applyFill="1" applyBorder="1"/>
    <x:xf numFmtId="0" fontId="6" fillId="2" borderId="1" xfId="0" applyNumberFormat="1" applyFont="1" applyFill="1" applyBorder="1" applyAlignment="1">
      <x:alignment horizontal="center"/>
    </x:xf>
    <x:xf numFmtId="0" fontId="6" fillId="2" borderId="1" xfId="0" applyNumberFormat="1" applyFont="1" applyFill="1" applyBorder="1" applyAlignment="1">
      <x:alignment horizontal="center" vertical="center"/>
    </x:xf>
    <x:xf numFmtId="0" fontId="3" fillId="7" borderId="0" xfId="0" applyNumberFormat="1" applyFont="1" applyFill="1" applyBorder="1" applyAlignment="1">
      <x:alignment horizontal="center"/>
    </x:xf>
    <x:xf numFmtId="0" fontId="3" fillId="7" borderId="1" xfId="0" applyNumberFormat="1" applyFont="1" applyFill="1" applyBorder="1" applyAlignment="1">
      <x:alignment horizontal="center"/>
    </x:xf>
    <x:xf numFmtId="0" fontId="3" fillId="4" borderId="0" xfId="0" applyNumberFormat="1" applyFont="1" applyFill="1" applyBorder="1" applyAlignment="1">
      <x:alignment wrapText="1"/>
    </x:xf>
    <x:xf numFmtId="0" fontId="3" fillId="4" borderId="1" xfId="0" applyNumberFormat="1" applyFont="1" applyFill="1" applyBorder="1" applyAlignment="1">
      <x:alignment wrapText="1"/>
    </x:xf>
    <x:xf numFmtId="0" fontId="0" fillId="9" borderId="0" xfId="0" applyNumberFormat="1" applyFont="1" applyFill="1" applyBorder="1"/>
    <x:xf numFmtId="0" fontId="2" fillId="9" borderId="0" xfId="0" applyNumberFormat="1" applyFont="1" applyFill="1" applyBorder="1"/>
    <x:xf numFmtId="0" fontId="2" fillId="9" borderId="0" xfId="0" applyNumberFormat="1" applyFont="1" applyFill="1" applyBorder="1" applyAlignment="1">
      <x:alignment wrapText="1"/>
    </x:xf>
    <x:xf numFmtId="0" fontId="0" fillId="8" borderId="0" xfId="0" applyNumberFormat="1" applyFont="1" applyFill="1" applyBorder="1"/>
    <x:xf numFmtId="0" fontId="2" fillId="8" borderId="0" xfId="0" applyNumberFormat="1" applyFont="1" applyFill="1" applyBorder="1"/>
    <x:xf numFmtId="0" fontId="2" fillId="8" borderId="0" xfId="0" applyNumberFormat="1" applyFont="1" applyFill="1" applyBorder="1" applyAlignment="1">
      <x:alignment wrapText="1"/>
    </x:xf>
    <x:xf numFmtId="0" fontId="0" fillId="10" borderId="0" xfId="0" applyNumberFormat="1" applyFont="1" applyFill="1" applyBorder="1"/>
    <x:xf numFmtId="0" fontId="7" fillId="10" borderId="0" xfId="0" applyNumberFormat="1" applyFont="1" applyFill="1" applyBorder="1"/>
    <x:xf numFmtId="0" fontId="7" fillId="10" borderId="0" xfId="0" applyNumberFormat="1" applyFont="1" applyFill="1" applyBorder="1" applyAlignment="1">
      <x:alignment horizontal="center"/>
    </x:xf>
    <x:xf numFmtId="0" fontId="7" fillId="10" borderId="0" xfId="0" applyNumberFormat="1" applyFont="1" applyFill="1" applyBorder="1" applyAlignment="1">
      <x:alignment horizontal="center" vertical="center"/>
    </x:xf>
    <x:xf numFmtId="0" fontId="3" fillId="10" borderId="0" xfId="0" applyNumberFormat="1" applyFont="1" applyFill="1" applyBorder="1"/>
    <x:xf numFmtId="0" fontId="3" fillId="10" borderId="0" xfId="0" applyNumberFormat="1" applyFont="1" applyFill="1" applyBorder="1" applyAlignment="1">
      <x:alignment horizontal="center"/>
    </x:xf>
    <x:xf numFmtId="0" fontId="3" fillId="10" borderId="0" xfId="0" applyNumberFormat="1" applyFont="1" applyFill="1" applyBorder="1" applyAlignment="1">
      <x:alignment horizontal="center" vertical="center"/>
    </x:xf>
    <x:xf numFmtId="0" fontId="3" fillId="10" xfId="0" applyNumberFormat="1" applyFont="1" applyFill="1" applyBorder="0" applyAlignment="1">
      <x:alignment horizontal="center" vertical="center"/>
    </x:xf>
    <x:xf numFmtId="0" fontId="0" fillId="0" xfId="0" applyNumberFormat="1" applyFont="1" applyFill="1" applyBorder="0" applyAlignment="1">
      <x:alignment wrapText="1"/>
    </x:xf>
    <x:xf numFmtId="0" fontId="0" fillId="11" borderId="0" xfId="0" applyNumberFormat="1" applyFont="1" applyFill="1" applyBorder="1"/>
    <x:xf numFmtId="0" fontId="8" fillId="11" borderId="0" xfId="0" applyNumberFormat="1" applyFont="1" applyFill="1" applyBorder="1"/>
    <x:xf numFmtId="0" fontId="8" fillId="11" borderId="0" xfId="0" applyNumberFormat="1" applyFont="1" applyFill="1" applyBorder="1" applyAlignment="1">
      <x:alignment horizontal="left"/>
    </x:xf>
    <x:xf numFmtId="0" fontId="9" fillId="10" borderId="0" xfId="0" applyNumberFormat="1" applyFont="1" applyFill="1" applyBorder="1" applyAlignment="1">
      <x:alignment horizontal="center" vertical="center"/>
    </x:xf>
    <x:xf numFmtId="0" fontId="10" fillId="0" borderId="0" xfId="0" applyNumberFormat="1" applyFont="1" applyFill="1" applyBorder="1"/>
    <x:xf numFmtId="0" fontId="9" fillId="10" xfId="0" applyNumberFormat="1" applyFont="1" applyFill="1" applyBorder="0" applyAlignment="1">
      <x:alignment horizontal="center" vertical="center"/>
    </x:xf>
    <x:xf numFmtId="0" fontId="10" fillId="0" xfId="0" applyNumberFormat="1" applyFont="1" applyFill="1" applyBorder="0" applyAlignment="1">
      <x:alignment wrapText="1"/>
    </x:xf>
    <x:xf numFmtId="0" fontId="9" fillId="11" borderId="0" xfId="0" applyNumberFormat="1" applyFont="1" applyFill="1" applyBorder="1" applyAlignment="1">
      <x:alignment horizontal="left"/>
    </x:xf>
    <x:xf numFmtId="0" fontId="10" fillId="0" borderId="0" xfId="0" applyNumberFormat="1" applyFont="1" applyFill="1" applyBorder="1" applyAlignment="1">
      <x:alignment vertical="top" wrapText="1"/>
    </x:xf>
    <x:xf numFmtId="0" fontId="11" fillId="10" borderId="0" xfId="0" applyNumberFormat="1" applyFont="1" applyFill="1" applyBorder="1" applyAlignment="1">
      <x:alignment horizontal="center" vertical="center"/>
    </x:xf>
    <x:xf numFmtId="0" fontId="12" fillId="11" borderId="0" xfId="0" applyNumberFormat="1" applyFont="1" applyFill="1" applyBorder="1" applyAlignment="1">
      <x:alignment horizontal="left"/>
    </x:xf>
  </x:cellXfs>
  <x:cellStyles count="1">
    <x:cellStyle name="Normal" xfId="0"/>
  </x:cellStyles>
  <x:dxfs count="6">
    <x:dxf>
      <x:fill>
        <x:patternFill>
          <x:bgColor rgb="FFD9EDEB"/>
        </x:patternFill>
      </x:fill>
    </x:dxf>
    <x:dxf>
      <x:fill>
        <x:patternFill>
          <x:bgColor rgb="FFD9EAF7"/>
        </x:patternFill>
      </x:fill>
    </x:dxf>
    <x:dxf>
      <x:fill>
        <x:patternFill>
          <x:bgColor rgb="FFFFF2CC"/>
        </x:patternFill>
      </x:fill>
    </x:dxf>
    <x:dxf>
      <x:fill>
        <x:patternFill>
          <x:bgColor rgb="FFF4D7DC"/>
        </x:patternFill>
      </x:fill>
    </x:dxf>
    <x:dxf>
      <x:font>
        <x:b/>
      </x:font>
      <x:fill>
        <x:patternFill>
          <x:bgColor rgb="FFD9EAD3"/>
        </x:patternFill>
      </x:fill>
    </x:dxf>
    <x:dxf>
      <x:fill>
        <x:patternFill>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98b388abc8b4324" /><Relationship Type="http://schemas.openxmlformats.org/officeDocument/2006/relationships/theme" Target="/xl/theme/theme1.xml" Id="R7fac4933c82c420e" /><Relationship Type="http://schemas.openxmlformats.org/officeDocument/2006/relationships/sharedStrings" Target="/xl/sharedStrings.xml" Id="R6751f7782f26425e" /><Relationship Type="http://schemas.openxmlformats.org/officeDocument/2006/relationships/worksheet" Target="/xl/worksheets/sheet1.xml" Id="R7e287f9c98af4529" /><Relationship Type="http://schemas.openxmlformats.org/officeDocument/2006/relationships/worksheet" Target="/xl/worksheets/sheet2.xml" Id="R1f845a004faf4c73" /><Relationship Type="http://schemas.openxmlformats.org/officeDocument/2006/relationships/worksheet" Target="/xl/worksheets/sheet3.xml" Id="R5d10be8c984d4784" /><Relationship Type="http://schemas.openxmlformats.org/officeDocument/2006/relationships/worksheet" Target="/xl/worksheets/sheet4.xml" Id="R10a2424adb2d402b" /><Relationship Type="http://schemas.openxmlformats.org/officeDocument/2006/relationships/worksheet" Target="/xl/worksheets/sheet5.xml" Id="R9f401f04fd6e425b" /><Relationship Type="http://schemas.openxmlformats.org/officeDocument/2006/relationships/worksheet" Target="/xl/worksheets/sheet6.xml" Id="Rcb699b4a7cc74d70" /><Relationship Type="http://schemas.openxmlformats.org/officeDocument/2006/relationships/worksheet" Target="/xl/worksheets/sheet7.xml" Id="Rc739c87693a54d1b" /></Relationships>
</file>

<file path=xl/drawings/_rels/drawing1.xml.rels>&#65279;<?xml version="1.0" encoding="utf-8"?><Relationships xmlns="http://schemas.openxmlformats.org/package/2006/relationships"><Relationship Type="http://schemas.openxmlformats.org/officeDocument/2006/relationships/chart" Target="/xl/drawings/charts/chart1.xml" Id="Rcb2e0cfb59204c88" /></Relationships>
</file>

<file path=xl/drawings/_rels/drawing2.xml.rels>&#65279;<?xml version="1.0" encoding="utf-8"?><Relationships xmlns="http://schemas.openxmlformats.org/package/2006/relationships"><Relationship Type="http://schemas.openxmlformats.org/officeDocument/2006/relationships/chart" Target="/xl/drawings/charts/chart2.xml" Id="R8cd40dc780fa4405" /><Relationship Type="http://schemas.openxmlformats.org/officeDocument/2006/relationships/chart" Target="/xl/drawings/charts/chart3.xml" Id="R4afd0d9df86b4ab6" /></Relationships>
</file>

<file path=xl/drawings/charts/chart1.xml><?xml version="1.0" encoding="utf-8"?>
<c:chartSpace xmlns:c="http://schemas.openxmlformats.org/drawingml/2006/chart">
  <c:lang val="en-US"/>
  <c:roundedCorners val="0"/>
  <c:chart>
    <c:plotArea>
      <c:layout/>
      <c:barChart>
        <c:barDir val="col"/>
        <c:grouping val="clustered"/>
        <c:varyColors val="0"/>
        <c:ser>
          <c:idx val="0"/>
          <c:order val="0"/>
          <c:tx>
            <c:v>Topics</c:v>
          </c:tx>
          <c:cat>
            <c:strRef>
              <c:f>'Executive Summary'!$F$8:$F$11</c:f>
              <c:strCache>
                <c:ptCount val="0"/>
              </c:strCache>
            </c:strRef>
          </c:cat>
          <c:val>
            <c:numRef>
              <c:f>'Executive Summary'!$G$8:$G$11</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plotArea>
      <c:layout/>
      <c:barChart>
        <c:barDir val="col"/>
        <c:grouping val="clustered"/>
        <c:varyColors val="0"/>
        <c:ser>
          <c:idx val="0"/>
          <c:order val="0"/>
          <c:tx>
            <c:v>Topics</c:v>
          </c:tx>
          <c:cat>
            <c:strRef>
              <c:f>'Development Dashboard'!$A$5:$A$8</c:f>
              <c:strCache>
                <c:ptCount val="0"/>
              </c:strCache>
            </c:strRef>
          </c:cat>
          <c:val>
            <c:numRef>
              <c:f>'Development Dashboard'!$B$5:$B$8</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plotArea>
      <c:layout/>
      <c:barChart>
        <c:barDir val="col"/>
        <c:varyColors val="0"/>
        <c:ser>
          <c:idx val="0"/>
          <c:order val="0"/>
          <c:tx>
            <c:v>Count</c:v>
          </c:tx>
          <c:cat>
            <c:strRef>
              <c:f>'Development Dashboard'!$F$5:$F$11</c:f>
              <c:strCache>
                <c:ptCount val="0"/>
              </c:strCache>
            </c:strRef>
          </c:cat>
          <c:val>
            <c:numRef>
              <c:f>'Development Dashboard'!$G$5:$G$11</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9</xdr:col>
      <xdr:colOff>0</xdr:colOff>
      <xdr:row>4</xdr:row>
      <xdr:rowOff>0</xdr:rowOff>
    </xdr:from>
    <xdr:to>
      <xdr:col>16</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b2e0cfb59204c88"/>
        </a:graphicData>
      </a:graphic>
    </xdr:graphicFrame>
    <xdr:clientData/>
  </xdr:twoCellAnchor>
</xdr:wsDr>
</file>

<file path=xl/drawings/drawing2.xml><?xml version="1.0" encoding="utf-8"?>
<xdr:wsDr xmlns:xdr="http://schemas.openxmlformats.org/drawingml/2006/spreadsheetDrawing">
  <xdr:twoCellAnchor>
    <xdr:from>
      <xdr:col>8</xdr:col>
      <xdr:colOff>0</xdr:colOff>
      <xdr:row>3</xdr:row>
      <xdr:rowOff>0</xdr:rowOff>
    </xdr:from>
    <xdr:to>
      <xdr:col>15</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cd40dc780fa4405"/>
        </a:graphicData>
      </a:graphic>
    </xdr:graphicFrame>
    <xdr:clientData/>
  </xdr:twoCellAnchor>
  <xdr:twoCellAnchor>
    <xdr:from>
      <xdr:col>8</xdr:col>
      <xdr:colOff>0</xdr:colOff>
      <xdr:row>19</xdr:row>
      <xdr:rowOff>0</xdr:rowOff>
    </xdr:from>
    <xdr:to>
      <xdr:col>15</xdr:col>
      <xdr:colOff>0</xdr:colOff>
      <xdr:row>36</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afd0d9df86b4ab6"/>
        </a:graphicData>
      </a:graphic>
    </xdr:graphicFrame>
    <xdr:clientData/>
  </xdr:twoCellAnchor>
</xdr:wsDr>
</file>

<file path=xl/tables/table1.xml><?xml version="1.0" encoding="utf-8"?>
<x:table xmlns:x="http://schemas.openxmlformats.org/spreadsheetml/2006/main" id="1" name="DualExamTopicCrosswalk" displayName="DualExamTopicCrosswalk" ref="A1:M65" headerRowCount="1">
  <x:tableColumns count="13">
    <x:tableColumn id="1" name="ID"/>
    <x:tableColumn id="2" name="Topic Cluster"/>
    <x:tableColumn id="3" name="Classification"/>
    <x:tableColumn id="4" name="Reusable Foundation %"/>
    <x:tableColumn id="5" name="Shared Draft Unit"/>
    <x:tableColumn id="6" name="LMFT Mapping"/>
    <x:tableColumn id="7" name="LCSW 2026 Mapping"/>
    <x:tableColumn id="8" name="Reusable Clinical Foundation"/>
    <x:tableColumn id="9" name="LMFT-Specific Adaptation"/>
    <x:tableColumn id="10" name="LCSW-Specific Adaptation"/>
    <x:tableColumn id="11" name="Question-Bank Rule"/>
    <x:tableColumn id="12" name="Development Status"/>
    <x:tableColumn id="13" name="Note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e3cd251d11bc4813" /></Relationships>
</file>

<file path=xl/worksheets/_rels/sheet2.xml.rels>&#65279;<?xml version="1.0" encoding="utf-8"?><Relationships xmlns="http://schemas.openxmlformats.org/package/2006/relationships"><Relationship Type="http://schemas.openxmlformats.org/officeDocument/2006/relationships/table" Target="/xl/tables/table1.xml" Id="R00cdb75d1594463f" /></Relationships>
</file>

<file path=xl/worksheets/_rels/sheet6.xml.rels>&#65279;<?xml version="1.0" encoding="utf-8"?><Relationships xmlns="http://schemas.openxmlformats.org/package/2006/relationships"><Relationship Type="http://schemas.openxmlformats.org/officeDocument/2006/relationships/drawing" Target="/xl/drawings/drawing2.xml" Id="R3cb80b425f59443e" /></Relationships>
</file>

<file path=xl/worksheets/sheet1.xml><?xml version="1.0" encoding="utf-8"?>
<x:worksheet xmlns:x="http://schemas.openxmlformats.org/spreadsheetml/2006/main">
  <x:sheetFormatPr defaultRowHeight="15"/>
  <x:cols>
    <x:col min="1" max="1" width="31" hidden="0" customWidth="1"/>
    <x:col min="2" max="2" width="38" hidden="0" customWidth="1"/>
    <x:col min="3" max="3" width="18" hidden="0" customWidth="1"/>
    <x:col min="4" max="4" width="40" hidden="0" customWidth="1"/>
    <x:col min="5" max="5" width="40" hidden="0" customWidth="1"/>
    <x:col min="6" max="6" width="18" hidden="0" customWidth="1"/>
    <x:col min="7" max="7" width="32" hidden="0" customWidth="1"/>
    <x:col min="8" max="8" width="16" hidden="0" customWidth="1"/>
  </x:cols>
  <x:sheetData>
    <x:row r="1">
      <x:c r="A1" s="6" t="str">
        <x:v>CTA LMFT–LCSW Exam Preparation
Shared Content and Dual-Development Crosswalk</x:v>
      </x:c>
      <x:c r="B1" s="6"/>
      <x:c r="C1" s="6"/>
      <x:c r="D1" s="6"/>
      <x:c r="E1" s="6"/>
      <x:c r="F1" s="6"/>
      <x:c r="G1" s="6"/>
      <x:c r="H1" s="6"/>
    </x:row>
    <x:row r="2">
      <x:c r="A2" s="6"/>
      <x:c r="B2" s="6"/>
      <x:c r="C2" s="6"/>
      <x:c r="D2" s="6"/>
      <x:c r="E2" s="6"/>
      <x:c r="F2" s="6"/>
      <x:c r="G2" s="6"/>
      <x:c r="H2" s="6"/>
    </x:row>
    <x:row r="3">
      <x:c r="A3" s="14" t="str">
        <x:v>Development model: research and draft the reusable clinical foundation once, then create profession-specific LMFT and LCSW framing, legal/ethical content, examples, rationales, and question banks.</x:v>
      </x:c>
      <x:c r="B3" s="14"/>
      <x:c r="C3" s="14"/>
      <x:c r="D3" s="14"/>
      <x:c r="E3" s="14"/>
      <x:c r="F3" s="14"/>
      <x:c r="G3" s="14"/>
      <x:c r="H3" s="14"/>
    </x:row>
    <x:row r="5">
      <x:c r="A5" s="20" t="str">
        <x:v>Current Exam Structures</x:v>
      </x:c>
      <x:c r="B5" s="20"/>
      <x:c r="C5" s="20"/>
      <x:c r="D5" s="20"/>
      <x:c r="F5" s="33" t="str">
        <x:v>Dual-Development Metrics</x:v>
      </x:c>
      <x:c r="G5" s="33"/>
      <x:c r="H5" s="33"/>
    </x:row>
    <x:row r="6">
      <x:c r="A6" s="25" t="str">
        <x:v>Metric</x:v>
      </x:c>
      <x:c r="B6" s="25" t="str">
        <x:v>LMFT California Clinical</x:v>
      </x:c>
      <x:c r="C6" s="25" t="str">
        <x:v>LCSW ASWB Clinical</x:v>
      </x:c>
      <x:c r="D6" s="25" t="str">
        <x:v>Development Control</x:v>
      </x:c>
      <x:c r="F6" s="39" t="str">
        <x:v>Topics mapped</x:v>
      </x:c>
      <x:c r="G6" s="28" t="n">
        <x:f>COUNTA('Topic Crosswalk'!B:B)-1</x:f>
        <x:v>64</x:v>
      </x:c>
    </x:row>
    <x:row r="7">
      <x:c r="A7" s="29" t="str">
        <x:v>Scored questions</x:v>
      </x:c>
      <x:c r="B7" s="29" t="n">
        <x:v>125</x:v>
      </x:c>
      <x:c r="C7" s="29" t="n">
        <x:v>110</x:v>
      </x:c>
      <x:c r="D7" s="29" t="str">
        <x:v>Use official blueprint weights, not a guessed fixed item count by chapter.</x:v>
      </x:c>
      <x:c r="F7" s="39" t="str">
        <x:v>Estimated reusable foundation</x:v>
      </x:c>
      <x:c r="G7" s="37" t="n">
        <x:f>AVERAGE('Topic Crosswalk'!D2:D65)</x:f>
        <x:v>0.6210937499999998</x:v>
      </x:c>
    </x:row>
    <x:row r="8">
      <x:c r="A8" s="29" t="str">
        <x:v>Unscored questions</x:v>
      </x:c>
      <x:c r="B8" s="29" t="n">
        <x:v>25</x:v>
      </x:c>
      <x:c r="C8" s="29" t="n">
        <x:v>12</x:v>
      </x:c>
      <x:c r="D8" s="29" t="str">
        <x:v>Treat every item as scored during preparation.</x:v>
      </x:c>
      <x:c r="F8" s="39" t="str">
        <x:v>Shared Core topics</x:v>
      </x:c>
      <x:c r="G8" s="28" t="n">
        <x:f>COUNTIF('Topic Crosswalk'!C:C,"Shared Core")</x:f>
        <x:v>30</x:v>
      </x:c>
    </x:row>
    <x:row r="9">
      <x:c r="A9" s="29" t="str">
        <x:v>Total questions</x:v>
      </x:c>
      <x:c r="B9" s="29" t="n">
        <x:v>150</x:v>
      </x:c>
      <x:c r="C9" s="29" t="n">
        <x:v>122</x:v>
      </x:c>
      <x:c r="D9" s="29" t="str">
        <x:v>Build stamina and pacing for the applicable exam.</x:v>
      </x:c>
      <x:c r="F9" s="39" t="str">
        <x:v>Shared—Different Framing</x:v>
      </x:c>
      <x:c r="G9" s="28" t="n">
        <x:f>COUNTIF('Topic Crosswalk'!C:C,"Shared - Different Framing")</x:f>
        <x:v>17</x:v>
      </x:c>
    </x:row>
    <x:row r="10">
      <x:c r="A10" s="29" t="str">
        <x:v>Time</x:v>
      </x:c>
      <x:c r="B10" s="29" t="str">
        <x:v>240 minutes</x:v>
      </x:c>
      <x:c r="C10" s="29" t="str">
        <x:v>240 minutes</x:v>
      </x:c>
      <x:c r="D10" s="29" t="str">
        <x:v>LCSW 2026 format applies to exams on/after August 3, 2026.</x:v>
      </x:c>
      <x:c r="F10" s="39" t="str">
        <x:v>LMFT-Specific topics</x:v>
      </x:c>
      <x:c r="G10" s="28" t="n">
        <x:f>COUNTIF('Topic Crosswalk'!C:C,"LMFT-Specific")</x:f>
        <x:v>7</x:v>
      </x:c>
    </x:row>
    <x:row r="11">
      <x:c r="F11" s="39" t="str">
        <x:v>LCSW-Specific topics</x:v>
      </x:c>
      <x:c r="G11" s="28" t="n">
        <x:f>COUNTIF('Topic Crosswalk'!C:C,"LCSW-Specific")</x:f>
        <x:v>10</x:v>
      </x:c>
    </x:row>
    <x:row r="13">
      <x:c r="A13" s="43" t="str">
        <x:v>Recommended Product Architecture</x:v>
      </x:c>
      <x:c r="B13" s="43"/>
      <x:c r="C13" s="43"/>
      <x:c r="D13" s="43"/>
      <x:c r="E13" s="43"/>
      <x:c r="F13" s="43"/>
      <x:c r="G13" s="43"/>
      <x:c r="H13" s="43"/>
    </x:row>
    <x:row r="14">
      <x:c r="A14" s="25" t="str">
        <x:v>Layer</x:v>
      </x:c>
      <x:c r="B14" s="25" t="str">
        <x:v>Purpose</x:v>
      </x:c>
      <x:c r="C14" s="25" t="str">
        <x:v>Shared Draft?</x:v>
      </x:c>
      <x:c r="D14" s="25" t="str">
        <x:v>LMFT Adaptation</x:v>
      </x:c>
      <x:c r="E14" s="25" t="str">
        <x:v>LCSW Adaptation</x:v>
      </x:c>
      <x:c r="F14" s="25" t="str">
        <x:v>Question Bank</x:v>
      </x:c>
      <x:c r="G14" s="25" t="str">
        <x:v>Legal Source Control</x:v>
      </x:c>
      <x:c r="H14" s="25" t="str">
        <x:v>Status</x:v>
      </x:c>
    </x:row>
    <x:row r="15">
      <x:c r="A15" s="29" t="str">
        <x:v>Shared Clinical Foundation</x:v>
      </x:c>
      <x:c r="B15" s="29" t="str">
        <x:v>Research notes, explanations, examples, memory aids, and clinical decision rules.</x:v>
      </x:c>
      <x:c r="C15" s="29" t="str">
        <x:v>Yes</x:v>
      </x:c>
      <x:c r="D15" s="29" t="str">
        <x:v>Systemic and California-specific framing.</x:v>
      </x:c>
      <x:c r="E15" s="29" t="str">
        <x:v>Social work values, person-in-environment, and ASWB framing.</x:v>
      </x:c>
      <x:c r="F15" s="29" t="str">
        <x:v>No direct reuse</x:v>
      </x:c>
      <x:c r="G15" s="29" t="str">
        <x:v>Clinical evidence sources</x:v>
      </x:c>
      <x:c r="H15" s="29" t="str">
        <x:v>Complete</x:v>
      </x:c>
    </x:row>
    <x:row r="16">
      <x:c r="A16" s="29" t="str">
        <x:v>Exam Strategy</x:v>
      </x:c>
      <x:c r="B16" s="29" t="str">
        <x:v>Teach how to answer the exam that the candidate will actually take.</x:v>
      </x:c>
      <x:c r="C16" s="29" t="str">
        <x:v>Partial</x:v>
      </x:c>
      <x:c r="D16" s="29" t="str">
        <x:v>BBS/Pearson LMFT style and domains.</x:v>
      </x:c>
      <x:c r="E16" s="29" t="str">
        <x:v>ASWB qualifiers, applied knowledge, and 2026 structure.</x:v>
      </x:c>
      <x:c r="F16" s="29" t="str">
        <x:v>Separate</x:v>
      </x:c>
      <x:c r="G16" s="29" t="str">
        <x:v>Official handbooks</x:v>
      </x:c>
      <x:c r="H16" s="29" t="str">
        <x:v>Complete</x:v>
      </x:c>
    </x:row>
    <x:row r="17">
      <x:c r="A17" s="29" t="str">
        <x:v>Professional Ethics</x:v>
      </x:c>
      <x:c r="B17" s="29" t="str">
        <x:v>Teach overlapping concepts once, then fork into controlling frameworks.</x:v>
      </x:c>
      <x:c r="C17" s="29" t="str">
        <x:v>Partial</x:v>
      </x:c>
      <x:c r="D17" s="29" t="str">
        <x:v>California LMFT statutes/regulations and professional duties.</x:v>
      </x:c>
      <x:c r="E17" s="29" t="str">
        <x:v>ASWB Values and Ethics, NASW framework, and jurisdiction-sensitive reasoning.</x:v>
      </x:c>
      <x:c r="F17" s="29" t="str">
        <x:v>Separate</x:v>
      </x:c>
      <x:c r="G17" s="29" t="str">
        <x:v>Current profession-specific authorities</x:v>
      </x:c>
      <x:c r="H17" s="29" t="str">
        <x:v>Complete</x:v>
      </x:c>
    </x:row>
    <x:row r="18">
      <x:c r="A18" s="29" t="str">
        <x:v>Track Workbooks</x:v>
      </x:c>
      <x:c r="B18" s="29" t="str">
        <x:v>Profession-specific organization, examples, terminology, and emphasis.</x:v>
      </x:c>
      <x:c r="C18" s="29" t="str">
        <x:v>No</x:v>
      </x:c>
      <x:c r="D18" s="29" t="str">
        <x:v>12-workbook LMFT system.</x:v>
      </x:c>
      <x:c r="E18" s="29" t="str">
        <x:v>12-workbook LCSW system.</x:v>
      </x:c>
      <x:c r="F18" s="29" t="str">
        <x:v>Separate</x:v>
      </x:c>
      <x:c r="G18" s="29" t="str">
        <x:v>Blueprint-specific</x:v>
      </x:c>
      <x:c r="H18" s="29" t="str">
        <x:v>Complete</x:v>
      </x:c>
    </x:row>
    <x:row r="19">
      <x:c r="A19" s="29" t="str">
        <x:v>Mock Examinations</x:v>
      </x:c>
      <x:c r="B19" s="29" t="str">
        <x:v>Integrated readiness and pacing practice.</x:v>
      </x:c>
      <x:c r="C19" s="29" t="str">
        <x:v>No</x:v>
      </x:c>
      <x:c r="D19" s="29" t="str">
        <x:v>LMFT domain weighting and vignette style.</x:v>
      </x:c>
      <x:c r="E19" s="29" t="str">
        <x:v>LCSW 2026 weighting and applied-knowledge style.</x:v>
      </x:c>
      <x:c r="F19" s="29" t="str">
        <x:v>Separate</x:v>
      </x:c>
      <x:c r="G19" s="29" t="str">
        <x:v>Original CTA items only</x:v>
      </x:c>
      <x:c r="H19" s="29" t="str">
        <x:v>Complete</x:v>
      </x:c>
    </x:row>
    <x:row r="21">
      <x:c r="A21" s="49" t="str">
        <x:v>Non-Negotiable Development Rules</x:v>
      </x:c>
      <x:c r="B21" s="49"/>
      <x:c r="C21" s="49"/>
      <x:c r="D21" s="49"/>
      <x:c r="E21" s="49"/>
      <x:c r="F21" s="49"/>
      <x:c r="G21" s="49"/>
      <x:c r="H21" s="49"/>
    </x:row>
    <x:row r="22">
      <x:c r="A22" s="54" t="str">
        <x:v>Rule</x:v>
      </x:c>
      <x:c r="B22" s="54" t="str">
        <x:v>Why it matters</x:v>
      </x:c>
      <x:c r="C22" t="str"/>
      <x:c r="D22" t="str"/>
      <x:c r="E22" t="str"/>
      <x:c r="F22" t="str"/>
      <x:c r="G22" t="str"/>
      <x:c r="H22" t="str"/>
    </x:row>
    <x:row r="23">
      <x:c r="A23" s="29" t="str">
        <x:v>Write the shared explanation once; do not copy the finished chapter verbatim between programs.</x:v>
      </x:c>
      <x:c r="B23" s="29" t="str">
        <x:v>The professions use different organizing lenses and exam logic.</x:v>
      </x:c>
      <x:c r="C23" t="str"/>
      <x:c r="D23" t="str"/>
      <x:c r="E23" t="str"/>
      <x:c r="F23" t="str"/>
      <x:c r="G23" t="str"/>
      <x:c r="H23" t="str"/>
    </x:row>
    <x:row r="24">
      <x:c r="A24" s="29" t="str">
        <x:v>Maintain separate question banks and rationales.</x:v>
      </x:c>
      <x:c r="B24" s="29" t="str">
        <x:v>LMFT items should test systemic/California clinical reasoning; LCSW items should test applied social work knowledge and values.</x:v>
      </x:c>
      <x:c r="C24" t="str"/>
      <x:c r="D24" t="str"/>
      <x:c r="E24" t="str"/>
      <x:c r="F24" t="str"/>
      <x:c r="G24" t="str"/>
      <x:c r="H24" t="str"/>
    </x:row>
    <x:row r="25">
      <x:c r="A25" s="29" t="str">
        <x:v>Use the August 3, 2026 ASWB blueprint for the future-facing LCSW program.</x:v>
      </x:c>
      <x:c r="B25" s="29" t="str">
        <x:v>The official exam changes to 122 total questions and three content areas.</x:v>
      </x:c>
      <x:c r="C25" t="str"/>
      <x:c r="D25" t="str"/>
      <x:c r="E25" t="str"/>
      <x:c r="F25" t="str"/>
      <x:c r="G25" t="str"/>
      <x:c r="H25" t="str"/>
    </x:row>
    <x:row r="26">
      <x:c r="A26" s="29" t="str">
        <x:v>Perform separate legal and ethical audits before publication.</x:v>
      </x:c>
      <x:c r="B26" s="29" t="str">
        <x:v>California LMFT clinical law and the national ASWB Values and Ethics framework are not interchangeable.</x:v>
      </x:c>
      <x:c r="C26" t="str"/>
      <x:c r="D26" t="str"/>
      <x:c r="E26" t="str"/>
      <x:c r="F26" t="str"/>
      <x:c r="G26" t="str"/>
      <x:c r="H26" t="str"/>
    </x:row>
    <x:row r="28" ht="54" customHeight="1">
      <x:c r="A28" s="84" t="str">
        <x:v>Revision v1.3: Updated all 64 topic clusters and production phases to Final/Complete based on the July 25, 2026 LMFT and LCSW Master Program Index and Final Release Audits. Rechecked the ASWB 2026 examination structure on August 3, 2026. This crosswalk is an internal architecture and source-control tool.</x:v>
      </x:c>
      <x:c r="B28" s="84"/>
      <x:c r="C28" s="84"/>
      <x:c r="D28" s="84"/>
      <x:c r="E28" s="84"/>
      <x:c r="F28" s="84"/>
      <x:c r="G28" s="84"/>
      <x:c r="H28" s="84"/>
    </x:row>
  </x:sheetData>
  <x:mergeCells>
    <x:mergeCell ref="A1:H2"/>
    <x:mergeCell ref="A3:H3"/>
    <x:mergeCell ref="A5:D5"/>
    <x:mergeCell ref="F5:H5"/>
    <x:mergeCell ref="A13:H13"/>
    <x:mergeCell ref="A21:H21"/>
    <x:mergeCell ref="A28:H28"/>
  </x:mergeCells>
  <x:pageMargins left="0.7" right="0.7" top="0.75" bottom="0.75" header="0.3" footer="0.3"/>
  <x:drawing xmlns:r="http://schemas.openxmlformats.org/officeDocument/2006/relationships" r:id="Re3cd251d11bc4813"/>
</x:worksheet>
</file>

<file path=xl/worksheets/sheet2.xml><?xml version="1.0" encoding="utf-8"?>
<x:worksheet xmlns:x="http://schemas.openxmlformats.org/spreadsheetml/2006/main">
  <x:sheetFormatPr defaultRowHeight="15"/>
  <x:cols>
    <x:col min="1" max="1" width="7" hidden="0" customWidth="1"/>
    <x:col min="2" max="2" width="34" hidden="0" customWidth="1"/>
    <x:col min="3" max="3" width="25" hidden="0" customWidth="1"/>
    <x:col min="4" max="4" width="15" hidden="0" customWidth="1"/>
    <x:col min="5" max="5" width="16" hidden="0" customWidth="1"/>
    <x:col min="6" max="6" width="24" hidden="0" customWidth="1"/>
    <x:col min="7" max="7" width="24" hidden="0" customWidth="1"/>
    <x:col min="8" max="8" width="47" hidden="0" customWidth="1"/>
    <x:col min="9" max="9" width="48" hidden="0" customWidth="1"/>
    <x:col min="10" max="10" width="48" hidden="0" customWidth="1"/>
    <x:col min="11" max="11" width="31" hidden="0" customWidth="1"/>
    <x:col min="12" max="12" width="20" hidden="0" customWidth="1"/>
    <x:col min="13" max="13" width="26" hidden="0" customWidth="1"/>
  </x:cols>
  <x:sheetData>
    <x:row r="1">
      <x:c r="A1" s="63" t="str">
        <x:v>ID</x:v>
      </x:c>
      <x:c r="B1" s="63" t="str">
        <x:v>Topic Cluster</x:v>
      </x:c>
      <x:c r="C1" s="63" t="str">
        <x:v>Classification</x:v>
      </x:c>
      <x:c r="D1" s="63" t="str">
        <x:v>Reusable Foundation %</x:v>
      </x:c>
      <x:c r="E1" s="63" t="str">
        <x:v>Shared Draft Unit</x:v>
      </x:c>
      <x:c r="F1" s="63" t="str">
        <x:v>LMFT Mapping</x:v>
      </x:c>
      <x:c r="G1" s="63" t="str">
        <x:v>LCSW 2026 Mapping</x:v>
      </x:c>
      <x:c r="H1" s="63" t="str">
        <x:v>Reusable Clinical Foundation</x:v>
      </x:c>
      <x:c r="I1" s="63" t="str">
        <x:v>LMFT-Specific Adaptation</x:v>
      </x:c>
      <x:c r="J1" s="63" t="str">
        <x:v>LCSW-Specific Adaptation</x:v>
      </x:c>
      <x:c r="K1" s="63" t="str">
        <x:v>Question-Bank Rule</x:v>
      </x:c>
      <x:c r="L1" s="63" t="str">
        <x:v>Development Status</x:v>
      </x:c>
      <x:c r="M1" s="63" t="str">
        <x:v>Notes</x:v>
      </x:c>
    </x:row>
    <x:row r="2" ht="72" customHeight="1">
      <x:c r="A2" s="64" t="n">
        <x:v>1</x:v>
      </x:c>
      <x:c r="B2" s="64" t="str">
        <x:v>Question anatomy, qualifiers, and vignette reading</x:v>
      </x:c>
      <x:c r="C2" s="64" t="str">
        <x:v>Shared Core</x:v>
      </x:c>
      <x:c r="D2" s="65" t="n">
        <x:v>0.9</x:v>
      </x:c>
      <x:c r="E2" s="64" t="str">
        <x:v>SC1</x:v>
      </x:c>
      <x:c r="F2" s="64" t="str">
        <x:v>WB1; all domains</x:v>
      </x:c>
      <x:c r="G2" s="64" t="str">
        <x:v>LSW1; all content areas</x:v>
      </x:c>
      <x:c r="H2" s="64" t="str">
        <x:v>Teach stems, options, distractors, qualifiers, relevant facts, and one-best-answer reasoning.</x:v>
      </x:c>
      <x:c r="I2" s="64" t="str">
        <x:v>Emphasize BEST/NEXT/INITIAL systemic or clinical action and the LMFT domain being tested.</x:v>
      </x:c>
      <x:c r="J2" s="64" t="str">
        <x:v>Emphasize FIRST/NEXT/MOST appropriate social work action and applied knowledge.</x:v>
      </x:c>
      <x:c r="K2" s="64" t="str">
        <x:v>Use different stems, professions, and rationales; never duplicate secure exam content.</x:v>
      </x:c>
      <x:c r="L2" s="64" t="str">
        <x:v>Final</x:v>
      </x:c>
      <x:c r="M2" s="64" t="str">
        <x:v>Completion confirmed by the LMFT and LCSW Master Program Index and Final Release Audit v1.0 (July 25, 2026). Profession-specific workbooks, 17-question banks, and Forms A/B are complete. This crosswalk remains an administrative topic map; exact page-level evidence is controlled in the program source files.</x:v>
      </x:c>
    </x:row>
    <x:row r="3" ht="72" customHeight="1">
      <x:c r="A3" s="64" t="n">
        <x:v>2</x:v>
      </x:c>
      <x:c r="B3" s="64" t="str">
        <x:v>Clinical process sequencing</x:v>
      </x:c>
      <x:c r="C3" s="64" t="str">
        <x:v>Shared Core</x:v>
      </x:c>
      <x:c r="D3" s="65" t="n">
        <x:v>0.9</x:v>
      </x:c>
      <x:c r="E3" s="64" t="str">
        <x:v>SC1</x:v>
      </x:c>
      <x:c r="F3" s="64" t="str">
        <x:v>WB1; Domains 1-5</x:v>
      </x:c>
      <x:c r="G3" s="64" t="str">
        <x:v>LSW1; Areas II-III</x:v>
      </x:c>
      <x:c r="H3" s="64" t="str">
        <x:v>Assess before intervening unless immediate safety or a controlling legal duty requires action.</x:v>
      </x:c>
      <x:c r="I3" s="64" t="str">
        <x:v>Frame sequencing through systemic assessment, unit of treatment, hypothesis, plan, intervention, evaluation.</x:v>
      </x:c>
      <x:c r="J3" s="64" t="str">
        <x:v>Frame sequencing through engagement, assessment, client participation, planning, intervention, evaluation, and referral.</x:v>
      </x:c>
      <x:c r="K3" s="64" t="str">
        <x:v>Rewrite separately for each exam track.</x:v>
      </x:c>
      <x:c r="L3" s="64" t="str">
        <x:v>Final</x:v>
      </x:c>
      <x:c r="M3" s="64" t="str">
        <x:v>Completion confirmed by the LMFT and LCSW Master Program Index and Final Release Audit v1.0 (July 25, 2026). Profession-specific workbooks, 17-question banks, and Forms A/B are complete. This crosswalk remains an administrative topic map; exact page-level evidence is controlled in the program source files.</x:v>
      </x:c>
    </x:row>
    <x:row r="4" ht="72" customHeight="1">
      <x:c r="A4" s="64" t="n">
        <x:v>3</x:v>
      </x:c>
      <x:c r="B4" s="64" t="str">
        <x:v>Therapeutic alliance and rapport</x:v>
      </x:c>
      <x:c r="C4" s="64" t="str">
        <x:v>Shared Core</x:v>
      </x:c>
      <x:c r="D4" s="65" t="n">
        <x:v>0.9</x:v>
      </x:c>
      <x:c r="E4" s="64" t="str">
        <x:v>SC3</x:v>
      </x:c>
      <x:c r="F4" s="64" t="str">
        <x:v>WB2; Domain 1A</x:v>
      </x:c>
      <x:c r="G4" s="64" t="str">
        <x:v>LSW4/LSW8; IIIA</x:v>
      </x:c>
      <x:c r="H4" s="64" t="str">
        <x:v>Alliance-building, empathy, acceptance, validation, collaboration, and repair.</x:v>
      </x:c>
      <x:c r="I4" s="64" t="str">
        <x:v>Include multi-person alliances, balanced joining, and relational neutrality.</x:v>
      </x:c>
      <x:c r="J4" s="64" t="str">
        <x:v>Include client/client-system engagement, self-determination, and service-setting considerations.</x:v>
      </x:c>
      <x:c r="K4" s="64" t="str">
        <x:v>Rewrite separately for each exam track.</x:v>
      </x:c>
      <x:c r="L4" s="64" t="str">
        <x:v>Final</x:v>
      </x:c>
      <x:c r="M4" s="64" t="str">
        <x:v>Completion confirmed by the LMFT and LCSW Master Program Index and Final Release Audit v1.0 (July 25, 2026). Profession-specific workbooks, 17-question banks, and Forms A/B are complete. This crosswalk remains an administrative topic map; exact page-level evidence is controlled in the program source files.</x:v>
      </x:c>
    </x:row>
    <x:row r="5" ht="72" customHeight="1">
      <x:c r="A5" s="64" t="n">
        <x:v>4</x:v>
      </x:c>
      <x:c r="B5" s="64" t="str">
        <x:v>Clinical interviewing and communication</x:v>
      </x:c>
      <x:c r="C5" s="64" t="str">
        <x:v>Shared Core</x:v>
      </x:c>
      <x:c r="D5" s="65" t="n">
        <x:v>0.9</x:v>
      </x:c>
      <x:c r="E5" s="64" t="str">
        <x:v>SC3</x:v>
      </x:c>
      <x:c r="F5" s="64" t="str">
        <x:v>WB2; Domain 1A</x:v>
      </x:c>
      <x:c r="G5" s="64" t="str">
        <x:v>LSW4; IIB</x:v>
      </x:c>
      <x:c r="H5" s="64" t="str">
        <x:v>Open and closed questions, clarification, reflection, confrontation, feedback, observation, and interpreters.</x:v>
      </x:c>
      <x:c r="I5" s="64" t="str">
        <x:v>Use systemic and circular questions and observe interactional patterns.</x:v>
      </x:c>
      <x:c r="J5" s="64" t="str">
        <x:v>Include language access, interpreters, client systems, and social work communication across settings.</x:v>
      </x:c>
      <x:c r="K5" s="64" t="str">
        <x:v>Rewrite separately for each exam track.</x:v>
      </x:c>
      <x:c r="L5" s="64" t="str">
        <x:v>Final</x:v>
      </x:c>
      <x:c r="M5" s="64" t="str">
        <x:v>Completion confirmed by the LMFT and LCSW Master Program Index and Final Release Audit v1.0 (July 25, 2026). Profession-specific workbooks, 17-question banks, and Forms A/B are complete. This crosswalk remains an administrative topic map; exact page-level evidence is controlled in the program source files.</x:v>
      </x:c>
    </x:row>
    <x:row r="6" ht="72" customHeight="1">
      <x:c r="A6" s="64" t="n">
        <x:v>5</x:v>
      </x:c>
      <x:c r="B6" s="64" t="str">
        <x:v>Biopsychosocial and contextual assessment</x:v>
      </x:c>
      <x:c r="C6" s="64" t="str">
        <x:v>Shared Core</x:v>
      </x:c>
      <x:c r="D6" s="65" t="n">
        <x:v>0.9</x:v>
      </x:c>
      <x:c r="E6" s="64" t="str">
        <x:v>SC3</x:v>
      </x:c>
      <x:c r="F6" s="64" t="str">
        <x:v>WB2-WB4; Domain 1</x:v>
      </x:c>
      <x:c r="G6" s="64" t="str">
        <x:v>LSW3-LSW4; IIA-IIB</x:v>
      </x:c>
      <x:c r="H6" s="64" t="str">
        <x:v>Assess biological, psychological, social, relational, cultural, environmental, and functional factors.</x:v>
      </x:c>
      <x:c r="I6" s="64" t="str">
        <x:v>Add systemic unit of treatment and relational pattern analysis.</x:v>
      </x:c>
      <x:c r="J6" s="64" t="str">
        <x:v>Add person-in-environment, social determinants, community systems, and resource availability.</x:v>
      </x:c>
      <x:c r="K6" s="64" t="str">
        <x:v>Rewrite separately for each exam track.</x:v>
      </x:c>
      <x:c r="L6" s="64" t="str">
        <x:v>Final</x:v>
      </x:c>
      <x:c r="M6" s="64" t="str">
        <x:v>Completion confirmed by the LMFT and LCSW Master Program Index and Final Release Audit v1.0 (July 25, 2026). Profession-specific workbooks, 17-question banks, and Forms A/B are complete. This crosswalk remains an administrative topic map; exact page-level evidence is controlled in the program source files.</x:v>
      </x:c>
    </x:row>
    <x:row r="7" ht="72" customHeight="1">
      <x:c r="A7" s="64" t="n">
        <x:v>6</x:v>
      </x:c>
      <x:c r="B7" s="64" t="str">
        <x:v>Mental status examination</x:v>
      </x:c>
      <x:c r="C7" s="64" t="str">
        <x:v>Shared Core</x:v>
      </x:c>
      <x:c r="D7" s="65" t="n">
        <x:v>0.9</x:v>
      </x:c>
      <x:c r="E7" s="64" t="str">
        <x:v>SC4</x:v>
      </x:c>
      <x:c r="F7" s="64" t="str">
        <x:v>WB2; Domain 1B</x:v>
      </x:c>
      <x:c r="G7" s="64" t="str">
        <x:v>LSW4; IIB</x:v>
      </x:c>
      <x:c r="H7" s="64" t="str">
        <x:v>Appearance, behavior, psychomotor activity, speech, mood, affect, thought, perception, cognition, insight, and judgment.</x:v>
      </x:c>
      <x:c r="I7" s="64" t="str">
        <x:v>Integrate MSE findings with couple/family functioning and referral decisions.</x:v>
      </x:c>
      <x:c r="J7" s="64" t="str">
        <x:v>Integrate MSE findings with level of care, service planning, medical consultation, and documentation.</x:v>
      </x:c>
      <x:c r="K7" s="64" t="str">
        <x:v>Rewrite separately for each exam track.</x:v>
      </x:c>
      <x:c r="L7" s="64" t="str">
        <x:v>Final</x:v>
      </x:c>
      <x:c r="M7" s="64" t="str">
        <x:v>Completion confirmed by the LMFT and LCSW Master Program Index and Final Release Audit v1.0 (July 25, 2026). Profession-specific workbooks, 17-question banks, and Forms A/B are complete. This crosswalk remains an administrative topic map; exact page-level evidence is controlled in the program source files.</x:v>
      </x:c>
    </x:row>
    <x:row r="8" ht="72" customHeight="1">
      <x:c r="A8" s="64" t="n">
        <x:v>7</x:v>
      </x:c>
      <x:c r="B8" s="64" t="str">
        <x:v>Physical and medical factors</x:v>
      </x:c>
      <x:c r="C8" s="64" t="str">
        <x:v>Shared Core</x:v>
      </x:c>
      <x:c r="D8" s="65" t="n">
        <x:v>0.9</x:v>
      </x:c>
      <x:c r="E8" s="64" t="str">
        <x:v>SC4</x:v>
      </x:c>
      <x:c r="F8" s="64" t="str">
        <x:v>WB2; Domain 1B</x:v>
      </x:c>
      <x:c r="G8" s="64" t="str">
        <x:v>LSW5; IIA-IIC</x:v>
      </x:c>
      <x:c r="H8" s="64" t="str">
        <x:v>Medical conditions, health history, treatment adherence, functional effects, and medical rule-outs.</x:v>
      </x:c>
      <x:c r="I8" s="64" t="str">
        <x:v>Examine effects on caretakers and relational systems.</x:v>
      </x:c>
      <x:c r="J8" s="64" t="str">
        <x:v>Examine health-care access, social determinants, discharge planning, and interdisciplinary coordination.</x:v>
      </x:c>
      <x:c r="K8" s="64" t="str">
        <x:v>Rewrite separately for each exam track.</x:v>
      </x:c>
      <x:c r="L8" s="64" t="str">
        <x:v>Final</x:v>
      </x:c>
      <x:c r="M8" s="64" t="str">
        <x:v>Completion confirmed by the LMFT and LCSW Master Program Index and Final Release Audit v1.0 (July 25, 2026). Profession-specific workbooks, 17-question banks, and Forms A/B are complete. This crosswalk remains an administrative topic map; exact page-level evidence is controlled in the program source files.</x:v>
      </x:c>
    </x:row>
    <x:row r="9" ht="72" customHeight="1">
      <x:c r="A9" s="64" t="n">
        <x:v>8</x:v>
      </x:c>
      <x:c r="B9" s="64" t="str">
        <x:v>Psychopharmacology and medication effects</x:v>
      </x:c>
      <x:c r="C9" s="64" t="str">
        <x:v>Shared Core</x:v>
      </x:c>
      <x:c r="D9" s="65" t="n">
        <x:v>0.9</x:v>
      </x:c>
      <x:c r="E9" s="64" t="str">
        <x:v>SC4</x:v>
      </x:c>
      <x:c r="F9" s="64" t="str">
        <x:v>WB2/WB5; Domains 1B-2</x:v>
      </x:c>
      <x:c r="G9" s="64" t="str">
        <x:v>LSW5; IIC</x:v>
      </x:c>
      <x:c r="H9" s="64" t="str">
        <x:v>Common medication classes, intended effects, side effects, adherence, and need for prescriber consultation.</x:v>
      </x:c>
      <x:c r="I9" s="64" t="str">
        <x:v>Focus on assessment, relational impact, and appropriate referral rather than prescribing.</x:v>
      </x:c>
      <x:c r="J9" s="64" t="str">
        <x:v>Focus on client education, adherence barriers, self-determination, care coordination, and medication evaluation referral.</x:v>
      </x:c>
      <x:c r="K9" s="64" t="str">
        <x:v>Rewrite separately for each exam track.</x:v>
      </x:c>
      <x:c r="L9" s="64" t="str">
        <x:v>Final</x:v>
      </x:c>
      <x:c r="M9" s="64" t="str">
        <x:v>Completion confirmed by the LMFT and LCSW Master Program Index and Final Release Audit v1.0 (July 25, 2026). Profession-specific workbooks, 17-question banks, and Forms A/B are complete. This crosswalk remains an administrative topic map; exact page-level evidence is controlled in the program source files.</x:v>
      </x:c>
    </x:row>
    <x:row r="10" ht="72" customHeight="1">
      <x:c r="A10" s="64" t="n">
        <x:v>9</x:v>
      </x:c>
      <x:c r="B10" s="64" t="str">
        <x:v>Substance use, gambling, and addictive behavior</x:v>
      </x:c>
      <x:c r="C10" s="64" t="str">
        <x:v>Shared Core</x:v>
      </x:c>
      <x:c r="D10" s="65" t="n">
        <x:v>0.9</x:v>
      </x:c>
      <x:c r="E10" s="64" t="str">
        <x:v>SC4</x:v>
      </x:c>
      <x:c r="F10" s="64" t="str">
        <x:v>WB2/WB5/WB6/WB9</x:v>
      </x:c>
      <x:c r="G10" s="64" t="str">
        <x:v>LSW4-LSW6/LSW8; IIA-IIIB</x:v>
      </x:c>
      <x:c r="H10" s="64" t="str">
        <x:v>Screening, intoxication, withdrawal, overdose, functional impact, diagnosis, harm reduction, and recovery.</x:v>
      </x:c>
      <x:c r="I10" s="64" t="str">
        <x:v>Include effects on couples and family systems and relational treatment choices.</x:v>
      </x:c>
      <x:c r="J10" s="64" t="str">
        <x:v>Include harm reduction, service networks, case management, client readiness, and community resources.</x:v>
      </x:c>
      <x:c r="K10" s="64" t="str">
        <x:v>Rewrite separately for each exam track.</x:v>
      </x:c>
      <x:c r="L10" s="64" t="str">
        <x:v>Final</x:v>
      </x:c>
      <x:c r="M10" s="64" t="str">
        <x:v>Completion confirmed by the LMFT and LCSW Master Program Index and Final Release Audit v1.0 (July 25, 2026). Profession-specific workbooks, 17-question banks, and Forms A/B are complete. This crosswalk remains an administrative topic map; exact page-level evidence is controlled in the program source files.</x:v>
      </x:c>
    </x:row>
    <x:row r="11" ht="72" customHeight="1">
      <x:c r="A11" s="64" t="n">
        <x:v>10</x:v>
      </x:c>
      <x:c r="B11" s="64" t="str">
        <x:v>Typical and atypical development across the lifespan</x:v>
      </x:c>
      <x:c r="C11" s="64" t="str">
        <x:v>Shared Core</x:v>
      </x:c>
      <x:c r="D11" s="65" t="n">
        <x:v>0.9</x:v>
      </x:c>
      <x:c r="E11" s="64" t="str">
        <x:v>SC2</x:v>
      </x:c>
      <x:c r="F11" s="64" t="str">
        <x:v>WB3; Domain 1C</x:v>
      </x:c>
      <x:c r="G11" s="64" t="str">
        <x:v>LSW3; IIA</x:v>
      </x:c>
      <x:c r="H11" s="64" t="str">
        <x:v>Physical, cognitive, emotional, sexual, psychosocial, and family development.</x:v>
      </x:c>
      <x:c r="I11" s="64" t="str">
        <x:v>Emphasize individual and family life-cycle transitions.</x:v>
      </x:c>
      <x:c r="J11" s="64" t="str">
        <x:v>Emphasize person-in-environment development and developmental impact across client systems.</x:v>
      </x:c>
      <x:c r="K11" s="64" t="str">
        <x:v>Rewrite separately for each exam track.</x:v>
      </x:c>
      <x:c r="L11" s="64" t="str">
        <x:v>Final</x:v>
      </x:c>
      <x:c r="M11" s="64" t="str">
        <x:v>Completion confirmed by the LMFT and LCSW Master Program Index and Final Release Audit v1.0 (July 25, 2026). Profession-specific workbooks, 17-question banks, and Forms A/B are complete. This crosswalk remains an administrative topic map; exact page-level evidence is controlled in the program source files.</x:v>
      </x:c>
    </x:row>
    <x:row r="12" ht="72" customHeight="1">
      <x:c r="A12" s="64" t="n">
        <x:v>11</x:v>
      </x:c>
      <x:c r="B12" s="64" t="str">
        <x:v>Individual and family life-cycle transitions</x:v>
      </x:c>
      <x:c r="C12" s="64" t="str">
        <x:v>Shared Core</x:v>
      </x:c>
      <x:c r="D12" s="65" t="n">
        <x:v>0.9</x:v>
      </x:c>
      <x:c r="E12" s="64" t="str">
        <x:v>SC2</x:v>
      </x:c>
      <x:c r="F12" s="64" t="str">
        <x:v>WB3/WB8</x:v>
      </x:c>
      <x:c r="G12" s="64" t="str">
        <x:v>LSW3/LSW9; IIA-IIIB</x:v>
      </x:c>
      <x:c r="H12" s="64" t="str">
        <x:v>Transitions, role changes, disruptions, adaptation, and developmental tasks.</x:v>
      </x:c>
      <x:c r="I12" s="64" t="str">
        <x:v>Apply family life-cycle and relational transition models.</x:v>
      </x:c>
      <x:c r="J12" s="64" t="str">
        <x:v>Include service needs, caregiving, placement, community support, and resource implications.</x:v>
      </x:c>
      <x:c r="K12" s="64" t="str">
        <x:v>Rewrite separately for each exam track.</x:v>
      </x:c>
      <x:c r="L12" s="64" t="str">
        <x:v>Final</x:v>
      </x:c>
      <x:c r="M12" s="64" t="str">
        <x:v>Completion confirmed by the LMFT and LCSW Master Program Index and Final Release Audit v1.0 (July 25, 2026). Profession-specific workbooks, 17-question banks, and Forms A/B are complete. This crosswalk remains an administrative topic map; exact page-level evidence is controlled in the program source files.</x:v>
      </x:c>
    </x:row>
    <x:row r="13" ht="72" customHeight="1">
      <x:c r="A13" s="64" t="n">
        <x:v>12</x:v>
      </x:c>
      <x:c r="B13" s="64" t="str">
        <x:v>Trauma, stressors, and crisis exposure</x:v>
      </x:c>
      <x:c r="C13" s="64" t="str">
        <x:v>Shared Core</x:v>
      </x:c>
      <x:c r="D13" s="65" t="n">
        <x:v>0.9</x:v>
      </x:c>
      <x:c r="E13" s="64" t="str">
        <x:v>SC2/SC6</x:v>
      </x:c>
      <x:c r="F13" s="64" t="str">
        <x:v>WB4/WB6/WB9</x:v>
      </x:c>
      <x:c r="G13" s="64" t="str">
        <x:v>LSW3/LSW6/LSW8; IIA-IIIB</x:v>
      </x:c>
      <x:c r="H13" s="64" t="str">
        <x:v>Acute, chronic, complex, intergenerational, historical, and vicarious trauma.</x:v>
      </x:c>
      <x:c r="I13" s="64" t="str">
        <x:v>Assess trauma's relational and systemic effects.</x:v>
      </x:c>
      <x:c r="J13" s="64" t="str">
        <x:v>Assess effects across individuals, families, groups, organizations, and communities.</x:v>
      </x:c>
      <x:c r="K13" s="64" t="str">
        <x:v>Rewrite separately for each exam track.</x:v>
      </x:c>
      <x:c r="L13" s="64" t="str">
        <x:v>Final</x:v>
      </x:c>
      <x:c r="M13" s="64" t="str">
        <x:v>Completion confirmed by the LMFT and LCSW Master Program Index and Final Release Audit v1.0 (July 25, 2026). Profession-specific workbooks, 17-question banks, and Forms A/B are complete. This crosswalk remains an administrative topic map; exact page-level evidence is controlled in the program source files.</x:v>
      </x:c>
    </x:row>
    <x:row r="14" ht="72" customHeight="1">
      <x:c r="A14" s="64" t="n">
        <x:v>13</x:v>
      </x:c>
      <x:c r="B14" s="64" t="str">
        <x:v>Abuse, neglect, and exploitation</x:v>
      </x:c>
      <x:c r="C14" s="64" t="str">
        <x:v>Shared Core</x:v>
      </x:c>
      <x:c r="D14" s="65" t="n">
        <x:v>0.9</x:v>
      </x:c>
      <x:c r="E14" s="64" t="str">
        <x:v>SC6</x:v>
      </x:c>
      <x:c r="F14" s="64" t="str">
        <x:v>WB4/WB6/WB12</x:v>
      </x:c>
      <x:c r="G14" s="64" t="str">
        <x:v>LSW2/LSW6; IB-IIA</x:v>
      </x:c>
      <x:c r="H14" s="64" t="str">
        <x:v>Indicators, dynamics, perpetrator characteristics, safety, reporting, and protective intervention.</x:v>
      </x:c>
      <x:c r="I14" s="64" t="str">
        <x:v>Apply California reporting law and relational assessment.</x:v>
      </x:c>
      <x:c r="J14" s="64" t="str">
        <x:v>Apply jurisdiction-sensitive ethics, mandatory reporting, self-determination limits, and service coordination.</x:v>
      </x:c>
      <x:c r="K14" s="64" t="str">
        <x:v>Rewrite separately for each exam track.</x:v>
      </x:c>
      <x:c r="L14" s="64" t="str">
        <x:v>Final</x:v>
      </x:c>
      <x:c r="M14" s="64" t="str">
        <x:v>Completion confirmed by the LMFT and LCSW Master Program Index and Final Release Audit v1.0 (July 25, 2026). Profession-specific workbooks, 17-question banks, and Forms A/B are complete. This crosswalk remains an administrative topic map; exact page-level evidence is controlled in the program source files.</x:v>
      </x:c>
    </x:row>
    <x:row r="15" ht="72" customHeight="1">
      <x:c r="A15" s="64" t="n">
        <x:v>14</x:v>
      </x:c>
      <x:c r="B15" s="64" t="str">
        <x:v>Grief, loss, separation, and bereavement</x:v>
      </x:c>
      <x:c r="C15" s="64" t="str">
        <x:v>Shared Core</x:v>
      </x:c>
      <x:c r="D15" s="65" t="n">
        <x:v>0.9</x:v>
      </x:c>
      <x:c r="E15" s="64" t="str">
        <x:v>SC2/SC8</x:v>
      </x:c>
      <x:c r="F15" s="64" t="str">
        <x:v>WB4/WB9</x:v>
      </x:c>
      <x:c r="G15" s="64" t="str">
        <x:v>LSW3/LSW8; IIA-IIIB</x:v>
      </x:c>
      <x:c r="H15" s="64" t="str">
        <x:v>Loss reactions, complicated grief indicators, developmental considerations, coping, and support.</x:v>
      </x:c>
      <x:c r="I15" s="64" t="str">
        <x:v>Include relational loss, family reorganization, and couple/family interventions.</x:v>
      </x:c>
      <x:c r="J15" s="64" t="str">
        <x:v>Include continuity of care, community resources, and end-of-life systems.</x:v>
      </x:c>
      <x:c r="K15" s="64" t="str">
        <x:v>Rewrite separately for each exam track.</x:v>
      </x:c>
      <x:c r="L15" s="64" t="str">
        <x:v>Final</x:v>
      </x:c>
      <x:c r="M15" s="64" t="str">
        <x:v>Completion confirmed by the LMFT and LCSW Master Program Index and Final Release Audit v1.0 (July 25, 2026). Profession-specific workbooks, 17-question banks, and Forms A/B are complete. This crosswalk remains an administrative topic map; exact page-level evidence is controlled in the program source files.</x:v>
      </x:c>
    </x:row>
    <x:row r="16" ht="72" customHeight="1">
      <x:c r="A16" s="64" t="n">
        <x:v>15</x:v>
      </x:c>
      <x:c r="B16" s="64" t="str">
        <x:v>Aggression, impulsivity, and violence</x:v>
      </x:c>
      <x:c r="C16" s="64" t="str">
        <x:v>Shared Core</x:v>
      </x:c>
      <x:c r="D16" s="65" t="n">
        <x:v>0.9</x:v>
      </x:c>
      <x:c r="E16" s="64" t="str">
        <x:v>SC6/SC8</x:v>
      </x:c>
      <x:c r="F16" s="64" t="str">
        <x:v>WB4/WB6/WB9</x:v>
      </x:c>
      <x:c r="G16" s="64" t="str">
        <x:v>LSW4/LSW6/LSW8; IIA-IIB-IIIB</x:v>
      </x:c>
      <x:c r="H16" s="64" t="str">
        <x:v>Risk indicators, emotional regulation, anger management, violence prevention, and safety planning.</x:v>
      </x:c>
      <x:c r="I16" s="64" t="str">
        <x:v>Examine relational conflict cycles and systemic interventions.</x:v>
      </x:c>
      <x:c r="J16" s="64" t="str">
        <x:v>Examine service setting, risk management, referrals, and multidisciplinary response.</x:v>
      </x:c>
      <x:c r="K16" s="64" t="str">
        <x:v>Rewrite separately for each exam track.</x:v>
      </x:c>
      <x:c r="L16" s="64" t="str">
        <x:v>Final</x:v>
      </x:c>
      <x:c r="M16" s="64" t="str">
        <x:v>Completion confirmed by the LMFT and LCSW Master Program Index and Final Release Audit v1.0 (July 25, 2026). Profession-specific workbooks, 17-question banks, and Forms A/B are complete. This crosswalk remains an administrative topic map; exact page-level evidence is controlled in the program source files.</x:v>
      </x:c>
    </x:row>
    <x:row r="17" ht="72" customHeight="1">
      <x:c r="A17" s="64" t="n">
        <x:v>16</x:v>
      </x:c>
      <x:c r="B17" s="64" t="str">
        <x:v>Culture, race, ethnicity, and spirituality</x:v>
      </x:c>
      <x:c r="C17" s="64" t="str">
        <x:v>Shared Core</x:v>
      </x:c>
      <x:c r="D17" s="65" t="n">
        <x:v>0.9</x:v>
      </x:c>
      <x:c r="E17" s="64" t="str">
        <x:v>SC2</x:v>
      </x:c>
      <x:c r="F17" s="64" t="str">
        <x:v>WB3/WB10</x:v>
      </x:c>
      <x:c r="G17" s="64" t="str">
        <x:v>LSW2-LSW3; IC-IIA</x:v>
      </x:c>
      <x:c r="H17" s="64" t="str">
        <x:v>Identity, beliefs, development, discrimination, microaggressions, oppression, access, and culturally responsive practice.</x:v>
      </x:c>
      <x:c r="I17" s="64" t="str">
        <x:v>Integrate cultural context into systemic hypotheses and relational interventions.</x:v>
      </x:c>
      <x:c r="J17" s="64" t="str">
        <x:v>Integrate cultural humility, social justice, accessibility, privilege, bias, and anti-oppressive practice.</x:v>
      </x:c>
      <x:c r="K17" s="64" t="str">
        <x:v>Rewrite separately for each exam track.</x:v>
      </x:c>
      <x:c r="L17" s="64" t="str">
        <x:v>Final</x:v>
      </x:c>
      <x:c r="M17" s="64" t="str">
        <x:v>Completion confirmed by the LMFT and LCSW Master Program Index and Final Release Audit v1.0 (July 25, 2026). Profession-specific workbooks, 17-question banks, and Forms A/B are complete. This crosswalk remains an administrative topic map; exact page-level evidence is controlled in the program source files.</x:v>
      </x:c>
    </x:row>
    <x:row r="18" ht="72" customHeight="1">
      <x:c r="A18" s="64" t="n">
        <x:v>17</x:v>
      </x:c>
      <x:c r="B18" s="64" t="str">
        <x:v>Sexual orientation, gender identity, and intersectionality</x:v>
      </x:c>
      <x:c r="C18" s="64" t="str">
        <x:v>Shared Core</x:v>
      </x:c>
      <x:c r="D18" s="65" t="n">
        <x:v>0.9</x:v>
      </x:c>
      <x:c r="E18" s="64" t="str">
        <x:v>SC2</x:v>
      </x:c>
      <x:c r="F18" s="64" t="str">
        <x:v>WB3/WB10</x:v>
      </x:c>
      <x:c r="G18" s="64" t="str">
        <x:v>LSW2-LSW3; IC-IIA</x:v>
      </x:c>
      <x:c r="H18" s="64" t="str">
        <x:v>Identity development, minority stress, acceptance, discrimination, affirming practice, and protective factors.</x:v>
      </x:c>
      <x:c r="I18" s="64" t="str">
        <x:v>Address couple/family acceptance and relational effects.</x:v>
      </x:c>
      <x:c r="J18" s="64" t="str">
        <x:v>Address intersectionality, access, systems barriers, advocacy, and client self-determination.</x:v>
      </x:c>
      <x:c r="K18" s="64" t="str">
        <x:v>Rewrite separately for each exam track.</x:v>
      </x:c>
      <x:c r="L18" s="64" t="str">
        <x:v>Final</x:v>
      </x:c>
      <x:c r="M18" s="64" t="str">
        <x:v>Completion confirmed by the LMFT and LCSW Master Program Index and Final Release Audit v1.0 (July 25, 2026). Profession-specific workbooks, 17-question banks, and Forms A/B are complete. This crosswalk remains an administrative topic map; exact page-level evidence is controlled in the program source files.</x:v>
      </x:c>
    </x:row>
    <x:row r="19" ht="72" customHeight="1">
      <x:c r="A19" s="64" t="n">
        <x:v>18</x:v>
      </x:c>
      <x:c r="B19" s="64" t="str">
        <x:v>Immigration, migration, and refugee experiences</x:v>
      </x:c>
      <x:c r="C19" s="64" t="str">
        <x:v>Shared Core</x:v>
      </x:c>
      <x:c r="D19" s="65" t="n">
        <x:v>0.9</x:v>
      </x:c>
      <x:c r="E19" s="64" t="str">
        <x:v>SC2</x:v>
      </x:c>
      <x:c r="F19" s="64" t="str">
        <x:v>WB3/WB6/WB10</x:v>
      </x:c>
      <x:c r="G19" s="64" t="str">
        <x:v>LSW2-LSW3/LSW6; IC-IIA</x:v>
      </x:c>
      <x:c r="H19" s="64" t="str">
        <x:v>Acculturation, migration stress, trauma, displacement, family separation, discrimination, and resources.</x:v>
      </x:c>
      <x:c r="I19" s="64" t="str">
        <x:v>Emphasize family-system disruption and relational adaptation.</x:v>
      </x:c>
      <x:c r="J19" s="64" t="str">
        <x:v>Emphasize legal/social-service systems, access barriers, exploitation risk, and community resources.</x:v>
      </x:c>
      <x:c r="K19" s="64" t="str">
        <x:v>Rewrite separately for each exam track.</x:v>
      </x:c>
      <x:c r="L19" s="64" t="str">
        <x:v>Final</x:v>
      </x:c>
      <x:c r="M19" s="64" t="str">
        <x:v>Completion confirmed by the LMFT and LCSW Master Program Index and Final Release Audit v1.0 (July 25, 2026). Profession-specific workbooks, 17-question banks, and Forms A/B are complete. This crosswalk remains an administrative topic map; exact page-level evidence is controlled in the program source files.</x:v>
      </x:c>
    </x:row>
    <x:row r="20" ht="72" customHeight="1">
      <x:c r="A20" s="64" t="n">
        <x:v>19</x:v>
      </x:c>
      <x:c r="B20" s="64" t="str">
        <x:v>Poverty, housing instability, and socioeconomic stress</x:v>
      </x:c>
      <x:c r="C20" s="64" t="str">
        <x:v>Shared Core</x:v>
      </x:c>
      <x:c r="D20" s="65" t="n">
        <x:v>0.9</x:v>
      </x:c>
      <x:c r="E20" s="64" t="str">
        <x:v>SC2</x:v>
      </x:c>
      <x:c r="F20" s="64" t="str">
        <x:v>WB3/WB10</x:v>
      </x:c>
      <x:c r="G20" s="64" t="str">
        <x:v>LSW2-LSW3/LSW10; IC-IIA</x:v>
      </x:c>
      <x:c r="H20" s="64" t="str">
        <x:v>Economic vulnerability, housing, employment, access to care, psychosocial functioning, and resource barriers.</x:v>
      </x:c>
      <x:c r="I20" s="64" t="str">
        <x:v>Examine stress effects on couple/family dynamics.</x:v>
      </x:c>
      <x:c r="J20" s="64" t="str">
        <x:v>Examine social determinants, resource access, advocacy, policy, and service coordination.</x:v>
      </x:c>
      <x:c r="K20" s="64" t="str">
        <x:v>Rewrite separately for each exam track.</x:v>
      </x:c>
      <x:c r="L20" s="64" t="str">
        <x:v>Final</x:v>
      </x:c>
      <x:c r="M20" s="64" t="str">
        <x:v>Completion confirmed by the LMFT and LCSW Master Program Index and Final Release Audit v1.0 (July 25, 2026). Profession-specific workbooks, 17-question banks, and Forms A/B are complete. This crosswalk remains an administrative topic map; exact page-level evidence is controlled in the program source files.</x:v>
      </x:c>
    </x:row>
    <x:row r="21" ht="72" customHeight="1">
      <x:c r="A21" s="64" t="n">
        <x:v>20</x:v>
      </x:c>
      <x:c r="B21" s="64" t="str">
        <x:v>Military service, deployment, combat, and reintegration</x:v>
      </x:c>
      <x:c r="C21" s="64" t="str">
        <x:v>Shared Core</x:v>
      </x:c>
      <x:c r="D21" s="65" t="n">
        <x:v>0.9</x:v>
      </x:c>
      <x:c r="E21" s="64" t="str">
        <x:v>SC2/SC8</x:v>
      </x:c>
      <x:c r="F21" s="64" t="str">
        <x:v>WB3/WB9</x:v>
      </x:c>
      <x:c r="G21" s="64" t="str">
        <x:v>LSW3/LSW8; IIA-IIIB</x:v>
      </x:c>
      <x:c r="H21" s="64" t="str">
        <x:v>Military culture, deployment, trauma, reintegration, family impact, and support systems.</x:v>
      </x:c>
      <x:c r="I21" s="64" t="str">
        <x:v>Emphasize couple and family relational changes.</x:v>
      </x:c>
      <x:c r="J21" s="64" t="str">
        <x:v>Emphasize systems of care, benefits/resources, and interdisciplinary coordination.</x:v>
      </x:c>
      <x:c r="K21" s="64" t="str">
        <x:v>Rewrite separately for each exam track.</x:v>
      </x:c>
      <x:c r="L21" s="64" t="str">
        <x:v>Final</x:v>
      </x:c>
      <x:c r="M21" s="64" t="str">
        <x:v>Completion confirmed by the LMFT and LCSW Master Program Index and Final Release Audit v1.0 (July 25, 2026). Profession-specific workbooks, 17-question banks, and Forms A/B are complete. This crosswalk remains an administrative topic map; exact page-level evidence is controlled in the program source files.</x:v>
      </x:c>
    </x:row>
    <x:row r="22" ht="72" customHeight="1">
      <x:c r="A22" s="64" t="n">
        <x:v>21</x:v>
      </x:c>
      <x:c r="B22" s="64" t="str">
        <x:v>Strengths, resilience, coping, and protective factors</x:v>
      </x:c>
      <x:c r="C22" s="64" t="str">
        <x:v>Shared Core</x:v>
      </x:c>
      <x:c r="D22" s="65" t="n">
        <x:v>0.9</x:v>
      </x:c>
      <x:c r="E22" s="64" t="str">
        <x:v>SC3/SC8</x:v>
      </x:c>
      <x:c r="F22" s="64" t="str">
        <x:v>WB4/WB7/WB9</x:v>
      </x:c>
      <x:c r="G22" s="64" t="str">
        <x:v>LSW4/LSW8; IIB-IIIA</x:v>
      </x:c>
      <x:c r="H22" s="64" t="str">
        <x:v>Identify strengths, coping, resilience, protective factors, and client resources.</x:v>
      </x:c>
      <x:c r="I22" s="64" t="str">
        <x:v>Use strength-based systemic hypotheses and relational resources.</x:v>
      </x:c>
      <x:c r="J22" s="64" t="str">
        <x:v>Use empowerment, client participation, community resources, and person-in-environment strengths.</x:v>
      </x:c>
      <x:c r="K22" s="64" t="str">
        <x:v>Rewrite separately for each exam track.</x:v>
      </x:c>
      <x:c r="L22" s="64" t="str">
        <x:v>Final</x:v>
      </x:c>
      <x:c r="M22" s="64" t="str">
        <x:v>Completion confirmed by the LMFT and LCSW Master Program Index and Final Release Audit v1.0 (July 25, 2026). Profession-specific workbooks, 17-question banks, and Forms A/B are complete. This crosswalk remains an administrative topic map; exact page-level evidence is controlled in the program source files.</x:v>
      </x:c>
    </x:row>
    <x:row r="23" ht="72" customHeight="1">
      <x:c r="A23" s="64" t="n">
        <x:v>22</x:v>
      </x:c>
      <x:c r="B23" s="64" t="str">
        <x:v>Suicide and self-harm risk assessment</x:v>
      </x:c>
      <x:c r="C23" s="64" t="str">
        <x:v>Shared Core</x:v>
      </x:c>
      <x:c r="D23" s="65" t="n">
        <x:v>0.9</x:v>
      </x:c>
      <x:c r="E23" s="64" t="str">
        <x:v>SC6</x:v>
      </x:c>
      <x:c r="F23" s="64" t="str">
        <x:v>WB6/WB12</x:v>
      </x:c>
      <x:c r="G23" s="64" t="str">
        <x:v>LSW6; IIB-IIIB</x:v>
      </x:c>
      <x:c r="H23" s="64" t="str">
        <x:v>Ideation, intent, plan, means, history, protective factors, imminence, safety planning, and level of care.</x:v>
      </x:c>
      <x:c r="I23" s="64" t="str">
        <x:v>Apply California-specific legal and emergency procedures where tested.</x:v>
      </x:c>
      <x:c r="J23" s="64" t="str">
        <x:v>Apply risk assessment, client participation, emergency referral, and jurisdiction-sensitive ethical duties.</x:v>
      </x:c>
      <x:c r="K23" s="64" t="str">
        <x:v>Rewrite separately for each exam track.</x:v>
      </x:c>
      <x:c r="L23" s="64" t="str">
        <x:v>Final</x:v>
      </x:c>
      <x:c r="M23" s="64" t="str">
        <x:v>Completion confirmed by the LMFT and LCSW Master Program Index and Final Release Audit v1.0 (July 25, 2026). Profession-specific workbooks, 17-question banks, and Forms A/B are complete. This crosswalk remains an administrative topic map; exact page-level evidence is controlled in the program source files.</x:v>
      </x:c>
    </x:row>
    <x:row r="24" ht="72" customHeight="1">
      <x:c r="A24" s="64" t="n">
        <x:v>23</x:v>
      </x:c>
      <x:c r="B24" s="64" t="str">
        <x:v>Danger to others and threat assessment</x:v>
      </x:c>
      <x:c r="C24" s="64" t="str">
        <x:v>Shared Core</x:v>
      </x:c>
      <x:c r="D24" s="65" t="n">
        <x:v>0.9</x:v>
      </x:c>
      <x:c r="E24" s="64" t="str">
        <x:v>SC6</x:v>
      </x:c>
      <x:c r="F24" s="64" t="str">
        <x:v>WB6/WB12</x:v>
      </x:c>
      <x:c r="G24" s="64" t="str">
        <x:v>LSW6; IIB/IB</x:v>
      </x:c>
      <x:c r="H24" s="64" t="str">
        <x:v>Threat, target, intent, means, history, imminence, protective action, consultation, and documentation.</x:v>
      </x:c>
      <x:c r="I24" s="64" t="str">
        <x:v>Teach California duty-to-protect requirements as clinical exam content.</x:v>
      </x:c>
      <x:c r="J24" s="64" t="str">
        <x:v>Teach ethical and jurisdiction-sensitive threat response without turning the national exam into a California law course.</x:v>
      </x:c>
      <x:c r="K24" s="64" t="str">
        <x:v>Rewrite separately for each exam track.</x:v>
      </x:c>
      <x:c r="L24" s="64" t="str">
        <x:v>Final</x:v>
      </x:c>
      <x:c r="M24" s="64" t="str">
        <x:v>Completion confirmed by the LMFT and LCSW Master Program Index and Final Release Audit v1.0 (July 25, 2026). Profession-specific workbooks, 17-question banks, and Forms A/B are complete. This crosswalk remains an administrative topic map; exact page-level evidence is controlled in the program source files.</x:v>
      </x:c>
    </x:row>
    <x:row r="25" ht="72" customHeight="1">
      <x:c r="A25" s="64" t="n">
        <x:v>24</x:v>
      </x:c>
      <x:c r="B25" s="64" t="str">
        <x:v>Crisis intervention and safety planning</x:v>
      </x:c>
      <x:c r="C25" s="64" t="str">
        <x:v>Shared Core</x:v>
      </x:c>
      <x:c r="D25" s="65" t="n">
        <x:v>0.9</x:v>
      </x:c>
      <x:c r="E25" s="64" t="str">
        <x:v>SC6</x:v>
      </x:c>
      <x:c r="F25" s="64" t="str">
        <x:v>WB6</x:v>
      </x:c>
      <x:c r="G25" s="64" t="str">
        <x:v>LSW6/LSW8; IIIB</x:v>
      </x:c>
      <x:c r="H25" s="64" t="str">
        <x:v>Stabilization, immediate safety, de-escalation, resources, hospitalization, follow-up, and documentation.</x:v>
      </x:c>
      <x:c r="I25" s="64" t="str">
        <x:v>Include relational/systemic safety and unit-of-treatment decisions.</x:v>
      </x:c>
      <x:c r="J25" s="64" t="str">
        <x:v>Include level of care, case management, resources, and interdisciplinary response.</x:v>
      </x:c>
      <x:c r="K25" s="64" t="str">
        <x:v>Rewrite separately for each exam track.</x:v>
      </x:c>
      <x:c r="L25" s="64" t="str">
        <x:v>Final</x:v>
      </x:c>
      <x:c r="M25" s="64" t="str">
        <x:v>Completion confirmed by the LMFT and LCSW Master Program Index and Final Release Audit v1.0 (July 25, 2026). Profession-specific workbooks, 17-question banks, and Forms A/B are complete. This crosswalk remains an administrative topic map; exact page-level evidence is controlled in the program source files.</x:v>
      </x:c>
    </x:row>
    <x:row r="26" ht="72" customHeight="1">
      <x:c r="A26" s="64" t="n">
        <x:v>25</x:v>
      </x:c>
      <x:c r="B26" s="64" t="str">
        <x:v>DSM-5-TR diagnostic reasoning</x:v>
      </x:c>
      <x:c r="C26" s="64" t="str">
        <x:v>Shared Core</x:v>
      </x:c>
      <x:c r="D26" s="65" t="n">
        <x:v>0.9</x:v>
      </x:c>
      <x:c r="E26" s="64" t="str">
        <x:v>SC5</x:v>
      </x:c>
      <x:c r="F26" s="64" t="str">
        <x:v>WB5; Domain 2</x:v>
      </x:c>
      <x:c r="G26" s="64" t="str">
        <x:v>LSW5; IIB</x:v>
      </x:c>
      <x:c r="H26" s="64" t="str">
        <x:v>Symptoms, duration, severity, impairment, provisional diagnosis, clinically relevant conditions, and rule-outs.</x:v>
      </x:c>
      <x:c r="I26" s="64" t="str">
        <x:v>Integrate systemic and relational information without diagnosing the relationship as an individual disorder.</x:v>
      </x:c>
      <x:c r="J26" s="64" t="str">
        <x:v>Integrate person-in-environment factors, medical/substance rule-outs, and service implications.</x:v>
      </x:c>
      <x:c r="K26" s="64" t="str">
        <x:v>Rewrite separately for each exam track.</x:v>
      </x:c>
      <x:c r="L26" s="64" t="str">
        <x:v>Final</x:v>
      </x:c>
      <x:c r="M26" s="64" t="str">
        <x:v>Completion confirmed by the LMFT and LCSW Master Program Index and Final Release Audit v1.0 (July 25, 2026). Profession-specific workbooks, 17-question banks, and Forms A/B are complete. This crosswalk remains an administrative topic map; exact page-level evidence is controlled in the program source files.</x:v>
      </x:c>
    </x:row>
    <x:row r="27" ht="72" customHeight="1">
      <x:c r="A27" s="64" t="n">
        <x:v>26</x:v>
      </x:c>
      <x:c r="B27" s="64" t="str">
        <x:v>Differential diagnosis and comorbidity</x:v>
      </x:c>
      <x:c r="C27" s="64" t="str">
        <x:v>Shared Core</x:v>
      </x:c>
      <x:c r="D27" s="65" t="n">
        <x:v>0.9</x:v>
      </x:c>
      <x:c r="E27" s="64" t="str">
        <x:v>SC5</x:v>
      </x:c>
      <x:c r="F27" s="64" t="str">
        <x:v>WB5</x:v>
      </x:c>
      <x:c r="G27" s="64" t="str">
        <x:v>LSW5; IIA-IIB</x:v>
      </x:c>
      <x:c r="H27" s="64" t="str">
        <x:v>Compare likely diagnoses, co-occurring conditions, medical/substance effects, and need for further assessment.</x:v>
      </x:c>
      <x:c r="I27" s="64" t="str">
        <x:v>Highlight how relational context affects presentation and treatment.</x:v>
      </x:c>
      <x:c r="J27" s="64" t="str">
        <x:v>Highlight functional impact, service setting, resources, and interdisciplinary evaluation.</x:v>
      </x:c>
      <x:c r="K27" s="64" t="str">
        <x:v>Rewrite separately for each exam track.</x:v>
      </x:c>
      <x:c r="L27" s="64" t="str">
        <x:v>Final</x:v>
      </x:c>
      <x:c r="M27" s="64" t="str">
        <x:v>Completion confirmed by the LMFT and LCSW Master Program Index and Final Release Audit v1.0 (July 25, 2026). Profession-specific workbooks, 17-question banks, and Forms A/B are complete. This crosswalk remains an administrative topic map; exact page-level evidence is controlled in the program source files.</x:v>
      </x:c>
    </x:row>
    <x:row r="28" ht="72" customHeight="1">
      <x:c r="A28" s="64" t="n">
        <x:v>27</x:v>
      </x:c>
      <x:c r="B28" s="64" t="str">
        <x:v>Treatment and service planning</x:v>
      </x:c>
      <x:c r="C28" s="64" t="str">
        <x:v>Shared Core</x:v>
      </x:c>
      <x:c r="D28" s="65" t="n">
        <x:v>0.9</x:v>
      </x:c>
      <x:c r="E28" s="64" t="str">
        <x:v>SC7</x:v>
      </x:c>
      <x:c r="F28" s="64" t="str">
        <x:v>WB7</x:v>
      </x:c>
      <x:c r="G28" s="64" t="str">
        <x:v>LSW7; IIC</x:v>
      </x:c>
      <x:c r="H28" s="64" t="str">
        <x:v>Priorities, goals, objectives, modalities, client collaboration, access, referrals, and plan revision.</x:v>
      </x:c>
      <x:c r="I28" s="64" t="str">
        <x:v>Write systemic and relational goals and select unit of treatment.</x:v>
      </x:c>
      <x:c r="J28" s="64" t="str">
        <x:v>Include service plans, triage, community resources, client self-determination, and case management.</x:v>
      </x:c>
      <x:c r="K28" s="64" t="str">
        <x:v>Rewrite separately for each exam track.</x:v>
      </x:c>
      <x:c r="L28" s="64" t="str">
        <x:v>Final</x:v>
      </x:c>
      <x:c r="M28" s="64" t="str">
        <x:v>Completion confirmed by the LMFT and LCSW Master Program Index and Final Release Audit v1.0 (July 25, 2026). Profession-specific workbooks, 17-question banks, and Forms A/B are complete. This crosswalk remains an administrative topic map; exact page-level evidence is controlled in the program source files.</x:v>
      </x:c>
    </x:row>
    <x:row r="29" ht="72" customHeight="1">
      <x:c r="A29" s="64" t="n">
        <x:v>28</x:v>
      </x:c>
      <x:c r="B29" s="64" t="str">
        <x:v>Evidence-based and theory-informed interventions</x:v>
      </x:c>
      <x:c r="C29" s="64" t="str">
        <x:v>Shared Core</x:v>
      </x:c>
      <x:c r="D29" s="65" t="n">
        <x:v>0.9</x:v>
      </x:c>
      <x:c r="E29" s="64" t="str">
        <x:v>SC8</x:v>
      </x:c>
      <x:c r="F29" s="64" t="str">
        <x:v>WB8-WB11</x:v>
      </x:c>
      <x:c r="G29" s="64" t="str">
        <x:v>LSW8-LSW9; IIIB</x:v>
      </x:c>
      <x:c r="H29" s="64" t="str">
        <x:v>Match interventions to diagnosis, goals, readiness, developmental level, culture, and context.</x:v>
      </x:c>
      <x:c r="I29" s="64" t="str">
        <x:v>Include greater depth in family systems and relational models.</x:v>
      </x:c>
      <x:c r="J29" s="64" t="str">
        <x:v>Include social work evidence-based practice, brief approaches, resource constraints, and service setting.</x:v>
      </x:c>
      <x:c r="K29" s="64" t="str">
        <x:v>Rewrite separately for each exam track.</x:v>
      </x:c>
      <x:c r="L29" s="64" t="str">
        <x:v>Final</x:v>
      </x:c>
      <x:c r="M29" s="64" t="str">
        <x:v>Completion confirmed by the LMFT and LCSW Master Program Index and Final Release Audit v1.0 (July 25, 2026). Profession-specific workbooks, 17-question banks, and Forms A/B are complete. This crosswalk remains an administrative topic map; exact page-level evidence is controlled in the program source files.</x:v>
      </x:c>
    </x:row>
    <x:row r="30" ht="72" customHeight="1">
      <x:c r="A30" s="64" t="n">
        <x:v>29</x:v>
      </x:c>
      <x:c r="B30" s="64" t="str">
        <x:v>Progress monitoring and outcome evaluation</x:v>
      </x:c>
      <x:c r="C30" s="64" t="str">
        <x:v>Shared Core</x:v>
      </x:c>
      <x:c r="D30" s="65" t="n">
        <x:v>0.9</x:v>
      </x:c>
      <x:c r="E30" s="64" t="str">
        <x:v>SC7/SC10</x:v>
      </x:c>
      <x:c r="F30" s="64" t="str">
        <x:v>WB7</x:v>
      </x:c>
      <x:c r="G30" s="64" t="str">
        <x:v>LSW7/LSW11; IIC-IIIC</x:v>
      </x:c>
      <x:c r="H30" s="64" t="str">
        <x:v>Review goals, measure progress, evaluate alliance, revise plans, and identify ineffective treatment.</x:v>
      </x:c>
      <x:c r="I30" s="64" t="str">
        <x:v>Evaluate relational/systemic changes and interactional patterns.</x:v>
      </x:c>
      <x:c r="J30" s="64" t="str">
        <x:v>Evaluate intervention, service-plan, and program outcomes using clinical and system indicators.</x:v>
      </x:c>
      <x:c r="K30" s="64" t="str">
        <x:v>Rewrite separately for each exam track.</x:v>
      </x:c>
      <x:c r="L30" s="64" t="str">
        <x:v>Final</x:v>
      </x:c>
      <x:c r="M30" s="64" t="str">
        <x:v>Completion confirmed by the LMFT and LCSW Master Program Index and Final Release Audit v1.0 (July 25, 2026). Profession-specific workbooks, 17-question banks, and Forms A/B are complete. This crosswalk remains an administrative topic map; exact page-level evidence is controlled in the program source files.</x:v>
      </x:c>
    </x:row>
    <x:row r="31" ht="72" customHeight="1">
      <x:c r="A31" s="64" t="n">
        <x:v>30</x:v>
      </x:c>
      <x:c r="B31" s="64" t="str">
        <x:v>Termination, discharge, aftercare, and follow-up</x:v>
      </x:c>
      <x:c r="C31" s="64" t="str">
        <x:v>Shared Core</x:v>
      </x:c>
      <x:c r="D31" s="65" t="n">
        <x:v>0.9</x:v>
      </x:c>
      <x:c r="E31" s="64" t="str">
        <x:v>SC10</x:v>
      </x:c>
      <x:c r="F31" s="64" t="str">
        <x:v>WB7/WB12</x:v>
      </x:c>
      <x:c r="G31" s="64" t="str">
        <x:v>LSW2/LSW7/LSW8; IB-IIC-IIIB</x:v>
      </x:c>
      <x:c r="H31" s="64" t="str">
        <x:v>Readiness, planned and premature termination, continuity, referrals, relapse prevention, and documentation.</x:v>
      </x:c>
      <x:c r="I31" s="64" t="str">
        <x:v>Include dependency, abandonment, relational endings, and California professional obligations.</x:v>
      </x:c>
      <x:c r="J31" s="64" t="str">
        <x:v>Include discharge, wraparound services, client choice, continuity of care, and ethical termination.</x:v>
      </x:c>
      <x:c r="K31" s="64" t="str">
        <x:v>Rewrite separately for each exam track.</x:v>
      </x:c>
      <x:c r="L31" s="64" t="str">
        <x:v>Final</x:v>
      </x:c>
      <x:c r="M31" s="64" t="str">
        <x:v>Completion confirmed by the LMFT and LCSW Master Program Index and Final Release Audit v1.0 (July 25, 2026). Profession-specific workbooks, 17-question banks, and Forms A/B are complete. This crosswalk remains an administrative topic map; exact page-level evidence is controlled in the program source files.</x:v>
      </x:c>
    </x:row>
    <x:row r="32" ht="72" customHeight="1">
      <x:c r="A32" s="64" t="n">
        <x:v>31</x:v>
      </x:c>
      <x:c r="B32" s="64" t="str">
        <x:v>Family dynamics and functioning</x:v>
      </x:c>
      <x:c r="C32" s="64" t="str">
        <x:v>Shared - Different Framing</x:v>
      </x:c>
      <x:c r="D32" s="65" t="n">
        <x:v>0.65</x:v>
      </x:c>
      <x:c r="E32" s="64" t="str">
        <x:v>SC9</x:v>
      </x:c>
      <x:c r="F32" s="64" t="str">
        <x:v>WB4/WB8/WB11</x:v>
      </x:c>
      <x:c r="G32" s="64" t="str">
        <x:v>LSW3/LSW9; IIA-IIIB</x:v>
      </x:c>
      <x:c r="H32" s="64" t="str">
        <x:v>Family roles, patterns, boundaries, communication, attachment, conflict, and life-cycle effects.</x:v>
      </x:c>
      <x:c r="I32" s="64" t="str">
        <x:v>Treat systemic formulation and family change as a central clinical lens.</x:v>
      </x:c>
      <x:c r="J32" s="64" t="str">
        <x:v>Use family dynamics within person-in-environment, service planning, parenting, and client-system work.</x:v>
      </x:c>
      <x:c r="K32" s="64" t="str">
        <x:v>Rewrite separately for each exam track.</x:v>
      </x:c>
      <x:c r="L32" s="64" t="str">
        <x:v>Final</x:v>
      </x:c>
      <x:c r="M32" s="64" t="str">
        <x:v>Completion confirmed by the LMFT and LCSW Master Program Index and Final Release Audit v1.0 (July 25, 2026). Profession-specific workbooks, 17-question banks, and Forms A/B are complete. This crosswalk remains an administrative topic map; exact page-level evidence is controlled in the program source files.</x:v>
      </x:c>
    </x:row>
    <x:row r="33" ht="72" customHeight="1">
      <x:c r="A33" s="64" t="n">
        <x:v>32</x:v>
      </x:c>
      <x:c r="B33" s="64" t="str">
        <x:v>Couple relationships, intimacy, and sexuality</x:v>
      </x:c>
      <x:c r="C33" s="64" t="str">
        <x:v>Shared - Different Framing</x:v>
      </x:c>
      <x:c r="D33" s="65" t="n">
        <x:v>0.65</x:v>
      </x:c>
      <x:c r="E33" s="64" t="str">
        <x:v>SC9</x:v>
      </x:c>
      <x:c r="F33" s="64" t="str">
        <x:v>WB4/WB8</x:v>
      </x:c>
      <x:c r="G33" s="64" t="str">
        <x:v>LSW3/LSW9; IIA-IIIB</x:v>
      </x:c>
      <x:c r="H33" s="64" t="str">
        <x:v>Relationship development, conflict, commitment, intimacy, sexuality, communication, and safety.</x:v>
      </x:c>
      <x:c r="I33" s="64" t="str">
        <x:v>Provide deeper couple assessment and relational treatment-model coverage.</x:v>
      </x:c>
      <x:c r="J33" s="64" t="str">
        <x:v>Teach couple interventions as one social work modality among individual, family, group, and systems work.</x:v>
      </x:c>
      <x:c r="K33" s="64" t="str">
        <x:v>Rewrite separately for each exam track.</x:v>
      </x:c>
      <x:c r="L33" s="64" t="str">
        <x:v>Final</x:v>
      </x:c>
      <x:c r="M33" s="64" t="str">
        <x:v>Completion confirmed by the LMFT and LCSW Master Program Index and Final Release Audit v1.0 (July 25, 2026). Profession-specific workbooks, 17-question banks, and Forms A/B are complete. This crosswalk remains an administrative topic map; exact page-level evidence is controlled in the program source files.</x:v>
      </x:c>
    </x:row>
    <x:row r="34" ht="72" customHeight="1">
      <x:c r="A34" s="64" t="n">
        <x:v>33</x:v>
      </x:c>
      <x:c r="B34" s="64" t="str">
        <x:v>Parenting, caregiving, and family support</x:v>
      </x:c>
      <x:c r="C34" s="64" t="str">
        <x:v>Shared - Different Framing</x:v>
      </x:c>
      <x:c r="D34" s="65" t="n">
        <x:v>0.65</x:v>
      </x:c>
      <x:c r="E34" s="64" t="str">
        <x:v>SC9</x:v>
      </x:c>
      <x:c r="F34" s="64" t="str">
        <x:v>WB3/WB8/WB9</x:v>
      </x:c>
      <x:c r="G34" s="64" t="str">
        <x:v>LSW3/LSW9; IIA-IIIA-IIIB</x:v>
      </x:c>
      <x:c r="H34" s="64" t="str">
        <x:v>Parenting capacity, caregiver stress, attachment, skill building, support, and family impact.</x:v>
      </x:c>
      <x:c r="I34" s="64" t="str">
        <x:v>Emphasize parenting subsystems and family-therapy interventions.</x:v>
      </x:c>
      <x:c r="J34" s="64" t="str">
        <x:v>Emphasize caregiving resources, placement, service coordination, and parenting skill support.</x:v>
      </x:c>
      <x:c r="K34" s="64" t="str">
        <x:v>Rewrite separately for each exam track.</x:v>
      </x:c>
      <x:c r="L34" s="64" t="str">
        <x:v>Final</x:v>
      </x:c>
      <x:c r="M34" s="64" t="str">
        <x:v>Completion confirmed by the LMFT and LCSW Master Program Index and Final Release Audit v1.0 (July 25, 2026). Profession-specific workbooks, 17-question banks, and Forms A/B are complete. This crosswalk remains an administrative topic map; exact page-level evidence is controlled in the program source files.</x:v>
      </x:c>
    </x:row>
    <x:row r="35" ht="72" customHeight="1">
      <x:c r="A35" s="64" t="n">
        <x:v>34</x:v>
      </x:c>
      <x:c r="B35" s="64" t="str">
        <x:v>Group processes and interventions</x:v>
      </x:c>
      <x:c r="C35" s="64" t="str">
        <x:v>Shared - Different Framing</x:v>
      </x:c>
      <x:c r="D35" s="65" t="n">
        <x:v>0.65</x:v>
      </x:c>
      <x:c r="E35" s="64" t="str">
        <x:v>SC9</x:v>
      </x:c>
      <x:c r="F35" s="64" t="str">
        <x:v>WB6/WB7/WB11</x:v>
      </x:c>
      <x:c r="G35" s="64" t="str">
        <x:v>LSW8-LSW9; IIIB</x:v>
      </x:c>
      <x:c r="H35" s="64" t="str">
        <x:v>Group formation, purpose, norms, cohesion, roles, conflict, facilitation, and termination.</x:v>
      </x:c>
      <x:c r="I35" s="64" t="str">
        <x:v>Use groups as an adjunct to systemic treatment and theory application.</x:v>
      </x:c>
      <x:c r="J35" s="64" t="str">
        <x:v>Include treatment, support, psychoeducational, task, and community group applications.</x:v>
      </x:c>
      <x:c r="K35" s="64" t="str">
        <x:v>Rewrite separately for each exam track.</x:v>
      </x:c>
      <x:c r="L35" s="64" t="str">
        <x:v>Final</x:v>
      </x:c>
      <x:c r="M35" s="64" t="str">
        <x:v>Completion confirmed by the LMFT and LCSW Master Program Index and Final Release Audit v1.0 (July 25, 2026). Profession-specific workbooks, 17-question banks, and Forms A/B are complete. This crosswalk remains an administrative topic map; exact page-level evidence is controlled in the program source files.</x:v>
      </x:c>
    </x:row>
    <x:row r="36" ht="72" customHeight="1">
      <x:c r="A36" s="64" t="n">
        <x:v>35</x:v>
      </x:c>
      <x:c r="B36" s="64" t="str">
        <x:v>Community resources and referral decisions</x:v>
      </x:c>
      <x:c r="C36" s="64" t="str">
        <x:v>Shared - Different Framing</x:v>
      </x:c>
      <x:c r="D36" s="65" t="n">
        <x:v>0.65</x:v>
      </x:c>
      <x:c r="E36" s="64" t="str">
        <x:v>SC9</x:v>
      </x:c>
      <x:c r="F36" s="64" t="str">
        <x:v>WB4/WB7/WB11</x:v>
      </x:c>
      <x:c r="G36" s="64" t="str">
        <x:v>LSW4/LSW7/LSW10; IIC-IIIB</x:v>
      </x:c>
      <x:c r="H36" s="64" t="str">
        <x:v>Assess need, select resources, obtain consent, coordinate referral, and follow up.</x:v>
      </x:c>
      <x:c r="I36" s="64" t="str">
        <x:v>Emphasize adjunctive assessment and treatment-provider consultation.</x:v>
      </x:c>
      <x:c r="J36" s="64" t="str">
        <x:v>Emphasize resource mapping, access barriers, eligibility, service networks, and client advocacy.</x:v>
      </x:c>
      <x:c r="K36" s="64" t="str">
        <x:v>Rewrite separately for each exam track.</x:v>
      </x:c>
      <x:c r="L36" s="64" t="str">
        <x:v>Final</x:v>
      </x:c>
      <x:c r="M36" s="64" t="str">
        <x:v>Completion confirmed by the LMFT and LCSW Master Program Index and Final Release Audit v1.0 (July 25, 2026). Profession-specific workbooks, 17-question banks, and Forms A/B are complete. This crosswalk remains an administrative topic map; exact page-level evidence is controlled in the program source files.</x:v>
      </x:c>
    </x:row>
    <x:row r="37" ht="72" customHeight="1">
      <x:c r="A37" s="64" t="n">
        <x:v>36</x:v>
      </x:c>
      <x:c r="B37" s="64" t="str">
        <x:v>Interdisciplinary and intradisciplinary collaboration</x:v>
      </x:c>
      <x:c r="C37" s="64" t="str">
        <x:v>Shared - Different Framing</x:v>
      </x:c>
      <x:c r="D37" s="65" t="n">
        <x:v>0.65</x:v>
      </x:c>
      <x:c r="E37" s="64" t="str">
        <x:v>SC9</x:v>
      </x:c>
      <x:c r="F37" s="64" t="str">
        <x:v>WB4/WB11</x:v>
      </x:c>
      <x:c r="G37" s="64" t="str">
        <x:v>LSW8/LSW10; IIIA</x:v>
      </x:c>
      <x:c r="H37" s="64" t="str">
        <x:v>Clarify roles, share information appropriately, coordinate care, and resolve team conflict.</x:v>
      </x:c>
      <x:c r="I37" s="64" t="str">
        <x:v>Emphasize clinical consultation that informs systemic treatment.</x:v>
      </x:c>
      <x:c r="J37" s="64" t="str">
        <x:v>Emphasize care conferences, IEPs, discharge planning, agency systems, and team-based service delivery.</x:v>
      </x:c>
      <x:c r="K37" s="64" t="str">
        <x:v>Rewrite separately for each exam track.</x:v>
      </x:c>
      <x:c r="L37" s="64" t="str">
        <x:v>Final</x:v>
      </x:c>
      <x:c r="M37" s="64" t="str">
        <x:v>Completion confirmed by the LMFT and LCSW Master Program Index and Final Release Audit v1.0 (July 25, 2026). Profession-specific workbooks, 17-question banks, and Forms A/B are complete. This crosswalk remains an administrative topic map; exact page-level evidence is controlled in the program source files.</x:v>
      </x:c>
    </x:row>
    <x:row r="38" ht="72" customHeight="1">
      <x:c r="A38" s="64" t="n">
        <x:v>37</x:v>
      </x:c>
      <x:c r="B38" s="64" t="str">
        <x:v>Case management and care coordination</x:v>
      </x:c>
      <x:c r="C38" s="64" t="str">
        <x:v>Shared - Different Framing</x:v>
      </x:c>
      <x:c r="D38" s="65" t="n">
        <x:v>0.65</x:v>
      </x:c>
      <x:c r="E38" s="64" t="str">
        <x:v>SC9</x:v>
      </x:c>
      <x:c r="F38" s="64" t="str">
        <x:v>WB5/WB7/WB11</x:v>
      </x:c>
      <x:c r="G38" s="64" t="str">
        <x:v>LSW7/LSW10; IIC-IIIB</x:v>
      </x:c>
      <x:c r="H38" s="64" t="str">
        <x:v>Assess needs, sequence services, coordinate providers, document, monitor, and follow up.</x:v>
      </x:c>
      <x:c r="I38" s="64" t="str">
        <x:v>Keep case management secondary to the LMFT clinical-systemic examination emphasis.</x:v>
      </x:c>
      <x:c r="J38" s="64" t="str">
        <x:v>Treat case management, advocacy, service coordination, and resource access as central social work competencies.</x:v>
      </x:c>
      <x:c r="K38" s="64" t="str">
        <x:v>Rewrite separately for each exam track.</x:v>
      </x:c>
      <x:c r="L38" s="64" t="str">
        <x:v>Final</x:v>
      </x:c>
      <x:c r="M38" s="64" t="str">
        <x:v>Completion confirmed by the LMFT and LCSW Master Program Index and Final Release Audit v1.0 (July 25, 2026). Profession-specific workbooks, 17-question banks, and Forms A/B are complete. This crosswalk remains an administrative topic map; exact page-level evidence is controlled in the program source files.</x:v>
      </x:c>
    </x:row>
    <x:row r="39" ht="72" customHeight="1">
      <x:c r="A39" s="64" t="n">
        <x:v>38</x:v>
      </x:c>
      <x:c r="B39" s="64" t="str">
        <x:v>Advocacy and barriers to care</x:v>
      </x:c>
      <x:c r="C39" s="64" t="str">
        <x:v>Shared - Different Framing</x:v>
      </x:c>
      <x:c r="D39" s="65" t="n">
        <x:v>0.65</x:v>
      </x:c>
      <x:c r="E39" s="64" t="str">
        <x:v>SC2/SC9</x:v>
      </x:c>
      <x:c r="F39" s="64" t="str">
        <x:v>WB3/WB7/WB10</x:v>
      </x:c>
      <x:c r="G39" s="64" t="str">
        <x:v>LSW2/LSW10; IC-IIIB</x:v>
      </x:c>
      <x:c r="H39" s="64" t="str">
        <x:v>Identify barriers, support client voice, improve access, and respond to discrimination or resource limitations.</x:v>
      </x:c>
      <x:c r="I39" s="64" t="str">
        <x:v>Frame advocacy around treatment access and systemic context.</x:v>
      </x:c>
      <x:c r="J39" s="64" t="str">
        <x:v>Provide deeper coverage of social justice, policy, systems advocacy, and community-resource access.</x:v>
      </x:c>
      <x:c r="K39" s="64" t="str">
        <x:v>Rewrite separately for each exam track.</x:v>
      </x:c>
      <x:c r="L39" s="64" t="str">
        <x:v>Final</x:v>
      </x:c>
      <x:c r="M39" s="64" t="str">
        <x:v>Completion confirmed by the LMFT and LCSW Master Program Index and Final Release Audit v1.0 (July 25, 2026). Profession-specific workbooks, 17-question banks, and Forms A/B are complete. This crosswalk remains an administrative topic map; exact page-level evidence is controlled in the program source files.</x:v>
      </x:c>
    </x:row>
    <x:row r="40" ht="72" customHeight="1">
      <x:c r="A40" s="64" t="n">
        <x:v>39</x:v>
      </x:c>
      <x:c r="B40" s="64" t="str">
        <x:v>Informed consent and client participation</x:v>
      </x:c>
      <x:c r="C40" s="64" t="str">
        <x:v>Shared - Different Framing</x:v>
      </x:c>
      <x:c r="D40" s="65" t="n">
        <x:v>0.65</x:v>
      </x:c>
      <x:c r="E40" s="64" t="str">
        <x:v>SC10</x:v>
      </x:c>
      <x:c r="F40" s="64" t="str">
        <x:v>WB12</x:v>
      </x:c>
      <x:c r="G40" s="64" t="str">
        <x:v>LSW2/LSW7; IA-IB-IIC</x:v>
      </x:c>
      <x:c r="H40" s="64" t="str">
        <x:v>Purpose, risks, benefits, alternatives, limits, roles, fees, technology, and ongoing consent.</x:v>
      </x:c>
      <x:c r="I40" s="64" t="str">
        <x:v>Apply California-specific LMFT law and multi-client informed-consent issues.</x:v>
      </x:c>
      <x:c r="J40" s="64" t="str">
        <x:v>Emphasize self-determination, refusal of services, placement, medical treatment, and client/client-system participation.</x:v>
      </x:c>
      <x:c r="K40" s="64" t="str">
        <x:v>Rewrite separately for each exam track.</x:v>
      </x:c>
      <x:c r="L40" s="64" t="str">
        <x:v>Final</x:v>
      </x:c>
      <x:c r="M40" s="64" t="str">
        <x:v>Completion confirmed by the LMFT and LCSW Master Program Index and Final Release Audit v1.0 (July 25, 2026). Profession-specific workbooks, 17-question banks, and Forms A/B are complete. This crosswalk remains an administrative topic map; exact page-level evidence is controlled in the program source files.</x:v>
      </x:c>
    </x:row>
    <x:row r="41" ht="72" customHeight="1">
      <x:c r="A41" s="64" t="n">
        <x:v>40</x:v>
      </x:c>
      <x:c r="B41" s="64" t="str">
        <x:v>Confidentiality, privacy, and disclosure</x:v>
      </x:c>
      <x:c r="C41" s="64" t="str">
        <x:v>Shared - Different Framing</x:v>
      </x:c>
      <x:c r="D41" s="65" t="n">
        <x:v>0.65</x:v>
      </x:c>
      <x:c r="E41" s="64" t="str">
        <x:v>SC10</x:v>
      </x:c>
      <x:c r="F41" s="64" t="str">
        <x:v>WB12</x:v>
      </x:c>
      <x:c r="G41" s="64" t="str">
        <x:v>LSW2; IA</x:v>
      </x:c>
      <x:c r="H41" s="64" t="str">
        <x:v>Confidentiality, privilege, releases, minimum necessary disclosure, consultation, emergencies, and records.</x:v>
      </x:c>
      <x:c r="I41" s="64" t="str">
        <x:v>Apply California statutes and multi-person treatment complexities.</x:v>
      </x:c>
      <x:c r="J41" s="64" t="str">
        <x:v>Apply ethical reasoning across health, school, agency, group, family, and community settings; avoid California-only assumptions.</x:v>
      </x:c>
      <x:c r="K41" s="64" t="str">
        <x:v>Rewrite separately for each exam track.</x:v>
      </x:c>
      <x:c r="L41" s="64" t="str">
        <x:v>Final</x:v>
      </x:c>
      <x:c r="M41" s="64" t="str">
        <x:v>Completion confirmed by the LMFT and LCSW Master Program Index and Final Release Audit v1.0 (July 25, 2026). Profession-specific workbooks, 17-question banks, and Forms A/B are complete. This crosswalk remains an administrative topic map; exact page-level evidence is controlled in the program source files.</x:v>
      </x:c>
    </x:row>
    <x:row r="42" ht="72" customHeight="1">
      <x:c r="A42" s="64" t="n">
        <x:v>41</x:v>
      </x:c>
      <x:c r="B42" s="64" t="str">
        <x:v>Mandatory reporting and protective duties</x:v>
      </x:c>
      <x:c r="C42" s="64" t="str">
        <x:v>Shared - Different Framing</x:v>
      </x:c>
      <x:c r="D42" s="65" t="n">
        <x:v>0.65</x:v>
      </x:c>
      <x:c r="E42" s="64" t="str">
        <x:v>SC6/SC10</x:v>
      </x:c>
      <x:c r="F42" s="64" t="str">
        <x:v>WB6/WB12</x:v>
      </x:c>
      <x:c r="G42" s="64" t="str">
        <x:v>LSW2/LSW6; IB</x:v>
      </x:c>
      <x:c r="H42" s="64" t="str">
        <x:v>Recognize reportable concerns, immediate safety, consultation, reporting, client communication, and documentation.</x:v>
      </x:c>
      <x:c r="I42" s="64" t="str">
        <x:v>Teach California child, elder/dependent-adult, and duty-to-protect requirements directly.</x:v>
      </x:c>
      <x:c r="J42" s="64" t="str">
        <x:v>Teach general ethical and legal reasoning while identifying that exact duties vary by jurisdiction.</x:v>
      </x:c>
      <x:c r="K42" s="64" t="str">
        <x:v>Rewrite separately for each exam track.</x:v>
      </x:c>
      <x:c r="L42" s="64" t="str">
        <x:v>Final</x:v>
      </x:c>
      <x:c r="M42" s="64" t="str">
        <x:v>Completion confirmed by the LMFT and LCSW Master Program Index and Final Release Audit v1.0 (July 25, 2026). Profession-specific workbooks, 17-question banks, and Forms A/B are complete. This crosswalk remains an administrative topic map; exact page-level evidence is controlled in the program source files.</x:v>
      </x:c>
    </x:row>
    <x:row r="43" ht="72" customHeight="1">
      <x:c r="A43" s="64" t="n">
        <x:v>42</x:v>
      </x:c>
      <x:c r="B43" s="64" t="str">
        <x:v>Professional boundaries, dual relationships, and conflicts of interest</x:v>
      </x:c>
      <x:c r="C43" s="64" t="str">
        <x:v>Shared - Different Framing</x:v>
      </x:c>
      <x:c r="D43" s="65" t="n">
        <x:v>0.65</x:v>
      </x:c>
      <x:c r="E43" s="64" t="str">
        <x:v>SC10</x:v>
      </x:c>
      <x:c r="F43" s="64" t="str">
        <x:v>WB12</x:v>
      </x:c>
      <x:c r="G43" s="64" t="str">
        <x:v>LSW2; IB</x:v>
      </x:c>
      <x:c r="H43" s="64" t="str">
        <x:v>Power, influence, self-disclosure, gifts, multiple roles, conflicts, consultation, and risk management.</x:v>
      </x:c>
      <x:c r="I43" s="64" t="str">
        <x:v>Apply CAMFT/California professional-practice framing and relational contexts.</x:v>
      </x:c>
      <x:c r="J43" s="64" t="str">
        <x:v>Apply NASW/social work values, agency settings, community overlap, and client-system power differentials.</x:v>
      </x:c>
      <x:c r="K43" s="64" t="str">
        <x:v>Rewrite separately for each exam track.</x:v>
      </x:c>
      <x:c r="L43" s="64" t="str">
        <x:v>Final</x:v>
      </x:c>
      <x:c r="M43" s="64" t="str">
        <x:v>Completion confirmed by the LMFT and LCSW Master Program Index and Final Release Audit v1.0 (July 25, 2026). Profession-specific workbooks, 17-question banks, and Forms A/B are complete. This crosswalk remains an administrative topic map; exact page-level evidence is controlled in the program source files.</x:v>
      </x:c>
    </x:row>
    <x:row r="44" ht="72" customHeight="1">
      <x:c r="A44" s="64" t="n">
        <x:v>43</x:v>
      </x:c>
      <x:c r="B44" s="64" t="str">
        <x:v>Documentation and clinical records</x:v>
      </x:c>
      <x:c r="C44" s="64" t="str">
        <x:v>Shared - Different Framing</x:v>
      </x:c>
      <x:c r="D44" s="65" t="n">
        <x:v>0.65</x:v>
      </x:c>
      <x:c r="E44" s="64" t="str">
        <x:v>SC10</x:v>
      </x:c>
      <x:c r="F44" s="64" t="str">
        <x:v>WB10/WB12</x:v>
      </x:c>
      <x:c r="G44" s="64" t="str">
        <x:v>LSW2/LSW10; IB-IIIB</x:v>
      </x:c>
      <x:c r="H44" s="64" t="str">
        <x:v>Accurate, timely, objective, relevant, confidential documentation and record access/disclosure.</x:v>
      </x:c>
      <x:c r="I44" s="64" t="str">
        <x:v>Apply California LMFT retention, access, and professional-conduct requirements.</x:v>
      </x:c>
      <x:c r="J44" s="64" t="str">
        <x:v>Include case recording, service plans, billing support, agency documentation, and ethical record management.</x:v>
      </x:c>
      <x:c r="K44" s="64" t="str">
        <x:v>Rewrite separately for each exam track.</x:v>
      </x:c>
      <x:c r="L44" s="64" t="str">
        <x:v>Final</x:v>
      </x:c>
      <x:c r="M44" s="64" t="str">
        <x:v>Completion confirmed by the LMFT and LCSW Master Program Index and Final Release Audit v1.0 (July 25, 2026). Profession-specific workbooks, 17-question banks, and Forms A/B are complete. This crosswalk remains an administrative topic map; exact page-level evidence is controlled in the program source files.</x:v>
      </x:c>
    </x:row>
    <x:row r="45" ht="72" customHeight="1">
      <x:c r="A45" s="64" t="n">
        <x:v>44</x:v>
      </x:c>
      <x:c r="B45" s="64" t="str">
        <x:v>Technology, telehealth, and electronic practice</x:v>
      </x:c>
      <x:c r="C45" s="64" t="str">
        <x:v>Shared - Different Framing</x:v>
      </x:c>
      <x:c r="D45" s="65" t="n">
        <x:v>0.65</x:v>
      </x:c>
      <x:c r="E45" s="64" t="str">
        <x:v>SC10</x:v>
      </x:c>
      <x:c r="F45" s="64" t="str">
        <x:v>WB12</x:v>
      </x:c>
      <x:c r="G45" s="64" t="str">
        <x:v>LSW2; IB</x:v>
      </x:c>
      <x:c r="H45" s="64" t="str">
        <x:v>Consent, identity, privacy, security, location, emergencies, competence, boundaries, and documentation.</x:v>
      </x:c>
      <x:c r="I45" s="64" t="str">
        <x:v>Apply California telehealth law and BBS requirements.</x:v>
      </x:c>
      <x:c r="J45" s="64" t="str">
        <x:v>Apply national ethical standards and jurisdiction-sensitive practice without overemphasizing California-specific rules.</x:v>
      </x:c>
      <x:c r="K45" s="64" t="str">
        <x:v>Rewrite separately for each exam track.</x:v>
      </x:c>
      <x:c r="L45" s="64" t="str">
        <x:v>Final</x:v>
      </x:c>
      <x:c r="M45" s="64" t="str">
        <x:v>Completion confirmed by the LMFT and LCSW Master Program Index and Final Release Audit v1.0 (July 25, 2026). Profession-specific workbooks, 17-question banks, and Forms A/B are complete. This crosswalk remains an administrative topic map; exact page-level evidence is controlled in the program source files.</x:v>
      </x:c>
    </x:row>
    <x:row r="46" ht="72" customHeight="1">
      <x:c r="A46" s="64" t="n">
        <x:v>45</x:v>
      </x:c>
      <x:c r="B46" s="64" t="str">
        <x:v>Transference, countertransference, and professional use of self</x:v>
      </x:c>
      <x:c r="C46" s="64" t="str">
        <x:v>Shared - Different Framing</x:v>
      </x:c>
      <x:c r="D46" s="65" t="n">
        <x:v>0.65</x:v>
      </x:c>
      <x:c r="E46" s="64" t="str">
        <x:v>SC10</x:v>
      </x:c>
      <x:c r="F46" s="64" t="str">
        <x:v>WB7/WB10/WB12</x:v>
      </x:c>
      <x:c r="G46" s="64" t="str">
        <x:v>LSW2/LSW8/LSW11; IA-IIID</x:v>
      </x:c>
      <x:c r="H46" s="64" t="str">
        <x:v>Recognize reactions, maintain objectivity, use supervision, repair alliance, and protect clients.</x:v>
      </x:c>
      <x:c r="I46" s="64" t="str">
        <x:v>Emphasize in-session relational dynamics and systemic countertransference.</x:v>
      </x:c>
      <x:c r="J46" s="64" t="str">
        <x:v>Include professional use of self, supervision, organizational dynamics, privilege, bias, and client-system impact.</x:v>
      </x:c>
      <x:c r="K46" s="64" t="str">
        <x:v>Rewrite separately for each exam track.</x:v>
      </x:c>
      <x:c r="L46" s="64" t="str">
        <x:v>Final</x:v>
      </x:c>
      <x:c r="M46" s="64" t="str">
        <x:v>Completion confirmed by the LMFT and LCSW Master Program Index and Final Release Audit v1.0 (July 25, 2026). Profession-specific workbooks, 17-question banks, and Forms A/B are complete. This crosswalk remains an administrative topic map; exact page-level evidence is controlled in the program source files.</x:v>
      </x:c>
    </x:row>
    <x:row r="47" ht="72" customHeight="1">
      <x:c r="A47" s="64" t="n">
        <x:v>46</x:v>
      </x:c>
      <x:c r="B47" s="64" t="str">
        <x:v>Supervision, consultation, and continuing competence</x:v>
      </x:c>
      <x:c r="C47" s="64" t="str">
        <x:v>Shared - Different Framing</x:v>
      </x:c>
      <x:c r="D47" s="65" t="n">
        <x:v>0.65</x:v>
      </x:c>
      <x:c r="E47" s="64" t="str">
        <x:v>SC10</x:v>
      </x:c>
      <x:c r="F47" s="64" t="str">
        <x:v>WB10/WB12</x:v>
      </x:c>
      <x:c r="G47" s="64" t="str">
        <x:v>LSW2/LSW11; IA-IIID</x:v>
      </x:c>
      <x:c r="H47" s="64" t="str">
        <x:v>Know when to consult, refer, seek supervision, document decisions, and maintain competence.</x:v>
      </x:c>
      <x:c r="I47" s="64" t="str">
        <x:v>Focus on scope of competence, California professional obligations, and clinical consultation.</x:v>
      </x:c>
      <x:c r="J47" s="64" t="str">
        <x:v>Include supervisee role, supervision models, administration, professional development, and risk management.</x:v>
      </x:c>
      <x:c r="K47" s="64" t="str">
        <x:v>Rewrite separately for each exam track.</x:v>
      </x:c>
      <x:c r="L47" s="64" t="str">
        <x:v>Final</x:v>
      </x:c>
      <x:c r="M47" s="64" t="str">
        <x:v>Completion confirmed by the LMFT and LCSW Master Program Index and Final Release Audit v1.0 (July 25, 2026). Profession-specific workbooks, 17-question banks, and Forms A/B are complete. This crosswalk remains an administrative topic map; exact page-level evidence is controlled in the program source files.</x:v>
      </x:c>
    </x:row>
    <x:row r="48" ht="72" customHeight="1">
      <x:c r="A48" s="64" t="n">
        <x:v>47</x:v>
      </x:c>
      <x:c r="B48" s="64" t="str">
        <x:v>Burnout, secondary trauma, compassion fatigue, and self-care</x:v>
      </x:c>
      <x:c r="C48" s="64" t="str">
        <x:v>Shared - Different Framing</x:v>
      </x:c>
      <x:c r="D48" s="65" t="n">
        <x:v>0.65</x:v>
      </x:c>
      <x:c r="E48" s="64" t="str">
        <x:v>SC10</x:v>
      </x:c>
      <x:c r="F48" s="64" t="str">
        <x:v>WB10/WB12</x:v>
      </x:c>
      <x:c r="G48" s="64" t="str">
        <x:v>LSW2; IA</x:v>
      </x:c>
      <x:c r="H48" s="64" t="str">
        <x:v>Recognize impairment risk, use supports, maintain boundaries, and protect continuity of care.</x:v>
      </x:c>
      <x:c r="I48" s="64" t="str">
        <x:v>Tie impairment and competence to LMFT professional practice.</x:v>
      </x:c>
      <x:c r="J48" s="64" t="str">
        <x:v>Give stronger explicit coverage because the 2026 LCSW Values and Ethics outline names burnout, secondary trauma, compassion fatigue, and self-care.</x:v>
      </x:c>
      <x:c r="K48" s="64" t="str">
        <x:v>Rewrite separately for each exam track.</x:v>
      </x:c>
      <x:c r="L48" s="64" t="str">
        <x:v>Final</x:v>
      </x:c>
      <x:c r="M48" s="64" t="str">
        <x:v>Completion confirmed by the LMFT and LCSW Master Program Index and Final Release Audit v1.0 (July 25, 2026). Profession-specific workbooks, 17-question banks, and Forms A/B are complete. This crosswalk remains an administrative topic map; exact page-level evidence is controlled in the program source files.</x:v>
      </x:c>
    </x:row>
    <x:row r="49" ht="72" customHeight="1">
      <x:c r="A49" s="64" t="n">
        <x:v>48</x:v>
      </x:c>
      <x:c r="B49" s="64" t="str">
        <x:v>Determining the unit of treatment</x:v>
      </x:c>
      <x:c r="C49" s="64" t="str">
        <x:v>LMFT-Specific</x:v>
      </x:c>
      <x:c r="D49" s="65" t="n">
        <x:v>0.1</x:v>
      </x:c>
      <x:c r="E49" s="64" t="str">
        <x:v>LMFT Track</x:v>
      </x:c>
      <x:c r="F49" s="64" t="str">
        <x:v>WB2; T1 and systemic overlay</x:v>
      </x:c>
      <x:c r="G49" s="64" t="str">
        <x:v>Not a distinct LCSW blueprint requirement</x:v>
      </x:c>
      <x:c r="H49" s="64" t="str">
        <x:v>Basic assessment of who is involved and what problem is presented.</x:v>
      </x:c>
      <x:c r="I49" s="64" t="str">
        <x:v>Decide individual, couple, family, or other relational unit and adjust as the clinical picture changes.</x:v>
      </x:c>
      <x:c r="J49" s="64" t="str">
        <x:v>Use client/client-system identification only as needed for social work assessment and service planning.</x:v>
      </x:c>
      <x:c r="K49" s="64" t="str">
        <x:v>Rewrite separately for each exam track.</x:v>
      </x:c>
      <x:c r="L49" s="64" t="str">
        <x:v>Final</x:v>
      </x:c>
      <x:c r="M49" s="64" t="str">
        <x:v>Completion confirmed by the LMFT and LCSW Master Program Index and Final Release Audit v1.0 (July 25, 2026). Profession-specific workbooks, 17-question banks, and Forms A/B are complete. This crosswalk remains an administrative topic map; exact page-level evidence is controlled in the program source files.</x:v>
      </x:c>
    </x:row>
    <x:row r="50" ht="72" customHeight="1">
      <x:c r="A50" s="64" t="n">
        <x:v>49</x:v>
      </x:c>
      <x:c r="B50" s="64" t="str">
        <x:v>Genograms and multigenerational pattern analysis</x:v>
      </x:c>
      <x:c r="C50" s="64" t="str">
        <x:v>LMFT-Specific</x:v>
      </x:c>
      <x:c r="D50" s="65" t="n">
        <x:v>0.1</x:v>
      </x:c>
      <x:c r="E50" s="64" t="str">
        <x:v>LMFT Track</x:v>
      </x:c>
      <x:c r="F50" s="64" t="str">
        <x:v>WB4/WB8/WB11</x:v>
      </x:c>
      <x:c r="G50" s="64" t="str">
        <x:v>May support family assessment but is not explicitly central</x:v>
      </x:c>
      <x:c r="H50" s="64" t="str">
        <x:v>Basic family history and relationship mapping.</x:v>
      </x:c>
      <x:c r="I50" s="64" t="str">
        <x:v>Teach genogram construction, interpretation, intergenerational transmission, triangles, cutoffs, and family-of-origin hypotheses.</x:v>
      </x:c>
      <x:c r="J50" s="64" t="str">
        <x:v>Use selectively as one assessment tool, not as a defining exam framework.</x:v>
      </x:c>
      <x:c r="K50" s="64" t="str">
        <x:v>Rewrite separately for each exam track.</x:v>
      </x:c>
      <x:c r="L50" s="64" t="str">
        <x:v>Final</x:v>
      </x:c>
      <x:c r="M50" s="64" t="str">
        <x:v>Completion confirmed by the LMFT and LCSW Master Program Index and Final Release Audit v1.0 (July 25, 2026). Profession-specific workbooks, 17-question banks, and Forms A/B are complete. This crosswalk remains an administrative topic map; exact page-level evidence is controlled in the program source files.</x:v>
      </x:c>
    </x:row>
    <x:row r="51" ht="72" customHeight="1">
      <x:c r="A51" s="64" t="n">
        <x:v>50</x:v>
      </x:c>
      <x:c r="B51" s="64" t="str">
        <x:v>Circular causality, triangulation, and identified-patient dynamics</x:v>
      </x:c>
      <x:c r="C51" s="64" t="str">
        <x:v>LMFT-Specific</x:v>
      </x:c>
      <x:c r="D51" s="65" t="n">
        <x:v>0.1</x:v>
      </x:c>
      <x:c r="E51" s="64" t="str">
        <x:v>LMFT Track</x:v>
      </x:c>
      <x:c r="F51" s="64" t="str">
        <x:v>WB4/WB8/WB11</x:v>
      </x:c>
      <x:c r="G51" s="64" t="str">
        <x:v>Related family-dynamics content only</x:v>
      </x:c>
      <x:c r="H51" s="64" t="str">
        <x:v>Basic reciprocal relationship patterns.</x:v>
      </x:c>
      <x:c r="I51" s="64" t="str">
        <x:v>Teach circular hypotheses, symptom-maintaining sequences, triangles, coalitions, boundaries, and identified-patient functions.</x:v>
      </x:c>
      <x:c r="J51" s="64" t="str">
        <x:v>Address reciprocal systems when clinically relevant without making these the organizing ASWB logic.</x:v>
      </x:c>
      <x:c r="K51" s="64" t="str">
        <x:v>Rewrite separately for each exam track.</x:v>
      </x:c>
      <x:c r="L51" s="64" t="str">
        <x:v>Final</x:v>
      </x:c>
      <x:c r="M51" s="64" t="str">
        <x:v>Completion confirmed by the LMFT and LCSW Master Program Index and Final Release Audit v1.0 (July 25, 2026). Profession-specific workbooks, 17-question banks, and Forms A/B are complete. This crosswalk remains an administrative topic map; exact page-level evidence is controlled in the program source files.</x:v>
      </x:c>
    </x:row>
    <x:row r="52" ht="72" customHeight="1">
      <x:c r="A52" s="64" t="n">
        <x:v>51</x:v>
      </x:c>
      <x:c r="B52" s="64" t="str">
        <x:v>Family therapy models in depth</x:v>
      </x:c>
      <x:c r="C52" s="64" t="str">
        <x:v>LMFT-Specific</x:v>
      </x:c>
      <x:c r="D52" s="65" t="n">
        <x:v>0.1</x:v>
      </x:c>
      <x:c r="E52" s="64" t="str">
        <x:v>LMFT Track</x:v>
      </x:c>
      <x:c r="F52" s="64" t="str">
        <x:v>WB7/WB8/WB11</x:v>
      </x:c>
      <x:c r="G52" s="64" t="str">
        <x:v>Family therapy models appear in IIIB but with less depth</x:v>
      </x:c>
      <x:c r="H52" s="64" t="str">
        <x:v>Shared overview of theory-informed intervention selection.</x:v>
      </x:c>
      <x:c r="I52" s="64" t="str">
        <x:v>Deep coverage of Structural, Strategic, Bowen, Experiential, Attachment-based, Narrative, Solution-Focused, and related models.</x:v>
      </x:c>
      <x:c r="J52" s="64" t="str">
        <x:v>Teach recognition and appropriate use of family therapy approaches within broader social work practice.</x:v>
      </x:c>
      <x:c r="K52" s="64" t="str">
        <x:v>Rewrite separately for each exam track.</x:v>
      </x:c>
      <x:c r="L52" s="64" t="str">
        <x:v>Final</x:v>
      </x:c>
      <x:c r="M52" s="64" t="str">
        <x:v>Completion confirmed by the LMFT and LCSW Master Program Index and Final Release Audit v1.0 (July 25, 2026). Profession-specific workbooks, 17-question banks, and Forms A/B are complete. This crosswalk remains an administrative topic map; exact page-level evidence is controlled in the program source files.</x:v>
      </x:c>
    </x:row>
    <x:row r="53" ht="72" customHeight="1">
      <x:c r="A53" s="64" t="n">
        <x:v>52</x:v>
      </x:c>
      <x:c r="B53" s="64" t="str">
        <x:v>Systemic hypotheses and relational case conceptualization</x:v>
      </x:c>
      <x:c r="C53" s="64" t="str">
        <x:v>LMFT-Specific</x:v>
      </x:c>
      <x:c r="D53" s="65" t="n">
        <x:v>0.1</x:v>
      </x:c>
      <x:c r="E53" s="64" t="str">
        <x:v>LMFT Track</x:v>
      </x:c>
      <x:c r="F53" s="64" t="str">
        <x:v>WB4/WB7</x:v>
      </x:c>
      <x:c r="G53" s="64" t="str">
        <x:v>Related to assessment and planning but not a separate ASWB organizing domain</x:v>
      </x:c>
      <x:c r="H53" s="64" t="str">
        <x:v>Shared biopsychosocial and contextual formulation.</x:v>
      </x:c>
      <x:c r="I53" s="64" t="str">
        <x:v>Build systemic hypotheses linking interactional cycles, family structure, attachment, context, and symptom function.</x:v>
      </x:c>
      <x:c r="J53" s="64" t="str">
        <x:v>Use person-in-environment assessment and client-system planning rather than formal systemic-hypothesis emphasis.</x:v>
      </x:c>
      <x:c r="K53" s="64" t="str">
        <x:v>Rewrite separately for each exam track.</x:v>
      </x:c>
      <x:c r="L53" s="64" t="str">
        <x:v>Final</x:v>
      </x:c>
      <x:c r="M53" s="64" t="str">
        <x:v>Completion confirmed by the LMFT and LCSW Master Program Index and Final Release Audit v1.0 (July 25, 2026). Profession-specific workbooks, 17-question banks, and Forms A/B are complete. This crosswalk remains an administrative topic map; exact page-level evidence is controlled in the program source files.</x:v>
      </x:c>
    </x:row>
    <x:row r="54" ht="72" customHeight="1">
      <x:c r="A54" s="64" t="n">
        <x:v>53</x:v>
      </x:c>
      <x:c r="B54" s="64" t="str">
        <x:v>Systemic and relational treatment goals</x:v>
      </x:c>
      <x:c r="C54" s="64" t="str">
        <x:v>LMFT-Specific</x:v>
      </x:c>
      <x:c r="D54" s="65" t="n">
        <x:v>0.1</x:v>
      </x:c>
      <x:c r="E54" s="64" t="str">
        <x:v>LMFT Track</x:v>
      </x:c>
      <x:c r="F54" s="64" t="str">
        <x:v>WB7/WB8</x:v>
      </x:c>
      <x:c r="G54" s="64" t="str">
        <x:v>Related planning content</x:v>
      </x:c>
      <x:c r="H54" s="64" t="str">
        <x:v>Shared goal-writing and outcome measurement.</x:v>
      </x:c>
      <x:c r="I54" s="64" t="str">
        <x:v>Write goals targeting interactional patterns, boundaries, roles, attachment, communication, and relational functioning.</x:v>
      </x:c>
      <x:c r="J54" s="64" t="str">
        <x:v>Write client-centered clinical and service goals, including family work when indicated.</x:v>
      </x:c>
      <x:c r="K54" s="64" t="str">
        <x:v>Rewrite separately for each exam track.</x:v>
      </x:c>
      <x:c r="L54" s="64" t="str">
        <x:v>Final</x:v>
      </x:c>
      <x:c r="M54" s="64" t="str">
        <x:v>Completion confirmed by the LMFT and LCSW Master Program Index and Final Release Audit v1.0 (July 25, 2026). Profession-specific workbooks, 17-question banks, and Forms A/B are complete. This crosswalk remains an administrative topic map; exact page-level evidence is controlled in the program source files.</x:v>
      </x:c>
    </x:row>
    <x:row r="55" ht="72" customHeight="1">
      <x:c r="A55" s="64" t="n">
        <x:v>54</x:v>
      </x:c>
      <x:c r="B55" s="64" t="str">
        <x:v>California LMFT legal and ethical obligations on the clinical exam</x:v>
      </x:c>
      <x:c r="C55" s="64" t="str">
        <x:v>LMFT-Specific</x:v>
      </x:c>
      <x:c r="D55" s="65" t="n">
        <x:v>0.1</x:v>
      </x:c>
      <x:c r="E55" s="64" t="str">
        <x:v>LMFT Track</x:v>
      </x:c>
      <x:c r="F55" s="64" t="str">
        <x:v>WB12; Domain 6</x:v>
      </x:c>
      <x:c r="G55" s="64" t="str">
        <x:v>California law belongs to separate LCSW Law and Ethics preparation, not the national ASWB blueprint</x:v>
      </x:c>
      <x:c r="H55" s="64" t="str">
        <x:v>Shared ethics concepts and California orientation.</x:v>
      </x:c>
      <x:c r="I55" s="64" t="str">
        <x:v>Teach California statutes, regulations, reporting, confidentiality, telehealth, records, and professional conduct as tested clinical content.</x:v>
      </x:c>
      <x:c r="J55" s="64" t="str">
        <x:v>Keep California licensure orientation supplemental and preserve the ASWB exam's national values-and-ethics framework.</x:v>
      </x:c>
      <x:c r="K55" s="64" t="str">
        <x:v>Rewrite separately for each exam track.</x:v>
      </x:c>
      <x:c r="L55" s="64" t="str">
        <x:v>Final</x:v>
      </x:c>
      <x:c r="M55" s="64" t="str">
        <x:v>Completion confirmed by the LMFT and LCSW Master Program Index and Final Release Audit v1.0 (July 25, 2026). Profession-specific workbooks, 17-question banks, and Forms A/B are complete. This crosswalk remains an administrative topic map; exact page-level evidence is controlled in the program source files.</x:v>
      </x:c>
    </x:row>
    <x:row r="56" ht="72" customHeight="1">
      <x:c r="A56" s="64" t="n">
        <x:v>55</x:v>
      </x:c>
      <x:c r="B56" s="64" t="str">
        <x:v>Social work values, dignity, worth, and self-determination</x:v>
      </x:c>
      <x:c r="C56" s="64" t="str">
        <x:v>LCSW-Specific</x:v>
      </x:c>
      <x:c r="D56" s="65" t="n">
        <x:v>0.1</x:v>
      </x:c>
      <x:c r="E56" s="64" t="str">
        <x:v>LCSW Track</x:v>
      </x:c>
      <x:c r="F56" s="64" t="str">
        <x:v>Related ethics concepts only</x:v>
      </x:c>
      <x:c r="G56" s="64" t="str">
        <x:v>LSW2; IA-IB</x:v>
      </x:c>
      <x:c r="H56" s="64" t="str">
        <x:v>Shared respect, collaboration, consent, and client participation.</x:v>
      </x:c>
      <x:c r="I56" s="64" t="str">
        <x:v>Use general ethical principles without adopting ASWB profession-specific framing.</x:v>
      </x:c>
      <x:c r="J56" s="64" t="str">
        <x:v>Teach self-determination, right to refuse, dignity and worth, social justice, integrity, competence, and service as primary exam anchors.</x:v>
      </x:c>
      <x:c r="K56" s="64" t="str">
        <x:v>Rewrite separately for each exam track.</x:v>
      </x:c>
      <x:c r="L56" s="64" t="str">
        <x:v>Final</x:v>
      </x:c>
      <x:c r="M56" s="64" t="str">
        <x:v>Completion confirmed by the LMFT and LCSW Master Program Index and Final Release Audit v1.0 (July 25, 2026). Profession-specific workbooks, 17-question banks, and Forms A/B are complete. This crosswalk remains an administrative topic map; exact page-level evidence is controlled in the program source files.</x:v>
      </x:c>
    </x:row>
    <x:row r="57" ht="72" customHeight="1">
      <x:c r="A57" s="64" t="n">
        <x:v>56</x:v>
      </x:c>
      <x:c r="B57" s="64" t="str">
        <x:v>Anti-oppressive, anti-racist, and social-justice practice</x:v>
      </x:c>
      <x:c r="C57" s="64" t="str">
        <x:v>LCSW-Specific</x:v>
      </x:c>
      <x:c r="D57" s="65" t="n">
        <x:v>0.1</x:v>
      </x:c>
      <x:c r="E57" s="64" t="str">
        <x:v>LCSW Track</x:v>
      </x:c>
      <x:c r="F57" s="64" t="str">
        <x:v>WB3/WB10 contextual material</x:v>
      </x:c>
      <x:c r="G57" s="64" t="str">
        <x:v>LSW2; IC</x:v>
      </x:c>
      <x:c r="H57" s="64" t="str">
        <x:v>Shared cultural responsiveness, discrimination, bias, oppression, and access.</x:v>
      </x:c>
      <x:c r="I57" s="64" t="str">
        <x:v>Integrate cultural context into systemic assessment and treatment.</x:v>
      </x:c>
      <x:c r="J57" s="64" t="str">
        <x:v>Provide dedicated coverage of anti-oppressive and anti-racist approaches, racial privilege, restorative practices, accessibility, and justice.</x:v>
      </x:c>
      <x:c r="K57" s="64" t="str">
        <x:v>Rewrite separately for each exam track.</x:v>
      </x:c>
      <x:c r="L57" s="64" t="str">
        <x:v>Final</x:v>
      </x:c>
      <x:c r="M57" s="64" t="str">
        <x:v>Completion confirmed by the LMFT and LCSW Master Program Index and Final Release Audit v1.0 (July 25, 2026). Profession-specific workbooks, 17-question banks, and Forms A/B are complete. This crosswalk remains an administrative topic map; exact page-level evidence is controlled in the program source files.</x:v>
      </x:c>
    </x:row>
    <x:row r="58" ht="72" customHeight="1">
      <x:c r="A58" s="64" t="n">
        <x:v>57</x:v>
      </x:c>
      <x:c r="B58" s="64" t="str">
        <x:v>Person-in-environment and social determinants as the organizing lens</x:v>
      </x:c>
      <x:c r="C58" s="64" t="str">
        <x:v>LCSW-Specific</x:v>
      </x:c>
      <x:c r="D58" s="65" t="n">
        <x:v>0.1</x:v>
      </x:c>
      <x:c r="E58" s="64" t="str">
        <x:v>LCSW Track</x:v>
      </x:c>
      <x:c r="F58" s="64" t="str">
        <x:v>Shared biopsychosocial/systemic context</x:v>
      </x:c>
      <x:c r="G58" s="64" t="str">
        <x:v>LSW3-LSW10; IIA-IIIB</x:v>
      </x:c>
      <x:c r="H58" s="64" t="str">
        <x:v>Shared environmental and contextual assessment.</x:v>
      </x:c>
      <x:c r="I58" s="64" t="str">
        <x:v>Use family systems as the primary relational lens.</x:v>
      </x:c>
      <x:c r="J58" s="64" t="str">
        <x:v>Use person-in-environment, social determinants, policy, resources, and systems interaction as the central formulation lens.</x:v>
      </x:c>
      <x:c r="K58" s="64" t="str">
        <x:v>Rewrite separately for each exam track.</x:v>
      </x:c>
      <x:c r="L58" s="64" t="str">
        <x:v>Final</x:v>
      </x:c>
      <x:c r="M58" s="64" t="str">
        <x:v>Completion confirmed by the LMFT and LCSW Master Program Index and Final Release Audit v1.0 (July 25, 2026). Profession-specific workbooks, 17-question banks, and Forms A/B are complete. This crosswalk remains an administrative topic map; exact page-level evidence is controlled in the program source files.</x:v>
      </x:c>
    </x:row>
    <x:row r="59" ht="72" customHeight="1">
      <x:c r="A59" s="64" t="n">
        <x:v>58</x:v>
      </x:c>
      <x:c r="B59" s="64" t="str">
        <x:v>Macro, organizational, and community practice</x:v>
      </x:c>
      <x:c r="C59" s="64" t="str">
        <x:v>LCSW-Specific</x:v>
      </x:c>
      <x:c r="D59" s="65" t="n">
        <x:v>0.1</x:v>
      </x:c>
      <x:c r="E59" s="64" t="str">
        <x:v>LCSW Track</x:v>
      </x:c>
      <x:c r="F59" s="64" t="str">
        <x:v>Limited consultation/referral overlap</x:v>
      </x:c>
      <x:c r="G59" s="64" t="str">
        <x:v>LSW10-LSW11; IIIA-IIID</x:v>
      </x:c>
      <x:c r="H59" s="64" t="str">
        <x:v>Shared awareness of organizations and community resources.</x:v>
      </x:c>
      <x:c r="I59" s="64" t="str">
        <x:v>Keep focus on clinical treatment systems.</x:v>
      </x:c>
      <x:c r="J59" s="64" t="str">
        <x:v>Teach organizations, community systems, service networks, formal documents, organizational development, and community-level intervention.</x:v>
      </x:c>
      <x:c r="K59" s="64" t="str">
        <x:v>Rewrite separately for each exam track.</x:v>
      </x:c>
      <x:c r="L59" s="64" t="str">
        <x:v>Final</x:v>
      </x:c>
      <x:c r="M59" s="64" t="str">
        <x:v>Completion confirmed by the LMFT and LCSW Master Program Index and Final Release Audit v1.0 (July 25, 2026). Profession-specific workbooks, 17-question banks, and Forms A/B are complete. This crosswalk remains an administrative topic map; exact page-level evidence is controlled in the program source files.</x:v>
      </x:c>
    </x:row>
    <x:row r="60" ht="72" customHeight="1">
      <x:c r="A60" s="64" t="n">
        <x:v>59</x:v>
      </x:c>
      <x:c r="B60" s="64" t="str">
        <x:v>Program evaluation and social work research</x:v>
      </x:c>
      <x:c r="C60" s="64" t="str">
        <x:v>LCSW-Specific</x:v>
      </x:c>
      <x:c r="D60" s="65" t="n">
        <x:v>0.1</x:v>
      </x:c>
      <x:c r="E60" s="64" t="str">
        <x:v>LCSW Track</x:v>
      </x:c>
      <x:c r="F60" s="64" t="str">
        <x:v>Limited outcome-monitoring overlap</x:v>
      </x:c>
      <x:c r="G60" s="64" t="str">
        <x:v>LSW11; IIIC</x:v>
      </x:c>
      <x:c r="H60" s="64" t="str">
        <x:v>Shared progress measurement and evidence-based practice.</x:v>
      </x:c>
      <x:c r="I60" s="64" t="str">
        <x:v>Use clinical outcome monitoring only.</x:v>
      </x:c>
      <x:c r="J60" s="64" t="str">
        <x:v>Teach program objectives, formative/summative evaluation, cost-effectiveness, research design, data collection, reliability, validity, and quality assurance.</x:v>
      </x:c>
      <x:c r="K60" s="64" t="str">
        <x:v>Rewrite separately for each exam track.</x:v>
      </x:c>
      <x:c r="L60" s="64" t="str">
        <x:v>Final</x:v>
      </x:c>
      <x:c r="M60" s="64" t="str">
        <x:v>Completion confirmed by the LMFT and LCSW Master Program Index and Final Release Audit v1.0 (July 25, 2026). Profession-specific workbooks, 17-question banks, and Forms A/B are complete. This crosswalk remains an administrative topic map; exact page-level evidence is controlled in the program source files.</x:v>
      </x:c>
    </x:row>
    <x:row r="61" ht="72" customHeight="1">
      <x:c r="A61" s="64" t="n">
        <x:v>60</x:v>
      </x:c>
      <x:c r="B61" s="64" t="str">
        <x:v>Supervision and administration</x:v>
      </x:c>
      <x:c r="C61" s="64" t="str">
        <x:v>LCSW-Specific</x:v>
      </x:c>
      <x:c r="D61" s="65" t="n">
        <x:v>0.1</x:v>
      </x:c>
      <x:c r="E61" s="64" t="str">
        <x:v>LCSW Track</x:v>
      </x:c>
      <x:c r="F61" s="64" t="str">
        <x:v>Professional consultation overlap</x:v>
      </x:c>
      <x:c r="G61" s="64" t="str">
        <x:v>LSW11; IIID</x:v>
      </x:c>
      <x:c r="H61" s="64" t="str">
        <x:v>Shared supervision, consultation, competence, and risk management.</x:v>
      </x:c>
      <x:c r="I61" s="64" t="str">
        <x:v>Limit to clinician consultation and competence.</x:v>
      </x:c>
      <x:c r="J61" s="64" t="str">
        <x:v>Teach supervisee role, supervision models, supervisory transference/countertransference, policies, procedures, organizational functioning, and administration.</x:v>
      </x:c>
      <x:c r="K61" s="64" t="str">
        <x:v>Rewrite separately for each exam track.</x:v>
      </x:c>
      <x:c r="L61" s="64" t="str">
        <x:v>Final</x:v>
      </x:c>
      <x:c r="M61" s="64" t="str">
        <x:v>Completion confirmed by the LMFT and LCSW Master Program Index and Final Release Audit v1.0 (July 25, 2026). Profession-specific workbooks, 17-question banks, and Forms A/B are complete. This crosswalk remains an administrative topic map; exact page-level evidence is controlled in the program source files.</x:v>
      </x:c>
    </x:row>
    <x:row r="62" ht="72" customHeight="1">
      <x:c r="A62" s="64" t="n">
        <x:v>61</x:v>
      </x:c>
      <x:c r="B62" s="64" t="str">
        <x:v>Fiscal management, resource allocation, and responsible billing</x:v>
      </x:c>
      <x:c r="C62" s="64" t="str">
        <x:v>LCSW-Specific</x:v>
      </x:c>
      <x:c r="D62" s="65" t="n">
        <x:v>0.1</x:v>
      </x:c>
      <x:c r="E62" s="64" t="str">
        <x:v>LCSW Track</x:v>
      </x:c>
      <x:c r="F62" s="64" t="str">
        <x:v>Limited documentation/risk-management overlap</x:v>
      </x:c>
      <x:c r="G62" s="64" t="str">
        <x:v>LSW2/LSW11; IB-IIID</x:v>
      </x:c>
      <x:c r="H62" s="64" t="str">
        <x:v>Shared ethical documentation and service stewardship.</x:v>
      </x:c>
      <x:c r="I62" s="64" t="str">
        <x:v>Address fees and billing only as California professional-practice issues.</x:v>
      </x:c>
      <x:c r="J62" s="64" t="str">
        <x:v>Teach managed care, insurance reimbursement, incident-to billing, fiscal management, and resource allocation as explicit exam content.</x:v>
      </x:c>
      <x:c r="K62" s="64" t="str">
        <x:v>Rewrite separately for each exam track.</x:v>
      </x:c>
      <x:c r="L62" s="64" t="str">
        <x:v>Final</x:v>
      </x:c>
      <x:c r="M62" s="64" t="str">
        <x:v>Completion confirmed by the LMFT and LCSW Master Program Index and Final Release Audit v1.0 (July 25, 2026). Profession-specific workbooks, 17-question banks, and Forms A/B are complete. This crosswalk remains an administrative topic map; exact page-level evidence is controlled in the program source files.</x:v>
      </x:c>
    </x:row>
    <x:row r="63" ht="72" customHeight="1">
      <x:c r="A63" s="64" t="n">
        <x:v>62</x:v>
      </x:c>
      <x:c r="B63" s="64" t="str">
        <x:v>Out-of-home placement, foster care, residential care, and criminal-justice systems</x:v>
      </x:c>
      <x:c r="C63" s="64" t="str">
        <x:v>LCSW-Specific</x:v>
      </x:c>
      <x:c r="D63" s="65" t="n">
        <x:v>0.1</x:v>
      </x:c>
      <x:c r="E63" s="64" t="str">
        <x:v>LCSW Track</x:v>
      </x:c>
      <x:c r="F63" s="64" t="str">
        <x:v>WB3 legal-system and contextual assessment</x:v>
      </x:c>
      <x:c r="G63" s="64" t="str">
        <x:v>LSW3/LSW10; IIA-IIIB</x:v>
      </x:c>
      <x:c r="H63" s="64" t="str">
        <x:v>Shared assessment of legal-system involvement, placement, trauma, and family impact.</x:v>
      </x:c>
      <x:c r="I63" s="64" t="str">
        <x:v>Use these contexts as clinical background and relational stressors.</x:v>
      </x:c>
      <x:c r="J63" s="64" t="str">
        <x:v>Teach placement systems, permanency, client rights, service coordination, discharge, advocacy, and system navigation.</x:v>
      </x:c>
      <x:c r="K63" s="64" t="str">
        <x:v>Rewrite separately for each exam track.</x:v>
      </x:c>
      <x:c r="L63" s="64" t="str">
        <x:v>Final</x:v>
      </x:c>
      <x:c r="M63" s="64" t="str">
        <x:v>Completion confirmed by the LMFT and LCSW Master Program Index and Final Release Audit v1.0 (July 25, 2026). Profession-specific workbooks, 17-question banks, and Forms A/B are complete. This crosswalk remains an administrative topic map; exact page-level evidence is controlled in the program source files.</x:v>
      </x:c>
    </x:row>
    <x:row r="64" ht="72" customHeight="1">
      <x:c r="A64" s="64" t="n">
        <x:v>63</x:v>
      </x:c>
      <x:c r="B64" s="64" t="str">
        <x:v>Environmental justice, hazards, climate change, and globalization</x:v>
      </x:c>
      <x:c r="C64" s="64" t="str">
        <x:v>LCSW-Specific</x:v>
      </x:c>
      <x:c r="D64" s="65" t="n">
        <x:v>0.1</x:v>
      </x:c>
      <x:c r="E64" s="64" t="str">
        <x:v>LCSW Track</x:v>
      </x:c>
      <x:c r="F64" s="64" t="str">
        <x:v>Limited psychosocial-context overlap</x:v>
      </x:c>
      <x:c r="G64" s="64" t="str">
        <x:v>LSW2-LSW3; IC-IIA</x:v>
      </x:c>
      <x:c r="H64" s="64" t="str">
        <x:v>Shared awareness of environmental and sociopolitical stress.</x:v>
      </x:c>
      <x:c r="I64" s="64" t="str">
        <x:v>Address when relevant to client/family functioning.</x:v>
      </x:c>
      <x:c r="J64" s="64" t="str">
        <x:v>Teach environmental hazards, climate impacts, urbanization, globalization, displacement, and justice implications across client systems.</x:v>
      </x:c>
      <x:c r="K64" s="64" t="str">
        <x:v>Rewrite separately for each exam track.</x:v>
      </x:c>
      <x:c r="L64" s="64" t="str">
        <x:v>Final</x:v>
      </x:c>
      <x:c r="M64" s="64" t="str">
        <x:v>Completion confirmed by the LMFT and LCSW Master Program Index and Final Release Audit v1.0 (July 25, 2026). Profession-specific workbooks, 17-question banks, and Forms A/B are complete. This crosswalk remains an administrative topic map; exact page-level evidence is controlled in the program source files.</x:v>
      </x:c>
    </x:row>
    <x:row r="65" ht="72" customHeight="1">
      <x:c r="A65" s="64" t="n">
        <x:v>64</x:v>
      </x:c>
      <x:c r="B65" s="64" t="str">
        <x:v>Government policy and service-delivery systems</x:v>
      </x:c>
      <x:c r="C65" s="64" t="str">
        <x:v>LCSW-Specific</x:v>
      </x:c>
      <x:c r="D65" s="65" t="n">
        <x:v>0.1</x:v>
      </x:c>
      <x:c r="E65" s="64" t="str">
        <x:v>LCSW Track</x:v>
      </x:c>
      <x:c r="F65" s="64" t="str">
        <x:v>California law as clinical duty</x:v>
      </x:c>
      <x:c r="G65" s="64" t="str">
        <x:v>LSW2/LSW10-LSW11; IB-IIIA-IIID</x:v>
      </x:c>
      <x:c r="H65" s="64" t="str">
        <x:v>Shared understanding that policy affects access, roles, and care.</x:v>
      </x:c>
      <x:c r="I65" s="64" t="str">
        <x:v>Focus on statutes governing LMFT clinical practice.</x:v>
      </x:c>
      <x:c r="J65" s="64" t="str">
        <x:v>Teach local/state/federal policy effects, advocacy, eligibility, agency procedures, service delivery, and organizational risk management.</x:v>
      </x:c>
      <x:c r="K65" s="64" t="str">
        <x:v>Rewrite separately for each exam track.</x:v>
      </x:c>
      <x:c r="L65" s="64" t="str">
        <x:v>Final</x:v>
      </x:c>
      <x:c r="M65" s="64" t="str">
        <x:v>Completion confirmed by the LMFT and LCSW Master Program Index and Final Release Audit v1.0 (July 25, 2026). Profession-specific workbooks, 17-question banks, and Forms A/B are complete. This crosswalk remains an administrative topic map; exact page-level evidence is controlled in the program source files.</x:v>
      </x:c>
    </x:row>
  </x:sheetData>
  <x:conditionalFormatting sqref="C2:C65">
    <x:cfRule type="expression" dxfId="0" priority="1">
      <x:formula>C2="Shared Core"</x:formula>
    </x:cfRule>
    <x:cfRule type="expression" dxfId="1" priority="2">
      <x:formula>C2="Shared - Different Framing"</x:formula>
    </x:cfRule>
    <x:cfRule type="expression" dxfId="2" priority="3">
      <x:formula>C2="LMFT-Specific"</x:formula>
    </x:cfRule>
    <x:cfRule type="expression" dxfId="3" priority="4">
      <x:formula>C2="LCSW-Specific"</x:formula>
    </x:cfRule>
  </x:conditionalFormatting>
  <x:conditionalFormatting sqref="L2:L65">
    <x:cfRule type="expression" dxfId="4" priority="5">
      <x:formula>L2="Final"</x:formula>
    </x:cfRule>
    <x:cfRule type="expression" dxfId="5" priority="6">
      <x:formula>L2="Mapped - Not Drafted"</x:formula>
    </x:cfRule>
  </x:conditionalFormatting>
  <x:dataValidations count="1">
    <x:dataValidation type="list" sqref="L2:L65">
      <x:formula1>"Mapped - Not Drafted,Researching,Shared Draft Complete,LMFT Adapted,LCSW Adapted,Reviewed,Final"</x:formula1>
    </x:dataValidation>
  </x:dataValidations>
  <x:pageMargins left="0.7" right="0.7" top="0.75" bottom="0.75" header="0.3" footer="0.3"/>
  <x:tableParts count="1">
    <x:tablePart xmlns:r="http://schemas.openxmlformats.org/officeDocument/2006/relationships" r:id="R00cdb75d1594463f"/>
  </x:tableParts>
</x:worksheet>
</file>

<file path=xl/worksheets/sheet3.xml><?xml version="1.0" encoding="utf-8"?>
<x:worksheet xmlns:x="http://schemas.openxmlformats.org/spreadsheetml/2006/main">
  <x:sheetFormatPr defaultRowHeight="15"/>
  <x:cols>
    <x:col min="1" max="1" width="31" hidden="0" customWidth="1"/>
    <x:col min="2" max="2" width="12" hidden="0" customWidth="1"/>
    <x:col min="3" max="3" width="20" hidden="0" customWidth="1"/>
    <x:col min="4" max="4" width="49" hidden="0" customWidth="1"/>
    <x:col min="5" max="5" width="4" hidden="0" customWidth="1"/>
    <x:col min="6" max="6" width="35" hidden="0" customWidth="1"/>
    <x:col min="7" max="7" width="12" hidden="0" customWidth="1"/>
    <x:col min="8" max="8" width="21" hidden="0" customWidth="1"/>
    <x:col min="9" max="9" width="49" hidden="0" customWidth="1"/>
  </x:cols>
  <x:sheetData>
    <x:row r="1">
      <x:c r="A1" s="71" t="str">
        <x:v>Official Blueprint Comparison</x:v>
      </x:c>
      <x:c r="B1" s="71"/>
      <x:c r="C1" s="71"/>
      <x:c r="D1" s="71"/>
      <x:c r="E1" s="71"/>
      <x:c r="F1" s="71"/>
      <x:c r="G1" s="71"/>
      <x:c r="H1" s="71"/>
    </x:row>
    <x:row r="2">
      <x:c r="A2" s="71"/>
      <x:c r="B2" s="71"/>
      <x:c r="C2" s="71"/>
      <x:c r="D2" s="71"/>
      <x:c r="E2" s="71"/>
      <x:c r="F2" s="71"/>
      <x:c r="G2" s="71"/>
      <x:c r="H2" s="71"/>
    </x:row>
    <x:row r="4">
      <x:c r="A4" s="20" t="str">
        <x:v>LMFT California Clinical Examination</x:v>
      </x:c>
      <x:c r="B4" s="20"/>
      <x:c r="C4" s="20"/>
      <x:c r="D4" s="20"/>
      <x:c r="F4" s="43" t="str">
        <x:v>LCSW ASWB Clinical Examination — Exams on/after August 3, 2026</x:v>
      </x:c>
      <x:c r="G4" s="43"/>
      <x:c r="H4" s="43"/>
      <x:c r="I4" s="43"/>
    </x:row>
    <x:row r="5">
      <x:c r="A5" s="25" t="str">
        <x:v>Official Domain</x:v>
      </x:c>
      <x:c r="B5" s="25" t="str">
        <x:v>Weight</x:v>
      </x:c>
      <x:c r="C5" s="25" t="str">
        <x:v>Primary CTA Workbooks</x:v>
      </x:c>
      <x:c r="D5" s="25" t="str">
        <x:v>Coverage</x:v>
      </x:c>
      <x:c r="F5" s="25" t="str">
        <x:v>Official Content Area</x:v>
      </x:c>
      <x:c r="G5" s="25" t="str">
        <x:v>Weight</x:v>
      </x:c>
      <x:c r="H5" s="25" t="str">
        <x:v>Primary CTA Workbooks</x:v>
      </x:c>
      <x:c r="I5" s="25" t="str">
        <x:v>Coverage</x:v>
      </x:c>
    </x:row>
    <x:row r="6">
      <x:c r="A6" s="29" t="str">
        <x:v>1. Clinical Evaluation</x:v>
      </x:c>
      <x:c r="B6" s="61" t="n">
        <x:v>0.27</x:v>
      </x:c>
      <x:c r="C6" s="29" t="str">
        <x:v>WB2-WB4</x:v>
      </x:c>
      <x:c r="D6" s="29" t="str">
        <x:v>Engagement, assessment, context, relationships, trauma, strengths, consultation, and referral.</x:v>
      </x:c>
      <x:c r="F6" s="29" t="str">
        <x:v>I. Values and Ethics</x:v>
      </x:c>
      <x:c r="G6" s="61" t="n">
        <x:v>0.36</x:v>
      </x:c>
      <x:c r="H6" s="29" t="str">
        <x:v>LSW2</x:v>
      </x:c>
      <x:c r="I6" s="29" t="str">
        <x:v>Ethical principles, ethical service delivery, diversity, and social justice.</x:v>
      </x:c>
    </x:row>
    <x:row r="7">
      <x:c r="A7" s="29" t="str">
        <x:v>2. Developing a Diagnostic Impression</x:v>
      </x:c>
      <x:c r="B7" s="61" t="n">
        <x:v>0.11</x:v>
      </x:c>
      <x:c r="C7" s="29" t="str">
        <x:v>WB5</x:v>
      </x:c>
      <x:c r="D7" s="29" t="str">
        <x:v>Provisional and differential diagnosis.</x:v>
      </x:c>
      <x:c r="F7" s="29" t="str">
        <x:v>II. Assessment and Planning</x:v>
      </x:c>
      <x:c r="G7" s="61" t="n">
        <x:v>0.32</x:v>
      </x:c>
      <x:c r="H7" s="29" t="str">
        <x:v>LSW3-LSW7</x:v>
      </x:c>
      <x:c r="I7" s="29" t="str">
        <x:v>Assessment concepts, methods and techniques, diagnosis, risk, resources, and service/treatment planning.</x:v>
      </x:c>
    </x:row>
    <x:row r="8">
      <x:c r="A8" s="29" t="str">
        <x:v>3. Managing Crisis Situations</x:v>
      </x:c>
      <x:c r="B8" s="61" t="n">
        <x:v>0.11</x:v>
      </x:c>
      <x:c r="C8" s="29" t="str">
        <x:v>WB6</x:v>
      </x:c>
      <x:c r="D8" s="29" t="str">
        <x:v>Imminent danger, abuse, crisis exposure, stabilization, and safety.</x:v>
      </x:c>
      <x:c r="F8" s="29" t="str">
        <x:v>III. Intervention and Practice</x:v>
      </x:c>
      <x:c r="G8" s="61" t="n">
        <x:v>0.32</x:v>
      </x:c>
      <x:c r="H8" s="29" t="str">
        <x:v>LSW8-LSW11</x:v>
      </x:c>
      <x:c r="I8" s="29" t="str">
        <x:v>Practice concepts, intervention methods, evaluation/research, supervision, and administration.</x:v>
      </x:c>
    </x:row>
    <x:row r="9">
      <x:c r="A9" s="29" t="str">
        <x:v>4. Case Conceptualization and Planning</x:v>
      </x:c>
      <x:c r="B9" s="61" t="n">
        <x:v>0.12</x:v>
      </x:c>
      <x:c r="C9" s="29" t="str">
        <x:v>WB7</x:v>
      </x:c>
      <x:c r="D9" s="29" t="str">
        <x:v>Goals, outcomes, theory-informed plans, progress monitoring, and termination.</x:v>
      </x:c>
    </x:row>
    <x:row r="10">
      <x:c r="A10" s="29" t="str">
        <x:v>5. Treatment</x:v>
      </x:c>
      <x:c r="B10" s="61" t="n">
        <x:v>0.29</x:v>
      </x:c>
      <x:c r="C10" s="29" t="str">
        <x:v>WB8-WB11</x:v>
      </x:c>
      <x:c r="D10" s="29" t="str">
        <x:v>Relational, trauma, psychological, developmental, contextual, theory-specific, group, referral, and collaborative interventions.</x:v>
      </x:c>
    </x:row>
    <x:row r="11">
      <x:c r="A11" s="29" t="str">
        <x:v>6. Managing Legal and Ethical Obligations</x:v>
      </x:c>
      <x:c r="B11" s="61" t="n">
        <x:v>0.1</x:v>
      </x:c>
      <x:c r="C11" s="29" t="str">
        <x:v>WB12</x:v>
      </x:c>
      <x:c r="D11" s="29" t="str">
        <x:v>Consent, confidentiality, boundaries, technology, records, and third-party involvement.</x:v>
      </x:c>
    </x:row>
    <x:row r="14">
      <x:c r="A14" s="33" t="str">
        <x:v>LCSW 2026 Competency Structure</x:v>
      </x:c>
      <x:c r="B14" s="33"/>
      <x:c r="C14" s="33"/>
      <x:c r="D14" s="33"/>
      <x:c r="E14" s="33"/>
      <x:c r="F14" s="49" t="str">
        <x:v>Question-Writing Implications</x:v>
      </x:c>
      <x:c r="G14" s="49"/>
      <x:c r="H14" s="49"/>
      <x:c r="I14" s="49"/>
    </x:row>
    <x:row r="15">
      <x:c r="A15" s="25" t="str">
        <x:v>Code</x:v>
      </x:c>
      <x:c r="B15" s="25" t="str">
        <x:v>Content Area</x:v>
      </x:c>
      <x:c r="C15" s="25" t="str">
        <x:v>Competency</x:v>
      </x:c>
      <x:c r="D15" s="25" t="str">
        <x:v>Primary CTA Coverage</x:v>
      </x:c>
      <x:c r="F15" s="25" t="str">
        <x:v>Element</x:v>
      </x:c>
      <x:c r="G15" s="25" t="str">
        <x:v>LMFT Track</x:v>
      </x:c>
      <x:c r="H15" s="25" t="str">
        <x:v>LCSW Track</x:v>
      </x:c>
      <x:c r="I15" s="25" t="str">
        <x:v>Shared Rule</x:v>
      </x:c>
    </x:row>
    <x:row r="16">
      <x:c r="A16" s="29" t="str">
        <x:v>IA</x:v>
      </x:c>
      <x:c r="B16" s="29" t="str">
        <x:v>Values and Ethics</x:v>
      </x:c>
      <x:c r="C16" s="29" t="str">
        <x:v>Ethical Principles and Responsibilities</x:v>
      </x:c>
      <x:c r="D16" s="29" t="str">
        <x:v>LSW2</x:v>
      </x:c>
      <x:c r="F16" s="29" t="str">
        <x:v>Primary lens</x:v>
      </x:c>
      <x:c r="G16" s="29" t="str">
        <x:v>Systemic and relational clinical reasoning</x:v>
      </x:c>
      <x:c r="H16" s="29" t="str">
        <x:v>Applied social work knowledge and values</x:v>
      </x:c>
      <x:c r="I16" s="29" t="str">
        <x:v>Use clinically plausible distractors and one best answer.</x:v>
      </x:c>
    </x:row>
    <x:row r="17">
      <x:c r="A17" s="29" t="str">
        <x:v>IB</x:v>
      </x:c>
      <x:c r="B17" s="29" t="str">
        <x:v>Values and Ethics</x:v>
      </x:c>
      <x:c r="C17" s="29" t="str">
        <x:v>Ethical Service Delivery</x:v>
      </x:c>
      <x:c r="D17" s="29" t="str">
        <x:v>LSW2</x:v>
      </x:c>
      <x:c r="F17" s="29" t="str">
        <x:v>Legal framework</x:v>
      </x:c>
      <x:c r="G17" s="29" t="str">
        <x:v>California law appears directly in the clinical blueprint</x:v>
      </x:c>
      <x:c r="H17" s="29" t="str">
        <x:v>National ASWB values/ethics; exact law varies by jurisdiction</x:v>
      </x:c>
      <x:c r="I17" s="29" t="str">
        <x:v>Verify controlling authority before publication.</x:v>
      </x:c>
    </x:row>
    <x:row r="18">
      <x:c r="A18" s="29" t="str">
        <x:v>IC</x:v>
      </x:c>
      <x:c r="B18" s="29" t="str">
        <x:v>Values and Ethics</x:v>
      </x:c>
      <x:c r="C18" s="29" t="str">
        <x:v>Diversity and Social Justice</x:v>
      </x:c>
      <x:c r="D18" s="29" t="str">
        <x:v>LSW2-LSW3</x:v>
      </x:c>
      <x:c r="F18" s="29" t="str">
        <x:v>Family content</x:v>
      </x:c>
      <x:c r="G18" s="29" t="str">
        <x:v>Central and theory-dense</x:v>
      </x:c>
      <x:c r="H18" s="29" t="str">
        <x:v>One modality within broader social work practice</x:v>
      </x:c>
      <x:c r="I18" s="29" t="str">
        <x:v>Research core concepts once; rewrite framing.</x:v>
      </x:c>
    </x:row>
    <x:row r="19">
      <x:c r="A19" s="29" t="str">
        <x:v>IIA</x:v>
      </x:c>
      <x:c r="B19" s="29" t="str">
        <x:v>Assessment and Planning</x:v>
      </x:c>
      <x:c r="C19" s="29" t="str">
        <x:v>Assessment Concepts</x:v>
      </x:c>
      <x:c r="D19" s="29" t="str">
        <x:v>LSW3-LSW5</x:v>
      </x:c>
      <x:c r="F19" s="29" t="str">
        <x:v>Resources and systems</x:v>
      </x:c>
      <x:c r="G19" s="29" t="str">
        <x:v>Consultation/referral support clinical care</x:v>
      </x:c>
      <x:c r="H19" s="29" t="str">
        <x:v>Case management, advocacy, systems, and resources are central</x:v>
      </x:c>
      <x:c r="I19" s="29" t="str">
        <x:v>Use different decision priorities.</x:v>
      </x:c>
    </x:row>
    <x:row r="20">
      <x:c r="A20" s="29" t="str">
        <x:v>IIB</x:v>
      </x:c>
      <x:c r="B20" s="29" t="str">
        <x:v>Assessment and Planning</x:v>
      </x:c>
      <x:c r="C20" s="29" t="str">
        <x:v>Assessment Methods and Techniques</x:v>
      </x:c>
      <x:c r="D20" s="29" t="str">
        <x:v>LSW4-LSW6</x:v>
      </x:c>
      <x:c r="F20" s="29" t="str">
        <x:v>Question bank</x:v>
      </x:c>
      <x:c r="G20" s="29" t="str">
        <x:v>Separate original LMFT items</x:v>
      </x:c>
      <x:c r="H20" s="29" t="str">
        <x:v>Separate original LCSW items</x:v>
      </x:c>
      <x:c r="I20" s="29" t="str">
        <x:v>Do not reconstruct secure examination content.</x:v>
      </x:c>
    </x:row>
    <x:row r="21">
      <x:c r="A21" s="29" t="str">
        <x:v>IIC</x:v>
      </x:c>
      <x:c r="B21" s="29" t="str">
        <x:v>Assessment and Planning</x:v>
      </x:c>
      <x:c r="C21" s="29" t="str">
        <x:v>Assessment Practices</x:v>
      </x:c>
      <x:c r="D21" s="29" t="str">
        <x:v>LSW7/LSW10</x:v>
      </x:c>
    </x:row>
    <x:row r="22">
      <x:c r="A22" s="29" t="str">
        <x:v>IIIA</x:v>
      </x:c>
      <x:c r="B22" s="29" t="str">
        <x:v>Intervention and Practice</x:v>
      </x:c>
      <x:c r="C22" s="29" t="str">
        <x:v>Practice Concepts</x:v>
      </x:c>
      <x:c r="D22" s="29" t="str">
        <x:v>LSW8-LSW10</x:v>
      </x:c>
    </x:row>
    <x:row r="23">
      <x:c r="A23" s="29" t="str">
        <x:v>IIIB</x:v>
      </x:c>
      <x:c r="B23" s="29" t="str">
        <x:v>Intervention and Practice</x:v>
      </x:c>
      <x:c r="C23" s="29" t="str">
        <x:v>Intervention Methods and Techniques</x:v>
      </x:c>
      <x:c r="D23" s="29" t="str">
        <x:v>LSW8-LSW10</x:v>
      </x:c>
    </x:row>
    <x:row r="24">
      <x:c r="A24" s="29" t="str">
        <x:v>IIIC</x:v>
      </x:c>
      <x:c r="B24" s="29" t="str">
        <x:v>Intervention and Practice</x:v>
      </x:c>
      <x:c r="C24" s="29" t="str">
        <x:v>Practice Evaluation and Research</x:v>
      </x:c>
      <x:c r="D24" s="29" t="str">
        <x:v>LSW11</x:v>
      </x:c>
    </x:row>
    <x:row r="25">
      <x:c r="A25" s="29" t="str">
        <x:v>IIID</x:v>
      </x:c>
      <x:c r="B25" s="29" t="str">
        <x:v>Intervention and Practice</x:v>
      </x:c>
      <x:c r="C25" s="29" t="str">
        <x:v>Supervision and Administration</x:v>
      </x:c>
      <x:c r="D25" s="29" t="str">
        <x:v>LSW11</x:v>
      </x:c>
    </x:row>
  </x:sheetData>
  <x:mergeCells>
    <x:mergeCell ref="A1:H2"/>
    <x:mergeCell ref="A4:D4"/>
    <x:mergeCell ref="F4:I4"/>
    <x:mergeCell ref="A14:I14"/>
    <x:mergeCell ref="F14:I14"/>
  </x:mergeCells>
  <x:pageMargins left="0.7" right="0.7" top="0.75" bottom="0.75" header="0.3" footer="0.3"/>
</x:worksheet>
</file>

<file path=xl/worksheets/sheet4.xml><?xml version="1.0" encoding="utf-8"?>
<x:worksheet xmlns:x="http://schemas.openxmlformats.org/spreadsheetml/2006/main">
  <x:sheetFormatPr defaultRowHeight="15"/>
  <x:cols>
    <x:col min="1" max="1" width="18" hidden="0" customWidth="1"/>
    <x:col min="2" max="2" width="43" hidden="0" customWidth="1"/>
    <x:col min="3" max="3" width="40" hidden="0" customWidth="1"/>
    <x:col min="4" max="4" width="43" hidden="0" customWidth="1"/>
    <x:col min="5" max="5" width="31" hidden="0" customWidth="1"/>
    <x:col min="6" max="6" width="28" hidden="0" customWidth="1"/>
    <x:col min="7" max="7" width="30" hidden="0" customWidth="1"/>
    <x:col min="8" max="8" width="18" hidden="0" customWidth="1"/>
    <x:col min="9" max="9" width="16" hidden="0" customWidth="1"/>
  </x:cols>
  <x:sheetData>
    <x:row r="1">
      <x:c r="A1" s="71" t="str">
        <x:v>Shared Core and Track Workbook Architecture</x:v>
      </x:c>
      <x:c r="B1" s="71"/>
      <x:c r="C1" s="71"/>
      <x:c r="D1" s="71"/>
      <x:c r="E1" s="71"/>
      <x:c r="F1" s="71"/>
      <x:c r="G1" s="71"/>
      <x:c r="H1" s="71"/>
    </x:row>
    <x:row r="2">
      <x:c r="A2" s="71"/>
      <x:c r="B2" s="71"/>
      <x:c r="C2" s="71"/>
      <x:c r="D2" s="71"/>
      <x:c r="E2" s="71"/>
      <x:c r="F2" s="71"/>
      <x:c r="G2" s="71"/>
      <x:c r="H2" s="71"/>
    </x:row>
    <x:row r="4">
      <x:c r="A4" s="33" t="str">
        <x:v>Shared Draft Units</x:v>
      </x:c>
      <x:c r="B4" s="33"/>
      <x:c r="C4" s="33"/>
      <x:c r="E4" s="20" t="str">
        <x:v>LMFT Track</x:v>
      </x:c>
      <x:c r="F4" s="20"/>
      <x:c r="H4" s="43" t="str">
        <x:v>LCSW Track</x:v>
      </x:c>
      <x:c r="I4" s="43"/>
    </x:row>
    <x:row r="5">
      <x:c r="A5" s="25" t="str">
        <x:v>Code</x:v>
      </x:c>
      <x:c r="B5" s="25" t="str">
        <x:v>Title</x:v>
      </x:c>
      <x:c r="C5" s="25" t="str">
        <x:v>Reusable Foundation</x:v>
      </x:c>
      <x:c r="E5" s="25" t="str">
        <x:v>Code</x:v>
      </x:c>
      <x:c r="F5" s="25" t="str">
        <x:v>Workbook</x:v>
      </x:c>
      <x:c r="H5" s="25" t="str">
        <x:v>Code</x:v>
      </x:c>
      <x:c r="I5" s="25" t="str">
        <x:v>Workbook</x:v>
      </x:c>
    </x:row>
    <x:row r="6">
      <x:c r="A6" s="29" t="str">
        <x:v>SC1</x:v>
      </x:c>
      <x:c r="B6" s="29" t="str">
        <x:v>Exam Reasoning and Question Strategy</x:v>
      </x:c>
      <x:c r="C6" s="29" t="str">
        <x:v>Qualifiers, vignette analysis, clinical sequencing, prioritization, and distractor elimination.</x:v>
      </x:c>
      <x:c r="E6" s="29" t="str">
        <x:v>WB1</x:v>
      </x:c>
      <x:c r="F6" s="29" t="str">
        <x:v>Exam Strategy and Clinical Reasoning</x:v>
      </x:c>
      <x:c r="H6" s="29" t="str">
        <x:v>LSW1</x:v>
      </x:c>
      <x:c r="I6" s="29" t="str">
        <x:v>ASWB Exam Strategy and Applied Reasoning</x:v>
      </x:c>
    </x:row>
    <x:row r="7">
      <x:c r="A7" s="29" t="str">
        <x:v>SC2</x:v>
      </x:c>
      <x:c r="B7" s="29" t="str">
        <x:v>Human Development, Diversity, and Context</x:v>
      </x:c>
      <x:c r="C7" s="29" t="str">
        <x:v>Development, life cycle, culture, identity, migration, poverty, military experience, and person/system context.</x:v>
      </x:c>
      <x:c r="E7" s="29" t="str">
        <x:v>WB2</x:v>
      </x:c>
      <x:c r="F7" s="29" t="str">
        <x:v>Clinical Engagement, Intake, and Mental Status</x:v>
      </x:c>
      <x:c r="H7" s="29" t="str">
        <x:v>LSW2</x:v>
      </x:c>
      <x:c r="I7" s="29" t="str">
        <x:v>Values, Ethics, Self-Determination, and Social Justice</x:v>
      </x:c>
    </x:row>
    <x:row r="8">
      <x:c r="A8" s="29" t="str">
        <x:v>SC3</x:v>
      </x:c>
      <x:c r="B8" s="29" t="str">
        <x:v>Engagement, Interviewing, and Assessment</x:v>
      </x:c>
      <x:c r="C8" s="29" t="str">
        <x:v>Alliance, interviewing, biopsychosocial/systemic assessment, strengths, and motivation.</x:v>
      </x:c>
      <x:c r="E8" s="29" t="str">
        <x:v>WB3</x:v>
      </x:c>
      <x:c r="F8" s="29" t="str">
        <x:v>Developmental, Psychosocial, and Diversity Assessment</x:v>
      </x:c>
      <x:c r="H8" s="29" t="str">
        <x:v>LSW3</x:v>
      </x:c>
      <x:c r="I8" s="29" t="str">
        <x:v>Human Development, Diversity, and Person-in-Environment</x:v>
      </x:c>
    </x:row>
    <x:row r="9">
      <x:c r="A9" s="29" t="str">
        <x:v>SC4</x:v>
      </x:c>
      <x:c r="B9" s="29" t="str">
        <x:v>Mental Status, Health, Medication, and Substance Factors</x:v>
      </x:c>
      <x:c r="C9" s="29" t="str">
        <x:v>MSE, medical rule-outs, psychopharmacology, substance use, and addictive behavior.</x:v>
      </x:c>
      <x:c r="E9" s="29" t="str">
        <x:v>WB4</x:v>
      </x:c>
      <x:c r="F9" s="29" t="str">
        <x:v>Relational, Family-System, Trauma, and Strengths Assessment</x:v>
      </x:c>
      <x:c r="H9" s="29" t="str">
        <x:v>LSW4</x:v>
      </x:c>
      <x:c r="I9" s="29" t="str">
        <x:v>Clinical Assessment, Interviewing, and Mental Status</x:v>
      </x:c>
    </x:row>
    <x:row r="10">
      <x:c r="A10" s="29" t="str">
        <x:v>SC5</x:v>
      </x:c>
      <x:c r="B10" s="29" t="str">
        <x:v>Diagnosis and Differential Diagnosis</x:v>
      </x:c>
      <x:c r="C10" s="29" t="str">
        <x:v>DSM-5-TR use, comorbidity, differential diagnosis, and clinically relevant conditions.</x:v>
      </x:c>
      <x:c r="E10" s="29" t="str">
        <x:v>WB5</x:v>
      </x:c>
      <x:c r="F10" s="29" t="str">
        <x:v>Diagnosis and Differential Diagnosis</x:v>
      </x:c>
      <x:c r="H10" s="29" t="str">
        <x:v>LSW5</x:v>
      </x:c>
      <x:c r="I10" s="29" t="str">
        <x:v>Diagnosis, Medical Factors, and Psychopharmacology</x:v>
      </x:c>
    </x:row>
    <x:row r="11">
      <x:c r="A11" s="29" t="str">
        <x:v>SC6</x:v>
      </x:c>
      <x:c r="B11" s="29" t="str">
        <x:v>Crisis, Abuse, and Safety</x:v>
      </x:c>
      <x:c r="C11" s="29" t="str">
        <x:v>Suicide, self-harm, danger, abuse, exploitation, crisis intervention, and safety planning.</x:v>
      </x:c>
      <x:c r="E11" s="29" t="str">
        <x:v>WB6</x:v>
      </x:c>
      <x:c r="F11" s="29" t="str">
        <x:v>Crisis Assessment and Immediate Intervention</x:v>
      </x:c>
      <x:c r="H11" s="29" t="str">
        <x:v>LSW6</x:v>
      </x:c>
      <x:c r="I11" s="29" t="str">
        <x:v>Crisis, Abuse, and Risk</x:v>
      </x:c>
    </x:row>
    <x:row r="12">
      <x:c r="A12" s="29" t="str">
        <x:v>SC7</x:v>
      </x:c>
      <x:c r="B12" s="29" t="str">
        <x:v>Planning, Goals, and Outcomes</x:v>
      </x:c>
      <x:c r="C12" s="29" t="str">
        <x:v>Treatment/service planning, measurable goals, modality selection, progress monitoring, and readiness for termination.</x:v>
      </x:c>
      <x:c r="E12" s="29" t="str">
        <x:v>WB7</x:v>
      </x:c>
      <x:c r="F12" s="29" t="str">
        <x:v>Treatment Planning, Progress Monitoring, and Termination</x:v>
      </x:c>
      <x:c r="H12" s="29" t="str">
        <x:v>LSW7</x:v>
      </x:c>
      <x:c r="I12" s="29" t="str">
        <x:v>Treatment and Service Planning</x:v>
      </x:c>
    </x:row>
    <x:row r="13">
      <x:c r="A13" s="29" t="str">
        <x:v>SC8</x:v>
      </x:c>
      <x:c r="B13" s="29" t="str">
        <x:v>Clinical Interventions</x:v>
      </x:c>
      <x:c r="C13" s="29" t="str">
        <x:v>Evidence-based approaches, trauma-informed care, coping, emotion regulation, addiction treatment, and psychoeducation.</x:v>
      </x:c>
      <x:c r="E13" s="29" t="str">
        <x:v>WB8</x:v>
      </x:c>
      <x:c r="F13" s="29" t="str">
        <x:v>Family, Couple, Attachment, and Relational Interventions</x:v>
      </x:c>
      <x:c r="H13" s="29" t="str">
        <x:v>LSW8</x:v>
      </x:c>
      <x:c r="I13" s="29" t="str">
        <x:v>Clinical Interventions and Trauma-Informed Care</x:v>
      </x:c>
    </x:row>
    <x:row r="14">
      <x:c r="A14" s="29" t="str">
        <x:v>SC9</x:v>
      </x:c>
      <x:c r="B14" s="29" t="str">
        <x:v>Relationships, Groups, Resources, and Collaboration</x:v>
      </x:c>
      <x:c r="C14" s="29" t="str">
        <x:v>Family/couple/group concepts, referrals, community resources, interdisciplinary work, and care coordination.</x:v>
      </x:c>
      <x:c r="E14" s="29" t="str">
        <x:v>WB9</x:v>
      </x:c>
      <x:c r="F14" s="29" t="str">
        <x:v>Trauma, Psychological, Behavioral, and Recovery Interventions</x:v>
      </x:c>
      <x:c r="H14" s="29" t="str">
        <x:v>LSW9</x:v>
      </x:c>
      <x:c r="I14" s="29" t="str">
        <x:v>Family, Couple, Group, and Parenting Practice</x:v>
      </x:c>
    </x:row>
    <x:row r="15">
      <x:c r="A15" s="29" t="str">
        <x:v>SC10</x:v>
      </x:c>
      <x:c r="B15" s="29" t="str">
        <x:v>Professional Practice and Termination</x:v>
      </x:c>
      <x:c r="C15" s="29" t="str">
        <x:v>Consent, confidentiality, boundaries, documentation, technology, supervision, self-care, termination, and aftercare.</x:v>
      </x:c>
      <x:c r="E15" s="29" t="str">
        <x:v>WB10</x:v>
      </x:c>
      <x:c r="F15" s="29" t="str">
        <x:v>Developmental, Cultural, and Contextual Interventions</x:v>
      </x:c>
      <x:c r="H15" s="29" t="str">
        <x:v>LSW10</x:v>
      </x:c>
      <x:c r="I15" s="29" t="str">
        <x:v>Case Management, Advocacy, Resources, and Collaboration</x:v>
      </x:c>
    </x:row>
    <x:row r="16">
      <x:c r="E16" s="29" t="str">
        <x:v>WB11</x:v>
      </x:c>
      <x:c r="F16" s="29" t="str">
        <x:v>Theory, Groups, Referral, and Interdisciplinary Practice</x:v>
      </x:c>
      <x:c r="H16" s="29" t="str">
        <x:v>LSW11</x:v>
      </x:c>
      <x:c r="I16" s="29" t="str">
        <x:v>Evaluation, Research, Supervision, and Administration</x:v>
      </x:c>
    </x:row>
    <x:row r="17">
      <x:c r="E17" s="29" t="str">
        <x:v>WB12</x:v>
      </x:c>
      <x:c r="F17" s="29" t="str">
        <x:v>California Legal, Ethical, and Professional Practice</x:v>
      </x:c>
      <x:c r="H17" s="29" t="str">
        <x:v>LSW12</x:v>
      </x:c>
      <x:c r="I17" s="29" t="str">
        <x:v>Integrated Review and Full-Length Practice Examinations</x:v>
      </x:c>
    </x:row>
    <x:row r="19">
      <x:c r="A19" s="49" t="str">
        <x:v>Recommended Production Sequence</x:v>
      </x:c>
      <x:c r="B19" s="49"/>
      <x:c r="C19" s="49"/>
      <x:c r="D19" s="49"/>
      <x:c r="E19" s="49"/>
      <x:c r="F19" s="49"/>
      <x:c r="G19" s="49"/>
      <x:c r="H19" s="49"/>
      <x:c r="I19" s="49"/>
    </x:row>
    <x:row r="20">
      <x:c r="A20" s="25" t="str">
        <x:v>Phase</x:v>
      </x:c>
      <x:c r="B20" s="25" t="str">
        <x:v>Shared Deliverable</x:v>
      </x:c>
      <x:c r="C20" s="25" t="str">
        <x:v>LMFT Fork</x:v>
      </x:c>
      <x:c r="D20" s="25" t="str">
        <x:v>LCSW Fork</x:v>
      </x:c>
      <x:c r="E20" s="25" t="str">
        <x:v>Question Work</x:v>
      </x:c>
      <x:c r="F20" s="25" t="str">
        <x:v>Source Review</x:v>
      </x:c>
      <x:c r="G20" s="25" t="str">
        <x:v>Completion Gate</x:v>
      </x:c>
      <x:c r="H20" s="25" t="str">
        <x:v>Owner</x:v>
      </x:c>
      <x:c r="I20" s="25" t="str">
        <x:v>Status</x:v>
      </x:c>
    </x:row>
    <x:row r="21">
      <x:c r="A21" s="29" t="str">
        <x:v>1. Blueprint Lock</x:v>
      </x:c>
      <x:c r="B21" s="29" t="str">
        <x:v>Confirm official outlines, mechanics, terminology, and source hierarchy.</x:v>
      </x:c>
      <x:c r="C21" s="29" t="str">
        <x:v>Lock LMFT task crosswalk.</x:v>
      </x:c>
      <x:c r="D21" s="29" t="str">
        <x:v>Lock August 2026 ASWB applied-knowledge crosswalk.</x:v>
      </x:c>
      <x:c r="E21" s="29" t="str">
        <x:v>None</x:v>
      </x:c>
      <x:c r="F21" s="29" t="str">
        <x:v>Official handbooks and outlines</x:v>
      </x:c>
      <x:c r="G21" s="29" t="str">
        <x:v>No unmapped official content</x:v>
      </x:c>
      <x:c r="H21" s="29" t="str"/>
      <x:c r="I21" s="29" t="str">
        <x:v>Complete</x:v>
      </x:c>
    </x:row>
    <x:row r="22">
      <x:c r="A22" s="29" t="str">
        <x:v>2. Core Research</x:v>
      </x:c>
      <x:c r="B22" s="29" t="str">
        <x:v>Prepare source notes for SC1-SC10.</x:v>
      </x:c>
      <x:c r="C22" s="29" t="str">
        <x:v>Flag systemic and California-specific additions.</x:v>
      </x:c>
      <x:c r="D22" s="29" t="str">
        <x:v>Flag values, PIE, systems, research, and administration additions.</x:v>
      </x:c>
      <x:c r="E22" s="29" t="str">
        <x:v>Question specifications only</x:v>
      </x:c>
      <x:c r="F22" s="29" t="str">
        <x:v>Clinical and professional sources</x:v>
      </x:c>
      <x:c r="G22" s="29" t="str">
        <x:v>Sources approved</x:v>
      </x:c>
      <x:c r="H22" s="29" t="str"/>
      <x:c r="I22" s="29" t="str">
        <x:v>Complete</x:v>
      </x:c>
    </x:row>
    <x:row r="23">
      <x:c r="A23" s="29" t="str">
        <x:v>3. Shared Draft</x:v>
      </x:c>
      <x:c r="B23" s="29" t="str">
        <x:v>Draft reusable explanations, examples, memory aids, and decision rules.</x:v>
      </x:c>
      <x:c r="C23" s="29" t="str">
        <x:v>Do not finalize profession language yet.</x:v>
      </x:c>
      <x:c r="D23" s="29" t="str">
        <x:v>Do not finalize profession language yet.</x:v>
      </x:c>
      <x:c r="E23" s="29" t="str">
        <x:v>Create separate item-writing plans</x:v>
      </x:c>
      <x:c r="F23" s="29" t="str">
        <x:v>Citation check</x:v>
      </x:c>
      <x:c r="G23" s="29" t="str">
        <x:v>Shared draft reviewed</x:v>
      </x:c>
      <x:c r="H23" s="29" t="str"/>
      <x:c r="I23" s="29" t="str">
        <x:v>Complete</x:v>
      </x:c>
    </x:row>
    <x:row r="24">
      <x:c r="A24" s="29" t="str">
        <x:v>4. LMFT Adaptation</x:v>
      </x:c>
      <x:c r="B24" s="29" t="str">
        <x:v>Use shared draft as source material.</x:v>
      </x:c>
      <x:c r="C24" s="29" t="str">
        <x:v>Add systemic formulation, family-theory depth, and California law.</x:v>
      </x:c>
      <x:c r="D24" s="29" t="str">
        <x:v>No change</x:v>
      </x:c>
      <x:c r="E24" s="29" t="str">
        <x:v>Write LMFT-only items and rationales</x:v>
      </x:c>
      <x:c r="F24" s="29" t="str">
        <x:v>California legal audit</x:v>
      </x:c>
      <x:c r="G24" s="29" t="str">
        <x:v>LMFT chapters reviewed</x:v>
      </x:c>
      <x:c r="H24" s="29" t="str"/>
      <x:c r="I24" s="29" t="str">
        <x:v>Complete</x:v>
      </x:c>
    </x:row>
    <x:row r="25">
      <x:c r="A25" s="29" t="str">
        <x:v>5. LCSW Adaptation</x:v>
      </x:c>
      <x:c r="B25" s="29" t="str">
        <x:v>Use shared draft as source material.</x:v>
      </x:c>
      <x:c r="C25" s="29" t="str">
        <x:v>No change</x:v>
      </x:c>
      <x:c r="D25" s="29" t="str">
        <x:v>Add values, self-determination, PIE, justice, systems, research, and administration.</x:v>
      </x:c>
      <x:c r="E25" s="29" t="str">
        <x:v>Write LCSW-only items and rationales</x:v>
      </x:c>
      <x:c r="F25" s="29" t="str">
        <x:v>ASWB blueprint audit</x:v>
      </x:c>
      <x:c r="G25" s="29" t="str">
        <x:v>LCSW chapters reviewed</x:v>
      </x:c>
      <x:c r="H25" s="29" t="str"/>
      <x:c r="I25" s="29" t="str">
        <x:v>Complete</x:v>
      </x:c>
    </x:row>
    <x:row r="26">
      <x:c r="A26" s="29" t="str">
        <x:v>6. Integrated Assessment</x:v>
      </x:c>
      <x:c r="B26" s="29" t="str">
        <x:v>Cross-check shared terminology and avoid contradictions.</x:v>
      </x:c>
      <x:c r="C26" s="29" t="str">
        <x:v>Build LMFT domain-weighted quizzes and mocks.</x:v>
      </x:c>
      <x:c r="D26" s="29" t="str">
        <x:v>Build LCSW 2026 weighted quizzes and mocks.</x:v>
      </x:c>
      <x:c r="E26" s="29" t="str">
        <x:v>Psychometric and bias review</x:v>
      </x:c>
      <x:c r="F26" s="29" t="str">
        <x:v>Security/copyright review</x:v>
      </x:c>
      <x:c r="G26" s="29" t="str">
        <x:v>Original item banks approved</x:v>
      </x:c>
      <x:c r="H26" s="29" t="str"/>
      <x:c r="I26" s="29" t="str">
        <x:v>Complete</x:v>
      </x:c>
    </x:row>
    <x:row r="27">
      <x:c r="A27" s="29" t="str">
        <x:v>7. Publication Audit</x:v>
      </x:c>
      <x:c r="B27" s="29" t="str">
        <x:v>Verify all current and shared clinical claims.</x:v>
      </x:c>
      <x:c r="C27" s="29" t="str">
        <x:v>Final California law and regulation audit.</x:v>
      </x:c>
      <x:c r="D27" s="29" t="str">
        <x:v>Final ASWB structure and ethics audit.</x:v>
      </x:c>
      <x:c r="E27" s="29" t="str">
        <x:v>Final item QA</x:v>
      </x:c>
      <x:c r="F27" s="29" t="str">
        <x:v>Dated source register</x:v>
      </x:c>
      <x:c r="G27" s="29" t="str">
        <x:v>Publication ready</x:v>
      </x:c>
      <x:c r="H27" s="29" t="str"/>
      <x:c r="I27" s="29" t="str">
        <x:v>Complete</x:v>
      </x:c>
    </x:row>
    <x:row r="28">
      <x:c r="A28" s="29" t="str">
        <x:v>8. Maintenance</x:v>
      </x:c>
      <x:c r="B28" s="29" t="str">
        <x:v>Track clinical-source changes.</x:v>
      </x:c>
      <x:c r="C28" s="29" t="str">
        <x:v>Monitor BBS/Pearson changes.</x:v>
      </x:c>
      <x:c r="D28" s="29" t="str">
        <x:v>Monitor ASWB blueprint and administration changes.</x:v>
      </x:c>
      <x:c r="E28" s="29" t="str">
        <x:v>Retire/update affected items</x:v>
      </x:c>
      <x:c r="F28" s="29" t="str">
        <x:v>Scheduled review</x:v>
      </x:c>
      <x:c r="G28" s="29" t="str">
        <x:v>Version update released</x:v>
      </x:c>
      <x:c r="H28" s="29" t="str"/>
      <x:c r="I28" s="29" t="str">
        <x:v>Complete</x:v>
      </x:c>
    </x:row>
  </x:sheetData>
  <x:mergeCells>
    <x:mergeCell ref="A1:H2"/>
    <x:mergeCell ref="A4:C4"/>
    <x:mergeCell ref="E4:F4"/>
    <x:mergeCell ref="H4:I4"/>
    <x:mergeCell ref="A19:I19"/>
  </x:mergeCells>
  <x:dataValidations count="1">
    <x:dataValidation type="list" sqref="I21:I28">
      <x:formula1>"Planned,In Progress,Blocked,Reviewed,Complete"</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36" hidden="0" customWidth="1"/>
    <x:col min="2" max="2" width="25" hidden="0" customWidth="1"/>
    <x:col min="3" max="3" width="39" hidden="0" customWidth="1"/>
    <x:col min="4" max="4" width="52" hidden="0" customWidth="1"/>
    <x:col min="5" max="5" width="48" hidden="0" customWidth="1"/>
    <x:col min="6" max="6" width="62" hidden="0" customWidth="1"/>
  </x:cols>
  <x:sheetData>
    <x:row r="1">
      <x:c r="A1" s="71" t="str">
        <x:v>Source Register and Publication Controls</x:v>
      </x:c>
      <x:c r="B1" s="71"/>
      <x:c r="C1" s="71"/>
      <x:c r="D1" s="71"/>
      <x:c r="E1" s="71"/>
      <x:c r="F1" s="71"/>
    </x:row>
    <x:row r="2">
      <x:c r="A2" s="71"/>
      <x:c r="B2" s="71"/>
      <x:c r="C2" s="71"/>
      <x:c r="D2" s="71"/>
      <x:c r="E2" s="71"/>
      <x:c r="F2" s="71"/>
    </x:row>
    <x:row r="4">
      <x:c r="A4" s="77" t="str">
        <x:v>Source</x:v>
      </x:c>
      <x:c r="B4" s="77" t="str">
        <x:v>Version / Date</x:v>
      </x:c>
      <x:c r="C4" s="77" t="str">
        <x:v>Program Role</x:v>
      </x:c>
      <x:c r="D4" s="77" t="str">
        <x:v>Key Source-Derived Point</x:v>
      </x:c>
      <x:c r="E4" s="77" t="str">
        <x:v>Control / Limitation</x:v>
      </x:c>
      <x:c r="F4" s="77" t="str">
        <x:v>URL or File</x:v>
      </x:c>
    </x:row>
    <x:row r="5" ht="85" customHeight="1">
      <x:c r="A5" s="29" t="str">
        <x:v>ASWB Examination Guidebook — 2026 Blueprints</x:v>
      </x:c>
      <x:c r="B5" s="29" t="str">
        <x:v>May 2026 guidebook; confirmed current August 3, 2026</x:v>
      </x:c>
      <x:c r="C5" s="29" t="str">
        <x:v>Controlling LCSW Clinical blueprint and exam structure.</x:v>
      </x:c>
      <x:c r="D5" s="29" t="str">
        <x:v>122 total questions, including 12 unscored; 110 scored; four hours; Clinical content areas are Values and Ethics 36%, Assessment and Planning 32%, and Intervention and Practice 32%.</x:v>
      </x:c>
      <x:c r="E5" s="29" t="str">
        <x:v>Use for LCSW ASWB Clinical Exam Preparation. Recheck before each major release or after ASWB updates.</x:v>
      </x:c>
      <x:c r="F5" s="29" t="str">
        <x:v>https://www.aswb.org/wp-content/uploads/2026/05/2026-Social-Work-Licensing-Exam-Guidebook-5.4.2026.pdf</x:v>
      </x:c>
    </x:row>
    <x:row r="6" ht="85" customHeight="1">
      <x:c r="A6" s="29" t="str">
        <x:v>ASWB 2026 Exam Transition Page</x:v>
      </x:c>
      <x:c r="B6" s="29" t="str">
        <x:v>Current August 3, 2026</x:v>
      </x:c>
      <x:c r="C6" s="29" t="str">
        <x:v>Controls transition date and comparison with pre-August exam.</x:v>
      </x:c>
      <x:c r="D6" s="29" t="str">
        <x:v>The redesigned exams are in effect for testing on or after August 3, 2026: 122 total questions, 110 scored, 12 unscored, mixed three- and four-option items, and a four-hour limit.</x:v>
      </x:c>
      <x:c r="E6" s="29" t="str">
        <x:v>The candidate's actual testing date controls the applicable blueprint. Recheck after major ASWB announcements.</x:v>
      </x:c>
      <x:c r="F6" s="29" t="str">
        <x:v>https://www.aswb.org/2026exams/</x:v>
      </x:c>
    </x:row>
    <x:row r="7" ht="85" customHeight="1">
      <x:c r="A7" s="29" t="str">
        <x:v>ACSW Candidate Handbook.pdf</x:v>
      </x:c>
      <x:c r="B7" s="29" t="str">
        <x:v>March 2026</x:v>
      </x:c>
      <x:c r="C7" s="29" t="str">
        <x:v>Uploaded pre-August ASWB guidebook and source for recall/application/reasoning explanation.</x:v>
      </x:c>
      <x:c r="D7" s="29" t="str">
        <x:v>Describes the earlier 170-question format and the three cognitive levels: recall, application, and reasoning.</x:v>
      </x:c>
      <x:c r="E7" s="29" t="str">
        <x:v>Do not use its old question count or 2018 blueprint as the future program's controlling structure.</x:v>
      </x:c>
      <x:c r="F7" s="29" t="str">
        <x:v>Uploaded file: ACSW Candidate Handbook.pdf</x:v>
      </x:c>
    </x:row>
    <x:row r="8" ht="85" customHeight="1">
      <x:c r="A8" s="29" t="str">
        <x:v>LCSW Handbook.pdf</x:v>
      </x:c>
      <x:c r="B8" s="29" t="str">
        <x:v>California BBS; revision May 2024</x:v>
      </x:c>
      <x:c r="C8" s="29" t="str">
        <x:v>California LCSW licensure orientation.</x:v>
      </x:c>
      <x:c r="D8" s="29" t="str">
        <x:v>After BBS approval, California applicants take the ASWB Clinical exam; the California Law and Ethics exam is a separate requirement.</x:v>
      </x:c>
      <x:c r="E8" s="29" t="str">
        <x:v>Licensure process guidance is not the national ASWB content blueprint and should be rechecked for current requirements.</x:v>
      </x:c>
      <x:c r="F8" s="29" t="str">
        <x:v>Uploaded file: LCSW Handbook.pdf</x:v>
      </x:c>
    </x:row>
    <x:row r="9" ht="85" customHeight="1">
      <x:c r="A9" s="29" t="str">
        <x:v>Licensed Marriage and Family Therapist Written Clinical Examination Outline</x:v>
      </x:c>
      <x:c r="B9" s="29" t="str">
        <x:v>Effective January 1, 2021</x:v>
      </x:c>
      <x:c r="C9" s="29" t="str">
        <x:v>Controlling LMFT domain/task map used in the existing CTA LMFT master crosswalk.</x:v>
      </x:c>
      <x:c r="D9" s="29" t="str">
        <x:v>Six domains with official task and knowledge statements covering clinical evaluation, diagnosis, crisis, planning, treatment, and legal/ethical obligations.</x:v>
      </x:c>
      <x:c r="E9" s="29" t="str">
        <x:v>Recheck BBS/Pearson for a revised outline before publication.</x:v>
      </x:c>
      <x:c r="F9" s="29" t="str">
        <x:v>Uploaded file: LMFT Clinical Exam Outline.pdf</x:v>
      </x:c>
    </x:row>
    <x:row r="10" ht="85" customHeight="1">
      <x:c r="A10" s="29" t="str">
        <x:v>CTA LMFT Clinical Exam Master Content Crosswalk v1.0</x:v>
      </x:c>
      <x:c r="B10" s="29" t="str">
        <x:v>July 22, 2026</x:v>
      </x:c>
      <x:c r="C10" s="29" t="str">
        <x:v>Existing LMFT source-of-truth workbook.</x:v>
      </x:c>
      <x:c r="D10" s="29" t="str">
        <x:v>Maps 124 official LMFT task statements to the 12-workbook CTA system.</x:v>
      </x:c>
      <x:c r="E10" s="29" t="str">
        <x:v>Maintain version control when LMFT chapters or official source documents change.</x:v>
      </x:c>
      <x:c r="F10" s="29" t="str">
        <x:v>Local file: CTA_LMFT_Clinical_Exam_Master_Content_Crosswalk_v1.0.xlsx</x:v>
      </x:c>
    </x:row>
    <x:row r="11" ht="85" customHeight="1">
      <x:c r="A11" s="29" t="str">
        <x:v>BBS Statutes and Regulations</x:v>
      </x:c>
      <x:c r="B11" s="29" t="str">
        <x:v>January 2026</x:v>
      </x:c>
      <x:c r="C11" s="29" t="str">
        <x:v>California legal baseline for both professions; direct LMFT clinical-law source and LCSW licensure supplement.</x:v>
      </x:c>
      <x:c r="D11" s="29" t="str">
        <x:v>Contains LMFT and LCSW practice acts, reporting statutes, telehealth, records, and professional-conduct provisions.</x:v>
      </x:c>
      <x:c r="E11" s="29" t="str">
        <x:v>The publication is condensed and says enacted law controls; conduct a current-law audit before publication.</x:v>
      </x:c>
      <x:c r="F11" s="29" t="str">
        <x:v>Uploaded file: lawsregs.pdf</x:v>
      </x:c>
    </x:row>
    <x:row r="12" ht="85" customHeight="1">
      <x:c r="A12" s="29" t="str">
        <x:v>CTA Course Development Standards v1.0</x:v>
      </x:c>
      <x:c r="B12" s="29" t="str">
        <x:v>July 2026</x:v>
      </x:c>
      <x:c r="C12" s="29" t="str">
        <x:v>Controls CTA exam-preparation format, tone, chapter elements, and rationales.</x:v>
      </x:c>
      <x:c r="D12" s="29" t="str">
        <x:v>Use the Recognize → Apply → Analyze → Integrate progression and complete rationales for every option.</x:v>
      </x:c>
      <x:c r="E12" s="29" t="str">
        <x:v>Profession-specific exam blueprints control content completeness and weighting.</x:v>
      </x:c>
      <x:c r="F12" s="29" t="str">
        <x:v>Uploaded file: CTA Course Development Standards v1.0(1).docx</x:v>
      </x:c>
    </x:row>
  </x:sheetData>
  <x:mergeCells>
    <x:mergeCell ref="A1:F2"/>
  </x:mergeCells>
  <x:pageMargins left="0.7" right="0.7" top="0.75" bottom="0.75" header="0.3" footer="0.3"/>
</x:worksheet>
</file>

<file path=xl/worksheets/sheet6.xml><?xml version="1.0" encoding="utf-8"?>
<x:worksheet xmlns:x="http://schemas.openxmlformats.org/spreadsheetml/2006/main">
  <x:sheetFormatPr defaultRowHeight="15"/>
  <x:cols>
    <x:col min="1" max="1" width="28" hidden="0" customWidth="1"/>
    <x:col min="2" max="2" width="43" hidden="0" customWidth="1"/>
    <x:col min="3" max="3" width="21" hidden="0" customWidth="1"/>
    <x:col min="4" max="4" width="17" hidden="0" customWidth="1"/>
    <x:col min="5" max="5" width="4" hidden="0" customWidth="1"/>
    <x:col min="6" max="6" width="25" hidden="0" customWidth="1"/>
    <x:col min="7" max="7" width="14" hidden="0" customWidth="1"/>
    <x:col min="8" max="8" width="4" hidden="0" customWidth="1"/>
  </x:cols>
  <x:sheetData>
    <x:row r="1">
      <x:c r="A1" s="71" t="str">
        <x:v>Dual-Program Development Dashboard</x:v>
      </x:c>
      <x:c r="B1" s="71"/>
      <x:c r="C1" s="71"/>
      <x:c r="D1" s="71"/>
      <x:c r="E1" s="71"/>
      <x:c r="F1" s="71"/>
      <x:c r="G1" s="71"/>
      <x:c r="H1" s="71"/>
    </x:row>
    <x:row r="2">
      <x:c r="A2" s="71"/>
      <x:c r="B2" s="71"/>
      <x:c r="C2" s="71"/>
      <x:c r="D2" s="71"/>
      <x:c r="E2" s="71"/>
      <x:c r="F2" s="71"/>
      <x:c r="G2" s="71"/>
      <x:c r="H2" s="71"/>
    </x:row>
    <x:row r="4">
      <x:c r="A4" s="19" t="str">
        <x:v>Classification</x:v>
      </x:c>
      <x:c r="B4" s="19" t="str">
        <x:v>Topic Count</x:v>
      </x:c>
      <x:c r="C4" s="19" t="str">
        <x:v>Average Reuse %</x:v>
      </x:c>
      <x:c r="D4" s="19" t="str">
        <x:v>Final Topics</x:v>
      </x:c>
      <x:c r="F4" s="32" t="str">
        <x:v>Development Status</x:v>
      </x:c>
      <x:c r="G4" s="32" t="str">
        <x:v>Count</x:v>
      </x:c>
    </x:row>
    <x:row r="5">
      <x:c r="A5" s="28" t="str">
        <x:v>Shared Core</x:v>
      </x:c>
      <x:c r="B5" s="28" t="n">
        <x:f>COUNTIF('Topic Crosswalk'!C:C,"Shared Core")</x:f>
        <x:v>30</x:v>
      </x:c>
      <x:c r="C5" s="37" t="n">
        <x:f>AVERAGEIF('Topic Crosswalk'!C:C,"Shared Core",'Topic Crosswalk'!D:D)</x:f>
        <x:v>0.8999999999999996</x:v>
      </x:c>
      <x:c r="D5" s="28" t="n">
        <x:v>30</x:v>
      </x:c>
      <x:c r="F5" s="28" t="str">
        <x:v>Mapped - Not Drafted</x:v>
      </x:c>
      <x:c r="G5" s="28" t="n">
        <x:v>0</x:v>
      </x:c>
    </x:row>
    <x:row r="6">
      <x:c r="A6" s="28" t="str">
        <x:v>Shared - Different Framing</x:v>
      </x:c>
      <x:c r="B6" s="28" t="n">
        <x:f>COUNTIF('Topic Crosswalk'!C:C,"Shared - Different Framing")</x:f>
        <x:v>17</x:v>
      </x:c>
      <x:c r="C6" s="37" t="n">
        <x:f>AVERAGEIF('Topic Crosswalk'!C:C,"Shared - Different Framing",'Topic Crosswalk'!D:D)</x:f>
        <x:v>0.6500000000000001</x:v>
      </x:c>
      <x:c r="D6" s="28" t="n">
        <x:v>17</x:v>
      </x:c>
      <x:c r="F6" s="28" t="str">
        <x:v>Researching</x:v>
      </x:c>
      <x:c r="G6" s="28" t="n">
        <x:v>0</x:v>
      </x:c>
    </x:row>
    <x:row r="7">
      <x:c r="A7" s="28" t="str">
        <x:v>LMFT-Specific</x:v>
      </x:c>
      <x:c r="B7" s="28" t="n">
        <x:f>COUNTIF('Topic Crosswalk'!C:C,"LMFT-Specific")</x:f>
        <x:v>7</x:v>
      </x:c>
      <x:c r="C7" s="37" t="n">
        <x:f>AVERAGEIF('Topic Crosswalk'!C:C,"LMFT-Specific",'Topic Crosswalk'!D:D)</x:f>
        <x:v>0.09999999999999999</x:v>
      </x:c>
      <x:c r="D7" s="28" t="n">
        <x:v>7</x:v>
      </x:c>
      <x:c r="F7" s="28" t="str">
        <x:v>Shared Draft Complete</x:v>
      </x:c>
      <x:c r="G7" s="28" t="n">
        <x:v>0</x:v>
      </x:c>
    </x:row>
    <x:row r="8">
      <x:c r="A8" s="28" t="str">
        <x:v>LCSW-Specific</x:v>
      </x:c>
      <x:c r="B8" s="28" t="n">
        <x:f>COUNTIF('Topic Crosswalk'!C:C,"LCSW-Specific")</x:f>
        <x:v>10</x:v>
      </x:c>
      <x:c r="C8" s="37" t="n">
        <x:f>AVERAGEIF('Topic Crosswalk'!C:C,"LCSW-Specific",'Topic Crosswalk'!D:D)</x:f>
        <x:v>0.09999999999999999</x:v>
      </x:c>
      <x:c r="D8" s="28" t="n">
        <x:v>10</x:v>
      </x:c>
      <x:c r="F8" s="28" t="str">
        <x:v>LMFT Adapted</x:v>
      </x:c>
      <x:c r="G8" s="28" t="n">
        <x:v>0</x:v>
      </x:c>
    </x:row>
    <x:row r="9">
      <x:c r="F9" s="28" t="str">
        <x:v>LCSW Adapted</x:v>
      </x:c>
      <x:c r="G9" s="28" t="n">
        <x:v>0</x:v>
      </x:c>
    </x:row>
    <x:row r="10">
      <x:c r="F10" s="28" t="str">
        <x:v>Reviewed</x:v>
      </x:c>
      <x:c r="G10" s="28" t="n">
        <x:v>0</x:v>
      </x:c>
    </x:row>
    <x:row r="11">
      <x:c r="A11" s="49" t="str">
        <x:v>Program Gates</x:v>
      </x:c>
      <x:c r="B11" s="49"/>
      <x:c r="C11" s="49"/>
      <x:c r="D11" s="49"/>
      <x:c r="F11" s="28" t="str">
        <x:v>Final</x:v>
      </x:c>
      <x:c r="G11" s="28" t="n">
        <x:v>64</x:v>
      </x:c>
    </x:row>
    <x:row r="12">
      <x:c r="A12" s="25" t="str">
        <x:v>Gate</x:v>
      </x:c>
      <x:c r="B12" s="25" t="str">
        <x:v>Definition</x:v>
      </x:c>
      <x:c r="C12" s="25" t="str">
        <x:v>Formula / Metric</x:v>
      </x:c>
      <x:c r="D12" s="25" t="str">
        <x:v>Current Result</x:v>
      </x:c>
    </x:row>
    <x:row r="13">
      <x:c r="A13" s="29" t="str">
        <x:v>Mapping complete</x:v>
      </x:c>
      <x:c r="B13" s="29" t="str">
        <x:v>Every crosswalk topic has both profession mappings.</x:v>
      </x:c>
      <x:c r="C13" s="29" t="str">
        <x:v>64 topics</x:v>
      </x:c>
      <x:c r="D13" s="29" t="n">
        <x:v>64</x:v>
      </x:c>
    </x:row>
    <x:row r="14">
      <x:c r="A14" s="29" t="str">
        <x:v>Shared research complete</x:v>
      </x:c>
      <x:c r="B14" s="29" t="str">
        <x:v>All shared topics have completed source notes.</x:v>
      </x:c>
      <x:c r="C14" s="29" t="str">
        <x:v>Status count</x:v>
      </x:c>
      <x:c r="D14" s="29" t="n">
        <x:v>64</x:v>
      </x:c>
    </x:row>
    <x:row r="15">
      <x:c r="A15" s="29" t="str">
        <x:v>LMFT adaptation complete</x:v>
      </x:c>
      <x:c r="B15" s="29" t="str">
        <x:v>All LMFT-relevant topics adapted and reviewed.</x:v>
      </x:c>
      <x:c r="C15" s="29" t="str">
        <x:v>Status count</x:v>
      </x:c>
      <x:c r="D15" s="29" t="n">
        <x:v>64</x:v>
      </x:c>
    </x:row>
    <x:row r="16">
      <x:c r="A16" s="29" t="str">
        <x:v>LCSW adaptation complete</x:v>
      </x:c>
      <x:c r="B16" s="29" t="str">
        <x:v>All LCSW-relevant topics adapted and reviewed.</x:v>
      </x:c>
      <x:c r="C16" s="29" t="str">
        <x:v>Status count</x:v>
      </x:c>
      <x:c r="D16" s="29" t="n">
        <x:v>64</x:v>
      </x:c>
    </x:row>
    <x:row r="17">
      <x:c r="A17" s="29" t="str">
        <x:v>Publication ready</x:v>
      </x:c>
      <x:c r="B17" s="29" t="str">
        <x:v>All topics final and source audits complete.</x:v>
      </x:c>
      <x:c r="C17" s="29" t="str">
        <x:v>Final count = total</x:v>
      </x:c>
      <x:c r="D17" s="29" t="n">
        <x:v>64</x:v>
      </x:c>
    </x:row>
  </x:sheetData>
  <x:mergeCells>
    <x:mergeCell ref="A1:H2"/>
    <x:mergeCell ref="A11:D11"/>
  </x:mergeCells>
  <x:pageMargins left="0.7" right="0.7" top="0.75" bottom="0.75" header="0.3" footer="0.3"/>
  <x:drawing xmlns:r="http://schemas.openxmlformats.org/officeDocument/2006/relationships" r:id="R3cb80b425f59443e"/>
</x:worksheet>
</file>

<file path=xl/worksheets/sheet7.xml><?xml version="1.0" encoding="utf-8"?>
<x:worksheet xmlns:x="http://schemas.openxmlformats.org/spreadsheetml/2006/main">
  <x:sheetFormatPr defaultRowHeight="15"/>
  <x:cols>
    <x:col min="1" max="1" width="24" hidden="0" customWidth="1"/>
    <x:col min="2" max="2" width="34" hidden="0" customWidth="1"/>
    <x:col min="3" max="3" width="34" hidden="0" customWidth="1"/>
    <x:col min="4" max="4" width="38" hidden="0" customWidth="1"/>
    <x:col min="5" max="5" width="22" hidden="0" customWidth="1"/>
    <x:col min="6" max="6" width="35" hidden="0" customWidth="1"/>
  </x:cols>
  <x:sheetData>
    <x:row r="1" ht="34" customHeight="1">
      <x:c r="A1" s="103" t="str">
        <x:v>CTA LMFT/LCSW CLINICAL EXAM PREPARATION — RELEASE CONTROL</x:v>
      </x:c>
      <x:c r="B1" s="103"/>
      <x:c r="C1" s="103"/>
      <x:c r="D1" s="103"/>
      <x:c r="E1" s="103"/>
      <x:c r="F1" s="103"/>
    </x:row>
    <x:row r="2">
      <x:c r="A2" s="98"/>
      <x:c r="B2" s="98"/>
      <x:c r="C2" s="98"/>
      <x:c r="D2" s="98"/>
      <x:c r="E2" s="98"/>
      <x:c r="F2" s="98"/>
    </x:row>
    <x:row r="3">
      <x:c r="A3" s="99" t="str">
        <x:v>Control</x:v>
      </x:c>
      <x:c r="B3" s="99" t="str">
        <x:v>LMFT Program</x:v>
      </x:c>
      <x:c r="C3" s="99" t="str">
        <x:v>LCSW Program</x:v>
      </x:c>
      <x:c r="D3" s="99" t="str">
        <x:v>Shared Rule</x:v>
      </x:c>
      <x:c r="E3" s="99" t="str">
        <x:v>Status</x:v>
      </x:c>
      <x:c r="F3" s="99" t="str">
        <x:v>Source</x:v>
      </x:c>
    </x:row>
    <x:row r="4">
      <x:c r="A4" s="100" t="str">
        <x:v>Public product title</x:v>
      </x:c>
      <x:c r="B4" s="100" t="str">
        <x:v>CTA LMFT California Clinical Exam Preparation Program</x:v>
      </x:c>
      <x:c r="C4" s="100" t="str">
        <x:v>CTA LCSW ASWB Clinical Exam Preparation Program</x:v>
      </x:c>
      <x:c r="D4" s="100" t="str">
        <x:v>Separate public products; shared content is embedded within each program.</x:v>
      </x:c>
      <x:c r="E4" s="100" t="str">
        <x:v>Final</x:v>
      </x:c>
      <x:c r="F4" s="100" t="str">
        <x:v>Program final audits; August 3, 2026 official source check</x:v>
      </x:c>
    </x:row>
    <x:row r="5">
      <x:c r="A5" s="100" t="str">
        <x:v>Core architecture</x:v>
      </x:c>
      <x:c r="B5" s="100" t="str">
        <x:v>12 student workbooks + 12 paired 17-question banks</x:v>
      </x:c>
      <x:c r="C5" s="100" t="str">
        <x:v>12 student workbooks + 12 paired 17-question banks</x:v>
      </x:c>
      <x:c r="D5" s="100" t="str">
        <x:v>Shared clinical foundation; profession-specific framing, examples, questions, and rationales.</x:v>
      </x:c>
      <x:c r="E5" s="100" t="str">
        <x:v>Final</x:v>
      </x:c>
      <x:c r="F5" s="100" t="str">
        <x:v>Master Program Index and Final Release Audit v1.0</x:v>
      </x:c>
    </x:row>
    <x:row r="6">
      <x:c r="A6" s="100" t="str">
        <x:v>Full simulations</x:v>
      </x:c>
      <x:c r="B6" s="100" t="str">
        <x:v>Form A and Form B; 150 items each</x:v>
      </x:c>
      <x:c r="C6" s="100" t="str">
        <x:v>2026 Form A and Form B; 122 items each</x:v>
      </x:c>
      <x:c r="D6" s="100" t="str">
        <x:v>Answers/rationales released only after form submission.</x:v>
      </x:c>
      <x:c r="E6" s="100" t="str">
        <x:v>Final</x:v>
      </x:c>
      <x:c r="F6" s="100" t="str">
        <x:v>Question Bank and Comprehensive Exam Production Standard v1.1</x:v>
      </x:c>
    </x:row>
    <x:row r="7">
      <x:c r="A7" s="100" t="str">
        <x:v>Exam structure</x:v>
      </x:c>
      <x:c r="B7" s="100" t="str">
        <x:v>125 scored-style + 25 pretest-style; 240 minutes</x:v>
      </x:c>
      <x:c r="C7" s="100" t="str">
        <x:v>110 scored-style + 12 unscored-style; 4 hours; mixed 3/4 options</x:v>
      </x:c>
      <x:c r="D7" s="100" t="str">
        <x:v>Do not claim psychometric equivalence or guaranteed passage.</x:v>
      </x:c>
      <x:c r="E7" s="100" t="str">
        <x:v>Verified</x:v>
      </x:c>
      <x:c r="F7" s="100" t="str">
        <x:v>Pearson/BBS handbook and ASWB official sources, checked August 3, 2026</x:v>
      </x:c>
    </x:row>
    <x:row r="8">
      <x:c r="A8" s="100" t="str">
        <x:v>Prior July 23 QC audit</x:v>
      </x:c>
      <x:c r="B8" s="100" t="str">
        <x:v>Historical remediation record</x:v>
      </x:c>
      <x:c r="C8" s="100" t="str">
        <x:v>Historical remediation record</x:v>
      </x:c>
      <x:c r="D8" s="100" t="str">
        <x:v>July 25 final program audits control release status.</x:v>
      </x:c>
      <x:c r="E8" s="100" t="str">
        <x:v>Superseded for release status</x:v>
      </x:c>
      <x:c r="F8" s="100" t="str">
        <x:v>24-Workbook Master QC Audit v1.0; program final audits</x:v>
      </x:c>
    </x:row>
    <x:row r="9">
      <x:c r="A9" s="100" t="str">
        <x:v>Website/LMS visibility</x:v>
      </x:c>
      <x:c r="B9" s="100" t="str">
        <x:v>Student materials and controlled keys only</x:v>
      </x:c>
      <x:c r="C9" s="100" t="str">
        <x:v>Student materials and controlled keys only</x:v>
      </x:c>
      <x:c r="D9" s="100" t="str">
        <x:v>Administrative item banks, QC reports, and production standards remain restricted.</x:v>
      </x:c>
      <x:c r="E9" s="100" t="str">
        <x:v>Required</x:v>
      </x:c>
      <x:c r="F9" s="100" t="str">
        <x:v>Program final audits</x:v>
      </x:c>
    </x:row>
    <x:row r="10">
      <x:c r="A10" s="100" t="str">
        <x:v>Continuing education</x:v>
      </x:c>
      <x:c r="B10" s="100" t="str">
        <x:v>No CE credit or CE certificate</x:v>
      </x:c>
      <x:c r="C10" s="100" t="str">
        <x:v>No CE credit or CE certificate</x:v>
      </x:c>
      <x:c r="D10" s="100" t="str">
        <x:v>Exam-preparation products remain outside CE workflows.</x:v>
      </x:c>
      <x:c r="E10" s="100" t="str">
        <x:v>Final</x:v>
      </x:c>
      <x:c r="F10" s="100" t="str">
        <x:v>CTA Exam Preparation Program Consistency Checklist</x:v>
      </x:c>
    </x:row>
    <x:row r="11">
      <x:c r="A11" s="98"/>
      <x:c r="B11" s="98"/>
      <x:c r="C11" s="98"/>
      <x:c r="D11" s="98"/>
      <x:c r="E11" s="98"/>
      <x:c r="F11" s="98"/>
    </x:row>
    <x:row r="12">
      <x:c r="A12" s="104" t="str">
        <x:v>Release Decision</x:v>
      </x:c>
      <x:c r="B12" s="104"/>
      <x:c r="C12" s="104"/>
      <x:c r="D12" s="104"/>
      <x:c r="E12" s="104"/>
      <x:c r="F12" s="104"/>
    </x:row>
    <x:row r="13">
      <x:c r="A13" s="102" t="str">
        <x:v>The dual-development model is complete. The LMFT and LCSW programs remain separate public products. The shared-core architecture is an internal production method and must not be sold or displayed as a third combined program. The July 25, 2026 program final audits report zero blocking file-integrity defects.</x:v>
      </x:c>
      <x:c r="B13" s="102"/>
      <x:c r="C13" s="102"/>
      <x:c r="D13" s="102"/>
      <x:c r="E13" s="102"/>
      <x:c r="F13" s="102"/>
    </x:row>
    <x:row r="14">
      <x:c r="A14" s="102"/>
      <x:c r="B14" s="102"/>
      <x:c r="C14" s="102"/>
      <x:c r="D14" s="102"/>
      <x:c r="E14" s="102"/>
      <x:c r="F14" s="102"/>
    </x:row>
    <x:row r="15">
      <x:c r="A15" s="102"/>
      <x:c r="B15" s="102"/>
      <x:c r="C15" s="102"/>
      <x:c r="D15" s="102"/>
      <x:c r="E15" s="102"/>
      <x:c r="F15" s="102"/>
    </x:row>
  </x:sheetData>
  <x:mergeCells>
    <x:mergeCell ref="A1:F1"/>
    <x:mergeCell ref="A12:F12"/>
    <x:mergeCell ref="A13:F15"/>
  </x:mergeCells>
  <x:pageMargins left="0.7" right="0.7" top="0.75" bottom="0.75" header="0.3" footer="0.3"/>
</x:worksheet>
</file>