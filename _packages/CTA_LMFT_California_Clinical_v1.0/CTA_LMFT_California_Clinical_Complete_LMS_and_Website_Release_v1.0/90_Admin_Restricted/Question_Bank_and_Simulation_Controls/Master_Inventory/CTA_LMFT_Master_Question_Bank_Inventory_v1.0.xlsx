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5343faea8c43e3" /></Relationships>
</file>

<file path=xl/workbook.xml><?xml version="1.0" encoding="utf-8"?>
<x:workbook xmlns:x="http://schemas.openxmlformats.org/spreadsheetml/2006/main">
  <x:sheets>
    <x:sheet xmlns:r="http://schemas.openxmlformats.org/officeDocument/2006/relationships" name="Dashboard" sheetId="1" r:id="Re6b1bc046c8e498b"/>
    <x:sheet xmlns:r="http://schemas.openxmlformats.org/officeDocument/2006/relationships" name="Master Inventory" sheetId="2" r:id="R6f0f4a60ce6946ea"/>
    <x:sheet xmlns:r="http://schemas.openxmlformats.org/officeDocument/2006/relationships" name="Question Content" sheetId="3" r:id="Reee926e1fa404ffd"/>
    <x:sheet xmlns:r="http://schemas.openxmlformats.org/officeDocument/2006/relationships" name="Blueprint Summary" sheetId="4" r:id="R7e7f908f9733467c"/>
    <x:sheet xmlns:r="http://schemas.openxmlformats.org/officeDocument/2006/relationships" name="Exam Form Usage" sheetId="5" r:id="Rd2b9275990634333"/>
    <x:sheet xmlns:r="http://schemas.openxmlformats.org/officeDocument/2006/relationships" name="Workbook Summary" sheetId="6" r:id="Rf9cf0f3ea5f34ad5"/>
    <x:sheet xmlns:r="http://schemas.openxmlformats.org/officeDocument/2006/relationships" name="QA Findings" sheetId="7" r:id="Re2f6204290544f01"/>
    <x:sheet xmlns:r="http://schemas.openxmlformats.org/officeDocument/2006/relationships" name="Overlap Candidates" sheetId="8" r:id="R775a7ec5b3964905"/>
    <x:sheet xmlns:r="http://schemas.openxmlformats.org/officeDocument/2006/relationships" name="Revision &amp; Use History" sheetId="9" r:id="Rffeea2dc80984529"/>
    <x:sheet xmlns:r="http://schemas.openxmlformats.org/officeDocument/2006/relationships" name="Lists &amp; Definitions" sheetId="10" r:id="R90b7f3dbc303405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yyyy-mm-dd"/>
    <x:numFmt numFmtId="202" formatCode="0.000"/>
  </x:numFmts>
  <x:fonts count="11">
    <x:font>
      <x:sz val="11"/>
      <x:name val="Carlito"/>
    </x:font>
    <x:font>
      <x:b/>
      <x:sz val="20"/>
      <x:color rgb="FFFFFFFF"/>
      <x:name val="Carlito"/>
    </x:font>
    <x:font>
      <x:i/>
      <x:sz val="11"/>
      <x:color rgb="FF243B53"/>
      <x:name val="Carlito"/>
    </x:font>
    <x:font>
      <x:b/>
      <x:sz val="11"/>
      <x:color rgb="FF243B53"/>
      <x:name val="Carlito"/>
    </x:font>
    <x:font>
      <x:b/>
      <x:sz val="22"/>
      <x:color rgb="FF102A43"/>
      <x:name val="Carlito"/>
    </x:font>
    <x:font>
      <x:b/>
      <x:sz val="11"/>
      <x:color rgb="FFFFFFFF"/>
      <x:name val="Carlito"/>
    </x:font>
    <x:font>
      <x:b/>
      <x:sz val="10"/>
      <x:color rgb="FFFFFFFF"/>
      <x:name val="Carlito"/>
    </x:font>
    <x:font>
      <x:i/>
      <x:sz val="10"/>
      <x:color rgb="FF243B53"/>
      <x:name val="Carlito"/>
    </x:font>
    <x:font>
      <x:sz val="10"/>
      <x:name val="Carlito"/>
    </x:font>
    <x:font>
      <x:b/>
      <x:sz val="10"/>
      <x:color rgb="FF243B53"/>
      <x:name val="Carlito"/>
    </x:font>
    <x:font>
      <x:b/>
      <x:sz val="10"/>
      <x:color rgb="FF102A43"/>
      <x:name val="Carlito"/>
    </x:font>
  </x:fonts>
  <x:fills count="9">
    <x:fill>
      <x:patternFill patternType="none"/>
    </x:fill>
    <x:fill>
      <x:patternFill patternType="gray125"/>
    </x:fill>
    <x:fill>
      <x:patternFill patternType="solid">
        <x:fgColor rgb="FF102A43"/>
      </x:patternFill>
    </x:fill>
    <x:fill>
      <x:patternFill patternType="solid">
        <x:fgColor rgb="FFDCEFF6"/>
      </x:patternFill>
    </x:fill>
    <x:fill>
      <x:patternFill patternType="solid">
        <x:fgColor rgb="FF163A5F"/>
      </x:patternFill>
    </x:fill>
    <x:fill>
      <x:patternFill patternType="solid">
        <x:fgColor rgb="FFF3F6F8"/>
      </x:patternFill>
    </x:fill>
    <x:fill>
      <x:patternFill patternType="solid">
        <x:fgColor rgb="FFDCEFF6"/>
      </x:patternFill>
    </x:fill>
    <x:fill>
      <x:patternFill patternType="solid">
        <x:fgColor rgb="FF102A43"/>
      </x:patternFill>
    </x:fill>
    <x:fill>
      <x:patternFill patternType="solid">
        <x:fgColor rgb="FFF3F6F8"/>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horizontal="center"/>
    </x:xf>
    <x:xf numFmtId="0" fontId="4" fillId="0" borderId="1" xfId="0" applyNumberFormat="1" applyFont="1" applyFill="1" applyBorder="1" applyAlignment="1">
      <x:alignment horizontal="center"/>
    </x:xf>
    <x:xf numFmtId="0" fontId="4" fillId="0" borderId="0" xfId="0" applyNumberFormat="1" applyFont="1" applyFill="1" applyBorder="1" applyAlignment="1">
      <x:alignment horizontal="center" vertical="center"/>
    </x:xf>
    <x:xf numFmtId="0" fontId="4" fillId="0" borderId="1"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horizontal="center"/>
    </x:xf>
    <x:xf numFmtId="0" fontId="0" fillId="5" borderId="1" xfId="0" applyNumberFormat="1" applyFont="1" applyFill="1" applyBorder="1"/>
    <x:xf numFmtId="0" fontId="0" fillId="5" borderId="1" xfId="0" applyNumberFormat="1" applyFont="1" applyFill="1" applyBorder="1" applyAlignment="1">
      <x:alignment horizont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3" xfId="0" applyNumberFormat="1" applyFont="1" applyFill="1" applyBorder="1"/>
    <x:xf numFmtId="200" fontId="0" fillId="0" borderId="8" xfId="0" applyNumberFormat="1" applyFont="1" applyFill="1" applyBorder="1"/>
    <x:xf numFmtId="200" fontId="0" fillId="0" borderId="11" xfId="0" applyNumberFormat="1" applyFont="1" applyFill="1" applyBorder="1"/>
    <x:xf numFmtId="200" fontId="0" fillId="0" borderId="16"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6" xfId="0" applyNumberFormat="1" applyFont="1" applyFill="1" applyBorder="1" applyAlignment="1">
      <x:alignment vertical="top" wrapText="1"/>
    </x:xf>
    <x:xf numFmtId="200" fontId="0" fillId="0" borderId="4" xfId="0" applyNumberFormat="1" applyFont="1" applyFill="1" applyBorder="1"/>
    <x:xf numFmtId="200" fontId="0" fillId="0" borderId="6" xfId="0" applyNumberFormat="1" applyFont="1" applyFill="1" applyBorder="1"/>
    <x:xf numFmtId="200" fontId="0" fillId="0" borderId="9" xfId="0" applyNumberFormat="1" applyFont="1" applyFill="1" applyBorder="1"/>
    <x:xf numFmtId="200" fontId="0" fillId="0" borderId="12" xfId="0" applyNumberFormat="1" applyFont="1" applyFill="1" applyBorder="1"/>
    <x:xf numFmtId="200" fontId="0" fillId="0" borderId="14" xfId="0" applyNumberFormat="1" applyFont="1" applyFill="1" applyBorder="1"/>
    <x:xf numFmtId="200" fontId="0" fillId="0" borderId="17"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6"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horizontal="center" vertical="top" wrapText="1"/>
    </x:xf>
    <x:xf numFmtId="0" fontId="0"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xf numFmtId="0" fontId="6" fillId="2" borderId="0" xfId="0" applyNumberFormat="1" applyFont="1" applyFill="1" applyBorder="1" applyAlignment="1">
      <x:alignment horizontal="left" vertical="center"/>
    </x:xf>
    <x:xf numFmtId="0" fontId="7" fillId="0" borderId="0" xfId="0" applyNumberFormat="1" applyFont="1" applyFill="1" applyBorder="1" applyAlignment="1">
      <x:alignment vertical="center" wrapText="1"/>
    </x:xf>
    <x:xf numFmtId="0" fontId="8" fillId="0" borderId="0" xfId="0" applyNumberFormat="1" applyFont="1" applyFill="1" applyBorder="1"/>
    <x:xf numFmtId="0" fontId="9" fillId="3"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6" fillId="4" borderId="0" xfId="0" applyNumberFormat="1" applyFont="1" applyFill="1" applyBorder="1" applyAlignment="1">
      <x:alignment horizontal="center" vertical="center" wrapText="1"/>
    </x:xf>
    <x:xf numFmtId="0" fontId="8" fillId="5" borderId="0" xfId="0" applyNumberFormat="1" applyFont="1" applyFill="1" applyBorder="1" applyAlignment="1">
      <x:alignment horizontal="center"/>
    </x:xf>
    <x:xf numFmtId="0" fontId="8"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0" xfId="0" applyNumberFormat="1" applyFont="1" applyFill="1" applyBorder="1" applyAlignment="1">
      <x:alignment wrapText="1"/>
    </x:xf>
    <x:xf numFmtId="0" fontId="8" fillId="0" borderId="6" xfId="0" applyNumberFormat="1" applyFont="1" applyFill="1" applyBorder="1" applyAlignment="1">
      <x:alignment wrapText="1"/>
    </x:xf>
    <x:xf numFmtId="0" fontId="8" fillId="0" borderId="2" xfId="0" applyNumberFormat="1" applyFont="1" applyFill="1" applyBorder="1"/>
    <x:xf numFmtId="0" fontId="8" fillId="0" borderId="3" xfId="0" applyNumberFormat="1" applyFont="1" applyFill="1" applyBorder="1"/>
    <x:xf numFmtId="200" fontId="8" fillId="0" borderId="3" xfId="0" applyNumberFormat="1" applyFont="1" applyFill="1" applyBorder="1"/>
    <x:xf numFmtId="0" fontId="8" fillId="0" borderId="4" xfId="0" applyNumberFormat="1" applyFont="1" applyFill="1" applyBorder="1"/>
    <x:xf numFmtId="0" fontId="8" fillId="0" borderId="5" xfId="0" applyNumberFormat="1" applyFont="1" applyFill="1" applyBorder="1"/>
    <x:xf numFmtId="200" fontId="8" fillId="0" borderId="0" xfId="0" applyNumberFormat="1" applyFont="1" applyFill="1" applyBorder="1"/>
    <x:xf numFmtId="0" fontId="8" fillId="0" borderId="6" xfId="0" applyNumberFormat="1" applyFont="1" applyFill="1" applyBorder="1"/>
    <x:xf numFmtId="0" fontId="8" fillId="0" borderId="7" xfId="0" applyNumberFormat="1" applyFont="1" applyFill="1" applyBorder="1" applyAlignment="1">
      <x:alignment wrapText="1"/>
    </x:xf>
    <x:xf numFmtId="0" fontId="8" fillId="0" borderId="8"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7" xfId="0" applyNumberFormat="1" applyFont="1" applyFill="1" applyBorder="1"/>
    <x:xf numFmtId="0" fontId="8" fillId="0" borderId="8" xfId="0" applyNumberFormat="1" applyFont="1" applyFill="1" applyBorder="1"/>
    <x:xf numFmtId="200" fontId="8" fillId="0" borderId="8" xfId="0" applyNumberFormat="1" applyFont="1" applyFill="1" applyBorder="1"/>
    <x:xf numFmtId="0" fontId="8" fillId="0" borderId="9" xfId="0" applyNumberFormat="1" applyFont="1" applyFill="1" applyBorder="1"/>
    <x:xf numFmtId="0" fontId="6" fillId="2" borderId="1" xfId="0" applyNumberFormat="1" applyFont="1" applyFill="1" applyBorder="1" applyAlignment="1">
      <x:alignment horizontal="left" vertical="center"/>
    </x:xf>
    <x:xf numFmtId="0" fontId="7" fillId="0" borderId="1" xfId="0" applyNumberFormat="1" applyFont="1" applyFill="1" applyBorder="1" applyAlignment="1">
      <x:alignment vertical="center" wrapText="1"/>
    </x:xf>
    <x:xf numFmtId="0" fontId="8" fillId="0" borderId="1" xfId="0" applyNumberFormat="1" applyFont="1" applyFill="1" applyBorder="1"/>
    <x:xf numFmtId="0" fontId="9" fillId="3" borderId="1" xfId="0" applyNumberFormat="1" applyFont="1" applyFill="1" applyBorder="1" applyAlignment="1">
      <x:alignment horizontal="center" vertical="center"/>
    </x:xf>
    <x:xf numFmtId="0" fontId="10" fillId="0" borderId="1" xfId="0" applyNumberFormat="1" applyFont="1" applyFill="1" applyBorder="1" applyAlignment="1">
      <x:alignment horizontal="center" vertical="center"/>
    </x:xf>
    <x:xf numFmtId="0" fontId="6" fillId="4" borderId="1" xfId="0" applyNumberFormat="1" applyFont="1" applyFill="1" applyBorder="1" applyAlignment="1">
      <x:alignment horizontal="center" vertical="center" wrapText="1"/>
    </x:xf>
    <x:xf numFmtId="0" fontId="8" fillId="5" borderId="1" xfId="0" applyNumberFormat="1" applyFont="1" applyFill="1" applyBorder="1" applyAlignment="1">
      <x:alignment horizontal="center"/>
    </x:xf>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14" xfId="0" applyNumberFormat="1" applyFont="1" applyFill="1" applyBorder="1" applyAlignment="1">
      <x:alignment wrapText="1"/>
    </x:xf>
    <x:xf numFmtId="0" fontId="8" fillId="0" borderId="10" xfId="0" applyNumberFormat="1" applyFont="1" applyFill="1" applyBorder="1"/>
    <x:xf numFmtId="0" fontId="8" fillId="0" borderId="11" xfId="0" applyNumberFormat="1" applyFont="1" applyFill="1" applyBorder="1"/>
    <x:xf numFmtId="200" fontId="8" fillId="0" borderId="11" xfId="0" applyNumberFormat="1" applyFont="1" applyFill="1" applyBorder="1"/>
    <x:xf numFmtId="0" fontId="8" fillId="0" borderId="12" xfId="0" applyNumberFormat="1" applyFont="1" applyFill="1" applyBorder="1"/>
    <x:xf numFmtId="0" fontId="8" fillId="0" borderId="13" xfId="0" applyNumberFormat="1" applyFont="1" applyFill="1" applyBorder="1"/>
    <x:xf numFmtId="200" fontId="8" fillId="0" borderId="1" xfId="0" applyNumberFormat="1" applyFont="1" applyFill="1" applyBorder="1"/>
    <x:xf numFmtId="0" fontId="8" fillId="0" borderId="14" xfId="0" applyNumberFormat="1" applyFont="1" applyFill="1" applyBorder="1"/>
    <x:xf numFmtId="0" fontId="8" fillId="0" borderId="15" xfId="0" applyNumberFormat="1" applyFont="1" applyFill="1" applyBorder="1" applyAlignment="1">
      <x:alignment wrapText="1"/>
    </x:xf>
    <x:xf numFmtId="0" fontId="8" fillId="0" borderId="16" xfId="0" applyNumberFormat="1" applyFont="1" applyFill="1" applyBorder="1" applyAlignment="1">
      <x:alignment wrapText="1"/>
    </x:xf>
    <x:xf numFmtId="0" fontId="8" fillId="0" borderId="17" xfId="0" applyNumberFormat="1" applyFont="1" applyFill="1" applyBorder="1" applyAlignment="1">
      <x:alignment wrapText="1"/>
    </x:xf>
    <x:xf numFmtId="0" fontId="8" fillId="0" borderId="15" xfId="0" applyNumberFormat="1" applyFont="1" applyFill="1" applyBorder="1"/>
    <x:xf numFmtId="0" fontId="8" fillId="0" borderId="16" xfId="0" applyNumberFormat="1" applyFont="1" applyFill="1" applyBorder="1"/>
    <x:xf numFmtId="200" fontId="8" fillId="0" borderId="16" xfId="0" applyNumberFormat="1" applyFont="1" applyFill="1" applyBorder="1"/>
    <x:xf numFmtId="0" fontId="8" fillId="0" borderId="17" xfId="0" applyNumberFormat="1" applyFont="1" applyFill="1" applyBorder="1"/>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201"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201"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201"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 xfId="0" applyNumberFormat="1" applyFont="1" applyFill="1" applyBorder="1" applyAlignment="1">
      <x:alignment vertical="top" wrapText="1"/>
    </x:xf>
    <x:xf numFmtId="201" fontId="8" fillId="0" borderId="1"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0" borderId="16" xfId="0" applyNumberFormat="1" applyFont="1" applyFill="1" applyBorder="1" applyAlignment="1">
      <x:alignment vertical="top" wrapText="1"/>
    </x:xf>
    <x:xf numFmtId="201" fontId="8" fillId="0" borderId="16"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200" fontId="8" fillId="0" borderId="4" xfId="0" applyNumberFormat="1" applyFont="1" applyFill="1" applyBorder="1"/>
    <x:xf numFmtId="200" fontId="8" fillId="0" borderId="6" xfId="0" applyNumberFormat="1" applyFont="1" applyFill="1" applyBorder="1"/>
    <x:xf numFmtId="200" fontId="8" fillId="0" borderId="9" xfId="0" applyNumberFormat="1" applyFont="1" applyFill="1" applyBorder="1"/>
    <x:xf numFmtId="200" fontId="8" fillId="0" borderId="12" xfId="0" applyNumberFormat="1" applyFont="1" applyFill="1" applyBorder="1"/>
    <x:xf numFmtId="200" fontId="8" fillId="0" borderId="14" xfId="0" applyNumberFormat="1" applyFont="1" applyFill="1" applyBorder="1"/>
    <x:xf numFmtId="200" fontId="8" fillId="0" borderId="17" xfId="0" applyNumberFormat="1" applyFont="1" applyFill="1" applyBorder="1"/>
    <x:xf numFmtId="202" fontId="8" fillId="0" borderId="3" xfId="0" applyNumberFormat="1" applyFont="1" applyFill="1" applyBorder="1" applyAlignment="1">
      <x:alignment vertical="top" wrapText="1"/>
    </x:xf>
    <x:xf numFmtId="202" fontId="8" fillId="0" borderId="0" xfId="0" applyNumberFormat="1" applyFont="1" applyFill="1" applyBorder="1" applyAlignment="1">
      <x:alignment vertical="top" wrapText="1"/>
    </x:xf>
    <x:xf numFmtId="202" fontId="8" fillId="0" borderId="8" xfId="0" applyNumberFormat="1" applyFont="1" applyFill="1" applyBorder="1" applyAlignment="1">
      <x:alignment vertical="top" wrapText="1"/>
    </x:xf>
    <x:xf numFmtId="202" fontId="8" fillId="0" borderId="11" xfId="0" applyNumberFormat="1" applyFont="1" applyFill="1" applyBorder="1" applyAlignment="1">
      <x:alignment vertical="top" wrapText="1"/>
    </x:xf>
    <x:xf numFmtId="202" fontId="8" fillId="0" borderId="1" xfId="0" applyNumberFormat="1" applyFont="1" applyFill="1" applyBorder="1" applyAlignment="1">
      <x:alignment vertical="top" wrapText="1"/>
    </x:xf>
    <x:xf numFmtId="202" fontId="8" fillId="0" borderId="16" xfId="0" applyNumberFormat="1" applyFont="1" applyFill="1" applyBorder="1" applyAlignment="1">
      <x:alignment vertical="top" wrapText="1"/>
    </x:xf>
    <x:xf numFmtId="0" fontId="9" fillId="6" borderId="0" xfId="0" applyNumberFormat="1" applyFont="1" applyFill="1" applyBorder="1" applyAlignment="1">
      <x:alignment horizontal="center" vertical="center"/>
    </x:xf>
    <x:xf numFmtId="0" fontId="8" fillId="7" borderId="0" xfId="0" applyNumberFormat="1" applyFont="1" applyFill="1" applyBorder="1"/>
    <x:xf numFmtId="0" fontId="6" fillId="7" borderId="0" xfId="0" applyNumberFormat="1" applyFont="1" applyFill="1" applyBorder="1" applyAlignment="1">
      <x:alignment horizontal="center" vertical="center" wrapText="1"/>
    </x:xf>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8" fillId="8" borderId="0" xfId="0" applyNumberFormat="1" applyFont="1" applyFill="1" applyBorder="1"/>
    <x:xf numFmtId="0" fontId="8" fillId="8" borderId="0" xfId="0" applyNumberFormat="1" applyFont="1" applyFill="1" applyBorder="1" applyAlignment="1">
      <x:alignment horizontal="center"/>
    </x:xf>
    <x:xf numFmtId="0" fontId="8" fillId="8" borderId="0" xfId="0" applyNumberFormat="1" applyFont="1" applyFill="1" applyBorder="1" applyAlignment="1">
      <x:alignment horizontal="center" vertical="center"/>
    </x:xf>
  </x:cellXfs>
  <x:cellStyles count="1">
    <x:cellStyle name="Normal" xfId="0"/>
  </x:cellStyles>
  <x:dxfs count="10">
    <x:dxf>
      <x:fill>
        <x:patternFill>
          <x:bgColor rgb="FFD9EAD3"/>
        </x:patternFill>
      </x:fill>
    </x:dxf>
    <x:dxf>
      <x:fill>
        <x:patternFill>
          <x:bgColor rgb="FFFFF2CC"/>
        </x:patternFill>
      </x:fill>
    </x:dxf>
    <x:dxf>
      <x:fill>
        <x:patternFill>
          <x:bgColor rgb="FFF4CCCC"/>
        </x:patternFill>
      </x:fill>
    </x:dxf>
    <x:dxf>
      <x:fill>
        <x:patternFill>
          <x:bgColor rgb="FFFFF2CC"/>
        </x:patternFill>
      </x:fill>
    </x:dxf>
    <x:dxf>
      <x:fill>
        <x:patternFill>
          <x:bgColor rgb="FFDDEBF7"/>
        </x:patternFill>
      </x:fill>
    </x:dxf>
    <x:dxf>
      <x:fill>
        <x:patternFill>
          <x:bgColor rgb="FFFCE5CD"/>
        </x:patternFill>
      </x:fill>
    </x:dxf>
    <x:dxf>
      <x:fill>
        <x:patternFill>
          <x:bgColor rgb="FFD9EAD3"/>
        </x:patternFill>
      </x:fill>
    </x:dxf>
    <x:dxf>
      <x:fill>
        <x:patternFill>
          <x:bgColor rgb="FFFFF2CC"/>
        </x:patternFill>
      </x:fill>
    </x:dxf>
    <x:dxf>
      <x:fill>
        <x:patternFill>
          <x:bgColor rgb="FFDDEBF7"/>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eb5a240ef54558" /><Relationship Type="http://schemas.openxmlformats.org/officeDocument/2006/relationships/theme" Target="/xl/theme/theme1.xml" Id="R1f7bc0ae88ef479d" /><Relationship Type="http://schemas.openxmlformats.org/officeDocument/2006/relationships/sharedStrings" Target="/xl/sharedStrings.xml" Id="R43975c884a6f48cd" /><Relationship Type="http://schemas.openxmlformats.org/officeDocument/2006/relationships/worksheet" Target="/xl/worksheets/sheet1.xml" Id="Re6b1bc046c8e498b" /><Relationship Type="http://schemas.openxmlformats.org/officeDocument/2006/relationships/worksheet" Target="/xl/worksheets/sheet2.xml" Id="R6f0f4a60ce6946ea" /><Relationship Type="http://schemas.openxmlformats.org/officeDocument/2006/relationships/worksheet" Target="/xl/worksheets/sheet3.xml" Id="Reee926e1fa404ffd" /><Relationship Type="http://schemas.openxmlformats.org/officeDocument/2006/relationships/worksheet" Target="/xl/worksheets/sheet4.xml" Id="R7e7f908f9733467c" /><Relationship Type="http://schemas.openxmlformats.org/officeDocument/2006/relationships/worksheet" Target="/xl/worksheets/sheet5.xml" Id="Rd2b9275990634333" /><Relationship Type="http://schemas.openxmlformats.org/officeDocument/2006/relationships/worksheet" Target="/xl/worksheets/sheet6.xml" Id="Rf9cf0f3ea5f34ad5" /><Relationship Type="http://schemas.openxmlformats.org/officeDocument/2006/relationships/worksheet" Target="/xl/worksheets/sheet7.xml" Id="Re2f6204290544f01" /><Relationship Type="http://schemas.openxmlformats.org/officeDocument/2006/relationships/worksheet" Target="/xl/worksheets/sheet8.xml" Id="R775a7ec5b3964905" /><Relationship Type="http://schemas.openxmlformats.org/officeDocument/2006/relationships/worksheet" Target="/xl/worksheets/sheet9.xml" Id="Rffeea2dc80984529" /><Relationship Type="http://schemas.openxmlformats.org/officeDocument/2006/relationships/worksheet" Target="/xl/worksheets/sheet10.xml" Id="R90b7f3dbc303405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3870ae8b11a4bd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LMFT Item Distribution by Blueprint Area</a:t>
            </a:r>
          </a:p>
        </c:rich>
      </c:tx>
      <c:overlay val="0"/>
    </c:title>
    <c:autoTitleDeleted val="0"/>
    <c:plotArea>
      <c:layout/>
      <c:barChart>
        <c:barDir val="col"/>
        <c:varyColors val="0"/>
        <c:ser>
          <c:idx val="0"/>
          <c:order val="0"/>
          <c:tx>
            <c:v>Total</c:v>
          </c:tx>
          <c:cat>
            <c:strRef>
              <c:f>'Dashboard'!$A$14:$A$20</c:f>
              <c:strCache>
                <c:ptCount val="0"/>
              </c:strCache>
            </c:strRef>
          </c:cat>
          <c:val>
            <c:numRef>
              <c:f>'Dashboard'!$B$14:$B$20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870ae8b11a4bd7"/>
        </a:graphicData>
      </a:graphic>
    </xdr:graphicFrame>
    <xdr:clientData/>
  </xdr:twoCellAnchor>
</xdr:wsDr>
</file>

<file path=xl/tables/table1.xml><?xml version="1.0" encoding="utf-8"?>
<x:table xmlns:x="http://schemas.openxmlformats.org/spreadsheetml/2006/main" id="1" name="LMFTMasterInventoryTable" displayName="LMFTMasterInventoryTable" ref="A1:AF505" headerRowCount="1">
  <x:tableColumns count="32">
    <x:tableColumn id="1" name="Master Question ID"/>
    <x:tableColumn id="2" name="Original Question ID"/>
    <x:tableColumn id="3" name="Profession"/>
    <x:tableColumn id="4" name="Source Type"/>
    <x:tableColumn id="5" name="Workbook Number"/>
    <x:tableColumn id="6" name="Workbook Title"/>
    <x:tableColumn id="7" name="Exam Form"/>
    <x:tableColumn id="8" name="Form Question Number"/>
    <x:tableColumn id="9" name="CTA Status Designation"/>
    <x:tableColumn id="10" name="Official Blueprint Area"/>
    <x:tableColumn id="11" name="Primary Concept"/>
    <x:tableColumn id="12" name="Secondary Concepts"/>
    <x:tableColumn id="13" name="Source Difficulty"/>
    <x:tableColumn id="14" name="Normalized Difficulty"/>
    <x:tableColumn id="15" name="Source Cognitive Demand / Question Type"/>
    <x:tableColumn id="16" name="Normalized Reasoning Level"/>
    <x:tableColumn id="17" name="Option Count"/>
    <x:tableColumn id="18" name="Correct Answer"/>
    <x:tableColumn id="19" name="Approval Status"/>
    <x:tableColumn id="20" name="Item Status"/>
    <x:tableColumn id="21" name="Exposure Count"/>
    <x:tableColumn id="22" name="Alternate Form Pair ID"/>
    <x:tableColumn id="23" name="Overlap Review Status"/>
    <x:tableColumn id="24" name="QA Flags"/>
    <x:tableColumn id="25" name="Bias / Cultural Review"/>
    <x:tableColumn id="26" name="Source Alignment / Authority Tag"/>
    <x:tableColumn id="27" name="Source File"/>
    <x:tableColumn id="28" name="Source Version"/>
    <x:tableColumn id="29" name="Source Accuracy Date"/>
    <x:tableColumn id="30" name="Last Master Review Date"/>
    <x:tableColumn id="31" name="Master Notes"/>
    <x:tableColumn id="32" name="Eligible Future Use"/>
  </x:tableColumns>
  <x:tableStyleInfo name="TableStyleMedium2" showRowStripes="1"/>
</x:table>
</file>

<file path=xl/tables/table2.xml><?xml version="1.0" encoding="utf-8"?>
<x:table xmlns:x="http://schemas.openxmlformats.org/spreadsheetml/2006/main" id="2" name="LMFTQuestionContentTable" displayName="LMFTQuestionContentTable" ref="A1:Q505" headerRowCount="1">
  <x:tableColumns count="17">
    <x:tableColumn id="1" name="Master Question ID"/>
    <x:tableColumn id="2" name="Original Question ID"/>
    <x:tableColumn id="3" name="Source Type"/>
    <x:tableColumn id="4" name="Workbook / Form"/>
    <x:tableColumn id="5" name="Question Stem"/>
    <x:tableColumn id="6" name="Option A"/>
    <x:tableColumn id="7" name="Option B"/>
    <x:tableColumn id="8" name="Option C"/>
    <x:tableColumn id="9" name="Option D"/>
    <x:tableColumn id="10" name="Correct Answer"/>
    <x:tableColumn id="11" name="Rationale A"/>
    <x:tableColumn id="12" name="Rationale B"/>
    <x:tableColumn id="13" name="Rationale C"/>
    <x:tableColumn id="14" name="Rationale D"/>
    <x:tableColumn id="15" name="Full Rationale Block"/>
    <x:tableColumn id="16" name="CTA Exam Strategy"/>
    <x:tableColumn id="17" name="Source Alignment"/>
  </x:tableColumns>
  <x:tableStyleInfo name="TableStyleMedium2" showRowStripes="1"/>
</x:table>
</file>

<file path=xl/tables/table3.xml><?xml version="1.0" encoding="utf-8"?>
<x:table xmlns:x="http://schemas.openxmlformats.org/spreadsheetml/2006/main" id="3" name="LMFTExamUsageTable" displayName="LMFTExamUsageTable" ref="A1:N505" headerRowCount="1">
  <x:tableColumns count="14">
    <x:tableColumn id="1" name="Master Question ID"/>
    <x:tableColumn id="2" name="Original Question ID"/>
    <x:tableColumn id="3" name="Product / Bank"/>
    <x:tableColumn id="4" name="Position"/>
    <x:tableColumn id="5" name="CTA Status"/>
    <x:tableColumn id="6" name="Official Area"/>
    <x:tableColumn id="7" name="Primary Concept"/>
    <x:tableColumn id="8" name="Difficulty"/>
    <x:tableColumn id="9" name="Reasoning Level"/>
    <x:tableColumn id="10" name="Key"/>
    <x:tableColumn id="11" name="Exposure Count"/>
    <x:tableColumn id="12" name="Alternate Form Pair ID"/>
    <x:tableColumn id="13" name="Release Status"/>
    <x:tableColumn id="14" name="Future Use Rule"/>
  </x:tableColumns>
  <x:tableStyleInfo name="TableStyleMedium2" showRowStripes="1"/>
</x:table>
</file>

<file path=xl/tables/table4.xml><?xml version="1.0" encoding="utf-8"?>
<x:table xmlns:x="http://schemas.openxmlformats.org/spreadsheetml/2006/main" id="4" name="LMFTQAFindingTable" displayName="LMFTQAFindingTable" ref="A1:F13" headerRowCount="1">
  <x:tableColumns count="6">
    <x:tableColumn id="1" name="Category"/>
    <x:tableColumn id="2" name="Severity"/>
    <x:tableColumn id="3" name="Scope"/>
    <x:tableColumn id="4" name="Item / Metric"/>
    <x:tableColumn id="5" name="Finding"/>
    <x:tableColumn id="6" name="Recommended Action"/>
  </x:tableColumns>
  <x:tableStyleInfo name="TableStyleMedium2" showRowStripes="1"/>
</x:table>
</file>

<file path=xl/tables/table5.xml><?xml version="1.0" encoding="utf-8"?>
<x:table xmlns:x="http://schemas.openxmlformats.org/spreadsheetml/2006/main" id="5" name="LMFTOverlapTable" displayName="LMFTOverlapTable" ref="A1:N171" headerRowCount="1">
  <x:tableColumns count="14">
    <x:tableColumn id="1" name="Pair ID"/>
    <x:tableColumn id="2" name="Similarity Score"/>
    <x:tableColumn id="3" name="Question ID 1"/>
    <x:tableColumn id="4" name="Master ID 1"/>
    <x:tableColumn id="5" name="Source 1"/>
    <x:tableColumn id="6" name="Primary Concept 1"/>
    <x:tableColumn id="7" name="Stem 1"/>
    <x:tableColumn id="8" name="Question ID 2"/>
    <x:tableColumn id="9" name="Master ID 2"/>
    <x:tableColumn id="10" name="Source 2"/>
    <x:tableColumn id="11" name="Primary Concept 2"/>
    <x:tableColumn id="12" name="Stem 2"/>
    <x:tableColumn id="13" name="Classification"/>
    <x:tableColumn id="14" name="Recommended Review"/>
  </x:tableColumns>
  <x:tableStyleInfo name="TableStyleMedium2" showRowStripes="1"/>
</x:table>
</file>

<file path=xl/tables/table6.xml><?xml version="1.0" encoding="utf-8"?>
<x:table xmlns:x="http://schemas.openxmlformats.org/spreadsheetml/2006/main" id="6" name="LMFTRevisionHistoryTable" displayName="LMFTRevisionHistoryTable" ref="A1:I505" headerRowCount="1">
  <x:tableColumns count="9">
    <x:tableColumn id="1" name="Master Question ID"/>
    <x:tableColumn id="2" name="Original Question ID"/>
    <x:tableColumn id="3" name="Date"/>
    <x:tableColumn id="4" name="Action"/>
    <x:tableColumn id="5" name="Product / Source"/>
    <x:tableColumn id="6" name="Version"/>
    <x:tableColumn id="7" name="Exposure Change"/>
    <x:tableColumn id="8" name="Reviewer / Owner"/>
    <x:tableColumn id="9"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205ad6d9b4f4734" /></Relationships>
</file>

<file path=xl/worksheets/_rels/sheet2.xml.rels>&#65279;<?xml version="1.0" encoding="utf-8"?><Relationships xmlns="http://schemas.openxmlformats.org/package/2006/relationships"><Relationship Type="http://schemas.openxmlformats.org/officeDocument/2006/relationships/table" Target="/xl/tables/table1.xml" Id="R5c4dc200160f410e" /></Relationships>
</file>

<file path=xl/worksheets/_rels/sheet3.xml.rels>&#65279;<?xml version="1.0" encoding="utf-8"?><Relationships xmlns="http://schemas.openxmlformats.org/package/2006/relationships"><Relationship Type="http://schemas.openxmlformats.org/officeDocument/2006/relationships/table" Target="/xl/tables/table2.xml" Id="Rd0c72e1ff657415d" /></Relationships>
</file>

<file path=xl/worksheets/_rels/sheet5.xml.rels>&#65279;<?xml version="1.0" encoding="utf-8"?><Relationships xmlns="http://schemas.openxmlformats.org/package/2006/relationships"><Relationship Type="http://schemas.openxmlformats.org/officeDocument/2006/relationships/table" Target="/xl/tables/table3.xml" Id="R07768f721ebd4c2b" /></Relationships>
</file>

<file path=xl/worksheets/_rels/sheet7.xml.rels>&#65279;<?xml version="1.0" encoding="utf-8"?><Relationships xmlns="http://schemas.openxmlformats.org/package/2006/relationships"><Relationship Type="http://schemas.openxmlformats.org/officeDocument/2006/relationships/table" Target="/xl/tables/table4.xml" Id="Rdf23ee07b7624b0a" /></Relationships>
</file>

<file path=xl/worksheets/_rels/sheet8.xml.rels>&#65279;<?xml version="1.0" encoding="utf-8"?><Relationships xmlns="http://schemas.openxmlformats.org/package/2006/relationships"><Relationship Type="http://schemas.openxmlformats.org/officeDocument/2006/relationships/table" Target="/xl/tables/table5.xml" Id="Re6d8194e9d8c4a4a" /></Relationships>
</file>

<file path=xl/worksheets/_rels/sheet9.xml.rels>&#65279;<?xml version="1.0" encoding="utf-8"?><Relationships xmlns="http://schemas.openxmlformats.org/package/2006/relationships"><Relationship Type="http://schemas.openxmlformats.org/officeDocument/2006/relationships/table" Target="/xl/tables/table6.xml" Id="R95dfedca871a440b"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14" hidden="0" customWidth="1"/>
    <x:col min="4" max="4" width="14" hidden="0" customWidth="1"/>
    <x:col min="5" max="5" width="14" hidden="0" customWidth="1"/>
    <x:col min="6" max="6" width="18" hidden="0" customWidth="1"/>
    <x:col min="7" max="7" width="30" hidden="0" customWidth="1"/>
    <x:col min="8" max="8" width="14" hidden="0" customWidth="1"/>
    <x:col min="9" max="9" width="14" hidden="0" customWidth="1"/>
    <x:col min="10" max="10" width="14" hidden="0" customWidth="1"/>
  </x:cols>
  <x:sheetData>
    <x:row r="1" ht="34" customHeight="1">
      <x:c r="A1" s="5" t="str">
        <x:v>CTA LMFT Master Question Bank Inventory v1.0</x:v>
      </x:c>
      <x:c r="B1" s="5"/>
      <x:c r="C1" s="5"/>
      <x:c r="D1" s="5"/>
      <x:c r="E1" s="5"/>
      <x:c r="F1" s="5"/>
      <x:c r="G1" s="5"/>
      <x:c r="H1" s="5"/>
      <x:c r="I1" s="5"/>
      <x:c r="J1" s="5"/>
    </x:row>
    <x:row r="2">
      <x:c r="A2" s="134" t="str">
        <x:v>Administrative source of truth consolidating the 12 approved LMFT workbook question banks and Comprehensive Simulation Forms A and B. Source wording is preserved; overlap and review issues are flagged rather than silently rewritten.</x:v>
      </x:c>
      <x:c r="B2" s="134"/>
      <x:c r="C2" s="134"/>
      <x:c r="D2" s="134"/>
      <x:c r="E2" s="134"/>
      <x:c r="F2" s="134"/>
      <x:c r="G2" s="134"/>
      <x:c r="H2" s="134"/>
      <x:c r="I2" s="134"/>
      <x:c r="J2" s="134"/>
    </x:row>
    <x:row r="3">
      <x:c r="A3" s="134"/>
      <x:c r="B3" s="134"/>
      <x:c r="C3" s="134"/>
      <x:c r="D3" s="134"/>
      <x:c r="E3" s="134"/>
      <x:c r="F3" s="134"/>
      <x:c r="G3" s="134"/>
      <x:c r="H3" s="134"/>
      <x:c r="I3" s="134"/>
      <x:c r="J3" s="134"/>
    </x:row>
    <x:row r="4">
      <x:c r="A4" s="135"/>
      <x:c r="B4" s="135"/>
      <x:c r="C4" s="135"/>
      <x:c r="D4" s="135"/>
      <x:c r="E4" s="135"/>
      <x:c r="F4" s="135"/>
      <x:c r="G4" s="135"/>
      <x:c r="H4" s="135"/>
      <x:c r="I4" s="135"/>
      <x:c r="J4" s="135"/>
    </x:row>
    <x:row r="5">
      <x:c r="A5" s="223" t="str">
        <x:v>Total Items</x:v>
      </x:c>
      <x:c r="B5" s="223"/>
      <x:c r="C5" s="223" t="str">
        <x:v>Workbook-Bank Items</x:v>
      </x:c>
      <x:c r="D5" s="223"/>
      <x:c r="E5" s="223" t="str">
        <x:v>Form A Items</x:v>
      </x:c>
      <x:c r="F5" s="223"/>
      <x:c r="G5" s="223" t="str">
        <x:v>Form B Items</x:v>
      </x:c>
      <x:c r="H5" s="223"/>
      <x:c r="I5" s="223" t="str">
        <x:v>Overlap-Review Items</x:v>
      </x:c>
      <x:c r="J5" s="223"/>
    </x:row>
    <x:row r="6">
      <x:c r="A6" s="137" t="n">
        <x:f>COUNTA('Master Inventory'!$A$2:$A$505)</x:f>
        <x:v>504</x:v>
      </x:c>
      <x:c r="B6" s="137"/>
      <x:c r="C6" s="137" t="n">
        <x:f>COUNTIF('Master Inventory'!$D$2:$D$505,"Workbook Question Bank")</x:f>
        <x:v>204</x:v>
      </x:c>
      <x:c r="D6" s="137"/>
      <x:c r="E6" s="137" t="n">
        <x:f>COUNTIF('Master Inventory'!$G$2:$G$505,"Form A")</x:f>
        <x:v>150</x:v>
      </x:c>
      <x:c r="F6" s="137"/>
      <x:c r="G6" s="137" t="n">
        <x:f>COUNTIF('Master Inventory'!$G$2:$G$505,"Form B")</x:f>
        <x:v>150</x:v>
      </x:c>
      <x:c r="H6" s="137"/>
      <x:c r="I6" s="137" t="n">
        <x:f>COUNTIF('Master Inventory'!$W$2:$W$505,"Review Candidate")</x:f>
        <x:v>32</x:v>
      </x:c>
      <x:c r="J6" s="137"/>
    </x:row>
    <x:row r="7">
      <x:c r="A7" s="137"/>
      <x:c r="B7" s="137"/>
      <x:c r="C7" s="137"/>
      <x:c r="D7" s="137"/>
      <x:c r="E7" s="137"/>
      <x:c r="F7" s="137"/>
      <x:c r="G7" s="137"/>
      <x:c r="H7" s="137"/>
      <x:c r="I7" s="137"/>
      <x:c r="J7" s="137"/>
    </x:row>
    <x:row r="8">
      <x:c r="A8" s="135"/>
      <x:c r="B8" s="135"/>
      <x:c r="C8" s="135"/>
      <x:c r="D8" s="135"/>
      <x:c r="E8" s="135"/>
      <x:c r="F8" s="135"/>
      <x:c r="G8" s="135"/>
      <x:c r="H8" s="135"/>
      <x:c r="I8" s="135"/>
      <x:c r="J8" s="135"/>
    </x:row>
    <x:row r="9">
      <x:c r="A9" s="138" t="str">
        <x:v>Difficulty</x:v>
      </x:c>
      <x:c r="B9" s="138" t="str">
        <x:v>Easy</x:v>
      </x:c>
      <x:c r="C9" s="138" t="str">
        <x:v>Moderate</x:v>
      </x:c>
      <x:c r="D9" s="138" t="str">
        <x:v>Difficult</x:v>
      </x:c>
      <x:c r="E9" s="135"/>
      <x:c r="F9" s="138" t="str">
        <x:v>Usage Status</x:v>
      </x:c>
      <x:c r="G9" s="138" t="str">
        <x:v>Workbook Bank</x:v>
      </x:c>
      <x:c r="H9" s="138" t="str">
        <x:v>Scored-Style</x:v>
      </x:c>
      <x:c r="I9" s="138" t="str">
        <x:v>Pretest-Style</x:v>
      </x:c>
      <x:c r="J9" s="138" t="str">
        <x:v>Total</x:v>
      </x:c>
    </x:row>
    <x:row r="10">
      <x:c r="A10" s="139" t="str">
        <x:v>Questions</x:v>
      </x:c>
      <x:c r="B10" s="139" t="n">
        <x:f>COUNTIF('Master Inventory'!$N$2:$N$505,"Easy")</x:f>
        <x:v>134</x:v>
      </x:c>
      <x:c r="C10" s="139" t="n">
        <x:f>COUNTIF('Master Inventory'!$N$2:$N$505,"Moderate")</x:f>
        <x:v>236</x:v>
      </x:c>
      <x:c r="D10" s="139" t="n">
        <x:f>COUNTIF('Master Inventory'!$N$2:$N$505,"Difficult")</x:f>
        <x:v>134</x:v>
      </x:c>
      <x:c r="E10" s="135"/>
      <x:c r="F10" s="139" t="str">
        <x:v>Questions</x:v>
      </x:c>
      <x:c r="G10" s="139" t="n">
        <x:f>COUNTIF('Master Inventory'!$I$2:$I$505,"Workbook Bank")</x:f>
        <x:v>204</x:v>
      </x:c>
      <x:c r="H10" s="139" t="n">
        <x:f>COUNTIF('Master Inventory'!$I$2:$I$505,"Scored-Style")</x:f>
        <x:v>250</x:v>
      </x:c>
      <x:c r="I10" s="139" t="n">
        <x:f>COUNTIF('Master Inventory'!$I$2:$I$505,"Pretest-Style")</x:f>
        <x:v>50</x:v>
      </x:c>
      <x:c r="J10" s="139" t="n">
        <x:f>SUM(G10:I10)</x:f>
        <x:v>504</x:v>
      </x:c>
    </x:row>
    <x:row r="11">
      <x:c r="A11" s="135"/>
      <x:c r="B11" s="135"/>
      <x:c r="C11" s="135"/>
      <x:c r="D11" s="135"/>
      <x:c r="E11" s="135"/>
      <x:c r="F11" s="135"/>
      <x:c r="G11" s="135"/>
      <x:c r="H11" s="135"/>
      <x:c r="I11" s="135"/>
      <x:c r="J11" s="135"/>
    </x:row>
    <x:row r="12">
      <x:c r="A12" s="135"/>
      <x:c r="B12" s="135"/>
      <x:c r="C12" s="135"/>
      <x:c r="D12" s="135"/>
      <x:c r="E12" s="135"/>
      <x:c r="F12" s="135"/>
      <x:c r="G12" s="135"/>
      <x:c r="H12" s="135"/>
      <x:c r="I12" s="135"/>
      <x:c r="J12" s="135"/>
    </x:row>
    <x:row r="13">
      <x:c r="A13" s="138" t="str">
        <x:v>Official Blueprint Area</x:v>
      </x:c>
      <x:c r="B13" s="138" t="str">
        <x:v>Total</x:v>
      </x:c>
      <x:c r="C13" s="138" t="str">
        <x:v>Workbook Banks</x:v>
      </x:c>
      <x:c r="D13" s="138" t="str">
        <x:v>Form A</x:v>
      </x:c>
      <x:c r="E13" s="138" t="str">
        <x:v>Form B</x:v>
      </x:c>
      <x:c r="F13" s="225" t="str">
        <x:v>Answer Position</x:v>
      </x:c>
      <x:c r="G13" s="225" t="str">
        <x:v>A</x:v>
      </x:c>
      <x:c r="H13" s="225" t="str">
        <x:v>B</x:v>
      </x:c>
      <x:c r="I13" s="225" t="str">
        <x:v>C</x:v>
      </x:c>
      <x:c r="J13" s="225" t="str">
        <x:v>D</x:v>
      </x:c>
    </x:row>
    <x:row r="14">
      <x:c r="A14" s="140" t="str">
        <x:v>1. Clinical Evaluation</x:v>
      </x:c>
      <x:c r="B14" s="141" t="n">
        <x:f>COUNTIF('Master Inventory'!$J$2:$J$505,A14)</x:f>
        <x:v>133</x:v>
      </x:c>
      <x:c r="C14" s="141" t="n">
        <x:f>COUNTIFS('Master Inventory'!$J$2:$J$505,A14,'Master Inventory'!$D$2:$D$505,"Workbook Question Bank")</x:f>
        <x:v>51</x:v>
      </x:c>
      <x:c r="D14" s="141" t="n">
        <x:f>COUNTIFS('Master Inventory'!$J$2:$J$505,A14,'Master Inventory'!$G$2:$G$505,"Form A")</x:f>
        <x:v>41</x:v>
      </x:c>
      <x:c r="E14" s="142" t="n">
        <x:f>COUNTIFS('Master Inventory'!$J$2:$J$505,A14,'Master Inventory'!$G$2:$G$505,"Form B")</x:f>
        <x:v>41</x:v>
      </x:c>
      <x:c r="F14" s="231" t="str">
        <x:v>Questions</x:v>
      </x:c>
      <x:c r="G14" s="231" t="n">
        <x:f>COUNTIF('Master Inventory'!$R$2:$R$505,"A")</x:f>
        <x:v>136</x:v>
      </x:c>
      <x:c r="H14" s="231" t="n">
        <x:f>COUNTIF('Master Inventory'!$R$2:$R$505,"B")</x:f>
        <x:v>122</x:v>
      </x:c>
      <x:c r="I14" s="231" t="n">
        <x:f>COUNTIF('Master Inventory'!$R$2:$R$505,"C")</x:f>
        <x:v>122</x:v>
      </x:c>
      <x:c r="J14" s="231" t="n">
        <x:f>COUNTIF('Master Inventory'!$R$2:$R$505,"D")</x:f>
        <x:v>124</x:v>
      </x:c>
    </x:row>
    <x:row r="15">
      <x:c r="A15" s="143" t="str">
        <x:v>2. Developing a Diagnostic Impression</x:v>
      </x:c>
      <x:c r="B15" s="144" t="n">
        <x:f>COUNTIF('Master Inventory'!$J$2:$J$505,A15)</x:f>
        <x:v>51</x:v>
      </x:c>
      <x:c r="C15" s="144" t="n">
        <x:f>COUNTIFS('Master Inventory'!$J$2:$J$505,A15,'Master Inventory'!$D$2:$D$505,"Workbook Question Bank")</x:f>
        <x:v>17</x:v>
      </x:c>
      <x:c r="D15" s="144" t="n">
        <x:f>COUNTIFS('Master Inventory'!$J$2:$J$505,A15,'Master Inventory'!$G$2:$G$505,"Form A")</x:f>
        <x:v>17</x:v>
      </x:c>
      <x:c r="E15" s="145" t="n">
        <x:f>COUNTIFS('Master Inventory'!$J$2:$J$505,A15,'Master Inventory'!$G$2:$G$505,"Form B")</x:f>
        <x:v>17</x:v>
      </x:c>
      <x:c r="F15" s="135"/>
      <x:c r="G15" s="139"/>
      <x:c r="H15" s="139"/>
      <x:c r="I15" s="139"/>
      <x:c r="J15" s="139"/>
    </x:row>
    <x:row r="16">
      <x:c r="A16" s="143" t="str">
        <x:v>3. Managing Crisis Situations</x:v>
      </x:c>
      <x:c r="B16" s="144" t="n">
        <x:f>COUNTIF('Master Inventory'!$J$2:$J$505,A16)</x:f>
        <x:v>49</x:v>
      </x:c>
      <x:c r="C16" s="144" t="n">
        <x:f>COUNTIFS('Master Inventory'!$J$2:$J$505,A16,'Master Inventory'!$D$2:$D$505,"Workbook Question Bank")</x:f>
        <x:v>17</x:v>
      </x:c>
      <x:c r="D16" s="144" t="n">
        <x:f>COUNTIFS('Master Inventory'!$J$2:$J$505,A16,'Master Inventory'!$G$2:$G$505,"Form A")</x:f>
        <x:v>16</x:v>
      </x:c>
      <x:c r="E16" s="145" t="n">
        <x:f>COUNTIFS('Master Inventory'!$J$2:$J$505,A16,'Master Inventory'!$G$2:$G$505,"Form B")</x:f>
        <x:v>16</x:v>
      </x:c>
      <x:c r="F16" s="135"/>
      <x:c r="G16" s="135"/>
      <x:c r="H16" s="135"/>
      <x:c r="I16" s="135"/>
      <x:c r="J16" s="135"/>
    </x:row>
    <x:row r="17">
      <x:c r="A17" s="143" t="str">
        <x:v>4. Case Conceptualization and Planning</x:v>
      </x:c>
      <x:c r="B17" s="144" t="n">
        <x:f>COUNTIF('Master Inventory'!$J$2:$J$505,A17)</x:f>
        <x:v>53</x:v>
      </x:c>
      <x:c r="C17" s="144" t="n">
        <x:f>COUNTIFS('Master Inventory'!$J$2:$J$505,A17,'Master Inventory'!$D$2:$D$505,"Workbook Question Bank")</x:f>
        <x:v>17</x:v>
      </x:c>
      <x:c r="D17" s="144" t="n">
        <x:f>COUNTIFS('Master Inventory'!$J$2:$J$505,A17,'Master Inventory'!$G$2:$G$505,"Form A")</x:f>
        <x:v>18</x:v>
      </x:c>
      <x:c r="E17" s="145" t="n">
        <x:f>COUNTIFS('Master Inventory'!$J$2:$J$505,A17,'Master Inventory'!$G$2:$G$505,"Form B")</x:f>
        <x:v>18</x:v>
      </x:c>
      <x:c r="F17" s="135"/>
      <x:c r="G17" s="138" t="str">
        <x:v>Reasoning Level</x:v>
      </x:c>
      <x:c r="H17" s="138" t="str">
        <x:v>Count</x:v>
      </x:c>
      <x:c r="I17" s="138" t="str">
        <x:v>Percent</x:v>
      </x:c>
      <x:c r="J17" s="138" t="str">
        <x:v>Review</x:v>
      </x:c>
    </x:row>
    <x:row r="18">
      <x:c r="A18" s="143" t="str">
        <x:v>5. Treatment</x:v>
      </x:c>
      <x:c r="B18" s="144" t="n">
        <x:f>COUNTIF('Master Inventory'!$J$2:$J$505,A18)</x:f>
        <x:v>154</x:v>
      </x:c>
      <x:c r="C18" s="144" t="n">
        <x:f>COUNTIFS('Master Inventory'!$J$2:$J$505,A18,'Master Inventory'!$D$2:$D$505,"Workbook Question Bank")</x:f>
        <x:v>68</x:v>
      </x:c>
      <x:c r="D18" s="144" t="n">
        <x:f>COUNTIFS('Master Inventory'!$J$2:$J$505,A18,'Master Inventory'!$G$2:$G$505,"Form A")</x:f>
        <x:v>43</x:v>
      </x:c>
      <x:c r="E18" s="145" t="n">
        <x:f>COUNTIFS('Master Inventory'!$J$2:$J$505,A18,'Master Inventory'!$G$2:$G$505,"Form B")</x:f>
        <x:v>43</x:v>
      </x:c>
      <x:c r="F18" s="135"/>
      <x:c r="G18" s="146" t="str">
        <x:v>Knowledge &amp; Recall</x:v>
      </x:c>
      <x:c r="H18" s="147" t="n">
        <x:f>COUNTIF('Master Inventory'!$P$2:$P$505,G18)</x:f>
        <x:v>77</x:v>
      </x:c>
      <x:c r="I18" s="148" t="n">
        <x:f>H18/$A$6</x:f>
        <x:v>0.1527777777777778</x:v>
      </x:c>
      <x:c r="J18" s="149" t="str">
        <x:v>Tracked</x:v>
      </x:c>
    </x:row>
    <x:row r="19">
      <x:c r="A19" s="143" t="str">
        <x:v>6. Managing Legal and Ethical Obligations within the Therapeutic Relationship</x:v>
      </x:c>
      <x:c r="B19" s="144" t="n">
        <x:f>COUNTIF('Master Inventory'!$J$2:$J$505,A19)</x:f>
        <x:v>47</x:v>
      </x:c>
      <x:c r="C19" s="144" t="n">
        <x:f>COUNTIFS('Master Inventory'!$J$2:$J$505,A19,'Master Inventory'!$D$2:$D$505,"Workbook Question Bank")</x:f>
        <x:v>17</x:v>
      </x:c>
      <x:c r="D19" s="144" t="n">
        <x:f>COUNTIFS('Master Inventory'!$J$2:$J$505,A19,'Master Inventory'!$G$2:$G$505,"Form A")</x:f>
        <x:v>15</x:v>
      </x:c>
      <x:c r="E19" s="145" t="n">
        <x:f>COUNTIFS('Master Inventory'!$J$2:$J$505,A19,'Master Inventory'!$G$2:$G$505,"Form B")</x:f>
        <x:v>15</x:v>
      </x:c>
      <x:c r="F19" s="135"/>
      <x:c r="G19" s="150" t="str">
        <x:v>Application</x:v>
      </x:c>
      <x:c r="H19" s="135" t="n">
        <x:f>COUNTIF('Master Inventory'!$P$2:$P$505,G19)</x:f>
        <x:v>168</x:v>
      </x:c>
      <x:c r="I19" s="151" t="n">
        <x:f>H19/$A$6</x:f>
        <x:v>0.3333333333333333</x:v>
      </x:c>
      <x:c r="J19" s="152" t="str">
        <x:v>Tracked</x:v>
      </x:c>
    </x:row>
    <x:row r="20">
      <x:c r="A20" s="153" t="str">
        <x:v>Exam Strategy / Cross-Domain</x:v>
      </x:c>
      <x:c r="B20" s="154" t="n">
        <x:f>COUNTIF('Master Inventory'!$J$2:$J$505,A20)</x:f>
        <x:v>17</x:v>
      </x:c>
      <x:c r="C20" s="154" t="n">
        <x:f>COUNTIFS('Master Inventory'!$J$2:$J$505,A20,'Master Inventory'!$D$2:$D$505,"Workbook Question Bank")</x:f>
        <x:v>17</x:v>
      </x:c>
      <x:c r="D20" s="154" t="n">
        <x:f>COUNTIFS('Master Inventory'!$J$2:$J$505,A20,'Master Inventory'!$G$2:$G$505,"Form A")</x:f>
        <x:v>0</x:v>
      </x:c>
      <x:c r="E20" s="155" t="n">
        <x:f>COUNTIFS('Master Inventory'!$J$2:$J$505,A20,'Master Inventory'!$G$2:$G$505,"Form B")</x:f>
        <x:v>0</x:v>
      </x:c>
      <x:c r="F20" s="135"/>
      <x:c r="G20" s="150" t="str">
        <x:v>Scenario-Based</x:v>
      </x:c>
      <x:c r="H20" s="135" t="n">
        <x:f>COUNTIF('Master Inventory'!$P$2:$P$505,G20)</x:f>
        <x:v>166</x:v>
      </x:c>
      <x:c r="I20" s="151" t="n">
        <x:f>H20/$A$6</x:f>
        <x:v>0.32936507936507936</x:v>
      </x:c>
      <x:c r="J20" s="152" t="str">
        <x:v>Tracked</x:v>
      </x:c>
    </x:row>
    <x:row r="21">
      <x:c r="A21" s="135"/>
      <x:c r="B21" s="135"/>
      <x:c r="C21" s="135"/>
      <x:c r="D21" s="135"/>
      <x:c r="E21" s="135"/>
      <x:c r="F21" s="135"/>
      <x:c r="G21" s="156" t="str">
        <x:v>Integrated Clinical Reasoning</x:v>
      </x:c>
      <x:c r="H21" s="157" t="n">
        <x:f>COUNTIF('Master Inventory'!$P$2:$P$505,G21)</x:f>
        <x:v>93</x:v>
      </x:c>
      <x:c r="I21" s="158" t="n">
        <x:f>H21/$A$6</x:f>
        <x:v>0.18452380952380953</x:v>
      </x:c>
      <x:c r="J21" s="159" t="str">
        <x:v>Tracked</x:v>
      </x:c>
    </x:row>
  </x:sheetData>
  <x:mergeCells>
    <x:mergeCell ref="A1:J1"/>
    <x:mergeCell ref="A2:J3"/>
    <x:mergeCell ref="A6:B7"/>
    <x:mergeCell ref="C6:D7"/>
    <x:mergeCell ref="E6:F7"/>
    <x:mergeCell ref="G6:H7"/>
    <x:mergeCell ref="I6:J7"/>
    <x:mergeCell ref="H15:J15"/>
    <x:mergeCell ref="A5:B5"/>
    <x:mergeCell ref="C5:D5"/>
    <x:mergeCell ref="E5:F5"/>
    <x:mergeCell ref="G5:H5"/>
    <x:mergeCell ref="I5:J5"/>
  </x:mergeCells>
  <x:pageMargins left="0.7" right="0.7" top="0.75" bottom="0.75" header="0.3" footer="0.3"/>
  <x:drawing xmlns:r="http://schemas.openxmlformats.org/officeDocument/2006/relationships" r:id="R1205ad6d9b4f4734"/>
</x:worksheet>
</file>

<file path=xl/worksheets/sheet2.xml><?xml version="1.0" encoding="utf-8"?>
<x:worksheet xmlns:x="http://schemas.openxmlformats.org/spreadsheetml/2006/main">
  <x:sheetFormatPr defaultRowHeight="15"/>
  <x:cols>
    <x:col min="1" max="1" width="20" hidden="0" customWidth="1"/>
    <x:col min="2" max="2" width="24" hidden="0" customWidth="1"/>
    <x:col min="3" max="3" width="10" hidden="0" customWidth="1"/>
    <x:col min="4" max="4" width="24" hidden="0" customWidth="1"/>
    <x:col min="5" max="5" width="10" hidden="0" customWidth="1"/>
    <x:col min="6" max="6" width="32" hidden="0" customWidth="1"/>
    <x:col min="7" max="7" width="12" hidden="0" customWidth="1"/>
    <x:col min="8" max="8" width="12" hidden="0" customWidth="1"/>
    <x:col min="9" max="9" width="18" hidden="0" customWidth="1"/>
    <x:col min="10" max="10" width="36" hidden="0" customWidth="1"/>
    <x:col min="11" max="11" width="28" hidden="0" customWidth="1"/>
    <x:col min="12" max="12" width="24" hidden="0" customWidth="1"/>
    <x:col min="13" max="13" width="14" hidden="0" customWidth="1"/>
    <x:col min="14" max="14" width="14" hidden="0" customWidth="1"/>
    <x:col min="15" max="15" width="25" hidden="0" customWidth="1"/>
    <x:col min="16" max="16" width="24" hidden="0" customWidth="1"/>
    <x:col min="17" max="17" width="10" hidden="0" customWidth="1"/>
    <x:col min="18" max="18" width="11" hidden="0" customWidth="1"/>
    <x:col min="19" max="19" width="14" hidden="0" customWidth="1"/>
    <x:col min="20" max="20" width="12" hidden="0" customWidth="1"/>
    <x:col min="21" max="21" width="11" hidden="0" customWidth="1"/>
    <x:col min="22" max="22" width="16" hidden="0" customWidth="1"/>
    <x:col min="23" max="23" width="18" hidden="0" customWidth="1"/>
    <x:col min="24" max="24" width="20" hidden="0" customWidth="1"/>
    <x:col min="25" max="25" width="20" hidden="0" customWidth="1"/>
    <x:col min="26" max="26" width="40" hidden="0" customWidth="1"/>
    <x:col min="27" max="27" width="42" hidden="0" customWidth="1"/>
    <x:col min="28" max="28" width="12" hidden="0" customWidth="1"/>
    <x:col min="29" max="29" width="14" hidden="0" customWidth="1"/>
    <x:col min="30" max="30" width="16" hidden="0" customWidth="1"/>
    <x:col min="31" max="31" width="34" hidden="0" customWidth="1"/>
    <x:col min="32" max="32" width="34" hidden="0" customWidth="1"/>
  </x:cols>
  <x:sheetData>
    <x:row r="1" ht="34" customHeight="1">
      <x:c r="A1" s="138" t="str">
        <x:v>Master Question ID</x:v>
      </x:c>
      <x:c r="B1" s="138" t="str">
        <x:v>Original Question ID</x:v>
      </x:c>
      <x:c r="C1" s="138" t="str">
        <x:v>Profession</x:v>
      </x:c>
      <x:c r="D1" s="138" t="str">
        <x:v>Source Type</x:v>
      </x:c>
      <x:c r="E1" s="138" t="str">
        <x:v>Workbook Number</x:v>
      </x:c>
      <x:c r="F1" s="138" t="str">
        <x:v>Workbook Title</x:v>
      </x:c>
      <x:c r="G1" s="138" t="str">
        <x:v>Exam Form</x:v>
      </x:c>
      <x:c r="H1" s="138" t="str">
        <x:v>Form Question Number</x:v>
      </x:c>
      <x:c r="I1" s="138" t="str">
        <x:v>CTA Status Designation</x:v>
      </x:c>
      <x:c r="J1" s="138" t="str">
        <x:v>Official Blueprint Area</x:v>
      </x:c>
      <x:c r="K1" s="138" t="str">
        <x:v>Primary Concept</x:v>
      </x:c>
      <x:c r="L1" s="138" t="str">
        <x:v>Secondary Concepts</x:v>
      </x:c>
      <x:c r="M1" s="138" t="str">
        <x:v>Source Difficulty</x:v>
      </x:c>
      <x:c r="N1" s="138" t="str">
        <x:v>Normalized Difficulty</x:v>
      </x:c>
      <x:c r="O1" s="138" t="str">
        <x:v>Source Cognitive Demand / Question Type</x:v>
      </x:c>
      <x:c r="P1" s="138" t="str">
        <x:v>Normalized Reasoning Level</x:v>
      </x:c>
      <x:c r="Q1" s="138" t="str">
        <x:v>Option Count</x:v>
      </x:c>
      <x:c r="R1" s="138" t="str">
        <x:v>Correct Answer</x:v>
      </x:c>
      <x:c r="S1" s="138" t="str">
        <x:v>Approval Status</x:v>
      </x:c>
      <x:c r="T1" s="138" t="str">
        <x:v>Item Status</x:v>
      </x:c>
      <x:c r="U1" s="138" t="str">
        <x:v>Exposure Count</x:v>
      </x:c>
      <x:c r="V1" s="138" t="str">
        <x:v>Alternate Form Pair ID</x:v>
      </x:c>
      <x:c r="W1" s="138" t="str">
        <x:v>Overlap Review Status</x:v>
      </x:c>
      <x:c r="X1" s="138" t="str">
        <x:v>QA Flags</x:v>
      </x:c>
      <x:c r="Y1" s="138" t="str">
        <x:v>Bias / Cultural Review</x:v>
      </x:c>
      <x:c r="Z1" s="138" t="str">
        <x:v>Source Alignment / Authority Tag</x:v>
      </x:c>
      <x:c r="AA1" s="138" t="str">
        <x:v>Source File</x:v>
      </x:c>
      <x:c r="AB1" s="138" t="str">
        <x:v>Source Version</x:v>
      </x:c>
      <x:c r="AC1" s="138" t="str">
        <x:v>Source Accuracy Date</x:v>
      </x:c>
      <x:c r="AD1" s="138" t="str">
        <x:v>Last Master Review Date</x:v>
      </x:c>
      <x:c r="AE1" s="138" t="str">
        <x:v>Master Notes</x:v>
      </x:c>
      <x:c r="AF1" s="138" t="str">
        <x:v>Eligible Future Use</x:v>
      </x:c>
    </x:row>
    <x:row r="2">
      <x:c r="A2" s="187" t="str">
        <x:v>CTA-LMFT-MQB-0001</x:v>
      </x:c>
      <x:c r="B2" s="188" t="str">
        <x:v>LMFT-WB01-QB-Q001</x:v>
      </x:c>
      <x:c r="C2" s="188" t="str">
        <x:v>LMFT</x:v>
      </x:c>
      <x:c r="D2" s="188" t="str">
        <x:v>Workbook Question Bank</x:v>
      </x:c>
      <x:c r="E2" s="188" t="n">
        <x:v>1</x:v>
      </x:c>
      <x:c r="F2" s="188" t="str">
        <x:v>Exam Strategy and Clinical Reasoning</x:v>
      </x:c>
      <x:c r="G2" s="188"/>
      <x:c r="H2" s="188" t="n">
        <x:v>1</x:v>
      </x:c>
      <x:c r="I2" s="188" t="str">
        <x:v>Workbook Bank</x:v>
      </x:c>
      <x:c r="J2" s="188" t="str">
        <x:v>Exam Strategy / Cross-Domain</x:v>
      </x:c>
      <x:c r="K2" s="188" t="str">
        <x:v>Meaning of FIRST</x:v>
      </x:c>
      <x:c r="L2" s="188" t="str"/>
      <x:c r="M2" s="188" t="str">
        <x:v>Easy</x:v>
      </x:c>
      <x:c r="N2" s="188" t="str">
        <x:v>Easy</x:v>
      </x:c>
      <x:c r="O2" s="188" t="str">
        <x:v>Knowledge &amp; Recall</x:v>
      </x:c>
      <x:c r="P2" s="188" t="str">
        <x:v>Knowledge &amp; Recall</x:v>
      </x:c>
      <x:c r="Q2" s="188" t="n">
        <x:v>4</x:v>
      </x:c>
      <x:c r="R2" s="188" t="str">
        <x:v>B</x:v>
      </x:c>
      <x:c r="S2" s="188" t="str">
        <x:v>Approved</x:v>
      </x:c>
      <x:c r="T2" s="188" t="str">
        <x:v>Active</x:v>
      </x:c>
      <x:c r="U2" s="188" t="n">
        <x:v>1</x:v>
      </x:c>
      <x:c r="V2" s="188" t="str"/>
      <x:c r="W2" s="188" t="str">
        <x:v>No additional flag</x:v>
      </x:c>
      <x:c r="X2" s="188" t="str">
        <x:v>No structural flag</x:v>
      </x:c>
      <x:c r="Y2" s="188" t="str">
        <x:v>Not Yet Reviewed</x:v>
      </x:c>
      <x:c r="Z2" s="188" t="str">
        <x:v>CTA LMFT Workbook 1</x:v>
      </x:c>
      <x:c r="AA2" s="188" t="str">
        <x:v>CTA_LMFT_WB1_17_Question_Bank_v1.0.docx</x:v>
      </x:c>
      <x:c r="AB2" s="188" t="str">
        <x:v>1.0</x:v>
      </x:c>
      <x:c r="AC2" s="189"/>
      <x:c r="AD2" s="189" t="n">
        <x:v>46228</x:v>
      </x:c>
      <x:c r="AE2" s="188" t="str">
        <x:v>Cross-domain examination-strategy item; not assigned to one scored blueprint area.</x:v>
      </x:c>
      <x:c r="AF2" s="190" t="str">
        <x:v>Workbook bank; reserve pool after controlled review</x:v>
      </x:c>
    </x:row>
    <x:row r="3">
      <x:c r="A3" s="191" t="str">
        <x:v>CTA-LMFT-MQB-0002</x:v>
      </x:c>
      <x:c r="B3" s="192" t="str">
        <x:v>LMFT-WB01-QB-Q002</x:v>
      </x:c>
      <x:c r="C3" s="192" t="str">
        <x:v>LMFT</x:v>
      </x:c>
      <x:c r="D3" s="192" t="str">
        <x:v>Workbook Question Bank</x:v>
      </x:c>
      <x:c r="E3" s="192" t="n">
        <x:v>1</x:v>
      </x:c>
      <x:c r="F3" s="192" t="str">
        <x:v>Exam Strategy and Clinical Reasoning</x:v>
      </x:c>
      <x:c r="G3" s="192"/>
      <x:c r="H3" s="192" t="n">
        <x:v>2</x:v>
      </x:c>
      <x:c r="I3" s="192" t="str">
        <x:v>Workbook Bank</x:v>
      </x:c>
      <x:c r="J3" s="192" t="str">
        <x:v>Exam Strategy / Cross-Domain</x:v>
      </x:c>
      <x:c r="K3" s="192" t="str">
        <x:v>Meaning of BEST</x:v>
      </x:c>
      <x:c r="L3" s="192" t="str"/>
      <x:c r="M3" s="192" t="str">
        <x:v>Easy</x:v>
      </x:c>
      <x:c r="N3" s="192" t="str">
        <x:v>Easy</x:v>
      </x:c>
      <x:c r="O3" s="192" t="str">
        <x:v>Knowledge &amp; Recall</x:v>
      </x:c>
      <x:c r="P3" s="192" t="str">
        <x:v>Knowledge &amp; Recall</x:v>
      </x:c>
      <x:c r="Q3" s="192" t="n">
        <x:v>4</x:v>
      </x:c>
      <x:c r="R3" s="192" t="str">
        <x:v>A</x:v>
      </x:c>
      <x:c r="S3" s="192" t="str">
        <x:v>Approved</x:v>
      </x:c>
      <x:c r="T3" s="192" t="str">
        <x:v>Active</x:v>
      </x:c>
      <x:c r="U3" s="192" t="n">
        <x:v>1</x:v>
      </x:c>
      <x:c r="V3" s="192" t="str"/>
      <x:c r="W3" s="192" t="str">
        <x:v>No additional flag</x:v>
      </x:c>
      <x:c r="X3" s="192" t="str">
        <x:v>No structural flag</x:v>
      </x:c>
      <x:c r="Y3" s="192" t="str">
        <x:v>Not Yet Reviewed</x:v>
      </x:c>
      <x:c r="Z3" s="192" t="str">
        <x:v>CTA LMFT Workbook 1</x:v>
      </x:c>
      <x:c r="AA3" s="192" t="str">
        <x:v>CTA_LMFT_WB1_17_Question_Bank_v1.0.docx</x:v>
      </x:c>
      <x:c r="AB3" s="192" t="str">
        <x:v>1.0</x:v>
      </x:c>
      <x:c r="AC3" s="193"/>
      <x:c r="AD3" s="193" t="n">
        <x:v>46228</x:v>
      </x:c>
      <x:c r="AE3" s="192" t="str">
        <x:v>Cross-domain examination-strategy item; not assigned to one scored blueprint area.</x:v>
      </x:c>
      <x:c r="AF3" s="194" t="str">
        <x:v>Workbook bank; reserve pool after controlled review</x:v>
      </x:c>
    </x:row>
    <x:row r="4">
      <x:c r="A4" s="191" t="str">
        <x:v>CTA-LMFT-MQB-0003</x:v>
      </x:c>
      <x:c r="B4" s="192" t="str">
        <x:v>LMFT-WB01-QB-Q003</x:v>
      </x:c>
      <x:c r="C4" s="192" t="str">
        <x:v>LMFT</x:v>
      </x:c>
      <x:c r="D4" s="192" t="str">
        <x:v>Workbook Question Bank</x:v>
      </x:c>
      <x:c r="E4" s="192" t="n">
        <x:v>1</x:v>
      </x:c>
      <x:c r="F4" s="192" t="str">
        <x:v>Exam Strategy and Clinical Reasoning</x:v>
      </x:c>
      <x:c r="G4" s="192"/>
      <x:c r="H4" s="192" t="n">
        <x:v>3</x:v>
      </x:c>
      <x:c r="I4" s="192" t="str">
        <x:v>Workbook Bank</x:v>
      </x:c>
      <x:c r="J4" s="192" t="str">
        <x:v>Exam Strategy / Cross-Domain</x:v>
      </x:c>
      <x:c r="K4" s="192" t="str">
        <x:v>Systemic lens</x:v>
      </x:c>
      <x:c r="L4" s="192" t="str"/>
      <x:c r="M4" s="192" t="str">
        <x:v>Easy</x:v>
      </x:c>
      <x:c r="N4" s="192" t="str">
        <x:v>Easy</x:v>
      </x:c>
      <x:c r="O4" s="192" t="str">
        <x:v>Knowledge &amp; Recall</x:v>
      </x:c>
      <x:c r="P4" s="192" t="str">
        <x:v>Knowledge &amp; Recall</x:v>
      </x:c>
      <x:c r="Q4" s="192" t="n">
        <x:v>4</x:v>
      </x:c>
      <x:c r="R4" s="192" t="str">
        <x:v>C</x:v>
      </x:c>
      <x:c r="S4" s="192" t="str">
        <x:v>Approved</x:v>
      </x:c>
      <x:c r="T4" s="192" t="str">
        <x:v>Active</x:v>
      </x:c>
      <x:c r="U4" s="192" t="n">
        <x:v>1</x:v>
      </x:c>
      <x:c r="V4" s="192" t="str"/>
      <x:c r="W4" s="192" t="str">
        <x:v>No additional flag</x:v>
      </x:c>
      <x:c r="X4" s="192" t="str">
        <x:v>No structural flag</x:v>
      </x:c>
      <x:c r="Y4" s="192" t="str">
        <x:v>Not Yet Reviewed</x:v>
      </x:c>
      <x:c r="Z4" s="192" t="str">
        <x:v>CTA LMFT Workbook 1</x:v>
      </x:c>
      <x:c r="AA4" s="192" t="str">
        <x:v>CTA_LMFT_WB1_17_Question_Bank_v1.0.docx</x:v>
      </x:c>
      <x:c r="AB4" s="192" t="str">
        <x:v>1.0</x:v>
      </x:c>
      <x:c r="AC4" s="193"/>
      <x:c r="AD4" s="193" t="n">
        <x:v>46228</x:v>
      </x:c>
      <x:c r="AE4" s="192" t="str">
        <x:v>Cross-domain examination-strategy item; not assigned to one scored blueprint area.</x:v>
      </x:c>
      <x:c r="AF4" s="194" t="str">
        <x:v>Workbook bank; reserve pool after controlled review</x:v>
      </x:c>
    </x:row>
    <x:row r="5">
      <x:c r="A5" s="191" t="str">
        <x:v>CTA-LMFT-MQB-0004</x:v>
      </x:c>
      <x:c r="B5" s="192" t="str">
        <x:v>LMFT-WB01-QB-Q004</x:v>
      </x:c>
      <x:c r="C5" s="192" t="str">
        <x:v>LMFT</x:v>
      </x:c>
      <x:c r="D5" s="192" t="str">
        <x:v>Workbook Question Bank</x:v>
      </x:c>
      <x:c r="E5" s="192" t="n">
        <x:v>1</x:v>
      </x:c>
      <x:c r="F5" s="192" t="str">
        <x:v>Exam Strategy and Clinical Reasoning</x:v>
      </x:c>
      <x:c r="G5" s="192"/>
      <x:c r="H5" s="192" t="n">
        <x:v>4</x:v>
      </x:c>
      <x:c r="I5" s="192" t="str">
        <x:v>Workbook Bank</x:v>
      </x:c>
      <x:c r="J5" s="192" t="str">
        <x:v>Exam Strategy / Cross-Domain</x:v>
      </x:c>
      <x:c r="K5" s="192" t="str">
        <x:v>Task identification</x:v>
      </x:c>
      <x:c r="L5" s="192" t="str"/>
      <x:c r="M5" s="192" t="str">
        <x:v>Easy</x:v>
      </x:c>
      <x:c r="N5" s="192" t="str">
        <x:v>Easy</x:v>
      </x:c>
      <x:c r="O5" s="192" t="str">
        <x:v>Application</x:v>
      </x:c>
      <x:c r="P5" s="192" t="str">
        <x:v>Application</x:v>
      </x:c>
      <x:c r="Q5" s="192" t="n">
        <x:v>4</x:v>
      </x:c>
      <x:c r="R5" s="192" t="str">
        <x:v>D</x:v>
      </x:c>
      <x:c r="S5" s="192" t="str">
        <x:v>Approved</x:v>
      </x:c>
      <x:c r="T5" s="192" t="str">
        <x:v>Active</x:v>
      </x:c>
      <x:c r="U5" s="192" t="n">
        <x:v>1</x:v>
      </x:c>
      <x:c r="V5" s="192" t="str"/>
      <x:c r="W5" s="192" t="str">
        <x:v>No additional flag</x:v>
      </x:c>
      <x:c r="X5" s="192" t="str">
        <x:v>No structural flag</x:v>
      </x:c>
      <x:c r="Y5" s="192" t="str">
        <x:v>Not Yet Reviewed</x:v>
      </x:c>
      <x:c r="Z5" s="192" t="str">
        <x:v>CTA LMFT Workbook 1</x:v>
      </x:c>
      <x:c r="AA5" s="192" t="str">
        <x:v>CTA_LMFT_WB1_17_Question_Bank_v1.0.docx</x:v>
      </x:c>
      <x:c r="AB5" s="192" t="str">
        <x:v>1.0</x:v>
      </x:c>
      <x:c r="AC5" s="193"/>
      <x:c r="AD5" s="193" t="n">
        <x:v>46228</x:v>
      </x:c>
      <x:c r="AE5" s="192" t="str">
        <x:v>Cross-domain examination-strategy item; not assigned to one scored blueprint area.</x:v>
      </x:c>
      <x:c r="AF5" s="194" t="str">
        <x:v>Workbook bank; reserve pool after controlled review</x:v>
      </x:c>
    </x:row>
    <x:row r="6">
      <x:c r="A6" s="191" t="str">
        <x:v>CTA-LMFT-MQB-0005</x:v>
      </x:c>
      <x:c r="B6" s="192" t="str">
        <x:v>LMFT-WB01-QB-Q005</x:v>
      </x:c>
      <x:c r="C6" s="192" t="str">
        <x:v>LMFT</x:v>
      </x:c>
      <x:c r="D6" s="192" t="str">
        <x:v>Workbook Question Bank</x:v>
      </x:c>
      <x:c r="E6" s="192" t="n">
        <x:v>1</x:v>
      </x:c>
      <x:c r="F6" s="192" t="str">
        <x:v>Exam Strategy and Clinical Reasoning</x:v>
      </x:c>
      <x:c r="G6" s="192"/>
      <x:c r="H6" s="192" t="n">
        <x:v>5</x:v>
      </x:c>
      <x:c r="I6" s="192" t="str">
        <x:v>Workbook Bank</x:v>
      </x:c>
      <x:c r="J6" s="192" t="str">
        <x:v>Exam Strategy / Cross-Domain</x:v>
      </x:c>
      <x:c r="K6" s="192" t="str">
        <x:v>Medication-related change</x:v>
      </x:c>
      <x:c r="L6" s="192" t="str"/>
      <x:c r="M6" s="192" t="str">
        <x:v>Easy</x:v>
      </x:c>
      <x:c r="N6" s="192" t="str">
        <x:v>Easy</x:v>
      </x:c>
      <x:c r="O6" s="192" t="str">
        <x:v>Application</x:v>
      </x:c>
      <x:c r="P6" s="192" t="str">
        <x:v>Application</x:v>
      </x:c>
      <x:c r="Q6" s="192" t="n">
        <x:v>4</x:v>
      </x:c>
      <x:c r="R6" s="192" t="str">
        <x:v>A</x:v>
      </x:c>
      <x:c r="S6" s="192" t="str">
        <x:v>Approved</x:v>
      </x:c>
      <x:c r="T6" s="192" t="str">
        <x:v>Active</x:v>
      </x:c>
      <x:c r="U6" s="192" t="n">
        <x:v>1</x:v>
      </x:c>
      <x:c r="V6" s="192" t="str"/>
      <x:c r="W6" s="192" t="str">
        <x:v>Review Candidate</x:v>
      </x:c>
      <x:c r="X6" s="192" t="str">
        <x:v>No structural flag</x:v>
      </x:c>
      <x:c r="Y6" s="192" t="str">
        <x:v>Not Yet Reviewed</x:v>
      </x:c>
      <x:c r="Z6" s="192" t="str">
        <x:v>CTA LMFT Workbook 1</x:v>
      </x:c>
      <x:c r="AA6" s="192" t="str">
        <x:v>CTA_LMFT_WB1_17_Question_Bank_v1.0.docx</x:v>
      </x:c>
      <x:c r="AB6" s="192" t="str">
        <x:v>1.0</x:v>
      </x:c>
      <x:c r="AC6" s="193"/>
      <x:c r="AD6" s="193" t="n">
        <x:v>46228</x:v>
      </x:c>
      <x:c r="AE6" s="192" t="str">
        <x:v>Cross-domain examination-strategy item; not assigned to one scored blueprint area.</x:v>
      </x:c>
      <x:c r="AF6" s="194" t="str">
        <x:v>Workbook bank; reserve pool after controlled review</x:v>
      </x:c>
    </x:row>
    <x:row r="7">
      <x:c r="A7" s="191" t="str">
        <x:v>CTA-LMFT-MQB-0006</x:v>
      </x:c>
      <x:c r="B7" s="192" t="str">
        <x:v>LMFT-WB01-QB-Q006</x:v>
      </x:c>
      <x:c r="C7" s="192" t="str">
        <x:v>LMFT</x:v>
      </x:c>
      <x:c r="D7" s="192" t="str">
        <x:v>Workbook Question Bank</x:v>
      </x:c>
      <x:c r="E7" s="192" t="n">
        <x:v>1</x:v>
      </x:c>
      <x:c r="F7" s="192" t="str">
        <x:v>Exam Strategy and Clinical Reasoning</x:v>
      </x:c>
      <x:c r="G7" s="192"/>
      <x:c r="H7" s="192" t="n">
        <x:v>6</x:v>
      </x:c>
      <x:c r="I7" s="192" t="str">
        <x:v>Workbook Bank</x:v>
      </x:c>
      <x:c r="J7" s="192" t="str">
        <x:v>Exam Strategy / Cross-Domain</x:v>
      </x:c>
      <x:c r="K7" s="192" t="str">
        <x:v>Suicide risk assessment</x:v>
      </x:c>
      <x:c r="L7" s="192" t="str"/>
      <x:c r="M7" s="192" t="str">
        <x:v>Moderate</x:v>
      </x:c>
      <x:c r="N7" s="192" t="str">
        <x:v>Moderate</x:v>
      </x:c>
      <x:c r="O7" s="192" t="str">
        <x:v>Application</x:v>
      </x:c>
      <x:c r="P7" s="192" t="str">
        <x:v>Application</x:v>
      </x:c>
      <x:c r="Q7" s="192" t="n">
        <x:v>4</x:v>
      </x:c>
      <x:c r="R7" s="192" t="str">
        <x:v>B</x:v>
      </x:c>
      <x:c r="S7" s="192" t="str">
        <x:v>Approved</x:v>
      </x:c>
      <x:c r="T7" s="192" t="str">
        <x:v>Active</x:v>
      </x:c>
      <x:c r="U7" s="192" t="n">
        <x:v>1</x:v>
      </x:c>
      <x:c r="V7" s="192" t="str"/>
      <x:c r="W7" s="192" t="str">
        <x:v>No additional flag</x:v>
      </x:c>
      <x:c r="X7" s="192" t="str">
        <x:v>No structural flag</x:v>
      </x:c>
      <x:c r="Y7" s="192" t="str">
        <x:v>Not Yet Reviewed</x:v>
      </x:c>
      <x:c r="Z7" s="192" t="str">
        <x:v>CTA LMFT Workbook 1</x:v>
      </x:c>
      <x:c r="AA7" s="192" t="str">
        <x:v>CTA_LMFT_WB1_17_Question_Bank_v1.0.docx</x:v>
      </x:c>
      <x:c r="AB7" s="192" t="str">
        <x:v>1.0</x:v>
      </x:c>
      <x:c r="AC7" s="193"/>
      <x:c r="AD7" s="193" t="n">
        <x:v>46228</x:v>
      </x:c>
      <x:c r="AE7" s="192" t="str">
        <x:v>Cross-domain examination-strategy item; not assigned to one scored blueprint area.</x:v>
      </x:c>
      <x:c r="AF7" s="194" t="str">
        <x:v>Workbook bank; reserve pool after controlled review</x:v>
      </x:c>
    </x:row>
    <x:row r="8">
      <x:c r="A8" s="191" t="str">
        <x:v>CTA-LMFT-MQB-0007</x:v>
      </x:c>
      <x:c r="B8" s="192" t="str">
        <x:v>LMFT-WB01-QB-Q007</x:v>
      </x:c>
      <x:c r="C8" s="192" t="str">
        <x:v>LMFT</x:v>
      </x:c>
      <x:c r="D8" s="192" t="str">
        <x:v>Workbook Question Bank</x:v>
      </x:c>
      <x:c r="E8" s="192" t="n">
        <x:v>1</x:v>
      </x:c>
      <x:c r="F8" s="192" t="str">
        <x:v>Exam Strategy and Clinical Reasoning</x:v>
      </x:c>
      <x:c r="G8" s="192"/>
      <x:c r="H8" s="192" t="n">
        <x:v>7</x:v>
      </x:c>
      <x:c r="I8" s="192" t="str">
        <x:v>Workbook Bank</x:v>
      </x:c>
      <x:c r="J8" s="192" t="str">
        <x:v>Exam Strategy / Cross-Domain</x:v>
      </x:c>
      <x:c r="K8" s="192" t="str">
        <x:v>Reciprocal systemic formulation</x:v>
      </x:c>
      <x:c r="L8" s="192" t="str"/>
      <x:c r="M8" s="192" t="str">
        <x:v>Moderate</x:v>
      </x:c>
      <x:c r="N8" s="192" t="str">
        <x:v>Moderate</x:v>
      </x:c>
      <x:c r="O8" s="192" t="str">
        <x:v>Application</x:v>
      </x:c>
      <x:c r="P8" s="192" t="str">
        <x:v>Application</x:v>
      </x:c>
      <x:c r="Q8" s="192" t="n">
        <x:v>4</x:v>
      </x:c>
      <x:c r="R8" s="192" t="str">
        <x:v>C</x:v>
      </x:c>
      <x:c r="S8" s="192" t="str">
        <x:v>Approved</x:v>
      </x:c>
      <x:c r="T8" s="192" t="str">
        <x:v>Active</x:v>
      </x:c>
      <x:c r="U8" s="192" t="n">
        <x:v>1</x:v>
      </x:c>
      <x:c r="V8" s="192" t="str"/>
      <x:c r="W8" s="192" t="str">
        <x:v>No additional flag</x:v>
      </x:c>
      <x:c r="X8" s="192" t="str">
        <x:v>No structural flag</x:v>
      </x:c>
      <x:c r="Y8" s="192" t="str">
        <x:v>Not Yet Reviewed</x:v>
      </x:c>
      <x:c r="Z8" s="192" t="str">
        <x:v>CTA LMFT Workbook 1</x:v>
      </x:c>
      <x:c r="AA8" s="192" t="str">
        <x:v>CTA_LMFT_WB1_17_Question_Bank_v1.0.docx</x:v>
      </x:c>
      <x:c r="AB8" s="192" t="str">
        <x:v>1.0</x:v>
      </x:c>
      <x:c r="AC8" s="193"/>
      <x:c r="AD8" s="193" t="n">
        <x:v>46228</x:v>
      </x:c>
      <x:c r="AE8" s="192" t="str">
        <x:v>Cross-domain examination-strategy item; not assigned to one scored blueprint area.</x:v>
      </x:c>
      <x:c r="AF8" s="194" t="str">
        <x:v>Workbook bank; reserve pool after controlled review</x:v>
      </x:c>
    </x:row>
    <x:row r="9">
      <x:c r="A9" s="191" t="str">
        <x:v>CTA-LMFT-MQB-0008</x:v>
      </x:c>
      <x:c r="B9" s="192" t="str">
        <x:v>LMFT-WB01-QB-Q008</x:v>
      </x:c>
      <x:c r="C9" s="192" t="str">
        <x:v>LMFT</x:v>
      </x:c>
      <x:c r="D9" s="192" t="str">
        <x:v>Workbook Question Bank</x:v>
      </x:c>
      <x:c r="E9" s="192" t="n">
        <x:v>1</x:v>
      </x:c>
      <x:c r="F9" s="192" t="str">
        <x:v>Exam Strategy and Clinical Reasoning</x:v>
      </x:c>
      <x:c r="G9" s="192"/>
      <x:c r="H9" s="192" t="n">
        <x:v>8</x:v>
      </x:c>
      <x:c r="I9" s="192" t="str">
        <x:v>Workbook Bank</x:v>
      </x:c>
      <x:c r="J9" s="192" t="str">
        <x:v>Exam Strategy / Cross-Domain</x:v>
      </x:c>
      <x:c r="K9" s="192" t="str">
        <x:v>Information policy in couple therapy</x:v>
      </x:c>
      <x:c r="L9" s="192" t="str"/>
      <x:c r="M9" s="192" t="str">
        <x:v>Moderate</x:v>
      </x:c>
      <x:c r="N9" s="192" t="str">
        <x:v>Moderate</x:v>
      </x:c>
      <x:c r="O9" s="192" t="str">
        <x:v>Application</x:v>
      </x:c>
      <x:c r="P9" s="192" t="str">
        <x:v>Application</x:v>
      </x:c>
      <x:c r="Q9" s="192" t="n">
        <x:v>4</x:v>
      </x:c>
      <x:c r="R9" s="192" t="str">
        <x:v>D</x:v>
      </x:c>
      <x:c r="S9" s="192" t="str">
        <x:v>Approved</x:v>
      </x:c>
      <x:c r="T9" s="192" t="str">
        <x:v>Active</x:v>
      </x:c>
      <x:c r="U9" s="192" t="n">
        <x:v>1</x:v>
      </x:c>
      <x:c r="V9" s="192" t="str"/>
      <x:c r="W9" s="192" t="str">
        <x:v>No additional flag</x:v>
      </x:c>
      <x:c r="X9" s="192" t="str">
        <x:v>No structural flag</x:v>
      </x:c>
      <x:c r="Y9" s="192" t="str">
        <x:v>Not Yet Reviewed</x:v>
      </x:c>
      <x:c r="Z9" s="192" t="str">
        <x:v>CTA LMFT Workbook 1</x:v>
      </x:c>
      <x:c r="AA9" s="192" t="str">
        <x:v>CTA_LMFT_WB1_17_Question_Bank_v1.0.docx</x:v>
      </x:c>
      <x:c r="AB9" s="192" t="str">
        <x:v>1.0</x:v>
      </x:c>
      <x:c r="AC9" s="193"/>
      <x:c r="AD9" s="193" t="n">
        <x:v>46228</x:v>
      </x:c>
      <x:c r="AE9" s="192" t="str">
        <x:v>Cross-domain examination-strategy item; not assigned to one scored blueprint area.</x:v>
      </x:c>
      <x:c r="AF9" s="194" t="str">
        <x:v>Workbook bank; reserve pool after controlled review</x:v>
      </x:c>
    </x:row>
    <x:row r="10">
      <x:c r="A10" s="191" t="str">
        <x:v>CTA-LMFT-MQB-0009</x:v>
      </x:c>
      <x:c r="B10" s="192" t="str">
        <x:v>LMFT-WB01-QB-Q009</x:v>
      </x:c>
      <x:c r="C10" s="192" t="str">
        <x:v>LMFT</x:v>
      </x:c>
      <x:c r="D10" s="192" t="str">
        <x:v>Workbook Question Bank</x:v>
      </x:c>
      <x:c r="E10" s="192" t="n">
        <x:v>1</x:v>
      </x:c>
      <x:c r="F10" s="192" t="str">
        <x:v>Exam Strategy and Clinical Reasoning</x:v>
      </x:c>
      <x:c r="G10" s="192"/>
      <x:c r="H10" s="192" t="n">
        <x:v>9</x:v>
      </x:c>
      <x:c r="I10" s="192" t="str">
        <x:v>Workbook Bank</x:v>
      </x:c>
      <x:c r="J10" s="192" t="str">
        <x:v>Exam Strategy / Cross-Domain</x:v>
      </x:c>
      <x:c r="K10" s="192" t="str">
        <x:v>Cultural humility and boundaries</x:v>
      </x:c>
      <x:c r="L10" s="192" t="str"/>
      <x:c r="M10" s="192" t="str">
        <x:v>Moderate</x:v>
      </x:c>
      <x:c r="N10" s="192" t="str">
        <x:v>Moderate</x:v>
      </x:c>
      <x:c r="O10" s="192" t="str">
        <x:v>Application</x:v>
      </x:c>
      <x:c r="P10" s="192" t="str">
        <x:v>Application</x:v>
      </x:c>
      <x:c r="Q10" s="192" t="n">
        <x:v>4</x:v>
      </x:c>
      <x:c r="R10" s="192" t="str">
        <x:v>A</x:v>
      </x:c>
      <x:c r="S10" s="192" t="str">
        <x:v>Approved</x:v>
      </x:c>
      <x:c r="T10" s="192" t="str">
        <x:v>Active</x:v>
      </x:c>
      <x:c r="U10" s="192" t="n">
        <x:v>1</x:v>
      </x:c>
      <x:c r="V10" s="192" t="str"/>
      <x:c r="W10" s="192" t="str">
        <x:v>No additional flag</x:v>
      </x:c>
      <x:c r="X10" s="192" t="str">
        <x:v>No structural flag</x:v>
      </x:c>
      <x:c r="Y10" s="192" t="str">
        <x:v>Not Yet Reviewed</x:v>
      </x:c>
      <x:c r="Z10" s="192" t="str">
        <x:v>CTA LMFT Workbook 1</x:v>
      </x:c>
      <x:c r="AA10" s="192" t="str">
        <x:v>CTA_LMFT_WB1_17_Question_Bank_v1.0.docx</x:v>
      </x:c>
      <x:c r="AB10" s="192" t="str">
        <x:v>1.0</x:v>
      </x:c>
      <x:c r="AC10" s="193"/>
      <x:c r="AD10" s="193" t="n">
        <x:v>46228</x:v>
      </x:c>
      <x:c r="AE10" s="192" t="str">
        <x:v>Cross-domain examination-strategy item; not assigned to one scored blueprint area.</x:v>
      </x:c>
      <x:c r="AF10" s="194" t="str">
        <x:v>Workbook bank; reserve pool after controlled review</x:v>
      </x:c>
    </x:row>
    <x:row r="11">
      <x:c r="A11" s="191" t="str">
        <x:v>CTA-LMFT-MQB-0010</x:v>
      </x:c>
      <x:c r="B11" s="192" t="str">
        <x:v>LMFT-WB01-QB-Q010</x:v>
      </x:c>
      <x:c r="C11" s="192" t="str">
        <x:v>LMFT</x:v>
      </x:c>
      <x:c r="D11" s="192" t="str">
        <x:v>Workbook Question Bank</x:v>
      </x:c>
      <x:c r="E11" s="192" t="n">
        <x:v>1</x:v>
      </x:c>
      <x:c r="F11" s="192" t="str">
        <x:v>Exam Strategy and Clinical Reasoning</x:v>
      </x:c>
      <x:c r="G11" s="192"/>
      <x:c r="H11" s="192" t="n">
        <x:v>10</x:v>
      </x:c>
      <x:c r="I11" s="192" t="str">
        <x:v>Workbook Bank</x:v>
      </x:c>
      <x:c r="J11" s="192" t="str">
        <x:v>Exam Strategy / Cross-Domain</x:v>
      </x:c>
      <x:c r="K11" s="192" t="str">
        <x:v>Flagged-item review</x:v>
      </x:c>
      <x:c r="L11" s="192" t="str"/>
      <x:c r="M11" s="192" t="str">
        <x:v>Moderate</x:v>
      </x:c>
      <x:c r="N11" s="192" t="str">
        <x:v>Moderate</x:v>
      </x:c>
      <x:c r="O11" s="192" t="str">
        <x:v>Application</x:v>
      </x:c>
      <x:c r="P11" s="192" t="str">
        <x:v>Application</x:v>
      </x:c>
      <x:c r="Q11" s="192" t="n">
        <x:v>4</x:v>
      </x:c>
      <x:c r="R11" s="192" t="str">
        <x:v>B</x:v>
      </x:c>
      <x:c r="S11" s="192" t="str">
        <x:v>Approved</x:v>
      </x:c>
      <x:c r="T11" s="192" t="str">
        <x:v>Active</x:v>
      </x:c>
      <x:c r="U11" s="192" t="n">
        <x:v>1</x:v>
      </x:c>
      <x:c r="V11" s="192" t="str"/>
      <x:c r="W11" s="192" t="str">
        <x:v>No additional flag</x:v>
      </x:c>
      <x:c r="X11" s="192" t="str">
        <x:v>No structural flag</x:v>
      </x:c>
      <x:c r="Y11" s="192" t="str">
        <x:v>Not Yet Reviewed</x:v>
      </x:c>
      <x:c r="Z11" s="192" t="str">
        <x:v>CTA LMFT Workbook 1</x:v>
      </x:c>
      <x:c r="AA11" s="192" t="str">
        <x:v>CTA_LMFT_WB1_17_Question_Bank_v1.0.docx</x:v>
      </x:c>
      <x:c r="AB11" s="192" t="str">
        <x:v>1.0</x:v>
      </x:c>
      <x:c r="AC11" s="193"/>
      <x:c r="AD11" s="193" t="n">
        <x:v>46228</x:v>
      </x:c>
      <x:c r="AE11" s="192" t="str">
        <x:v>Cross-domain examination-strategy item; not assigned to one scored blueprint area.</x:v>
      </x:c>
      <x:c r="AF11" s="194" t="str">
        <x:v>Workbook bank; reserve pool after controlled review</x:v>
      </x:c>
    </x:row>
    <x:row r="12">
      <x:c r="A12" s="191" t="str">
        <x:v>CTA-LMFT-MQB-0011</x:v>
      </x:c>
      <x:c r="B12" s="192" t="str">
        <x:v>LMFT-WB01-QB-Q011</x:v>
      </x:c>
      <x:c r="C12" s="192" t="str">
        <x:v>LMFT</x:v>
      </x:c>
      <x:c r="D12" s="192" t="str">
        <x:v>Workbook Question Bank</x:v>
      </x:c>
      <x:c r="E12" s="192" t="n">
        <x:v>1</x:v>
      </x:c>
      <x:c r="F12" s="192" t="str">
        <x:v>Exam Strategy and Clinical Reasoning</x:v>
      </x:c>
      <x:c r="G12" s="192"/>
      <x:c r="H12" s="192" t="n">
        <x:v>11</x:v>
      </x:c>
      <x:c r="I12" s="192" t="str">
        <x:v>Workbook Bank</x:v>
      </x:c>
      <x:c r="J12" s="192" t="str">
        <x:v>Exam Strategy / Cross-Domain</x:v>
      </x:c>
      <x:c r="K12" s="192" t="str">
        <x:v>Coercive control and conjoint suitability</x:v>
      </x:c>
      <x:c r="L12" s="192" t="str"/>
      <x:c r="M12" s="192" t="str">
        <x:v>Moderate</x:v>
      </x:c>
      <x:c r="N12" s="192" t="str">
        <x:v>Moderate</x:v>
      </x:c>
      <x:c r="O12" s="192" t="str">
        <x:v>Scenario-Based</x:v>
      </x:c>
      <x:c r="P12" s="192" t="str">
        <x:v>Scenario-Based</x:v>
      </x:c>
      <x:c r="Q12" s="192" t="n">
        <x:v>4</x:v>
      </x:c>
      <x:c r="R12" s="192" t="str">
        <x:v>C</x:v>
      </x:c>
      <x:c r="S12" s="192" t="str">
        <x:v>Approved</x:v>
      </x:c>
      <x:c r="T12" s="192" t="str">
        <x:v>Active</x:v>
      </x:c>
      <x:c r="U12" s="192" t="n">
        <x:v>1</x:v>
      </x:c>
      <x:c r="V12" s="192" t="str"/>
      <x:c r="W12" s="192" t="str">
        <x:v>Review Candidate</x:v>
      </x:c>
      <x:c r="X12" s="192" t="str">
        <x:v>No structural flag</x:v>
      </x:c>
      <x:c r="Y12" s="192" t="str">
        <x:v>Not Yet Reviewed</x:v>
      </x:c>
      <x:c r="Z12" s="192" t="str">
        <x:v>CTA LMFT Workbook 1</x:v>
      </x:c>
      <x:c r="AA12" s="192" t="str">
        <x:v>CTA_LMFT_WB1_17_Question_Bank_v1.0.docx</x:v>
      </x:c>
      <x:c r="AB12" s="192" t="str">
        <x:v>1.0</x:v>
      </x:c>
      <x:c r="AC12" s="193"/>
      <x:c r="AD12" s="193" t="n">
        <x:v>46228</x:v>
      </x:c>
      <x:c r="AE12" s="192" t="str">
        <x:v>Cross-domain examination-strategy item; not assigned to one scored blueprint area.</x:v>
      </x:c>
      <x:c r="AF12" s="194" t="str">
        <x:v>Workbook bank; reserve pool after controlled review</x:v>
      </x:c>
    </x:row>
    <x:row r="13">
      <x:c r="A13" s="191" t="str">
        <x:v>CTA-LMFT-MQB-0012</x:v>
      </x:c>
      <x:c r="B13" s="192" t="str">
        <x:v>LMFT-WB01-QB-Q012</x:v>
      </x:c>
      <x:c r="C13" s="192" t="str">
        <x:v>LMFT</x:v>
      </x:c>
      <x:c r="D13" s="192" t="str">
        <x:v>Workbook Question Bank</x:v>
      </x:c>
      <x:c r="E13" s="192" t="n">
        <x:v>1</x:v>
      </x:c>
      <x:c r="F13" s="192" t="str">
        <x:v>Exam Strategy and Clinical Reasoning</x:v>
      </x:c>
      <x:c r="G13" s="192"/>
      <x:c r="H13" s="192" t="n">
        <x:v>12</x:v>
      </x:c>
      <x:c r="I13" s="192" t="str">
        <x:v>Workbook Bank</x:v>
      </x:c>
      <x:c r="J13" s="192" t="str">
        <x:v>Exam Strategy / Cross-Domain</x:v>
      </x:c>
      <x:c r="K13" s="192" t="str">
        <x:v>Treatment nonresponse and alliance rupture</x:v>
      </x:c>
      <x:c r="L13" s="192" t="str"/>
      <x:c r="M13" s="192" t="str">
        <x:v>Moderate</x:v>
      </x:c>
      <x:c r="N13" s="192" t="str">
        <x:v>Moderate</x:v>
      </x:c>
      <x:c r="O13" s="192" t="str">
        <x:v>Scenario-Based</x:v>
      </x:c>
      <x:c r="P13" s="192" t="str">
        <x:v>Scenario-Based</x:v>
      </x:c>
      <x:c r="Q13" s="192" t="n">
        <x:v>4</x:v>
      </x:c>
      <x:c r="R13" s="192" t="str">
        <x:v>D</x:v>
      </x:c>
      <x:c r="S13" s="192" t="str">
        <x:v>Approved</x:v>
      </x:c>
      <x:c r="T13" s="192" t="str">
        <x:v>Active</x:v>
      </x:c>
      <x:c r="U13" s="192" t="n">
        <x:v>1</x:v>
      </x:c>
      <x:c r="V13" s="192" t="str"/>
      <x:c r="W13" s="192" t="str">
        <x:v>No additional flag</x:v>
      </x:c>
      <x:c r="X13" s="192" t="str">
        <x:v>No structural flag</x:v>
      </x:c>
      <x:c r="Y13" s="192" t="str">
        <x:v>Not Yet Reviewed</x:v>
      </x:c>
      <x:c r="Z13" s="192" t="str">
        <x:v>CTA LMFT Workbook 1</x:v>
      </x:c>
      <x:c r="AA13" s="192" t="str">
        <x:v>CTA_LMFT_WB1_17_Question_Bank_v1.0.docx</x:v>
      </x:c>
      <x:c r="AB13" s="192" t="str">
        <x:v>1.0</x:v>
      </x:c>
      <x:c r="AC13" s="193"/>
      <x:c r="AD13" s="193" t="n">
        <x:v>46228</x:v>
      </x:c>
      <x:c r="AE13" s="192" t="str">
        <x:v>Cross-domain examination-strategy item; not assigned to one scored blueprint area.</x:v>
      </x:c>
      <x:c r="AF13" s="194" t="str">
        <x:v>Workbook bank; reserve pool after controlled review</x:v>
      </x:c>
    </x:row>
    <x:row r="14">
      <x:c r="A14" s="191" t="str">
        <x:v>CTA-LMFT-MQB-0013</x:v>
      </x:c>
      <x:c r="B14" s="192" t="str">
        <x:v>LMFT-WB01-QB-Q013</x:v>
      </x:c>
      <x:c r="C14" s="192" t="str">
        <x:v>LMFT</x:v>
      </x:c>
      <x:c r="D14" s="192" t="str">
        <x:v>Workbook Question Bank</x:v>
      </x:c>
      <x:c r="E14" s="192" t="n">
        <x:v>1</x:v>
      </x:c>
      <x:c r="F14" s="192" t="str">
        <x:v>Exam Strategy and Clinical Reasoning</x:v>
      </x:c>
      <x:c r="G14" s="192"/>
      <x:c r="H14" s="192" t="n">
        <x:v>13</x:v>
      </x:c>
      <x:c r="I14" s="192" t="str">
        <x:v>Workbook Bank</x:v>
      </x:c>
      <x:c r="J14" s="192" t="str">
        <x:v>Exam Strategy / Cross-Domain</x:v>
      </x:c>
      <x:c r="K14" s="192" t="str">
        <x:v>Imminent suicide response</x:v>
      </x:c>
      <x:c r="L14" s="192" t="str"/>
      <x:c r="M14" s="192" t="str">
        <x:v>Difficult</x:v>
      </x:c>
      <x:c r="N14" s="192" t="str">
        <x:v>Difficult</x:v>
      </x:c>
      <x:c r="O14" s="192" t="str">
        <x:v>Scenario-Based</x:v>
      </x:c>
      <x:c r="P14" s="192" t="str">
        <x:v>Scenario-Based</x:v>
      </x:c>
      <x:c r="Q14" s="192" t="n">
        <x:v>4</x:v>
      </x:c>
      <x:c r="R14" s="192" t="str">
        <x:v>A</x:v>
      </x:c>
      <x:c r="S14" s="192" t="str">
        <x:v>Approved</x:v>
      </x:c>
      <x:c r="T14" s="192" t="str">
        <x:v>Active</x:v>
      </x:c>
      <x:c r="U14" s="192" t="n">
        <x:v>1</x:v>
      </x:c>
      <x:c r="V14" s="192" t="str"/>
      <x:c r="W14" s="192" t="str">
        <x:v>No additional flag</x:v>
      </x:c>
      <x:c r="X14" s="192" t="str">
        <x:v>No structural flag</x:v>
      </x:c>
      <x:c r="Y14" s="192" t="str">
        <x:v>Not Yet Reviewed</x:v>
      </x:c>
      <x:c r="Z14" s="192" t="str">
        <x:v>CTA LMFT Workbook 1</x:v>
      </x:c>
      <x:c r="AA14" s="192" t="str">
        <x:v>CTA_LMFT_WB1_17_Question_Bank_v1.0.docx</x:v>
      </x:c>
      <x:c r="AB14" s="192" t="str">
        <x:v>1.0</x:v>
      </x:c>
      <x:c r="AC14" s="193"/>
      <x:c r="AD14" s="193" t="n">
        <x:v>46228</x:v>
      </x:c>
      <x:c r="AE14" s="192" t="str">
        <x:v>Cross-domain examination-strategy item; not assigned to one scored blueprint area.</x:v>
      </x:c>
      <x:c r="AF14" s="194" t="str">
        <x:v>Workbook bank; reserve pool after controlled review</x:v>
      </x:c>
    </x:row>
    <x:row r="15">
      <x:c r="A15" s="191" t="str">
        <x:v>CTA-LMFT-MQB-0014</x:v>
      </x:c>
      <x:c r="B15" s="192" t="str">
        <x:v>LMFT-WB01-QB-Q014</x:v>
      </x:c>
      <x:c r="C15" s="192" t="str">
        <x:v>LMFT</x:v>
      </x:c>
      <x:c r="D15" s="192" t="str">
        <x:v>Workbook Question Bank</x:v>
      </x:c>
      <x:c r="E15" s="192" t="n">
        <x:v>1</x:v>
      </x:c>
      <x:c r="F15" s="192" t="str">
        <x:v>Exam Strategy and Clinical Reasoning</x:v>
      </x:c>
      <x:c r="G15" s="192"/>
      <x:c r="H15" s="192" t="n">
        <x:v>14</x:v>
      </x:c>
      <x:c r="I15" s="192" t="str">
        <x:v>Workbook Bank</x:v>
      </x:c>
      <x:c r="J15" s="192" t="str">
        <x:v>Exam Strategy / Cross-Domain</x:v>
      </x:c>
      <x:c r="K15" s="192" t="str">
        <x:v>Trauma-informed stabilization</x:v>
      </x:c>
      <x:c r="L15" s="192" t="str"/>
      <x:c r="M15" s="192" t="str">
        <x:v>Difficult</x:v>
      </x:c>
      <x:c r="N15" s="192" t="str">
        <x:v>Difficult</x:v>
      </x:c>
      <x:c r="O15" s="192" t="str">
        <x:v>Scenario-Based</x:v>
      </x:c>
      <x:c r="P15" s="192" t="str">
        <x:v>Scenario-Based</x:v>
      </x:c>
      <x:c r="Q15" s="192" t="n">
        <x:v>4</x:v>
      </x:c>
      <x:c r="R15" s="192" t="str">
        <x:v>B</x:v>
      </x:c>
      <x:c r="S15" s="192" t="str">
        <x:v>Approved</x:v>
      </x:c>
      <x:c r="T15" s="192" t="str">
        <x:v>Active</x:v>
      </x:c>
      <x:c r="U15" s="192" t="n">
        <x:v>1</x:v>
      </x:c>
      <x:c r="V15" s="192" t="str"/>
      <x:c r="W15" s="192" t="str">
        <x:v>No additional flag</x:v>
      </x:c>
      <x:c r="X15" s="192" t="str">
        <x:v>No structural flag</x:v>
      </x:c>
      <x:c r="Y15" s="192" t="str">
        <x:v>Not Yet Reviewed</x:v>
      </x:c>
      <x:c r="Z15" s="192" t="str">
        <x:v>CTA LMFT Workbook 1</x:v>
      </x:c>
      <x:c r="AA15" s="192" t="str">
        <x:v>CTA_LMFT_WB1_17_Question_Bank_v1.0.docx</x:v>
      </x:c>
      <x:c r="AB15" s="192" t="str">
        <x:v>1.0</x:v>
      </x:c>
      <x:c r="AC15" s="193"/>
      <x:c r="AD15" s="193" t="n">
        <x:v>46228</x:v>
      </x:c>
      <x:c r="AE15" s="192" t="str">
        <x:v>Cross-domain examination-strategy item; not assigned to one scored blueprint area.</x:v>
      </x:c>
      <x:c r="AF15" s="194" t="str">
        <x:v>Workbook bank; reserve pool after controlled review</x:v>
      </x:c>
    </x:row>
    <x:row r="16">
      <x:c r="A16" s="191" t="str">
        <x:v>CTA-LMFT-MQB-0015</x:v>
      </x:c>
      <x:c r="B16" s="192" t="str">
        <x:v>LMFT-WB01-QB-Q015</x:v>
      </x:c>
      <x:c r="C16" s="192" t="str">
        <x:v>LMFT</x:v>
      </x:c>
      <x:c r="D16" s="192" t="str">
        <x:v>Workbook Question Bank</x:v>
      </x:c>
      <x:c r="E16" s="192" t="n">
        <x:v>1</x:v>
      </x:c>
      <x:c r="F16" s="192" t="str">
        <x:v>Exam Strategy and Clinical Reasoning</x:v>
      </x:c>
      <x:c r="G16" s="192"/>
      <x:c r="H16" s="192" t="n">
        <x:v>15</x:v>
      </x:c>
      <x:c r="I16" s="192" t="str">
        <x:v>Workbook Bank</x:v>
      </x:c>
      <x:c r="J16" s="192" t="str">
        <x:v>Exam Strategy / Cross-Domain</x:v>
      </x:c>
      <x:c r="K16" s="192" t="str">
        <x:v>Integrated clinical and contextual planning</x:v>
      </x:c>
      <x:c r="L16" s="192" t="str"/>
      <x:c r="M16" s="192" t="str">
        <x:v>Difficult</x:v>
      </x:c>
      <x:c r="N16" s="192" t="str">
        <x:v>Difficult</x:v>
      </x:c>
      <x:c r="O16" s="192" t="str">
        <x:v>Scenario-Based</x:v>
      </x:c>
      <x:c r="P16" s="192" t="str">
        <x:v>Scenario-Based</x:v>
      </x:c>
      <x:c r="Q16" s="192" t="n">
        <x:v>4</x:v>
      </x:c>
      <x:c r="R16" s="192" t="str">
        <x:v>C</x:v>
      </x:c>
      <x:c r="S16" s="192" t="str">
        <x:v>Approved</x:v>
      </x:c>
      <x:c r="T16" s="192" t="str">
        <x:v>Active</x:v>
      </x:c>
      <x:c r="U16" s="192" t="n">
        <x:v>1</x:v>
      </x:c>
      <x:c r="V16" s="192" t="str"/>
      <x:c r="W16" s="192" t="str">
        <x:v>No additional flag</x:v>
      </x:c>
      <x:c r="X16" s="192" t="str">
        <x:v>No structural flag</x:v>
      </x:c>
      <x:c r="Y16" s="192" t="str">
        <x:v>Not Yet Reviewed</x:v>
      </x:c>
      <x:c r="Z16" s="192" t="str">
        <x:v>CTA LMFT Workbook 1</x:v>
      </x:c>
      <x:c r="AA16" s="192" t="str">
        <x:v>CTA_LMFT_WB1_17_Question_Bank_v1.0.docx</x:v>
      </x:c>
      <x:c r="AB16" s="192" t="str">
        <x:v>1.0</x:v>
      </x:c>
      <x:c r="AC16" s="193"/>
      <x:c r="AD16" s="193" t="n">
        <x:v>46228</x:v>
      </x:c>
      <x:c r="AE16" s="192" t="str">
        <x:v>Cross-domain examination-strategy item; not assigned to one scored blueprint area.</x:v>
      </x:c>
      <x:c r="AF16" s="194" t="str">
        <x:v>Workbook bank; reserve pool after controlled review</x:v>
      </x:c>
    </x:row>
    <x:row r="17">
      <x:c r="A17" s="191" t="str">
        <x:v>CTA-LMFT-MQB-0016</x:v>
      </x:c>
      <x:c r="B17" s="192" t="str">
        <x:v>LMFT-WB01-QB-Q016</x:v>
      </x:c>
      <x:c r="C17" s="192" t="str">
        <x:v>LMFT</x:v>
      </x:c>
      <x:c r="D17" s="192" t="str">
        <x:v>Workbook Question Bank</x:v>
      </x:c>
      <x:c r="E17" s="192" t="n">
        <x:v>1</x:v>
      </x:c>
      <x:c r="F17" s="192" t="str">
        <x:v>Exam Strategy and Clinical Reasoning</x:v>
      </x:c>
      <x:c r="G17" s="192"/>
      <x:c r="H17" s="192" t="n">
        <x:v>16</x:v>
      </x:c>
      <x:c r="I17" s="192" t="str">
        <x:v>Workbook Bank</x:v>
      </x:c>
      <x:c r="J17" s="192" t="str">
        <x:v>Exam Strategy / Cross-Domain</x:v>
      </x:c>
      <x:c r="K17" s="192" t="str">
        <x:v>Cultural meaning with psychosis and risk</x:v>
      </x:c>
      <x:c r="L17" s="192" t="str"/>
      <x:c r="M17" s="192" t="str">
        <x:v>Difficult</x:v>
      </x:c>
      <x:c r="N17" s="192" t="str">
        <x:v>Difficult</x:v>
      </x:c>
      <x:c r="O17" s="192" t="str">
        <x:v>Integrated Clinical Reasoning</x:v>
      </x:c>
      <x:c r="P17" s="192" t="str">
        <x:v>Integrated Clinical Reasoning</x:v>
      </x:c>
      <x:c r="Q17" s="192" t="n">
        <x:v>4</x:v>
      </x:c>
      <x:c r="R17" s="192" t="str">
        <x:v>D</x:v>
      </x:c>
      <x:c r="S17" s="192" t="str">
        <x:v>Approved</x:v>
      </x:c>
      <x:c r="T17" s="192" t="str">
        <x:v>Active</x:v>
      </x:c>
      <x:c r="U17" s="192" t="n">
        <x:v>1</x:v>
      </x:c>
      <x:c r="V17" s="192" t="str"/>
      <x:c r="W17" s="192" t="str">
        <x:v>No additional flag</x:v>
      </x:c>
      <x:c r="X17" s="192" t="str">
        <x:v>No structural flag</x:v>
      </x:c>
      <x:c r="Y17" s="192" t="str">
        <x:v>Not Yet Reviewed</x:v>
      </x:c>
      <x:c r="Z17" s="192" t="str">
        <x:v>CTA LMFT Workbook 1</x:v>
      </x:c>
      <x:c r="AA17" s="192" t="str">
        <x:v>CTA_LMFT_WB1_17_Question_Bank_v1.0.docx</x:v>
      </x:c>
      <x:c r="AB17" s="192" t="str">
        <x:v>1.0</x:v>
      </x:c>
      <x:c r="AC17" s="193"/>
      <x:c r="AD17" s="193" t="n">
        <x:v>46228</x:v>
      </x:c>
      <x:c r="AE17" s="192" t="str">
        <x:v>Cross-domain examination-strategy item; not assigned to one scored blueprint area.</x:v>
      </x:c>
      <x:c r="AF17" s="194" t="str">
        <x:v>Workbook bank; reserve pool after controlled review</x:v>
      </x:c>
    </x:row>
    <x:row r="18">
      <x:c r="A18" s="191" t="str">
        <x:v>CTA-LMFT-MQB-0017</x:v>
      </x:c>
      <x:c r="B18" s="192" t="str">
        <x:v>LMFT-WB01-QB-Q017</x:v>
      </x:c>
      <x:c r="C18" s="192" t="str">
        <x:v>LMFT</x:v>
      </x:c>
      <x:c r="D18" s="192" t="str">
        <x:v>Workbook Question Bank</x:v>
      </x:c>
      <x:c r="E18" s="192" t="n">
        <x:v>1</x:v>
      </x:c>
      <x:c r="F18" s="192" t="str">
        <x:v>Exam Strategy and Clinical Reasoning</x:v>
      </x:c>
      <x:c r="G18" s="192"/>
      <x:c r="H18" s="192" t="n">
        <x:v>17</x:v>
      </x:c>
      <x:c r="I18" s="192" t="str">
        <x:v>Workbook Bank</x:v>
      </x:c>
      <x:c r="J18" s="192" t="str">
        <x:v>Exam Strategy / Cross-Domain</x:v>
      </x:c>
      <x:c r="K18" s="192" t="str">
        <x:v>Nonresponse, culture, literacy, and therapist reaction</x:v>
      </x:c>
      <x:c r="L18" s="192" t="str"/>
      <x:c r="M18" s="192" t="str">
        <x:v>Difficult</x:v>
      </x:c>
      <x:c r="N18" s="192" t="str">
        <x:v>Difficult</x:v>
      </x:c>
      <x:c r="O18" s="192" t="str">
        <x:v>Integrated Clinical Reasoning</x:v>
      </x:c>
      <x:c r="P18" s="192" t="str">
        <x:v>Integrated Clinical Reasoning</x:v>
      </x:c>
      <x:c r="Q18" s="192" t="n">
        <x:v>4</x:v>
      </x:c>
      <x:c r="R18" s="192" t="str">
        <x:v>A</x:v>
      </x:c>
      <x:c r="S18" s="192" t="str">
        <x:v>Approved</x:v>
      </x:c>
      <x:c r="T18" s="192" t="str">
        <x:v>Active</x:v>
      </x:c>
      <x:c r="U18" s="192" t="n">
        <x:v>1</x:v>
      </x:c>
      <x:c r="V18" s="192" t="str"/>
      <x:c r="W18" s="192" t="str">
        <x:v>No additional flag</x:v>
      </x:c>
      <x:c r="X18" s="192" t="str">
        <x:v>No structural flag</x:v>
      </x:c>
      <x:c r="Y18" s="192" t="str">
        <x:v>Not Yet Reviewed</x:v>
      </x:c>
      <x:c r="Z18" s="192" t="str">
        <x:v>CTA LMFT Workbook 1</x:v>
      </x:c>
      <x:c r="AA18" s="192" t="str">
        <x:v>CTA_LMFT_WB1_17_Question_Bank_v1.0.docx</x:v>
      </x:c>
      <x:c r="AB18" s="192" t="str">
        <x:v>1.0</x:v>
      </x:c>
      <x:c r="AC18" s="193"/>
      <x:c r="AD18" s="193" t="n">
        <x:v>46228</x:v>
      </x:c>
      <x:c r="AE18" s="192" t="str">
        <x:v>Cross-domain examination-strategy item; not assigned to one scored blueprint area.</x:v>
      </x:c>
      <x:c r="AF18" s="194" t="str">
        <x:v>Workbook bank; reserve pool after controlled review</x:v>
      </x:c>
    </x:row>
    <x:row r="19">
      <x:c r="A19" s="191" t="str">
        <x:v>CTA-LMFT-MQB-0018</x:v>
      </x:c>
      <x:c r="B19" s="192" t="str">
        <x:v>LMFT-WB02-QB-Q001</x:v>
      </x:c>
      <x:c r="C19" s="192" t="str">
        <x:v>LMFT</x:v>
      </x:c>
      <x:c r="D19" s="192" t="str">
        <x:v>Workbook Question Bank</x:v>
      </x:c>
      <x:c r="E19" s="192" t="n">
        <x:v>2</x:v>
      </x:c>
      <x:c r="F19" s="192" t="str">
        <x:v>Clinical Engagement, Intake, and Mental Status Assessment</x:v>
      </x:c>
      <x:c r="G19" s="192"/>
      <x:c r="H19" s="192" t="n">
        <x:v>1</x:v>
      </x:c>
      <x:c r="I19" s="192" t="str">
        <x:v>Workbook Bank</x:v>
      </x:c>
      <x:c r="J19" s="192" t="str">
        <x:v>1. Clinical Evaluation</x:v>
      </x:c>
      <x:c r="K19" s="192" t="str">
        <x:v>Engagement as assessment data</x:v>
      </x:c>
      <x:c r="L19" s="192" t="str"/>
      <x:c r="M19" s="192" t="str">
        <x:v>Easy</x:v>
      </x:c>
      <x:c r="N19" s="192" t="str">
        <x:v>Easy</x:v>
      </x:c>
      <x:c r="O19" s="192" t="str">
        <x:v>Knowledge &amp; Recall</x:v>
      </x:c>
      <x:c r="P19" s="192" t="str">
        <x:v>Knowledge &amp; Recall</x:v>
      </x:c>
      <x:c r="Q19" s="192" t="n">
        <x:v>4</x:v>
      </x:c>
      <x:c r="R19" s="192" t="str">
        <x:v>B</x:v>
      </x:c>
      <x:c r="S19" s="192" t="str">
        <x:v>Approved</x:v>
      </x:c>
      <x:c r="T19" s="192" t="str">
        <x:v>Active</x:v>
      </x:c>
      <x:c r="U19" s="192" t="n">
        <x:v>1</x:v>
      </x:c>
      <x:c r="V19" s="192" t="str"/>
      <x:c r="W19" s="192" t="str">
        <x:v>No additional flag</x:v>
      </x:c>
      <x:c r="X19" s="192" t="str">
        <x:v>No structural flag</x:v>
      </x:c>
      <x:c r="Y19" s="192" t="str">
        <x:v>Not Yet Reviewed</x:v>
      </x:c>
      <x:c r="Z19" s="192" t="str">
        <x:v>CTA LMFT Workbook 2</x:v>
      </x:c>
      <x:c r="AA19" s="192" t="str">
        <x:v>CTA_LMFT_WB2_17_Question_Bank_v1.0.docx</x:v>
      </x:c>
      <x:c r="AB19" s="192" t="str">
        <x:v>1.0</x:v>
      </x:c>
      <x:c r="AC19" s="193"/>
      <x:c r="AD19" s="193" t="n">
        <x:v>46228</x:v>
      </x:c>
      <x:c r="AE19" s="192" t="str"/>
      <x:c r="AF19" s="194" t="str">
        <x:v>Workbook bank; reserve pool after controlled review</x:v>
      </x:c>
    </x:row>
    <x:row r="20">
      <x:c r="A20" s="191" t="str">
        <x:v>CTA-LMFT-MQB-0019</x:v>
      </x:c>
      <x:c r="B20" s="192" t="str">
        <x:v>LMFT-WB02-QB-Q002</x:v>
      </x:c>
      <x:c r="C20" s="192" t="str">
        <x:v>LMFT</x:v>
      </x:c>
      <x:c r="D20" s="192" t="str">
        <x:v>Workbook Question Bank</x:v>
      </x:c>
      <x:c r="E20" s="192" t="n">
        <x:v>2</x:v>
      </x:c>
      <x:c r="F20" s="192" t="str">
        <x:v>Clinical Engagement, Intake, and Mental Status Assessment</x:v>
      </x:c>
      <x:c r="G20" s="192"/>
      <x:c r="H20" s="192" t="n">
        <x:v>2</x:v>
      </x:c>
      <x:c r="I20" s="192" t="str">
        <x:v>Workbook Bank</x:v>
      </x:c>
      <x:c r="J20" s="192" t="str">
        <x:v>1. Clinical Evaluation</x:v>
      </x:c>
      <x:c r="K20" s="192" t="str">
        <x:v>Affect</x:v>
      </x:c>
      <x:c r="L20" s="192" t="str"/>
      <x:c r="M20" s="192" t="str">
        <x:v>Easy</x:v>
      </x:c>
      <x:c r="N20" s="192" t="str">
        <x:v>Easy</x:v>
      </x:c>
      <x:c r="O20" s="192" t="str">
        <x:v>Knowledge &amp; Recall</x:v>
      </x:c>
      <x:c r="P20" s="192" t="str">
        <x:v>Knowledge &amp; Recall</x:v>
      </x:c>
      <x:c r="Q20" s="192" t="n">
        <x:v>4</x:v>
      </x:c>
      <x:c r="R20" s="192" t="str">
        <x:v>A</x:v>
      </x:c>
      <x:c r="S20" s="192" t="str">
        <x:v>Approved</x:v>
      </x:c>
      <x:c r="T20" s="192" t="str">
        <x:v>Active</x:v>
      </x:c>
      <x:c r="U20" s="192" t="n">
        <x:v>1</x:v>
      </x:c>
      <x:c r="V20" s="192" t="str"/>
      <x:c r="W20" s="192" t="str">
        <x:v>No additional flag</x:v>
      </x:c>
      <x:c r="X20" s="192" t="str">
        <x:v>No structural flag</x:v>
      </x:c>
      <x:c r="Y20" s="192" t="str">
        <x:v>Not Yet Reviewed</x:v>
      </x:c>
      <x:c r="Z20" s="192" t="str">
        <x:v>CTA LMFT Workbook 2</x:v>
      </x:c>
      <x:c r="AA20" s="192" t="str">
        <x:v>CTA_LMFT_WB2_17_Question_Bank_v1.0.docx</x:v>
      </x:c>
      <x:c r="AB20" s="192" t="str">
        <x:v>1.0</x:v>
      </x:c>
      <x:c r="AC20" s="193"/>
      <x:c r="AD20" s="193" t="n">
        <x:v>46228</x:v>
      </x:c>
      <x:c r="AE20" s="192" t="str"/>
      <x:c r="AF20" s="194" t="str">
        <x:v>Workbook bank; reserve pool after controlled review</x:v>
      </x:c>
    </x:row>
    <x:row r="21">
      <x:c r="A21" s="191" t="str">
        <x:v>CTA-LMFT-MQB-0020</x:v>
      </x:c>
      <x:c r="B21" s="192" t="str">
        <x:v>LMFT-WB02-QB-Q003</x:v>
      </x:c>
      <x:c r="C21" s="192" t="str">
        <x:v>LMFT</x:v>
      </x:c>
      <x:c r="D21" s="192" t="str">
        <x:v>Workbook Question Bank</x:v>
      </x:c>
      <x:c r="E21" s="192" t="n">
        <x:v>2</x:v>
      </x:c>
      <x:c r="F21" s="192" t="str">
        <x:v>Clinical Engagement, Intake, and Mental Status Assessment</x:v>
      </x:c>
      <x:c r="G21" s="192"/>
      <x:c r="H21" s="192" t="n">
        <x:v>3</x:v>
      </x:c>
      <x:c r="I21" s="192" t="str">
        <x:v>Workbook Bank</x:v>
      </x:c>
      <x:c r="J21" s="192" t="str">
        <x:v>1. Clinical Evaluation</x:v>
      </x:c>
      <x:c r="K21" s="192" t="str">
        <x:v>Baseline comparison</x:v>
      </x:c>
      <x:c r="L21" s="192" t="str"/>
      <x:c r="M21" s="192" t="str">
        <x:v>Easy</x:v>
      </x:c>
      <x:c r="N21" s="192" t="str">
        <x:v>Easy</x:v>
      </x:c>
      <x:c r="O21" s="192" t="str">
        <x:v>Knowledge &amp; Recall</x:v>
      </x:c>
      <x:c r="P21" s="192" t="str">
        <x:v>Knowledge &amp; Recall</x:v>
      </x:c>
      <x:c r="Q21" s="192" t="n">
        <x:v>4</x:v>
      </x:c>
      <x:c r="R21" s="192" t="str">
        <x:v>C</x:v>
      </x:c>
      <x:c r="S21" s="192" t="str">
        <x:v>Approved</x:v>
      </x:c>
      <x:c r="T21" s="192" t="str">
        <x:v>Active</x:v>
      </x:c>
      <x:c r="U21" s="192" t="n">
        <x:v>1</x:v>
      </x:c>
      <x:c r="V21" s="192" t="str"/>
      <x:c r="W21" s="192" t="str">
        <x:v>No additional flag</x:v>
      </x:c>
      <x:c r="X21" s="192" t="str">
        <x:v>No structural flag</x:v>
      </x:c>
      <x:c r="Y21" s="192" t="str">
        <x:v>Not Yet Reviewed</x:v>
      </x:c>
      <x:c r="Z21" s="192" t="str">
        <x:v>CTA LMFT Workbook 2</x:v>
      </x:c>
      <x:c r="AA21" s="192" t="str">
        <x:v>CTA_LMFT_WB2_17_Question_Bank_v1.0.docx</x:v>
      </x:c>
      <x:c r="AB21" s="192" t="str">
        <x:v>1.0</x:v>
      </x:c>
      <x:c r="AC21" s="193"/>
      <x:c r="AD21" s="193" t="n">
        <x:v>46228</x:v>
      </x:c>
      <x:c r="AE21" s="192" t="str"/>
      <x:c r="AF21" s="194" t="str">
        <x:v>Workbook bank; reserve pool after controlled review</x:v>
      </x:c>
    </x:row>
    <x:row r="22">
      <x:c r="A22" s="191" t="str">
        <x:v>CTA-LMFT-MQB-0021</x:v>
      </x:c>
      <x:c r="B22" s="192" t="str">
        <x:v>LMFT-WB02-QB-Q004</x:v>
      </x:c>
      <x:c r="C22" s="192" t="str">
        <x:v>LMFT</x:v>
      </x:c>
      <x:c r="D22" s="192" t="str">
        <x:v>Workbook Question Bank</x:v>
      </x:c>
      <x:c r="E22" s="192" t="n">
        <x:v>2</x:v>
      </x:c>
      <x:c r="F22" s="192" t="str">
        <x:v>Clinical Engagement, Intake, and Mental Status Assessment</x:v>
      </x:c>
      <x:c r="G22" s="192"/>
      <x:c r="H22" s="192" t="n">
        <x:v>4</x:v>
      </x:c>
      <x:c r="I22" s="192" t="str">
        <x:v>Workbook Bank</x:v>
      </x:c>
      <x:c r="J22" s="192" t="str">
        <x:v>1. Clinical Evaluation</x:v>
      </x:c>
      <x:c r="K22" s="192" t="str">
        <x:v>Third-party referral clarification</x:v>
      </x:c>
      <x:c r="L22" s="192" t="str"/>
      <x:c r="M22" s="192" t="str">
        <x:v>Easy</x:v>
      </x:c>
      <x:c r="N22" s="192" t="str">
        <x:v>Easy</x:v>
      </x:c>
      <x:c r="O22" s="192" t="str">
        <x:v>Application</x:v>
      </x:c>
      <x:c r="P22" s="192" t="str">
        <x:v>Application</x:v>
      </x:c>
      <x:c r="Q22" s="192" t="n">
        <x:v>4</x:v>
      </x:c>
      <x:c r="R22" s="192" t="str">
        <x:v>D</x:v>
      </x:c>
      <x:c r="S22" s="192" t="str">
        <x:v>Approved</x:v>
      </x:c>
      <x:c r="T22" s="192" t="str">
        <x:v>Active</x:v>
      </x:c>
      <x:c r="U22" s="192" t="n">
        <x:v>1</x:v>
      </x:c>
      <x:c r="V22" s="192" t="str"/>
      <x:c r="W22" s="192" t="str">
        <x:v>No additional flag</x:v>
      </x:c>
      <x:c r="X22" s="192" t="str">
        <x:v>No structural flag</x:v>
      </x:c>
      <x:c r="Y22" s="192" t="str">
        <x:v>Not Yet Reviewed</x:v>
      </x:c>
      <x:c r="Z22" s="192" t="str">
        <x:v>CTA LMFT Workbook 2</x:v>
      </x:c>
      <x:c r="AA22" s="192" t="str">
        <x:v>CTA_LMFT_WB2_17_Question_Bank_v1.0.docx</x:v>
      </x:c>
      <x:c r="AB22" s="192" t="str">
        <x:v>1.0</x:v>
      </x:c>
      <x:c r="AC22" s="193"/>
      <x:c r="AD22" s="193" t="n">
        <x:v>46228</x:v>
      </x:c>
      <x:c r="AE22" s="192" t="str"/>
      <x:c r="AF22" s="194" t="str">
        <x:v>Workbook bank; reserve pool after controlled review</x:v>
      </x:c>
    </x:row>
    <x:row r="23">
      <x:c r="A23" s="191" t="str">
        <x:v>CTA-LMFT-MQB-0022</x:v>
      </x:c>
      <x:c r="B23" s="192" t="str">
        <x:v>LMFT-WB02-QB-Q005</x:v>
      </x:c>
      <x:c r="C23" s="192" t="str">
        <x:v>LMFT</x:v>
      </x:c>
      <x:c r="D23" s="192" t="str">
        <x:v>Workbook Question Bank</x:v>
      </x:c>
      <x:c r="E23" s="192" t="n">
        <x:v>2</x:v>
      </x:c>
      <x:c r="F23" s="192" t="str">
        <x:v>Clinical Engagement, Intake, and Mental Status Assessment</x:v>
      </x:c>
      <x:c r="G23" s="192"/>
      <x:c r="H23" s="192" t="n">
        <x:v>5</x:v>
      </x:c>
      <x:c r="I23" s="192" t="str">
        <x:v>Workbook Bank</x:v>
      </x:c>
      <x:c r="J23" s="192" t="str">
        <x:v>1. Clinical Evaluation</x:v>
      </x:c>
      <x:c r="K23" s="192" t="str">
        <x:v>Externally pressured participation</x:v>
      </x:c>
      <x:c r="L23" s="192" t="str"/>
      <x:c r="M23" s="192" t="str">
        <x:v>Easy</x:v>
      </x:c>
      <x:c r="N23" s="192" t="str">
        <x:v>Easy</x:v>
      </x:c>
      <x:c r="O23" s="192" t="str">
        <x:v>Application</x:v>
      </x:c>
      <x:c r="P23" s="192" t="str">
        <x:v>Application</x:v>
      </x:c>
      <x:c r="Q23" s="192" t="n">
        <x:v>4</x:v>
      </x:c>
      <x:c r="R23" s="192" t="str">
        <x:v>A</x:v>
      </x:c>
      <x:c r="S23" s="192" t="str">
        <x:v>Approved</x:v>
      </x:c>
      <x:c r="T23" s="192" t="str">
        <x:v>Active</x:v>
      </x:c>
      <x:c r="U23" s="192" t="n">
        <x:v>1</x:v>
      </x:c>
      <x:c r="V23" s="192" t="str"/>
      <x:c r="W23" s="192" t="str">
        <x:v>No additional flag</x:v>
      </x:c>
      <x:c r="X23" s="192" t="str">
        <x:v>No structural flag</x:v>
      </x:c>
      <x:c r="Y23" s="192" t="str">
        <x:v>Not Yet Reviewed</x:v>
      </x:c>
      <x:c r="Z23" s="192" t="str">
        <x:v>CTA LMFT Workbook 2</x:v>
      </x:c>
      <x:c r="AA23" s="192" t="str">
        <x:v>CTA_LMFT_WB2_17_Question_Bank_v1.0.docx</x:v>
      </x:c>
      <x:c r="AB23" s="192" t="str">
        <x:v>1.0</x:v>
      </x:c>
      <x:c r="AC23" s="193"/>
      <x:c r="AD23" s="193" t="n">
        <x:v>46228</x:v>
      </x:c>
      <x:c r="AE23" s="192" t="str"/>
      <x:c r="AF23" s="194" t="str">
        <x:v>Workbook bank; reserve pool after controlled review</x:v>
      </x:c>
    </x:row>
    <x:row r="24">
      <x:c r="A24" s="191" t="str">
        <x:v>CTA-LMFT-MQB-0023</x:v>
      </x:c>
      <x:c r="B24" s="192" t="str">
        <x:v>LMFT-WB02-QB-Q006</x:v>
      </x:c>
      <x:c r="C24" s="192" t="str">
        <x:v>LMFT</x:v>
      </x:c>
      <x:c r="D24" s="192" t="str">
        <x:v>Workbook Question Bank</x:v>
      </x:c>
      <x:c r="E24" s="192" t="n">
        <x:v>2</x:v>
      </x:c>
      <x:c r="F24" s="192" t="str">
        <x:v>Clinical Engagement, Intake, and Mental Status Assessment</x:v>
      </x:c>
      <x:c r="G24" s="192"/>
      <x:c r="H24" s="192" t="n">
        <x:v>6</x:v>
      </x:c>
      <x:c r="I24" s="192" t="str">
        <x:v>Workbook Bank</x:v>
      </x:c>
      <x:c r="J24" s="192" t="str">
        <x:v>1. Clinical Evaluation</x:v>
      </x:c>
      <x:c r="K24" s="192" t="str">
        <x:v>Direct suicide inquiry</x:v>
      </x:c>
      <x:c r="L24" s="192" t="str"/>
      <x:c r="M24" s="192" t="str">
        <x:v>Moderate</x:v>
      </x:c>
      <x:c r="N24" s="192" t="str">
        <x:v>Moderate</x:v>
      </x:c>
      <x:c r="O24" s="192" t="str">
        <x:v>Application</x:v>
      </x:c>
      <x:c r="P24" s="192" t="str">
        <x:v>Application</x:v>
      </x:c>
      <x:c r="Q24" s="192" t="n">
        <x:v>4</x:v>
      </x:c>
      <x:c r="R24" s="192" t="str">
        <x:v>B</x:v>
      </x:c>
      <x:c r="S24" s="192" t="str">
        <x:v>Approved</x:v>
      </x:c>
      <x:c r="T24" s="192" t="str">
        <x:v>Active</x:v>
      </x:c>
      <x:c r="U24" s="192" t="n">
        <x:v>1</x:v>
      </x:c>
      <x:c r="V24" s="192" t="str"/>
      <x:c r="W24" s="192" t="str">
        <x:v>Review Candidate</x:v>
      </x:c>
      <x:c r="X24" s="192" t="str">
        <x:v>No structural flag</x:v>
      </x:c>
      <x:c r="Y24" s="192" t="str">
        <x:v>Not Yet Reviewed</x:v>
      </x:c>
      <x:c r="Z24" s="192" t="str">
        <x:v>CTA LMFT Workbook 2</x:v>
      </x:c>
      <x:c r="AA24" s="192" t="str">
        <x:v>CTA_LMFT_WB2_17_Question_Bank_v1.0.docx</x:v>
      </x:c>
      <x:c r="AB24" s="192" t="str">
        <x:v>1.0</x:v>
      </x:c>
      <x:c r="AC24" s="193"/>
      <x:c r="AD24" s="193" t="n">
        <x:v>46228</x:v>
      </x:c>
      <x:c r="AE24" s="192" t="str"/>
      <x:c r="AF24" s="194" t="str">
        <x:v>Workbook bank; reserve pool after controlled review</x:v>
      </x:c>
    </x:row>
    <x:row r="25">
      <x:c r="A25" s="191" t="str">
        <x:v>CTA-LMFT-MQB-0024</x:v>
      </x:c>
      <x:c r="B25" s="192" t="str">
        <x:v>LMFT-WB02-QB-Q007</x:v>
      </x:c>
      <x:c r="C25" s="192" t="str">
        <x:v>LMFT</x:v>
      </x:c>
      <x:c r="D25" s="192" t="str">
        <x:v>Workbook Question Bank</x:v>
      </x:c>
      <x:c r="E25" s="192" t="n">
        <x:v>2</x:v>
      </x:c>
      <x:c r="F25" s="192" t="str">
        <x:v>Clinical Engagement, Intake, and Mental Status Assessment</x:v>
      </x:c>
      <x:c r="G25" s="192"/>
      <x:c r="H25" s="192" t="n">
        <x:v>7</x:v>
      </x:c>
      <x:c r="I25" s="192" t="str">
        <x:v>Workbook Bank</x:v>
      </x:c>
      <x:c r="J25" s="192" t="str">
        <x:v>1. Clinical Evaluation</x:v>
      </x:c>
      <x:c r="K25" s="192" t="str">
        <x:v>Acute disorientation</x:v>
      </x:c>
      <x:c r="L25" s="192" t="str"/>
      <x:c r="M25" s="192" t="str">
        <x:v>Moderate</x:v>
      </x:c>
      <x:c r="N25" s="192" t="str">
        <x:v>Moderate</x:v>
      </x:c>
      <x:c r="O25" s="192" t="str">
        <x:v>Application</x:v>
      </x:c>
      <x:c r="P25" s="192" t="str">
        <x:v>Application</x:v>
      </x:c>
      <x:c r="Q25" s="192" t="n">
        <x:v>4</x:v>
      </x:c>
      <x:c r="R25" s="192" t="str">
        <x:v>C</x:v>
      </x:c>
      <x:c r="S25" s="192" t="str">
        <x:v>Approved</x:v>
      </x:c>
      <x:c r="T25" s="192" t="str">
        <x:v>Active</x:v>
      </x:c>
      <x:c r="U25" s="192" t="n">
        <x:v>1</x:v>
      </x:c>
      <x:c r="V25" s="192" t="str"/>
      <x:c r="W25" s="192" t="str">
        <x:v>No additional flag</x:v>
      </x:c>
      <x:c r="X25" s="192" t="str">
        <x:v>No structural flag</x:v>
      </x:c>
      <x:c r="Y25" s="192" t="str">
        <x:v>Not Yet Reviewed</x:v>
      </x:c>
      <x:c r="Z25" s="192" t="str">
        <x:v>CTA LMFT Workbook 2</x:v>
      </x:c>
      <x:c r="AA25" s="192" t="str">
        <x:v>CTA_LMFT_WB2_17_Question_Bank_v1.0.docx</x:v>
      </x:c>
      <x:c r="AB25" s="192" t="str">
        <x:v>1.0</x:v>
      </x:c>
      <x:c r="AC25" s="193"/>
      <x:c r="AD25" s="193" t="n">
        <x:v>46228</x:v>
      </x:c>
      <x:c r="AE25" s="192" t="str"/>
      <x:c r="AF25" s="194" t="str">
        <x:v>Workbook bank; reserve pool after controlled review</x:v>
      </x:c>
    </x:row>
    <x:row r="26">
      <x:c r="A26" s="191" t="str">
        <x:v>CTA-LMFT-MQB-0025</x:v>
      </x:c>
      <x:c r="B26" s="192" t="str">
        <x:v>LMFT-WB02-QB-Q008</x:v>
      </x:c>
      <x:c r="C26" s="192" t="str">
        <x:v>LMFT</x:v>
      </x:c>
      <x:c r="D26" s="192" t="str">
        <x:v>Workbook Question Bank</x:v>
      </x:c>
      <x:c r="E26" s="192" t="n">
        <x:v>2</x:v>
      </x:c>
      <x:c r="F26" s="192" t="str">
        <x:v>Clinical Engagement, Intake, and Mental Status Assessment</x:v>
      </x:c>
      <x:c r="G26" s="192"/>
      <x:c r="H26" s="192" t="n">
        <x:v>8</x:v>
      </x:c>
      <x:c r="I26" s="192" t="str">
        <x:v>Workbook Bank</x:v>
      </x:c>
      <x:c r="J26" s="192" t="str">
        <x:v>1. Clinical Evaluation</x:v>
      </x:c>
      <x:c r="K26" s="192" t="str">
        <x:v>Conjoint-treatment safety</x:v>
      </x:c>
      <x:c r="L26" s="192" t="str"/>
      <x:c r="M26" s="192" t="str">
        <x:v>Moderate</x:v>
      </x:c>
      <x:c r="N26" s="192" t="str">
        <x:v>Moderate</x:v>
      </x:c>
      <x:c r="O26" s="192" t="str">
        <x:v>Application</x:v>
      </x:c>
      <x:c r="P26" s="192" t="str">
        <x:v>Application</x:v>
      </x:c>
      <x:c r="Q26" s="192" t="n">
        <x:v>4</x:v>
      </x:c>
      <x:c r="R26" s="192" t="str">
        <x:v>D</x:v>
      </x:c>
      <x:c r="S26" s="192" t="str">
        <x:v>Approved</x:v>
      </x:c>
      <x:c r="T26" s="192" t="str">
        <x:v>Active</x:v>
      </x:c>
      <x:c r="U26" s="192" t="n">
        <x:v>1</x:v>
      </x:c>
      <x:c r="V26" s="192" t="str"/>
      <x:c r="W26" s="192" t="str">
        <x:v>No additional flag</x:v>
      </x:c>
      <x:c r="X26" s="192" t="str">
        <x:v>No structural flag</x:v>
      </x:c>
      <x:c r="Y26" s="192" t="str">
        <x:v>Not Yet Reviewed</x:v>
      </x:c>
      <x:c r="Z26" s="192" t="str">
        <x:v>CTA LMFT Workbook 2</x:v>
      </x:c>
      <x:c r="AA26" s="192" t="str">
        <x:v>CTA_LMFT_WB2_17_Question_Bank_v1.0.docx</x:v>
      </x:c>
      <x:c r="AB26" s="192" t="str">
        <x:v>1.0</x:v>
      </x:c>
      <x:c r="AC26" s="193"/>
      <x:c r="AD26" s="193" t="n">
        <x:v>46228</x:v>
      </x:c>
      <x:c r="AE26" s="192" t="str"/>
      <x:c r="AF26" s="194" t="str">
        <x:v>Workbook bank; reserve pool after controlled review</x:v>
      </x:c>
    </x:row>
    <x:row r="27">
      <x:c r="A27" s="191" t="str">
        <x:v>CTA-LMFT-MQB-0026</x:v>
      </x:c>
      <x:c r="B27" s="192" t="str">
        <x:v>LMFT-WB02-QB-Q009</x:v>
      </x:c>
      <x:c r="C27" s="192" t="str">
        <x:v>LMFT</x:v>
      </x:c>
      <x:c r="D27" s="192" t="str">
        <x:v>Workbook Question Bank</x:v>
      </x:c>
      <x:c r="E27" s="192" t="n">
        <x:v>2</x:v>
      </x:c>
      <x:c r="F27" s="192" t="str">
        <x:v>Clinical Engagement, Intake, and Mental Status Assessment</x:v>
      </x:c>
      <x:c r="G27" s="192"/>
      <x:c r="H27" s="192" t="n">
        <x:v>9</x:v>
      </x:c>
      <x:c r="I27" s="192" t="str">
        <x:v>Workbook Bank</x:v>
      </x:c>
      <x:c r="J27" s="192" t="str">
        <x:v>1. Clinical Evaluation</x:v>
      </x:c>
      <x:c r="K27" s="192" t="str">
        <x:v>Alliance rupture repair</x:v>
      </x:c>
      <x:c r="L27" s="192" t="str"/>
      <x:c r="M27" s="192" t="str">
        <x:v>Moderate</x:v>
      </x:c>
      <x:c r="N27" s="192" t="str">
        <x:v>Moderate</x:v>
      </x:c>
      <x:c r="O27" s="192" t="str">
        <x:v>Application</x:v>
      </x:c>
      <x:c r="P27" s="192" t="str">
        <x:v>Application</x:v>
      </x:c>
      <x:c r="Q27" s="192" t="n">
        <x:v>4</x:v>
      </x:c>
      <x:c r="R27" s="192" t="str">
        <x:v>A</x:v>
      </x:c>
      <x:c r="S27" s="192" t="str">
        <x:v>Approved</x:v>
      </x:c>
      <x:c r="T27" s="192" t="str">
        <x:v>Active</x:v>
      </x:c>
      <x:c r="U27" s="192" t="n">
        <x:v>1</x:v>
      </x:c>
      <x:c r="V27" s="192" t="str"/>
      <x:c r="W27" s="192" t="str">
        <x:v>No additional flag</x:v>
      </x:c>
      <x:c r="X27" s="192" t="str">
        <x:v>No structural flag</x:v>
      </x:c>
      <x:c r="Y27" s="192" t="str">
        <x:v>Not Yet Reviewed</x:v>
      </x:c>
      <x:c r="Z27" s="192" t="str">
        <x:v>CTA LMFT Workbook 2</x:v>
      </x:c>
      <x:c r="AA27" s="192" t="str">
        <x:v>CTA_LMFT_WB2_17_Question_Bank_v1.0.docx</x:v>
      </x:c>
      <x:c r="AB27" s="192" t="str">
        <x:v>1.0</x:v>
      </x:c>
      <x:c r="AC27" s="193"/>
      <x:c r="AD27" s="193" t="n">
        <x:v>46228</x:v>
      </x:c>
      <x:c r="AE27" s="192" t="str"/>
      <x:c r="AF27" s="194" t="str">
        <x:v>Workbook bank; reserve pool after controlled review</x:v>
      </x:c>
    </x:row>
    <x:row r="28">
      <x:c r="A28" s="191" t="str">
        <x:v>CTA-LMFT-MQB-0027</x:v>
      </x:c>
      <x:c r="B28" s="192" t="str">
        <x:v>LMFT-WB02-QB-Q010</x:v>
      </x:c>
      <x:c r="C28" s="192" t="str">
        <x:v>LMFT</x:v>
      </x:c>
      <x:c r="D28" s="192" t="str">
        <x:v>Workbook Question Bank</x:v>
      </x:c>
      <x:c r="E28" s="192" t="n">
        <x:v>2</x:v>
      </x:c>
      <x:c r="F28" s="192" t="str">
        <x:v>Clinical Engagement, Intake, and Mental Status Assessment</x:v>
      </x:c>
      <x:c r="G28" s="192"/>
      <x:c r="H28" s="192" t="n">
        <x:v>10</x:v>
      </x:c>
      <x:c r="I28" s="192" t="str">
        <x:v>Workbook Bank</x:v>
      </x:c>
      <x:c r="J28" s="192" t="str">
        <x:v>1. Clinical Evaluation</x:v>
      </x:c>
      <x:c r="K28" s="192" t="str">
        <x:v>Possible head-injury emergency</x:v>
      </x:c>
      <x:c r="L28" s="192" t="str"/>
      <x:c r="M28" s="192" t="str">
        <x:v>Moderate</x:v>
      </x:c>
      <x:c r="N28" s="192" t="str">
        <x:v>Moderate</x:v>
      </x:c>
      <x:c r="O28" s="192" t="str">
        <x:v>Scenario-Based</x:v>
      </x:c>
      <x:c r="P28" s="192" t="str">
        <x:v>Scenario-Based</x:v>
      </x:c>
      <x:c r="Q28" s="192" t="n">
        <x:v>4</x:v>
      </x:c>
      <x:c r="R28" s="192" t="str">
        <x:v>B</x:v>
      </x:c>
      <x:c r="S28" s="192" t="str">
        <x:v>Approved</x:v>
      </x:c>
      <x:c r="T28" s="192" t="str">
        <x:v>Active</x:v>
      </x:c>
      <x:c r="U28" s="192" t="n">
        <x:v>1</x:v>
      </x:c>
      <x:c r="V28" s="192" t="str"/>
      <x:c r="W28" s="192" t="str">
        <x:v>No additional flag</x:v>
      </x:c>
      <x:c r="X28" s="192" t="str">
        <x:v>No structural flag</x:v>
      </x:c>
      <x:c r="Y28" s="192" t="str">
        <x:v>Not Yet Reviewed</x:v>
      </x:c>
      <x:c r="Z28" s="192" t="str">
        <x:v>CTA LMFT Workbook 2</x:v>
      </x:c>
      <x:c r="AA28" s="192" t="str">
        <x:v>CTA_LMFT_WB2_17_Question_Bank_v1.0.docx</x:v>
      </x:c>
      <x:c r="AB28" s="192" t="str">
        <x:v>1.0</x:v>
      </x:c>
      <x:c r="AC28" s="193"/>
      <x:c r="AD28" s="193" t="n">
        <x:v>46228</x:v>
      </x:c>
      <x:c r="AE28" s="192" t="str"/>
      <x:c r="AF28" s="194" t="str">
        <x:v>Workbook bank; reserve pool after controlled review</x:v>
      </x:c>
    </x:row>
    <x:row r="29">
      <x:c r="A29" s="191" t="str">
        <x:v>CTA-LMFT-MQB-0028</x:v>
      </x:c>
      <x:c r="B29" s="192" t="str">
        <x:v>LMFT-WB02-QB-Q011</x:v>
      </x:c>
      <x:c r="C29" s="192" t="str">
        <x:v>LMFT</x:v>
      </x:c>
      <x:c r="D29" s="192" t="str">
        <x:v>Workbook Question Bank</x:v>
      </x:c>
      <x:c r="E29" s="192" t="n">
        <x:v>2</x:v>
      </x:c>
      <x:c r="F29" s="192" t="str">
        <x:v>Clinical Engagement, Intake, and Mental Status Assessment</x:v>
      </x:c>
      <x:c r="G29" s="192"/>
      <x:c r="H29" s="192" t="n">
        <x:v>11</x:v>
      </x:c>
      <x:c r="I29" s="192" t="str">
        <x:v>Workbook Bank</x:v>
      </x:c>
      <x:c r="J29" s="192" t="str">
        <x:v>1. Clinical Evaluation</x:v>
      </x:c>
      <x:c r="K29" s="192" t="str">
        <x:v>Adolescent trust after prior disclosure</x:v>
      </x:c>
      <x:c r="L29" s="192" t="str"/>
      <x:c r="M29" s="192" t="str">
        <x:v>Moderate</x:v>
      </x:c>
      <x:c r="N29" s="192" t="str">
        <x:v>Moderate</x:v>
      </x:c>
      <x:c r="O29" s="192" t="str">
        <x:v>Scenario-Based</x:v>
      </x:c>
      <x:c r="P29" s="192" t="str">
        <x:v>Scenario-Based</x:v>
      </x:c>
      <x:c r="Q29" s="192" t="n">
        <x:v>4</x:v>
      </x:c>
      <x:c r="R29" s="192" t="str">
        <x:v>C</x:v>
      </x:c>
      <x:c r="S29" s="192" t="str">
        <x:v>Approved</x:v>
      </x:c>
      <x:c r="T29" s="192" t="str">
        <x:v>Active</x:v>
      </x:c>
      <x:c r="U29" s="192" t="n">
        <x:v>1</x:v>
      </x:c>
      <x:c r="V29" s="192" t="str"/>
      <x:c r="W29" s="192" t="str">
        <x:v>No additional flag</x:v>
      </x:c>
      <x:c r="X29" s="192" t="str">
        <x:v>No structural flag</x:v>
      </x:c>
      <x:c r="Y29" s="192" t="str">
        <x:v>Not Yet Reviewed</x:v>
      </x:c>
      <x:c r="Z29" s="192" t="str">
        <x:v>CTA LMFT Workbook 2</x:v>
      </x:c>
      <x:c r="AA29" s="192" t="str">
        <x:v>CTA_LMFT_WB2_17_Question_Bank_v1.0.docx</x:v>
      </x:c>
      <x:c r="AB29" s="192" t="str">
        <x:v>1.0</x:v>
      </x:c>
      <x:c r="AC29" s="193"/>
      <x:c r="AD29" s="193" t="n">
        <x:v>46228</x:v>
      </x:c>
      <x:c r="AE29" s="192" t="str"/>
      <x:c r="AF29" s="194" t="str">
        <x:v>Workbook bank; reserve pool after controlled review</x:v>
      </x:c>
    </x:row>
    <x:row r="30">
      <x:c r="A30" s="191" t="str">
        <x:v>CTA-LMFT-MQB-0029</x:v>
      </x:c>
      <x:c r="B30" s="192" t="str">
        <x:v>LMFT-WB02-QB-Q012</x:v>
      </x:c>
      <x:c r="C30" s="192" t="str">
        <x:v>LMFT</x:v>
      </x:c>
      <x:c r="D30" s="192" t="str">
        <x:v>Workbook Question Bank</x:v>
      </x:c>
      <x:c r="E30" s="192" t="n">
        <x:v>2</x:v>
      </x:c>
      <x:c r="F30" s="192" t="str">
        <x:v>Clinical Engagement, Intake, and Mental Status Assessment</x:v>
      </x:c>
      <x:c r="G30" s="192"/>
      <x:c r="H30" s="192" t="n">
        <x:v>12</x:v>
      </x:c>
      <x:c r="I30" s="192" t="str">
        <x:v>Workbook Bank</x:v>
      </x:c>
      <x:c r="J30" s="192" t="str">
        <x:v>1. Clinical Evaluation</x:v>
      </x:c>
      <x:c r="K30" s="192" t="str">
        <x:v>Court-referred role clarification</x:v>
      </x:c>
      <x:c r="L30" s="192" t="str"/>
      <x:c r="M30" s="192" t="str">
        <x:v>Moderate</x:v>
      </x:c>
      <x:c r="N30" s="192" t="str">
        <x:v>Moderate</x:v>
      </x:c>
      <x:c r="O30" s="192" t="str">
        <x:v>Scenario-Based</x:v>
      </x:c>
      <x:c r="P30" s="192" t="str">
        <x:v>Scenario-Based</x:v>
      </x:c>
      <x:c r="Q30" s="192" t="n">
        <x:v>4</x:v>
      </x:c>
      <x:c r="R30" s="192" t="str">
        <x:v>D</x:v>
      </x:c>
      <x:c r="S30" s="192" t="str">
        <x:v>Approved</x:v>
      </x:c>
      <x:c r="T30" s="192" t="str">
        <x:v>Active</x:v>
      </x:c>
      <x:c r="U30" s="192" t="n">
        <x:v>1</x:v>
      </x:c>
      <x:c r="V30" s="192" t="str"/>
      <x:c r="W30" s="192" t="str">
        <x:v>No additional flag</x:v>
      </x:c>
      <x:c r="X30" s="192" t="str">
        <x:v>No structural flag</x:v>
      </x:c>
      <x:c r="Y30" s="192" t="str">
        <x:v>Not Yet Reviewed</x:v>
      </x:c>
      <x:c r="Z30" s="192" t="str">
        <x:v>CTA LMFT Workbook 2</x:v>
      </x:c>
      <x:c r="AA30" s="192" t="str">
        <x:v>CTA_LMFT_WB2_17_Question_Bank_v1.0.docx</x:v>
      </x:c>
      <x:c r="AB30" s="192" t="str">
        <x:v>1.0</x:v>
      </x:c>
      <x:c r="AC30" s="193"/>
      <x:c r="AD30" s="193" t="n">
        <x:v>46228</x:v>
      </x:c>
      <x:c r="AE30" s="192" t="str"/>
      <x:c r="AF30" s="194" t="str">
        <x:v>Workbook bank; reserve pool after controlled review</x:v>
      </x:c>
    </x:row>
    <x:row r="31">
      <x:c r="A31" s="191" t="str">
        <x:v>CTA-LMFT-MQB-0030</x:v>
      </x:c>
      <x:c r="B31" s="192" t="str">
        <x:v>LMFT-WB02-QB-Q013</x:v>
      </x:c>
      <x:c r="C31" s="192" t="str">
        <x:v>LMFT</x:v>
      </x:c>
      <x:c r="D31" s="192" t="str">
        <x:v>Workbook Question Bank</x:v>
      </x:c>
      <x:c r="E31" s="192" t="n">
        <x:v>2</x:v>
      </x:c>
      <x:c r="F31" s="192" t="str">
        <x:v>Clinical Engagement, Intake, and Mental Status Assessment</x:v>
      </x:c>
      <x:c r="G31" s="192"/>
      <x:c r="H31" s="192" t="n">
        <x:v>13</x:v>
      </x:c>
      <x:c r="I31" s="192" t="str">
        <x:v>Workbook Bank</x:v>
      </x:c>
      <x:c r="J31" s="192" t="str">
        <x:v>1. Clinical Evaluation</x:v>
      </x:c>
      <x:c r="K31" s="192" t="str">
        <x:v>Coercive control and treatment structure</x:v>
      </x:c>
      <x:c r="L31" s="192" t="str"/>
      <x:c r="M31" s="192" t="str">
        <x:v>Difficult</x:v>
      </x:c>
      <x:c r="N31" s="192" t="str">
        <x:v>Difficult</x:v>
      </x:c>
      <x:c r="O31" s="192" t="str">
        <x:v>Scenario-Based</x:v>
      </x:c>
      <x:c r="P31" s="192" t="str">
        <x:v>Scenario-Based</x:v>
      </x:c>
      <x:c r="Q31" s="192" t="n">
        <x:v>4</x:v>
      </x:c>
      <x:c r="R31" s="192" t="str">
        <x:v>A</x:v>
      </x:c>
      <x:c r="S31" s="192" t="str">
        <x:v>Approved</x:v>
      </x:c>
      <x:c r="T31" s="192" t="str">
        <x:v>Active</x:v>
      </x:c>
      <x:c r="U31" s="192" t="n">
        <x:v>1</x:v>
      </x:c>
      <x:c r="V31" s="192" t="str"/>
      <x:c r="W31" s="192" t="str">
        <x:v>No additional flag</x:v>
      </x:c>
      <x:c r="X31" s="192" t="str">
        <x:v>No structural flag</x:v>
      </x:c>
      <x:c r="Y31" s="192" t="str">
        <x:v>Not Yet Reviewed</x:v>
      </x:c>
      <x:c r="Z31" s="192" t="str">
        <x:v>CTA LMFT Workbook 2</x:v>
      </x:c>
      <x:c r="AA31" s="192" t="str">
        <x:v>CTA_LMFT_WB2_17_Question_Bank_v1.0.docx</x:v>
      </x:c>
      <x:c r="AB31" s="192" t="str">
        <x:v>1.0</x:v>
      </x:c>
      <x:c r="AC31" s="193"/>
      <x:c r="AD31" s="193" t="n">
        <x:v>46228</x:v>
      </x:c>
      <x:c r="AE31" s="192" t="str"/>
      <x:c r="AF31" s="194" t="str">
        <x:v>Workbook bank; reserve pool after controlled review</x:v>
      </x:c>
    </x:row>
    <x:row r="32">
      <x:c r="A32" s="191" t="str">
        <x:v>CTA-LMFT-MQB-0031</x:v>
      </x:c>
      <x:c r="B32" s="192" t="str">
        <x:v>LMFT-WB02-QB-Q014</x:v>
      </x:c>
      <x:c r="C32" s="192" t="str">
        <x:v>LMFT</x:v>
      </x:c>
      <x:c r="D32" s="192" t="str">
        <x:v>Workbook Question Bank</x:v>
      </x:c>
      <x:c r="E32" s="192" t="n">
        <x:v>2</x:v>
      </x:c>
      <x:c r="F32" s="192" t="str">
        <x:v>Clinical Engagement, Intake, and Mental Status Assessment</x:v>
      </x:c>
      <x:c r="G32" s="192"/>
      <x:c r="H32" s="192" t="n">
        <x:v>14</x:v>
      </x:c>
      <x:c r="I32" s="192" t="str">
        <x:v>Workbook Bank</x:v>
      </x:c>
      <x:c r="J32" s="192" t="str">
        <x:v>1. Clinical Evaluation</x:v>
      </x:c>
      <x:c r="K32" s="192" t="str">
        <x:v>Delirium, capacity, and exploitation</x:v>
      </x:c>
      <x:c r="L32" s="192" t="str"/>
      <x:c r="M32" s="192" t="str">
        <x:v>Difficult</x:v>
      </x:c>
      <x:c r="N32" s="192" t="str">
        <x:v>Difficult</x:v>
      </x:c>
      <x:c r="O32" s="192" t="str">
        <x:v>Scenario-Based</x:v>
      </x:c>
      <x:c r="P32" s="192" t="str">
        <x:v>Scenario-Based</x:v>
      </x:c>
      <x:c r="Q32" s="192" t="n">
        <x:v>4</x:v>
      </x:c>
      <x:c r="R32" s="192" t="str">
        <x:v>B</x:v>
      </x:c>
      <x:c r="S32" s="192" t="str">
        <x:v>Approved</x:v>
      </x:c>
      <x:c r="T32" s="192" t="str">
        <x:v>Active</x:v>
      </x:c>
      <x:c r="U32" s="192" t="n">
        <x:v>1</x:v>
      </x:c>
      <x:c r="V32" s="192" t="str"/>
      <x:c r="W32" s="192" t="str">
        <x:v>No additional flag</x:v>
      </x:c>
      <x:c r="X32" s="192" t="str">
        <x:v>No structural flag</x:v>
      </x:c>
      <x:c r="Y32" s="192" t="str">
        <x:v>Not Yet Reviewed</x:v>
      </x:c>
      <x:c r="Z32" s="192" t="str">
        <x:v>CTA LMFT Workbook 2</x:v>
      </x:c>
      <x:c r="AA32" s="192" t="str">
        <x:v>CTA_LMFT_WB2_17_Question_Bank_v1.0.docx</x:v>
      </x:c>
      <x:c r="AB32" s="192" t="str">
        <x:v>1.0</x:v>
      </x:c>
      <x:c r="AC32" s="193"/>
      <x:c r="AD32" s="193" t="n">
        <x:v>46228</x:v>
      </x:c>
      <x:c r="AE32" s="192" t="str"/>
      <x:c r="AF32" s="194" t="str">
        <x:v>Workbook bank; reserve pool after controlled review</x:v>
      </x:c>
    </x:row>
    <x:row r="33">
      <x:c r="A33" s="191" t="str">
        <x:v>CTA-LMFT-MQB-0032</x:v>
      </x:c>
      <x:c r="B33" s="192" t="str">
        <x:v>LMFT-WB02-QB-Q015</x:v>
      </x:c>
      <x:c r="C33" s="192" t="str">
        <x:v>LMFT</x:v>
      </x:c>
      <x:c r="D33" s="192" t="str">
        <x:v>Workbook Question Bank</x:v>
      </x:c>
      <x:c r="E33" s="192" t="n">
        <x:v>2</x:v>
      </x:c>
      <x:c r="F33" s="192" t="str">
        <x:v>Clinical Engagement, Intake, and Mental Status Assessment</x:v>
      </x:c>
      <x:c r="G33" s="192"/>
      <x:c r="H33" s="192" t="n">
        <x:v>15</x:v>
      </x:c>
      <x:c r="I33" s="192" t="str">
        <x:v>Workbook Bank</x:v>
      </x:c>
      <x:c r="J33" s="192" t="str">
        <x:v>1. Clinical Evaluation</x:v>
      </x:c>
      <x:c r="K33" s="192" t="str">
        <x:v>Integrated cognitive, autonomy, and family assessment</x:v>
      </x:c>
      <x:c r="L33" s="192" t="str"/>
      <x:c r="M33" s="192" t="str">
        <x:v>Difficult</x:v>
      </x:c>
      <x:c r="N33" s="192" t="str">
        <x:v>Difficult</x:v>
      </x:c>
      <x:c r="O33" s="192" t="str">
        <x:v>Integrated Clinical Reasoning</x:v>
      </x:c>
      <x:c r="P33" s="192" t="str">
        <x:v>Integrated Clinical Reasoning</x:v>
      </x:c>
      <x:c r="Q33" s="192" t="n">
        <x:v>4</x:v>
      </x:c>
      <x:c r="R33" s="192" t="str">
        <x:v>C</x:v>
      </x:c>
      <x:c r="S33" s="192" t="str">
        <x:v>Approved</x:v>
      </x:c>
      <x:c r="T33" s="192" t="str">
        <x:v>Active</x:v>
      </x:c>
      <x:c r="U33" s="192" t="n">
        <x:v>1</x:v>
      </x:c>
      <x:c r="V33" s="192" t="str"/>
      <x:c r="W33" s="192" t="str">
        <x:v>No additional flag</x:v>
      </x:c>
      <x:c r="X33" s="192" t="str">
        <x:v>No structural flag</x:v>
      </x:c>
      <x:c r="Y33" s="192" t="str">
        <x:v>Not Yet Reviewed</x:v>
      </x:c>
      <x:c r="Z33" s="192" t="str">
        <x:v>CTA LMFT Workbook 2</x:v>
      </x:c>
      <x:c r="AA33" s="192" t="str">
        <x:v>CTA_LMFT_WB2_17_Question_Bank_v1.0.docx</x:v>
      </x:c>
      <x:c r="AB33" s="192" t="str">
        <x:v>1.0</x:v>
      </x:c>
      <x:c r="AC33" s="193"/>
      <x:c r="AD33" s="193" t="n">
        <x:v>46228</x:v>
      </x:c>
      <x:c r="AE33" s="192" t="str"/>
      <x:c r="AF33" s="194" t="str">
        <x:v>Workbook bank; reserve pool after controlled review</x:v>
      </x:c>
    </x:row>
    <x:row r="34">
      <x:c r="A34" s="191" t="str">
        <x:v>CTA-LMFT-MQB-0033</x:v>
      </x:c>
      <x:c r="B34" s="192" t="str">
        <x:v>LMFT-WB02-QB-Q016</x:v>
      </x:c>
      <x:c r="C34" s="192" t="str">
        <x:v>LMFT</x:v>
      </x:c>
      <x:c r="D34" s="192" t="str">
        <x:v>Workbook Question Bank</x:v>
      </x:c>
      <x:c r="E34" s="192" t="n">
        <x:v>2</x:v>
      </x:c>
      <x:c r="F34" s="192" t="str">
        <x:v>Clinical Engagement, Intake, and Mental Status Assessment</x:v>
      </x:c>
      <x:c r="G34" s="192"/>
      <x:c r="H34" s="192" t="n">
        <x:v>16</x:v>
      </x:c>
      <x:c r="I34" s="192" t="str">
        <x:v>Workbook Bank</x:v>
      </x:c>
      <x:c r="J34" s="192" t="str">
        <x:v>1. Clinical Evaluation</x:v>
      </x:c>
      <x:c r="K34" s="192" t="str">
        <x:v>Adolescent safety, substance use, and family engagement</x:v>
      </x:c>
      <x:c r="L34" s="192" t="str"/>
      <x:c r="M34" s="192" t="str">
        <x:v>Difficult</x:v>
      </x:c>
      <x:c r="N34" s="192" t="str">
        <x:v>Difficult</x:v>
      </x:c>
      <x:c r="O34" s="192" t="str">
        <x:v>Integrated Clinical Reasoning</x:v>
      </x:c>
      <x:c r="P34" s="192" t="str">
        <x:v>Integrated Clinical Reasoning</x:v>
      </x:c>
      <x:c r="Q34" s="192" t="n">
        <x:v>4</x:v>
      </x:c>
      <x:c r="R34" s="192" t="str">
        <x:v>D</x:v>
      </x:c>
      <x:c r="S34" s="192" t="str">
        <x:v>Approved</x:v>
      </x:c>
      <x:c r="T34" s="192" t="str">
        <x:v>Active</x:v>
      </x:c>
      <x:c r="U34" s="192" t="n">
        <x:v>1</x:v>
      </x:c>
      <x:c r="V34" s="192" t="str"/>
      <x:c r="W34" s="192" t="str">
        <x:v>No additional flag</x:v>
      </x:c>
      <x:c r="X34" s="192" t="str">
        <x:v>No structural flag</x:v>
      </x:c>
      <x:c r="Y34" s="192" t="str">
        <x:v>Not Yet Reviewed</x:v>
      </x:c>
      <x:c r="Z34" s="192" t="str">
        <x:v>CTA LMFT Workbook 2</x:v>
      </x:c>
      <x:c r="AA34" s="192" t="str">
        <x:v>CTA_LMFT_WB2_17_Question_Bank_v1.0.docx</x:v>
      </x:c>
      <x:c r="AB34" s="192" t="str">
        <x:v>1.0</x:v>
      </x:c>
      <x:c r="AC34" s="193"/>
      <x:c r="AD34" s="193" t="n">
        <x:v>46228</x:v>
      </x:c>
      <x:c r="AE34" s="192" t="str"/>
      <x:c r="AF34" s="194" t="str">
        <x:v>Workbook bank; reserve pool after controlled review</x:v>
      </x:c>
    </x:row>
    <x:row r="35">
      <x:c r="A35" s="191" t="str">
        <x:v>CTA-LMFT-MQB-0034</x:v>
      </x:c>
      <x:c r="B35" s="192" t="str">
        <x:v>LMFT-WB02-QB-Q017</x:v>
      </x:c>
      <x:c r="C35" s="192" t="str">
        <x:v>LMFT</x:v>
      </x:c>
      <x:c r="D35" s="192" t="str">
        <x:v>Workbook Question Bank</x:v>
      </x:c>
      <x:c r="E35" s="192" t="n">
        <x:v>2</x:v>
      </x:c>
      <x:c r="F35" s="192" t="str">
        <x:v>Clinical Engagement, Intake, and Mental Status Assessment</x:v>
      </x:c>
      <x:c r="G35" s="192"/>
      <x:c r="H35" s="192" t="n">
        <x:v>17</x:v>
      </x:c>
      <x:c r="I35" s="192" t="str">
        <x:v>Workbook Bank</x:v>
      </x:c>
      <x:c r="J35" s="192" t="str">
        <x:v>1. Clinical Evaluation</x:v>
      </x:c>
      <x:c r="K35" s="192" t="str">
        <x:v>Integrated language, coercion, medical, and perceptual assessment</x:v>
      </x:c>
      <x:c r="L35" s="192" t="str"/>
      <x:c r="M35" s="192" t="str">
        <x:v>Difficult</x:v>
      </x:c>
      <x:c r="N35" s="192" t="str">
        <x:v>Difficult</x:v>
      </x:c>
      <x:c r="O35" s="192" t="str">
        <x:v>Integrated Clinical Reasoning</x:v>
      </x:c>
      <x:c r="P35" s="192" t="str">
        <x:v>Integrated Clinical Reasoning</x:v>
      </x:c>
      <x:c r="Q35" s="192" t="n">
        <x:v>4</x:v>
      </x:c>
      <x:c r="R35" s="192" t="str">
        <x:v>A</x:v>
      </x:c>
      <x:c r="S35" s="192" t="str">
        <x:v>Approved</x:v>
      </x:c>
      <x:c r="T35" s="192" t="str">
        <x:v>Active</x:v>
      </x:c>
      <x:c r="U35" s="192" t="n">
        <x:v>1</x:v>
      </x:c>
      <x:c r="V35" s="192" t="str"/>
      <x:c r="W35" s="192" t="str">
        <x:v>No additional flag</x:v>
      </x:c>
      <x:c r="X35" s="192" t="str">
        <x:v>No structural flag</x:v>
      </x:c>
      <x:c r="Y35" s="192" t="str">
        <x:v>Not Yet Reviewed</x:v>
      </x:c>
      <x:c r="Z35" s="192" t="str">
        <x:v>CTA LMFT Workbook 2</x:v>
      </x:c>
      <x:c r="AA35" s="192" t="str">
        <x:v>CTA_LMFT_WB2_17_Question_Bank_v1.0.docx</x:v>
      </x:c>
      <x:c r="AB35" s="192" t="str">
        <x:v>1.0</x:v>
      </x:c>
      <x:c r="AC35" s="193"/>
      <x:c r="AD35" s="193" t="n">
        <x:v>46228</x:v>
      </x:c>
      <x:c r="AE35" s="192" t="str"/>
      <x:c r="AF35" s="194" t="str">
        <x:v>Workbook bank; reserve pool after controlled review</x:v>
      </x:c>
    </x:row>
    <x:row r="36">
      <x:c r="A36" s="191" t="str">
        <x:v>CTA-LMFT-MQB-0035</x:v>
      </x:c>
      <x:c r="B36" s="192" t="str">
        <x:v>LMFT-WB03-QB-Q001</x:v>
      </x:c>
      <x:c r="C36" s="192" t="str">
        <x:v>LMFT</x:v>
      </x:c>
      <x:c r="D36" s="192" t="str">
        <x:v>Workbook Question Bank</x:v>
      </x:c>
      <x:c r="E36" s="192" t="n">
        <x:v>3</x:v>
      </x:c>
      <x:c r="F36" s="192" t="str">
        <x:v>Developmental, Psychosocial, and Diversity Assessment</x:v>
      </x:c>
      <x:c r="G36" s="192"/>
      <x:c r="H36" s="192" t="n">
        <x:v>1</x:v>
      </x:c>
      <x:c r="I36" s="192" t="str">
        <x:v>Workbook Bank</x:v>
      </x:c>
      <x:c r="J36" s="192" t="str">
        <x:v>1. Clinical Evaluation</x:v>
      </x:c>
      <x:c r="K36" s="192" t="str">
        <x:v>Chronological age versus developmental level</x:v>
      </x:c>
      <x:c r="L36" s="192" t="str"/>
      <x:c r="M36" s="192" t="str">
        <x:v>Easy</x:v>
      </x:c>
      <x:c r="N36" s="192" t="str">
        <x:v>Easy</x:v>
      </x:c>
      <x:c r="O36" s="192" t="str">
        <x:v>Knowledge &amp; Recall</x:v>
      </x:c>
      <x:c r="P36" s="192" t="str">
        <x:v>Knowledge &amp; Recall</x:v>
      </x:c>
      <x:c r="Q36" s="192" t="n">
        <x:v>4</x:v>
      </x:c>
      <x:c r="R36" s="192" t="str">
        <x:v>B</x:v>
      </x:c>
      <x:c r="S36" s="192" t="str">
        <x:v>Approved</x:v>
      </x:c>
      <x:c r="T36" s="192" t="str">
        <x:v>Active</x:v>
      </x:c>
      <x:c r="U36" s="192" t="n">
        <x:v>1</x:v>
      </x:c>
      <x:c r="V36" s="192" t="str"/>
      <x:c r="W36" s="192" t="str">
        <x:v>No additional flag</x:v>
      </x:c>
      <x:c r="X36" s="192" t="str">
        <x:v>No structural flag</x:v>
      </x:c>
      <x:c r="Y36" s="192" t="str">
        <x:v>Not Yet Reviewed</x:v>
      </x:c>
      <x:c r="Z36" s="192" t="str">
        <x:v>CTA LMFT Workbook 3</x:v>
      </x:c>
      <x:c r="AA36" s="192" t="str">
        <x:v>CTA_LMFT_WB3_17_Question_Bank_v1.0.docx</x:v>
      </x:c>
      <x:c r="AB36" s="192" t="str">
        <x:v>1.0</x:v>
      </x:c>
      <x:c r="AC36" s="193"/>
      <x:c r="AD36" s="193" t="n">
        <x:v>46228</x:v>
      </x:c>
      <x:c r="AE36" s="192" t="str"/>
      <x:c r="AF36" s="194" t="str">
        <x:v>Workbook bank; reserve pool after controlled review</x:v>
      </x:c>
    </x:row>
    <x:row r="37">
      <x:c r="A37" s="191" t="str">
        <x:v>CTA-LMFT-MQB-0036</x:v>
      </x:c>
      <x:c r="B37" s="192" t="str">
        <x:v>LMFT-WB03-QB-Q002</x:v>
      </x:c>
      <x:c r="C37" s="192" t="str">
        <x:v>LMFT</x:v>
      </x:c>
      <x:c r="D37" s="192" t="str">
        <x:v>Workbook Question Bank</x:v>
      </x:c>
      <x:c r="E37" s="192" t="n">
        <x:v>3</x:v>
      </x:c>
      <x:c r="F37" s="192" t="str">
        <x:v>Developmental, Psychosocial, and Diversity Assessment</x:v>
      </x:c>
      <x:c r="G37" s="192"/>
      <x:c r="H37" s="192" t="n">
        <x:v>2</x:v>
      </x:c>
      <x:c r="I37" s="192" t="str">
        <x:v>Workbook Bank</x:v>
      </x:c>
      <x:c r="J37" s="192" t="str">
        <x:v>1. Clinical Evaluation</x:v>
      </x:c>
      <x:c r="K37" s="192" t="str">
        <x:v>Change from baseline</x:v>
      </x:c>
      <x:c r="L37" s="192" t="str"/>
      <x:c r="M37" s="192" t="str">
        <x:v>Easy</x:v>
      </x:c>
      <x:c r="N37" s="192" t="str">
        <x:v>Easy</x:v>
      </x:c>
      <x:c r="O37" s="192" t="str">
        <x:v>Knowledge &amp; Recall</x:v>
      </x:c>
      <x:c r="P37" s="192" t="str">
        <x:v>Knowledge &amp; Recall</x:v>
      </x:c>
      <x:c r="Q37" s="192" t="n">
        <x:v>4</x:v>
      </x:c>
      <x:c r="R37" s="192" t="str">
        <x:v>A</x:v>
      </x:c>
      <x:c r="S37" s="192" t="str">
        <x:v>Approved</x:v>
      </x:c>
      <x:c r="T37" s="192" t="str">
        <x:v>Active</x:v>
      </x:c>
      <x:c r="U37" s="192" t="n">
        <x:v>1</x:v>
      </x:c>
      <x:c r="V37" s="192" t="str"/>
      <x:c r="W37" s="192" t="str">
        <x:v>No additional flag</x:v>
      </x:c>
      <x:c r="X37" s="192" t="str">
        <x:v>No structural flag</x:v>
      </x:c>
      <x:c r="Y37" s="192" t="str">
        <x:v>Not Yet Reviewed</x:v>
      </x:c>
      <x:c r="Z37" s="192" t="str">
        <x:v>CTA LMFT Workbook 3</x:v>
      </x:c>
      <x:c r="AA37" s="192" t="str">
        <x:v>CTA_LMFT_WB3_17_Question_Bank_v1.0.docx</x:v>
      </x:c>
      <x:c r="AB37" s="192" t="str">
        <x:v>1.0</x:v>
      </x:c>
      <x:c r="AC37" s="193"/>
      <x:c r="AD37" s="193" t="n">
        <x:v>46228</x:v>
      </x:c>
      <x:c r="AE37" s="192" t="str"/>
      <x:c r="AF37" s="194" t="str">
        <x:v>Workbook bank; reserve pool after controlled review</x:v>
      </x:c>
    </x:row>
    <x:row r="38">
      <x:c r="A38" s="191" t="str">
        <x:v>CTA-LMFT-MQB-0037</x:v>
      </x:c>
      <x:c r="B38" s="192" t="str">
        <x:v>LMFT-WB03-QB-Q003</x:v>
      </x:c>
      <x:c r="C38" s="192" t="str">
        <x:v>LMFT</x:v>
      </x:c>
      <x:c r="D38" s="192" t="str">
        <x:v>Workbook Question Bank</x:v>
      </x:c>
      <x:c r="E38" s="192" t="n">
        <x:v>3</x:v>
      </x:c>
      <x:c r="F38" s="192" t="str">
        <x:v>Developmental, Psychosocial, and Diversity Assessment</x:v>
      </x:c>
      <x:c r="G38" s="192"/>
      <x:c r="H38" s="192" t="n">
        <x:v>3</x:v>
      </x:c>
      <x:c r="I38" s="192" t="str">
        <x:v>Workbook Bank</x:v>
      </x:c>
      <x:c r="J38" s="192" t="str">
        <x:v>1. Clinical Evaluation</x:v>
      </x:c>
      <x:c r="K38" s="192" t="str">
        <x:v>Cultural humility</x:v>
      </x:c>
      <x:c r="L38" s="192" t="str"/>
      <x:c r="M38" s="192" t="str">
        <x:v>Easy</x:v>
      </x:c>
      <x:c r="N38" s="192" t="str">
        <x:v>Easy</x:v>
      </x:c>
      <x:c r="O38" s="192" t="str">
        <x:v>Knowledge &amp; Recall</x:v>
      </x:c>
      <x:c r="P38" s="192" t="str">
        <x:v>Knowledge &amp; Recall</x:v>
      </x:c>
      <x:c r="Q38" s="192" t="n">
        <x:v>4</x:v>
      </x:c>
      <x:c r="R38" s="192" t="str">
        <x:v>C</x:v>
      </x:c>
      <x:c r="S38" s="192" t="str">
        <x:v>Approved</x:v>
      </x:c>
      <x:c r="T38" s="192" t="str">
        <x:v>Active</x:v>
      </x:c>
      <x:c r="U38" s="192" t="n">
        <x:v>1</x:v>
      </x:c>
      <x:c r="V38" s="192" t="str"/>
      <x:c r="W38" s="192" t="str">
        <x:v>No additional flag</x:v>
      </x:c>
      <x:c r="X38" s="192" t="str">
        <x:v>No structural flag</x:v>
      </x:c>
      <x:c r="Y38" s="192" t="str">
        <x:v>Not Yet Reviewed</x:v>
      </x:c>
      <x:c r="Z38" s="192" t="str">
        <x:v>CTA LMFT Workbook 3</x:v>
      </x:c>
      <x:c r="AA38" s="192" t="str">
        <x:v>CTA_LMFT_WB3_17_Question_Bank_v1.0.docx</x:v>
      </x:c>
      <x:c r="AB38" s="192" t="str">
        <x:v>1.0</x:v>
      </x:c>
      <x:c r="AC38" s="193"/>
      <x:c r="AD38" s="193" t="n">
        <x:v>46228</x:v>
      </x:c>
      <x:c r="AE38" s="192" t="str"/>
      <x:c r="AF38" s="194" t="str">
        <x:v>Workbook bank; reserve pool after controlled review</x:v>
      </x:c>
    </x:row>
    <x:row r="39">
      <x:c r="A39" s="191" t="str">
        <x:v>CTA-LMFT-MQB-0038</x:v>
      </x:c>
      <x:c r="B39" s="192" t="str">
        <x:v>LMFT-WB03-QB-Q004</x:v>
      </x:c>
      <x:c r="C39" s="192" t="str">
        <x:v>LMFT</x:v>
      </x:c>
      <x:c r="D39" s="192" t="str">
        <x:v>Workbook Question Bank</x:v>
      </x:c>
      <x:c r="E39" s="192" t="n">
        <x:v>3</x:v>
      </x:c>
      <x:c r="F39" s="192" t="str">
        <x:v>Developmental, Psychosocial, and Diversity Assessment</x:v>
      </x:c>
      <x:c r="G39" s="192"/>
      <x:c r="H39" s="192" t="n">
        <x:v>4</x:v>
      </x:c>
      <x:c r="I39" s="192" t="str">
        <x:v>Workbook Bank</x:v>
      </x:c>
      <x:c r="J39" s="192" t="str">
        <x:v>1. Clinical Evaluation</x:v>
      </x:c>
      <x:c r="K39" s="192" t="str">
        <x:v>Cross-setting comparison</x:v>
      </x:c>
      <x:c r="L39" s="192" t="str"/>
      <x:c r="M39" s="192" t="str">
        <x:v>Easy</x:v>
      </x:c>
      <x:c r="N39" s="192" t="str">
        <x:v>Easy</x:v>
      </x:c>
      <x:c r="O39" s="192" t="str">
        <x:v>Knowledge &amp; Recall</x:v>
      </x:c>
      <x:c r="P39" s="192" t="str">
        <x:v>Knowledge &amp; Recall</x:v>
      </x:c>
      <x:c r="Q39" s="192" t="n">
        <x:v>4</x:v>
      </x:c>
      <x:c r="R39" s="192" t="str">
        <x:v>D</x:v>
      </x:c>
      <x:c r="S39" s="192" t="str">
        <x:v>Approved</x:v>
      </x:c>
      <x:c r="T39" s="192" t="str">
        <x:v>Active</x:v>
      </x:c>
      <x:c r="U39" s="192" t="n">
        <x:v>1</x:v>
      </x:c>
      <x:c r="V39" s="192" t="str"/>
      <x:c r="W39" s="192" t="str">
        <x:v>No additional flag</x:v>
      </x:c>
      <x:c r="X39" s="192" t="str">
        <x:v>No structural flag</x:v>
      </x:c>
      <x:c r="Y39" s="192" t="str">
        <x:v>Not Yet Reviewed</x:v>
      </x:c>
      <x:c r="Z39" s="192" t="str">
        <x:v>CTA LMFT Workbook 3</x:v>
      </x:c>
      <x:c r="AA39" s="192" t="str">
        <x:v>CTA_LMFT_WB3_17_Question_Bank_v1.0.docx</x:v>
      </x:c>
      <x:c r="AB39" s="192" t="str">
        <x:v>1.0</x:v>
      </x:c>
      <x:c r="AC39" s="193"/>
      <x:c r="AD39" s="193" t="n">
        <x:v>46228</x:v>
      </x:c>
      <x:c r="AE39" s="192" t="str"/>
      <x:c r="AF39" s="194" t="str">
        <x:v>Workbook bank; reserve pool after controlled review</x:v>
      </x:c>
    </x:row>
    <x:row r="40">
      <x:c r="A40" s="191" t="str">
        <x:v>CTA-LMFT-MQB-0039</x:v>
      </x:c>
      <x:c r="B40" s="192" t="str">
        <x:v>LMFT-WB03-QB-Q005</x:v>
      </x:c>
      <x:c r="C40" s="192" t="str">
        <x:v>LMFT</x:v>
      </x:c>
      <x:c r="D40" s="192" t="str">
        <x:v>Workbook Question Bank</x:v>
      </x:c>
      <x:c r="E40" s="192" t="n">
        <x:v>3</x:v>
      </x:c>
      <x:c r="F40" s="192" t="str">
        <x:v>Developmental, Psychosocial, and Diversity Assessment</x:v>
      </x:c>
      <x:c r="G40" s="192"/>
      <x:c r="H40" s="192" t="n">
        <x:v>5</x:v>
      </x:c>
      <x:c r="I40" s="192" t="str">
        <x:v>Workbook Bank</x:v>
      </x:c>
      <x:c r="J40" s="192" t="str">
        <x:v>1. Clinical Evaluation</x:v>
      </x:c>
      <x:c r="K40" s="192" t="str">
        <x:v>Sudden functional regression</x:v>
      </x:c>
      <x:c r="L40" s="192" t="str"/>
      <x:c r="M40" s="192" t="str">
        <x:v>Easy</x:v>
      </x:c>
      <x:c r="N40" s="192" t="str">
        <x:v>Easy</x:v>
      </x:c>
      <x:c r="O40" s="192" t="str">
        <x:v>Application</x:v>
      </x:c>
      <x:c r="P40" s="192" t="str">
        <x:v>Application</x:v>
      </x:c>
      <x:c r="Q40" s="192" t="n">
        <x:v>4</x:v>
      </x:c>
      <x:c r="R40" s="192" t="str">
        <x:v>A</x:v>
      </x:c>
      <x:c r="S40" s="192" t="str">
        <x:v>Approved</x:v>
      </x:c>
      <x:c r="T40" s="192" t="str">
        <x:v>Active</x:v>
      </x:c>
      <x:c r="U40" s="192" t="n">
        <x:v>1</x:v>
      </x:c>
      <x:c r="V40" s="192" t="str"/>
      <x:c r="W40" s="192" t="str">
        <x:v>No additional flag</x:v>
      </x:c>
      <x:c r="X40" s="192" t="str">
        <x:v>No structural flag</x:v>
      </x:c>
      <x:c r="Y40" s="192" t="str">
        <x:v>Not Yet Reviewed</x:v>
      </x:c>
      <x:c r="Z40" s="192" t="str">
        <x:v>CTA LMFT Workbook 3</x:v>
      </x:c>
      <x:c r="AA40" s="192" t="str">
        <x:v>CTA_LMFT_WB3_17_Question_Bank_v1.0.docx</x:v>
      </x:c>
      <x:c r="AB40" s="192" t="str">
        <x:v>1.0</x:v>
      </x:c>
      <x:c r="AC40" s="193"/>
      <x:c r="AD40" s="193" t="n">
        <x:v>46228</x:v>
      </x:c>
      <x:c r="AE40" s="192" t="str"/>
      <x:c r="AF40" s="194" t="str">
        <x:v>Workbook bank; reserve pool after controlled review</x:v>
      </x:c>
    </x:row>
    <x:row r="41">
      <x:c r="A41" s="191" t="str">
        <x:v>CTA-LMFT-MQB-0040</x:v>
      </x:c>
      <x:c r="B41" s="192" t="str">
        <x:v>LMFT-WB03-QB-Q006</x:v>
      </x:c>
      <x:c r="C41" s="192" t="str">
        <x:v>LMFT</x:v>
      </x:c>
      <x:c r="D41" s="192" t="str">
        <x:v>Workbook Question Bank</x:v>
      </x:c>
      <x:c r="E41" s="192" t="n">
        <x:v>3</x:v>
      </x:c>
      <x:c r="F41" s="192" t="str">
        <x:v>Developmental, Psychosocial, and Diversity Assessment</x:v>
      </x:c>
      <x:c r="G41" s="192"/>
      <x:c r="H41" s="192" t="n">
        <x:v>6</x:v>
      </x:c>
      <x:c r="I41" s="192" t="str">
        <x:v>Workbook Bank</x:v>
      </x:c>
      <x:c r="J41" s="192" t="str">
        <x:v>1. Clinical Evaluation</x:v>
      </x:c>
      <x:c r="K41" s="192" t="str">
        <x:v>Adolescent privacy and family involvement</x:v>
      </x:c>
      <x:c r="L41" s="192" t="str"/>
      <x:c r="M41" s="192" t="str">
        <x:v>Moderate</x:v>
      </x:c>
      <x:c r="N41" s="192" t="str">
        <x:v>Moderate</x:v>
      </x:c>
      <x:c r="O41" s="192" t="str">
        <x:v>Application</x:v>
      </x:c>
      <x:c r="P41" s="192" t="str">
        <x:v>Application</x:v>
      </x:c>
      <x:c r="Q41" s="192" t="n">
        <x:v>4</x:v>
      </x:c>
      <x:c r="R41" s="192" t="str">
        <x:v>B</x:v>
      </x:c>
      <x:c r="S41" s="192" t="str">
        <x:v>Approved</x:v>
      </x:c>
      <x:c r="T41" s="192" t="str">
        <x:v>Active</x:v>
      </x:c>
      <x:c r="U41" s="192" t="n">
        <x:v>1</x:v>
      </x:c>
      <x:c r="V41" s="192" t="str"/>
      <x:c r="W41" s="192" t="str">
        <x:v>No additional flag</x:v>
      </x:c>
      <x:c r="X41" s="192" t="str">
        <x:v>No structural flag</x:v>
      </x:c>
      <x:c r="Y41" s="192" t="str">
        <x:v>Not Yet Reviewed</x:v>
      </x:c>
      <x:c r="Z41" s="192" t="str">
        <x:v>CTA LMFT Workbook 3</x:v>
      </x:c>
      <x:c r="AA41" s="192" t="str">
        <x:v>CTA_LMFT_WB3_17_Question_Bank_v1.0.docx</x:v>
      </x:c>
      <x:c r="AB41" s="192" t="str">
        <x:v>1.0</x:v>
      </x:c>
      <x:c r="AC41" s="193"/>
      <x:c r="AD41" s="193" t="n">
        <x:v>46228</x:v>
      </x:c>
      <x:c r="AE41" s="192" t="str"/>
      <x:c r="AF41" s="194" t="str">
        <x:v>Workbook bank; reserve pool after controlled review</x:v>
      </x:c>
    </x:row>
    <x:row r="42">
      <x:c r="A42" s="191" t="str">
        <x:v>CTA-LMFT-MQB-0041</x:v>
      </x:c>
      <x:c r="B42" s="192" t="str">
        <x:v>LMFT-WB03-QB-Q007</x:v>
      </x:c>
      <x:c r="C42" s="192" t="str">
        <x:v>LMFT</x:v>
      </x:c>
      <x:c r="D42" s="192" t="str">
        <x:v>Workbook Question Bank</x:v>
      </x:c>
      <x:c r="E42" s="192" t="n">
        <x:v>3</x:v>
      </x:c>
      <x:c r="F42" s="192" t="str">
        <x:v>Developmental, Psychosocial, and Diversity Assessment</x:v>
      </x:c>
      <x:c r="G42" s="192"/>
      <x:c r="H42" s="192" t="n">
        <x:v>7</x:v>
      </x:c>
      <x:c r="I42" s="192" t="str">
        <x:v>Workbook Bank</x:v>
      </x:c>
      <x:c r="J42" s="192" t="str">
        <x:v>1. Clinical Evaluation</x:v>
      </x:c>
      <x:c r="K42" s="192" t="str">
        <x:v>Migration, acculturation, and autonomy</x:v>
      </x:c>
      <x:c r="L42" s="192" t="str"/>
      <x:c r="M42" s="192" t="str">
        <x:v>Moderate</x:v>
      </x:c>
      <x:c r="N42" s="192" t="str">
        <x:v>Moderate</x:v>
      </x:c>
      <x:c r="O42" s="192" t="str">
        <x:v>Application</x:v>
      </x:c>
      <x:c r="P42" s="192" t="str">
        <x:v>Application</x:v>
      </x:c>
      <x:c r="Q42" s="192" t="n">
        <x:v>4</x:v>
      </x:c>
      <x:c r="R42" s="192" t="str">
        <x:v>C</x:v>
      </x:c>
      <x:c r="S42" s="192" t="str">
        <x:v>Approved</x:v>
      </x:c>
      <x:c r="T42" s="192" t="str">
        <x:v>Active</x:v>
      </x:c>
      <x:c r="U42" s="192" t="n">
        <x:v>1</x:v>
      </x:c>
      <x:c r="V42" s="192" t="str"/>
      <x:c r="W42" s="192" t="str">
        <x:v>No additional flag</x:v>
      </x:c>
      <x:c r="X42" s="192" t="str">
        <x:v>No structural flag</x:v>
      </x:c>
      <x:c r="Y42" s="192" t="str">
        <x:v>Not Yet Reviewed</x:v>
      </x:c>
      <x:c r="Z42" s="192" t="str">
        <x:v>CTA LMFT Workbook 3</x:v>
      </x:c>
      <x:c r="AA42" s="192" t="str">
        <x:v>CTA_LMFT_WB3_17_Question_Bank_v1.0.docx</x:v>
      </x:c>
      <x:c r="AB42" s="192" t="str">
        <x:v>1.0</x:v>
      </x:c>
      <x:c r="AC42" s="193"/>
      <x:c r="AD42" s="193" t="n">
        <x:v>46228</x:v>
      </x:c>
      <x:c r="AE42" s="192" t="str"/>
      <x:c r="AF42" s="194" t="str">
        <x:v>Workbook bank; reserve pool after controlled review</x:v>
      </x:c>
    </x:row>
    <x:row r="43">
      <x:c r="A43" s="191" t="str">
        <x:v>CTA-LMFT-MQB-0042</x:v>
      </x:c>
      <x:c r="B43" s="192" t="str">
        <x:v>LMFT-WB03-QB-Q008</x:v>
      </x:c>
      <x:c r="C43" s="192" t="str">
        <x:v>LMFT</x:v>
      </x:c>
      <x:c r="D43" s="192" t="str">
        <x:v>Workbook Question Bank</x:v>
      </x:c>
      <x:c r="E43" s="192" t="n">
        <x:v>3</x:v>
      </x:c>
      <x:c r="F43" s="192" t="str">
        <x:v>Developmental, Psychosocial, and Diversity Assessment</x:v>
      </x:c>
      <x:c r="G43" s="192"/>
      <x:c r="H43" s="192" t="n">
        <x:v>8</x:v>
      </x:c>
      <x:c r="I43" s="192" t="str">
        <x:v>Workbook Bank</x:v>
      </x:c>
      <x:c r="J43" s="192" t="str">
        <x:v>1. Clinical Evaluation</x:v>
      </x:c>
      <x:c r="K43" s="192" t="str">
        <x:v>Neurodiversity and environmental fit</x:v>
      </x:c>
      <x:c r="L43" s="192" t="str"/>
      <x:c r="M43" s="192" t="str">
        <x:v>Moderate</x:v>
      </x:c>
      <x:c r="N43" s="192" t="str">
        <x:v>Moderate</x:v>
      </x:c>
      <x:c r="O43" s="192" t="str">
        <x:v>Application</x:v>
      </x:c>
      <x:c r="P43" s="192" t="str">
        <x:v>Application</x:v>
      </x:c>
      <x:c r="Q43" s="192" t="n">
        <x:v>4</x:v>
      </x:c>
      <x:c r="R43" s="192" t="str">
        <x:v>D</x:v>
      </x:c>
      <x:c r="S43" s="192" t="str">
        <x:v>Approved</x:v>
      </x:c>
      <x:c r="T43" s="192" t="str">
        <x:v>Active</x:v>
      </x:c>
      <x:c r="U43" s="192" t="n">
        <x:v>1</x:v>
      </x:c>
      <x:c r="V43" s="192" t="str"/>
      <x:c r="W43" s="192" t="str">
        <x:v>No additional flag</x:v>
      </x:c>
      <x:c r="X43" s="192" t="str">
        <x:v>No structural flag</x:v>
      </x:c>
      <x:c r="Y43" s="192" t="str">
        <x:v>Not Yet Reviewed</x:v>
      </x:c>
      <x:c r="Z43" s="192" t="str">
        <x:v>CTA LMFT Workbook 3</x:v>
      </x:c>
      <x:c r="AA43" s="192" t="str">
        <x:v>CTA_LMFT_WB3_17_Question_Bank_v1.0.docx</x:v>
      </x:c>
      <x:c r="AB43" s="192" t="str">
        <x:v>1.0</x:v>
      </x:c>
      <x:c r="AC43" s="193"/>
      <x:c r="AD43" s="193" t="n">
        <x:v>46228</x:v>
      </x:c>
      <x:c r="AE43" s="192" t="str"/>
      <x:c r="AF43" s="194" t="str">
        <x:v>Workbook bank; reserve pool after controlled review</x:v>
      </x:c>
    </x:row>
    <x:row r="44">
      <x:c r="A44" s="191" t="str">
        <x:v>CTA-LMFT-MQB-0043</x:v>
      </x:c>
      <x:c r="B44" s="192" t="str">
        <x:v>LMFT-WB03-QB-Q009</x:v>
      </x:c>
      <x:c r="C44" s="192" t="str">
        <x:v>LMFT</x:v>
      </x:c>
      <x:c r="D44" s="192" t="str">
        <x:v>Workbook Question Bank</x:v>
      </x:c>
      <x:c r="E44" s="192" t="n">
        <x:v>3</x:v>
      </x:c>
      <x:c r="F44" s="192" t="str">
        <x:v>Developmental, Psychosocial, and Diversity Assessment</x:v>
      </x:c>
      <x:c r="G44" s="192"/>
      <x:c r="H44" s="192" t="n">
        <x:v>9</x:v>
      </x:c>
      <x:c r="I44" s="192" t="str">
        <x:v>Workbook Bank</x:v>
      </x:c>
      <x:c r="J44" s="192" t="str">
        <x:v>1. Clinical Evaluation</x:v>
      </x:c>
      <x:c r="K44" s="192" t="str">
        <x:v>Economic stress and child symptoms</x:v>
      </x:c>
      <x:c r="L44" s="192" t="str"/>
      <x:c r="M44" s="192" t="str">
        <x:v>Moderate</x:v>
      </x:c>
      <x:c r="N44" s="192" t="str">
        <x:v>Moderate</x:v>
      </x:c>
      <x:c r="O44" s="192" t="str">
        <x:v>Application</x:v>
      </x:c>
      <x:c r="P44" s="192" t="str">
        <x:v>Application</x:v>
      </x:c>
      <x:c r="Q44" s="192" t="n">
        <x:v>4</x:v>
      </x:c>
      <x:c r="R44" s="192" t="str">
        <x:v>A</x:v>
      </x:c>
      <x:c r="S44" s="192" t="str">
        <x:v>Approved</x:v>
      </x:c>
      <x:c r="T44" s="192" t="str">
        <x:v>Active</x:v>
      </x:c>
      <x:c r="U44" s="192" t="n">
        <x:v>1</x:v>
      </x:c>
      <x:c r="V44" s="192" t="str"/>
      <x:c r="W44" s="192" t="str">
        <x:v>No additional flag</x:v>
      </x:c>
      <x:c r="X44" s="192" t="str">
        <x:v>No structural flag</x:v>
      </x:c>
      <x:c r="Y44" s="192" t="str">
        <x:v>Not Yet Reviewed</x:v>
      </x:c>
      <x:c r="Z44" s="192" t="str">
        <x:v>CTA LMFT Workbook 3</x:v>
      </x:c>
      <x:c r="AA44" s="192" t="str">
        <x:v>CTA_LMFT_WB3_17_Question_Bank_v1.0.docx</x:v>
      </x:c>
      <x:c r="AB44" s="192" t="str">
        <x:v>1.0</x:v>
      </x:c>
      <x:c r="AC44" s="193"/>
      <x:c r="AD44" s="193" t="n">
        <x:v>46228</x:v>
      </x:c>
      <x:c r="AE44" s="192" t="str"/>
      <x:c r="AF44" s="194" t="str">
        <x:v>Workbook bank; reserve pool after controlled review</x:v>
      </x:c>
    </x:row>
    <x:row r="45">
      <x:c r="A45" s="191" t="str">
        <x:v>CTA-LMFT-MQB-0044</x:v>
      </x:c>
      <x:c r="B45" s="192" t="str">
        <x:v>LMFT-WB03-QB-Q010</x:v>
      </x:c>
      <x:c r="C45" s="192" t="str">
        <x:v>LMFT</x:v>
      </x:c>
      <x:c r="D45" s="192" t="str">
        <x:v>Workbook Question Bank</x:v>
      </x:c>
      <x:c r="E45" s="192" t="n">
        <x:v>3</x:v>
      </x:c>
      <x:c r="F45" s="192" t="str">
        <x:v>Developmental, Psychosocial, and Diversity Assessment</x:v>
      </x:c>
      <x:c r="G45" s="192"/>
      <x:c r="H45" s="192" t="n">
        <x:v>10</x:v>
      </x:c>
      <x:c r="I45" s="192" t="str">
        <x:v>Workbook Bank</x:v>
      </x:c>
      <x:c r="J45" s="192" t="str">
        <x:v>1. Clinical Evaluation</x:v>
      </x:c>
      <x:c r="K45" s="192" t="str">
        <x:v>Postpartum adjustment and risk</x:v>
      </x:c>
      <x:c r="L45" s="192" t="str"/>
      <x:c r="M45" s="192" t="str">
        <x:v>Moderate</x:v>
      </x:c>
      <x:c r="N45" s="192" t="str">
        <x:v>Moderate</x:v>
      </x:c>
      <x:c r="O45" s="192" t="str">
        <x:v>Scenario-Based</x:v>
      </x:c>
      <x:c r="P45" s="192" t="str">
        <x:v>Scenario-Based</x:v>
      </x:c>
      <x:c r="Q45" s="192" t="n">
        <x:v>4</x:v>
      </x:c>
      <x:c r="R45" s="192" t="str">
        <x:v>B</x:v>
      </x:c>
      <x:c r="S45" s="192" t="str">
        <x:v>Approved</x:v>
      </x:c>
      <x:c r="T45" s="192" t="str">
        <x:v>Active</x:v>
      </x:c>
      <x:c r="U45" s="192" t="n">
        <x:v>1</x:v>
      </x:c>
      <x:c r="V45" s="192" t="str"/>
      <x:c r="W45" s="192" t="str">
        <x:v>No additional flag</x:v>
      </x:c>
      <x:c r="X45" s="192" t="str">
        <x:v>No structural flag</x:v>
      </x:c>
      <x:c r="Y45" s="192" t="str">
        <x:v>Not Yet Reviewed</x:v>
      </x:c>
      <x:c r="Z45" s="192" t="str">
        <x:v>CTA LMFT Workbook 3</x:v>
      </x:c>
      <x:c r="AA45" s="192" t="str">
        <x:v>CTA_LMFT_WB3_17_Question_Bank_v1.0.docx</x:v>
      </x:c>
      <x:c r="AB45" s="192" t="str">
        <x:v>1.0</x:v>
      </x:c>
      <x:c r="AC45" s="193"/>
      <x:c r="AD45" s="193" t="n">
        <x:v>46228</x:v>
      </x:c>
      <x:c r="AE45" s="192" t="str"/>
      <x:c r="AF45" s="194" t="str">
        <x:v>Workbook bank; reserve pool after controlled review</x:v>
      </x:c>
    </x:row>
    <x:row r="46">
      <x:c r="A46" s="191" t="str">
        <x:v>CTA-LMFT-MQB-0045</x:v>
      </x:c>
      <x:c r="B46" s="192" t="str">
        <x:v>LMFT-WB03-QB-Q011</x:v>
      </x:c>
      <x:c r="C46" s="192" t="str">
        <x:v>LMFT</x:v>
      </x:c>
      <x:c r="D46" s="192" t="str">
        <x:v>Workbook Question Bank</x:v>
      </x:c>
      <x:c r="E46" s="192" t="n">
        <x:v>3</x:v>
      </x:c>
      <x:c r="F46" s="192" t="str">
        <x:v>Developmental, Psychosocial, and Diversity Assessment</x:v>
      </x:c>
      <x:c r="G46" s="192"/>
      <x:c r="H46" s="192" t="n">
        <x:v>11</x:v>
      </x:c>
      <x:c r="I46" s="192" t="str">
        <x:v>Workbook Bank</x:v>
      </x:c>
      <x:c r="J46" s="192" t="str">
        <x:v>1. Clinical Evaluation</x:v>
      </x:c>
      <x:c r="K46" s="192" t="str">
        <x:v>Placement disruption and attachment</x:v>
      </x:c>
      <x:c r="L46" s="192" t="str"/>
      <x:c r="M46" s="192" t="str">
        <x:v>Moderate</x:v>
      </x:c>
      <x:c r="N46" s="192" t="str">
        <x:v>Moderate</x:v>
      </x:c>
      <x:c r="O46" s="192" t="str">
        <x:v>Scenario-Based</x:v>
      </x:c>
      <x:c r="P46" s="192" t="str">
        <x:v>Scenario-Based</x:v>
      </x:c>
      <x:c r="Q46" s="192" t="n">
        <x:v>4</x:v>
      </x:c>
      <x:c r="R46" s="192" t="str">
        <x:v>C</x:v>
      </x:c>
      <x:c r="S46" s="192" t="str">
        <x:v>Approved</x:v>
      </x:c>
      <x:c r="T46" s="192" t="str">
        <x:v>Active</x:v>
      </x:c>
      <x:c r="U46" s="192" t="n">
        <x:v>1</x:v>
      </x:c>
      <x:c r="V46" s="192" t="str"/>
      <x:c r="W46" s="192" t="str">
        <x:v>No additional flag</x:v>
      </x:c>
      <x:c r="X46" s="192" t="str">
        <x:v>No structural flag</x:v>
      </x:c>
      <x:c r="Y46" s="192" t="str">
        <x:v>Not Yet Reviewed</x:v>
      </x:c>
      <x:c r="Z46" s="192" t="str">
        <x:v>CTA LMFT Workbook 3</x:v>
      </x:c>
      <x:c r="AA46" s="192" t="str">
        <x:v>CTA_LMFT_WB3_17_Question_Bank_v1.0.docx</x:v>
      </x:c>
      <x:c r="AB46" s="192" t="str">
        <x:v>1.0</x:v>
      </x:c>
      <x:c r="AC46" s="193"/>
      <x:c r="AD46" s="193" t="n">
        <x:v>46228</x:v>
      </x:c>
      <x:c r="AE46" s="192" t="str"/>
      <x:c r="AF46" s="194" t="str">
        <x:v>Workbook bank; reserve pool after controlled review</x:v>
      </x:c>
    </x:row>
    <x:row r="47">
      <x:c r="A47" s="191" t="str">
        <x:v>CTA-LMFT-MQB-0046</x:v>
      </x:c>
      <x:c r="B47" s="192" t="str">
        <x:v>LMFT-WB03-QB-Q012</x:v>
      </x:c>
      <x:c r="C47" s="192" t="str">
        <x:v>LMFT</x:v>
      </x:c>
      <x:c r="D47" s="192" t="str">
        <x:v>Workbook Question Bank</x:v>
      </x:c>
      <x:c r="E47" s="192" t="n">
        <x:v>3</x:v>
      </x:c>
      <x:c r="F47" s="192" t="str">
        <x:v>Developmental, Psychosocial, and Diversity Assessment</x:v>
      </x:c>
      <x:c r="G47" s="192"/>
      <x:c r="H47" s="192" t="n">
        <x:v>12</x:v>
      </x:c>
      <x:c r="I47" s="192" t="str">
        <x:v>Workbook Bank</x:v>
      </x:c>
      <x:c r="J47" s="192" t="str">
        <x:v>1. Clinical Evaluation</x:v>
      </x:c>
      <x:c r="K47" s="192" t="str">
        <x:v>Deaf access in couple therapy</x:v>
      </x:c>
      <x:c r="L47" s="192" t="str"/>
      <x:c r="M47" s="192" t="str">
        <x:v>Moderate</x:v>
      </x:c>
      <x:c r="N47" s="192" t="str">
        <x:v>Moderate</x:v>
      </x:c>
      <x:c r="O47" s="192" t="str">
        <x:v>Scenario-Based</x:v>
      </x:c>
      <x:c r="P47" s="192" t="str">
        <x:v>Scenario-Based</x:v>
      </x:c>
      <x:c r="Q47" s="192" t="n">
        <x:v>4</x:v>
      </x:c>
      <x:c r="R47" s="192" t="str">
        <x:v>D</x:v>
      </x:c>
      <x:c r="S47" s="192" t="str">
        <x:v>Approved</x:v>
      </x:c>
      <x:c r="T47" s="192" t="str">
        <x:v>Active</x:v>
      </x:c>
      <x:c r="U47" s="192" t="n">
        <x:v>1</x:v>
      </x:c>
      <x:c r="V47" s="192" t="str"/>
      <x:c r="W47" s="192" t="str">
        <x:v>No additional flag</x:v>
      </x:c>
      <x:c r="X47" s="192" t="str">
        <x:v>No structural flag</x:v>
      </x:c>
      <x:c r="Y47" s="192" t="str">
        <x:v>Not Yet Reviewed</x:v>
      </x:c>
      <x:c r="Z47" s="192" t="str">
        <x:v>CTA LMFT Workbook 3</x:v>
      </x:c>
      <x:c r="AA47" s="192" t="str">
        <x:v>CTA_LMFT_WB3_17_Question_Bank_v1.0.docx</x:v>
      </x:c>
      <x:c r="AB47" s="192" t="str">
        <x:v>1.0</x:v>
      </x:c>
      <x:c r="AC47" s="193"/>
      <x:c r="AD47" s="193" t="n">
        <x:v>46228</x:v>
      </x:c>
      <x:c r="AE47" s="192" t="str"/>
      <x:c r="AF47" s="194" t="str">
        <x:v>Workbook bank; reserve pool after controlled review</x:v>
      </x:c>
    </x:row>
    <x:row r="48">
      <x:c r="A48" s="191" t="str">
        <x:v>CTA-LMFT-MQB-0047</x:v>
      </x:c>
      <x:c r="B48" s="192" t="str">
        <x:v>LMFT-WB03-QB-Q013</x:v>
      </x:c>
      <x:c r="C48" s="192" t="str">
        <x:v>LMFT</x:v>
      </x:c>
      <x:c r="D48" s="192" t="str">
        <x:v>Workbook Question Bank</x:v>
      </x:c>
      <x:c r="E48" s="192" t="n">
        <x:v>3</x:v>
      </x:c>
      <x:c r="F48" s="192" t="str">
        <x:v>Developmental, Psychosocial, and Diversity Assessment</x:v>
      </x:c>
      <x:c r="G48" s="192"/>
      <x:c r="H48" s="192" t="n">
        <x:v>13</x:v>
      </x:c>
      <x:c r="I48" s="192" t="str">
        <x:v>Workbook Bank</x:v>
      </x:c>
      <x:c r="J48" s="192" t="str">
        <x:v>1. Clinical Evaluation</x:v>
      </x:c>
      <x:c r="K48" s="192" t="str">
        <x:v>Adolescent privacy, coercion, and safety</x:v>
      </x:c>
      <x:c r="L48" s="192" t="str"/>
      <x:c r="M48" s="192" t="str">
        <x:v>Difficult</x:v>
      </x:c>
      <x:c r="N48" s="192" t="str">
        <x:v>Difficult</x:v>
      </x:c>
      <x:c r="O48" s="192" t="str">
        <x:v>Scenario-Based</x:v>
      </x:c>
      <x:c r="P48" s="192" t="str">
        <x:v>Scenario-Based</x:v>
      </x:c>
      <x:c r="Q48" s="192" t="n">
        <x:v>4</x:v>
      </x:c>
      <x:c r="R48" s="192" t="str">
        <x:v>A</x:v>
      </x:c>
      <x:c r="S48" s="192" t="str">
        <x:v>Approved</x:v>
      </x:c>
      <x:c r="T48" s="192" t="str">
        <x:v>Active</x:v>
      </x:c>
      <x:c r="U48" s="192" t="n">
        <x:v>1</x:v>
      </x:c>
      <x:c r="V48" s="192" t="str"/>
      <x:c r="W48" s="192" t="str">
        <x:v>No additional flag</x:v>
      </x:c>
      <x:c r="X48" s="192" t="str">
        <x:v>No structural flag</x:v>
      </x:c>
      <x:c r="Y48" s="192" t="str">
        <x:v>Not Yet Reviewed</x:v>
      </x:c>
      <x:c r="Z48" s="192" t="str">
        <x:v>CTA LMFT Workbook 3</x:v>
      </x:c>
      <x:c r="AA48" s="192" t="str">
        <x:v>CTA_LMFT_WB3_17_Question_Bank_v1.0.docx</x:v>
      </x:c>
      <x:c r="AB48" s="192" t="str">
        <x:v>1.0</x:v>
      </x:c>
      <x:c r="AC48" s="193"/>
      <x:c r="AD48" s="193" t="n">
        <x:v>46228</x:v>
      </x:c>
      <x:c r="AE48" s="192" t="str"/>
      <x:c r="AF48" s="194" t="str">
        <x:v>Workbook bank; reserve pool after controlled review</x:v>
      </x:c>
    </x:row>
    <x:row r="49">
      <x:c r="A49" s="191" t="str">
        <x:v>CTA-LMFT-MQB-0048</x:v>
      </x:c>
      <x:c r="B49" s="192" t="str">
        <x:v>LMFT-WB03-QB-Q014</x:v>
      </x:c>
      <x:c r="C49" s="192" t="str">
        <x:v>LMFT</x:v>
      </x:c>
      <x:c r="D49" s="192" t="str">
        <x:v>Workbook Question Bank</x:v>
      </x:c>
      <x:c r="E49" s="192" t="n">
        <x:v>3</x:v>
      </x:c>
      <x:c r="F49" s="192" t="str">
        <x:v>Developmental, Psychosocial, and Diversity Assessment</x:v>
      </x:c>
      <x:c r="G49" s="192"/>
      <x:c r="H49" s="192" t="n">
        <x:v>14</x:v>
      </x:c>
      <x:c r="I49" s="192" t="str">
        <x:v>Workbook Bank</x:v>
      </x:c>
      <x:c r="J49" s="192" t="str">
        <x:v>1. Clinical Evaluation</x:v>
      </x:c>
      <x:c r="K49" s="192" t="str">
        <x:v>Acute disorientation during couple therapy</x:v>
      </x:c>
      <x:c r="L49" s="192" t="str"/>
      <x:c r="M49" s="192" t="str">
        <x:v>Difficult</x:v>
      </x:c>
      <x:c r="N49" s="192" t="str">
        <x:v>Difficult</x:v>
      </x:c>
      <x:c r="O49" s="192" t="str">
        <x:v>Scenario-Based</x:v>
      </x:c>
      <x:c r="P49" s="192" t="str">
        <x:v>Scenario-Based</x:v>
      </x:c>
      <x:c r="Q49" s="192" t="n">
        <x:v>4</x:v>
      </x:c>
      <x:c r="R49" s="192" t="str">
        <x:v>B</x:v>
      </x:c>
      <x:c r="S49" s="192" t="str">
        <x:v>Approved</x:v>
      </x:c>
      <x:c r="T49" s="192" t="str">
        <x:v>Active</x:v>
      </x:c>
      <x:c r="U49" s="192" t="n">
        <x:v>1</x:v>
      </x:c>
      <x:c r="V49" s="192" t="str"/>
      <x:c r="W49" s="192" t="str">
        <x:v>No additional flag</x:v>
      </x:c>
      <x:c r="X49" s="192" t="str">
        <x:v>No structural flag</x:v>
      </x:c>
      <x:c r="Y49" s="192" t="str">
        <x:v>Not Yet Reviewed</x:v>
      </x:c>
      <x:c r="Z49" s="192" t="str">
        <x:v>CTA LMFT Workbook 3</x:v>
      </x:c>
      <x:c r="AA49" s="192" t="str">
        <x:v>CTA_LMFT_WB3_17_Question_Bank_v1.0.docx</x:v>
      </x:c>
      <x:c r="AB49" s="192" t="str">
        <x:v>1.0</x:v>
      </x:c>
      <x:c r="AC49" s="193"/>
      <x:c r="AD49" s="193" t="n">
        <x:v>46228</x:v>
      </x:c>
      <x:c r="AE49" s="192" t="str"/>
      <x:c r="AF49" s="194" t="str">
        <x:v>Workbook bank; reserve pool after controlled review</x:v>
      </x:c>
    </x:row>
    <x:row r="50">
      <x:c r="A50" s="191" t="str">
        <x:v>CTA-LMFT-MQB-0049</x:v>
      </x:c>
      <x:c r="B50" s="192" t="str">
        <x:v>LMFT-WB03-QB-Q015</x:v>
      </x:c>
      <x:c r="C50" s="192" t="str">
        <x:v>LMFT</x:v>
      </x:c>
      <x:c r="D50" s="192" t="str">
        <x:v>Workbook Question Bank</x:v>
      </x:c>
      <x:c r="E50" s="192" t="n">
        <x:v>3</x:v>
      </x:c>
      <x:c r="F50" s="192" t="str">
        <x:v>Developmental, Psychosocial, and Diversity Assessment</x:v>
      </x:c>
      <x:c r="G50" s="192"/>
      <x:c r="H50" s="192" t="n">
        <x:v>15</x:v>
      </x:c>
      <x:c r="I50" s="192" t="str">
        <x:v>Workbook Bank</x:v>
      </x:c>
      <x:c r="J50" s="192" t="str">
        <x:v>1. Clinical Evaluation</x:v>
      </x:c>
      <x:c r="K50" s="192" t="str">
        <x:v>Development, migration, work, and discrimination</x:v>
      </x:c>
      <x:c r="L50" s="192" t="str"/>
      <x:c r="M50" s="192" t="str">
        <x:v>Difficult</x:v>
      </x:c>
      <x:c r="N50" s="192" t="str">
        <x:v>Difficult</x:v>
      </x:c>
      <x:c r="O50" s="192" t="str">
        <x:v>Integrated Clinical Reasoning</x:v>
      </x:c>
      <x:c r="P50" s="192" t="str">
        <x:v>Integrated Clinical Reasoning</x:v>
      </x:c>
      <x:c r="Q50" s="192" t="n">
        <x:v>4</x:v>
      </x:c>
      <x:c r="R50" s="192" t="str">
        <x:v>C</x:v>
      </x:c>
      <x:c r="S50" s="192" t="str">
        <x:v>Approved</x:v>
      </x:c>
      <x:c r="T50" s="192" t="str">
        <x:v>Active</x:v>
      </x:c>
      <x:c r="U50" s="192" t="n">
        <x:v>1</x:v>
      </x:c>
      <x:c r="V50" s="192" t="str"/>
      <x:c r="W50" s="192" t="str">
        <x:v>No additional flag</x:v>
      </x:c>
      <x:c r="X50" s="192" t="str">
        <x:v>No structural flag</x:v>
      </x:c>
      <x:c r="Y50" s="192" t="str">
        <x:v>Not Yet Reviewed</x:v>
      </x:c>
      <x:c r="Z50" s="192" t="str">
        <x:v>CTA LMFT Workbook 3</x:v>
      </x:c>
      <x:c r="AA50" s="192" t="str">
        <x:v>CTA_LMFT_WB3_17_Question_Bank_v1.0.docx</x:v>
      </x:c>
      <x:c r="AB50" s="192" t="str">
        <x:v>1.0</x:v>
      </x:c>
      <x:c r="AC50" s="193"/>
      <x:c r="AD50" s="193" t="n">
        <x:v>46228</x:v>
      </x:c>
      <x:c r="AE50" s="192" t="str"/>
      <x:c r="AF50" s="194" t="str">
        <x:v>Workbook bank; reserve pool after controlled review</x:v>
      </x:c>
    </x:row>
    <x:row r="51">
      <x:c r="A51" s="191" t="str">
        <x:v>CTA-LMFT-MQB-0050</x:v>
      </x:c>
      <x:c r="B51" s="192" t="str">
        <x:v>LMFT-WB03-QB-Q016</x:v>
      </x:c>
      <x:c r="C51" s="192" t="str">
        <x:v>LMFT</x:v>
      </x:c>
      <x:c r="D51" s="192" t="str">
        <x:v>Workbook Question Bank</x:v>
      </x:c>
      <x:c r="E51" s="192" t="n">
        <x:v>3</x:v>
      </x:c>
      <x:c r="F51" s="192" t="str">
        <x:v>Developmental, Psychosocial, and Diversity Assessment</x:v>
      </x:c>
      <x:c r="G51" s="192"/>
      <x:c r="H51" s="192" t="n">
        <x:v>16</x:v>
      </x:c>
      <x:c r="I51" s="192" t="str">
        <x:v>Workbook Bank</x:v>
      </x:c>
      <x:c r="J51" s="192" t="str">
        <x:v>1. Clinical Evaluation</x:v>
      </x:c>
      <x:c r="K51" s="192" t="str">
        <x:v>Disaster displacement and multigenerational reorganization</x:v>
      </x:c>
      <x:c r="L51" s="192" t="str"/>
      <x:c r="M51" s="192" t="str">
        <x:v>Difficult</x:v>
      </x:c>
      <x:c r="N51" s="192" t="str">
        <x:v>Difficult</x:v>
      </x:c>
      <x:c r="O51" s="192" t="str">
        <x:v>Integrated Clinical Reasoning</x:v>
      </x:c>
      <x:c r="P51" s="192" t="str">
        <x:v>Integrated Clinical Reasoning</x:v>
      </x:c>
      <x:c r="Q51" s="192" t="n">
        <x:v>4</x:v>
      </x:c>
      <x:c r="R51" s="192" t="str">
        <x:v>D</x:v>
      </x:c>
      <x:c r="S51" s="192" t="str">
        <x:v>Approved</x:v>
      </x:c>
      <x:c r="T51" s="192" t="str">
        <x:v>Active</x:v>
      </x:c>
      <x:c r="U51" s="192" t="n">
        <x:v>1</x:v>
      </x:c>
      <x:c r="V51" s="192" t="str"/>
      <x:c r="W51" s="192" t="str">
        <x:v>No additional flag</x:v>
      </x:c>
      <x:c r="X51" s="192" t="str">
        <x:v>No structural flag</x:v>
      </x:c>
      <x:c r="Y51" s="192" t="str">
        <x:v>Not Yet Reviewed</x:v>
      </x:c>
      <x:c r="Z51" s="192" t="str">
        <x:v>CTA LMFT Workbook 3</x:v>
      </x:c>
      <x:c r="AA51" s="192" t="str">
        <x:v>CTA_LMFT_WB3_17_Question_Bank_v1.0.docx</x:v>
      </x:c>
      <x:c r="AB51" s="192" t="str">
        <x:v>1.0</x:v>
      </x:c>
      <x:c r="AC51" s="193"/>
      <x:c r="AD51" s="193" t="n">
        <x:v>46228</x:v>
      </x:c>
      <x:c r="AE51" s="192" t="str"/>
      <x:c r="AF51" s="194" t="str">
        <x:v>Workbook bank; reserve pool after controlled review</x:v>
      </x:c>
    </x:row>
    <x:row r="52">
      <x:c r="A52" s="191" t="str">
        <x:v>CTA-LMFT-MQB-0051</x:v>
      </x:c>
      <x:c r="B52" s="192" t="str">
        <x:v>LMFT-WB03-QB-Q017</x:v>
      </x:c>
      <x:c r="C52" s="192" t="str">
        <x:v>LMFT</x:v>
      </x:c>
      <x:c r="D52" s="192" t="str">
        <x:v>Workbook Question Bank</x:v>
      </x:c>
      <x:c r="E52" s="192" t="n">
        <x:v>3</x:v>
      </x:c>
      <x:c r="F52" s="192" t="str">
        <x:v>Developmental, Psychosocial, and Diversity Assessment</x:v>
      </x:c>
      <x:c r="G52" s="192"/>
      <x:c r="H52" s="192" t="n">
        <x:v>17</x:v>
      </x:c>
      <x:c r="I52" s="192" t="str">
        <x:v>Workbook Bank</x:v>
      </x:c>
      <x:c r="J52" s="192" t="str">
        <x:v>1. Clinical Evaluation</x:v>
      </x:c>
      <x:c r="K52" s="192" t="str">
        <x:v>Cognitive decline, caregiving, and family decision-making</x:v>
      </x:c>
      <x:c r="L52" s="192" t="str"/>
      <x:c r="M52" s="192" t="str">
        <x:v>Difficult</x:v>
      </x:c>
      <x:c r="N52" s="192" t="str">
        <x:v>Difficult</x:v>
      </x:c>
      <x:c r="O52" s="192" t="str">
        <x:v>Integrated Clinical Reasoning</x:v>
      </x:c>
      <x:c r="P52" s="192" t="str">
        <x:v>Integrated Clinical Reasoning</x:v>
      </x:c>
      <x:c r="Q52" s="192" t="n">
        <x:v>4</x:v>
      </x:c>
      <x:c r="R52" s="192" t="str">
        <x:v>A</x:v>
      </x:c>
      <x:c r="S52" s="192" t="str">
        <x:v>Approved</x:v>
      </x:c>
      <x:c r="T52" s="192" t="str">
        <x:v>Active</x:v>
      </x:c>
      <x:c r="U52" s="192" t="n">
        <x:v>1</x:v>
      </x:c>
      <x:c r="V52" s="192" t="str"/>
      <x:c r="W52" s="192" t="str">
        <x:v>No additional flag</x:v>
      </x:c>
      <x:c r="X52" s="192" t="str">
        <x:v>No structural flag</x:v>
      </x:c>
      <x:c r="Y52" s="192" t="str">
        <x:v>Not Yet Reviewed</x:v>
      </x:c>
      <x:c r="Z52" s="192" t="str">
        <x:v>CTA LMFT Workbook 3</x:v>
      </x:c>
      <x:c r="AA52" s="192" t="str">
        <x:v>CTA_LMFT_WB3_17_Question_Bank_v1.0.docx</x:v>
      </x:c>
      <x:c r="AB52" s="192" t="str">
        <x:v>1.0</x:v>
      </x:c>
      <x:c r="AC52" s="193"/>
      <x:c r="AD52" s="193" t="n">
        <x:v>46228</x:v>
      </x:c>
      <x:c r="AE52" s="192" t="str"/>
      <x:c r="AF52" s="194" t="str">
        <x:v>Workbook bank; reserve pool after controlled review</x:v>
      </x:c>
    </x:row>
    <x:row r="53">
      <x:c r="A53" s="191" t="str">
        <x:v>CTA-LMFT-MQB-0052</x:v>
      </x:c>
      <x:c r="B53" s="192" t="str">
        <x:v>LMFT-WB04-QB-Q001</x:v>
      </x:c>
      <x:c r="C53" s="192" t="str">
        <x:v>LMFT</x:v>
      </x:c>
      <x:c r="D53" s="192" t="str">
        <x:v>Workbook Question Bank</x:v>
      </x:c>
      <x:c r="E53" s="192" t="n">
        <x:v>4</x:v>
      </x:c>
      <x:c r="F53" s="192" t="str">
        <x:v>Relational, Family-System, Trauma, and Strengths Assessment</x:v>
      </x:c>
      <x:c r="G53" s="192"/>
      <x:c r="H53" s="192" t="n">
        <x:v>1</x:v>
      </x:c>
      <x:c r="I53" s="192" t="str">
        <x:v>Workbook Bank</x:v>
      </x:c>
      <x:c r="J53" s="192" t="str">
        <x:v>1. Clinical Evaluation</x:v>
      </x:c>
      <x:c r="K53" s="192" t="str">
        <x:v>Social-support quality</x:v>
      </x:c>
      <x:c r="L53" s="192" t="str"/>
      <x:c r="M53" s="192" t="str">
        <x:v>Easy</x:v>
      </x:c>
      <x:c r="N53" s="192" t="str">
        <x:v>Easy</x:v>
      </x:c>
      <x:c r="O53" s="192" t="str">
        <x:v>Knowledge &amp; Recall</x:v>
      </x:c>
      <x:c r="P53" s="192" t="str">
        <x:v>Knowledge &amp; Recall</x:v>
      </x:c>
      <x:c r="Q53" s="192" t="n">
        <x:v>4</x:v>
      </x:c>
      <x:c r="R53" s="192" t="str">
        <x:v>B</x:v>
      </x:c>
      <x:c r="S53" s="192" t="str">
        <x:v>Approved</x:v>
      </x:c>
      <x:c r="T53" s="192" t="str">
        <x:v>Active</x:v>
      </x:c>
      <x:c r="U53" s="192" t="n">
        <x:v>1</x:v>
      </x:c>
      <x:c r="V53" s="192" t="str"/>
      <x:c r="W53" s="192" t="str">
        <x:v>No additional flag</x:v>
      </x:c>
      <x:c r="X53" s="192" t="str">
        <x:v>No structural flag</x:v>
      </x:c>
      <x:c r="Y53" s="192" t="str">
        <x:v>Not Yet Reviewed</x:v>
      </x:c>
      <x:c r="Z53" s="192" t="str">
        <x:v>CTA LMFT Workbook 4</x:v>
      </x:c>
      <x:c r="AA53" s="192" t="str">
        <x:v>CTA_LMFT_WB4_17_Question_Bank_v1.0.docx</x:v>
      </x:c>
      <x:c r="AB53" s="192" t="str">
        <x:v>1.0</x:v>
      </x:c>
      <x:c r="AC53" s="193"/>
      <x:c r="AD53" s="193" t="n">
        <x:v>46228</x:v>
      </x:c>
      <x:c r="AE53" s="192" t="str"/>
      <x:c r="AF53" s="194" t="str">
        <x:v>Workbook bank; reserve pool after controlled review</x:v>
      </x:c>
    </x:row>
    <x:row r="54">
      <x:c r="A54" s="191" t="str">
        <x:v>CTA-LMFT-MQB-0053</x:v>
      </x:c>
      <x:c r="B54" s="192" t="str">
        <x:v>LMFT-WB04-QB-Q002</x:v>
      </x:c>
      <x:c r="C54" s="192" t="str">
        <x:v>LMFT</x:v>
      </x:c>
      <x:c r="D54" s="192" t="str">
        <x:v>Workbook Question Bank</x:v>
      </x:c>
      <x:c r="E54" s="192" t="n">
        <x:v>4</x:v>
      </x:c>
      <x:c r="F54" s="192" t="str">
        <x:v>Relational, Family-System, Trauma, and Strengths Assessment</x:v>
      </x:c>
      <x:c r="G54" s="192"/>
      <x:c r="H54" s="192" t="n">
        <x:v>2</x:v>
      </x:c>
      <x:c r="I54" s="192" t="str">
        <x:v>Workbook Bank</x:v>
      </x:c>
      <x:c r="J54" s="192" t="str">
        <x:v>1. Clinical Evaluation</x:v>
      </x:c>
      <x:c r="K54" s="192" t="str">
        <x:v>Genogram function</x:v>
      </x:c>
      <x:c r="L54" s="192" t="str"/>
      <x:c r="M54" s="192" t="str">
        <x:v>Easy</x:v>
      </x:c>
      <x:c r="N54" s="192" t="str">
        <x:v>Easy</x:v>
      </x:c>
      <x:c r="O54" s="192" t="str">
        <x:v>Knowledge &amp; Recall</x:v>
      </x:c>
      <x:c r="P54" s="192" t="str">
        <x:v>Knowledge &amp; Recall</x:v>
      </x:c>
      <x:c r="Q54" s="192" t="n">
        <x:v>4</x:v>
      </x:c>
      <x:c r="R54" s="192" t="str">
        <x:v>A</x:v>
      </x:c>
      <x:c r="S54" s="192" t="str">
        <x:v>Approved</x:v>
      </x:c>
      <x:c r="T54" s="192" t="str">
        <x:v>Active</x:v>
      </x:c>
      <x:c r="U54" s="192" t="n">
        <x:v>1</x:v>
      </x:c>
      <x:c r="V54" s="192" t="str"/>
      <x:c r="W54" s="192" t="str">
        <x:v>No additional flag</x:v>
      </x:c>
      <x:c r="X54" s="192" t="str">
        <x:v>No structural flag</x:v>
      </x:c>
      <x:c r="Y54" s="192" t="str">
        <x:v>Not Yet Reviewed</x:v>
      </x:c>
      <x:c r="Z54" s="192" t="str">
        <x:v>CTA LMFT Workbook 4</x:v>
      </x:c>
      <x:c r="AA54" s="192" t="str">
        <x:v>CTA_LMFT_WB4_17_Question_Bank_v1.0.docx</x:v>
      </x:c>
      <x:c r="AB54" s="192" t="str">
        <x:v>1.0</x:v>
      </x:c>
      <x:c r="AC54" s="193"/>
      <x:c r="AD54" s="193" t="n">
        <x:v>46228</x:v>
      </x:c>
      <x:c r="AE54" s="192" t="str"/>
      <x:c r="AF54" s="194" t="str">
        <x:v>Workbook bank; reserve pool after controlled review</x:v>
      </x:c>
    </x:row>
    <x:row r="55">
      <x:c r="A55" s="191" t="str">
        <x:v>CTA-LMFT-MQB-0054</x:v>
      </x:c>
      <x:c r="B55" s="192" t="str">
        <x:v>LMFT-WB04-QB-Q003</x:v>
      </x:c>
      <x:c r="C55" s="192" t="str">
        <x:v>LMFT</x:v>
      </x:c>
      <x:c r="D55" s="192" t="str">
        <x:v>Workbook Question Bank</x:v>
      </x:c>
      <x:c r="E55" s="192" t="n">
        <x:v>4</x:v>
      </x:c>
      <x:c r="F55" s="192" t="str">
        <x:v>Relational, Family-System, Trauma, and Strengths Assessment</x:v>
      </x:c>
      <x:c r="G55" s="192"/>
      <x:c r="H55" s="192" t="n">
        <x:v>3</x:v>
      </x:c>
      <x:c r="I55" s="192" t="str">
        <x:v>Workbook Bank</x:v>
      </x:c>
      <x:c r="J55" s="192" t="str">
        <x:v>1. Clinical Evaluation</x:v>
      </x:c>
      <x:c r="K55" s="192" t="str">
        <x:v>Screening versus specialized testing</x:v>
      </x:c>
      <x:c r="L55" s="192" t="str"/>
      <x:c r="M55" s="192" t="str">
        <x:v>Easy</x:v>
      </x:c>
      <x:c r="N55" s="192" t="str">
        <x:v>Easy</x:v>
      </x:c>
      <x:c r="O55" s="192" t="str">
        <x:v>Knowledge &amp; Recall</x:v>
      </x:c>
      <x:c r="P55" s="192" t="str">
        <x:v>Knowledge &amp; Recall</x:v>
      </x:c>
      <x:c r="Q55" s="192" t="n">
        <x:v>4</x:v>
      </x:c>
      <x:c r="R55" s="192" t="str">
        <x:v>C</x:v>
      </x:c>
      <x:c r="S55" s="192" t="str">
        <x:v>Approved</x:v>
      </x:c>
      <x:c r="T55" s="192" t="str">
        <x:v>Active</x:v>
      </x:c>
      <x:c r="U55" s="192" t="n">
        <x:v>1</x:v>
      </x:c>
      <x:c r="V55" s="192" t="str"/>
      <x:c r="W55" s="192" t="str">
        <x:v>No additional flag</x:v>
      </x:c>
      <x:c r="X55" s="192" t="str">
        <x:v>No structural flag</x:v>
      </x:c>
      <x:c r="Y55" s="192" t="str">
        <x:v>Not Yet Reviewed</x:v>
      </x:c>
      <x:c r="Z55" s="192" t="str">
        <x:v>CTA LMFT Workbook 4</x:v>
      </x:c>
      <x:c r="AA55" s="192" t="str">
        <x:v>CTA_LMFT_WB4_17_Question_Bank_v1.0.docx</x:v>
      </x:c>
      <x:c r="AB55" s="192" t="str">
        <x:v>1.0</x:v>
      </x:c>
      <x:c r="AC55" s="193"/>
      <x:c r="AD55" s="193" t="n">
        <x:v>46228</x:v>
      </x:c>
      <x:c r="AE55" s="192" t="str"/>
      <x:c r="AF55" s="194" t="str">
        <x:v>Workbook bank; reserve pool after controlled review</x:v>
      </x:c>
    </x:row>
    <x:row r="56">
      <x:c r="A56" s="191" t="str">
        <x:v>CTA-LMFT-MQB-0055</x:v>
      </x:c>
      <x:c r="B56" s="192" t="str">
        <x:v>LMFT-WB04-QB-Q004</x:v>
      </x:c>
      <x:c r="C56" s="192" t="str">
        <x:v>LMFT</x:v>
      </x:c>
      <x:c r="D56" s="192" t="str">
        <x:v>Workbook Question Bank</x:v>
      </x:c>
      <x:c r="E56" s="192" t="n">
        <x:v>4</x:v>
      </x:c>
      <x:c r="F56" s="192" t="str">
        <x:v>Relational, Family-System, Trauma, and Strengths Assessment</x:v>
      </x:c>
      <x:c r="G56" s="192"/>
      <x:c r="H56" s="192" t="n">
        <x:v>4</x:v>
      </x:c>
      <x:c r="I56" s="192" t="str">
        <x:v>Workbook Bank</x:v>
      </x:c>
      <x:c r="J56" s="192" t="str">
        <x:v>1. Clinical Evaluation</x:v>
      </x:c>
      <x:c r="K56" s="192" t="str">
        <x:v>Systemic resilience</x:v>
      </x:c>
      <x:c r="L56" s="192" t="str"/>
      <x:c r="M56" s="192" t="str">
        <x:v>Easy</x:v>
      </x:c>
      <x:c r="N56" s="192" t="str">
        <x:v>Easy</x:v>
      </x:c>
      <x:c r="O56" s="192" t="str">
        <x:v>Knowledge &amp; Recall</x:v>
      </x:c>
      <x:c r="P56" s="192" t="str">
        <x:v>Knowledge &amp; Recall</x:v>
      </x:c>
      <x:c r="Q56" s="192" t="n">
        <x:v>4</x:v>
      </x:c>
      <x:c r="R56" s="192" t="str">
        <x:v>D</x:v>
      </x:c>
      <x:c r="S56" s="192" t="str">
        <x:v>Approved</x:v>
      </x:c>
      <x:c r="T56" s="192" t="str">
        <x:v>Active</x:v>
      </x:c>
      <x:c r="U56" s="192" t="n">
        <x:v>1</x:v>
      </x:c>
      <x:c r="V56" s="192" t="str"/>
      <x:c r="W56" s="192" t="str">
        <x:v>No additional flag</x:v>
      </x:c>
      <x:c r="X56" s="192" t="str">
        <x:v>No structural flag</x:v>
      </x:c>
      <x:c r="Y56" s="192" t="str">
        <x:v>Not Yet Reviewed</x:v>
      </x:c>
      <x:c r="Z56" s="192" t="str">
        <x:v>CTA LMFT Workbook 4</x:v>
      </x:c>
      <x:c r="AA56" s="192" t="str">
        <x:v>CTA_LMFT_WB4_17_Question_Bank_v1.0.docx</x:v>
      </x:c>
      <x:c r="AB56" s="192" t="str">
        <x:v>1.0</x:v>
      </x:c>
      <x:c r="AC56" s="193"/>
      <x:c r="AD56" s="193" t="n">
        <x:v>46228</x:v>
      </x:c>
      <x:c r="AE56" s="192" t="str"/>
      <x:c r="AF56" s="194" t="str">
        <x:v>Workbook bank; reserve pool after controlled review</x:v>
      </x:c>
    </x:row>
    <x:row r="57">
      <x:c r="A57" s="191" t="str">
        <x:v>CTA-LMFT-MQB-0056</x:v>
      </x:c>
      <x:c r="B57" s="192" t="str">
        <x:v>LMFT-WB04-QB-Q005</x:v>
      </x:c>
      <x:c r="C57" s="192" t="str">
        <x:v>LMFT</x:v>
      </x:c>
      <x:c r="D57" s="192" t="str">
        <x:v>Workbook Question Bank</x:v>
      </x:c>
      <x:c r="E57" s="192" t="n">
        <x:v>4</x:v>
      </x:c>
      <x:c r="F57" s="192" t="str">
        <x:v>Relational, Family-System, Trauma, and Strengths Assessment</x:v>
      </x:c>
      <x:c r="G57" s="192"/>
      <x:c r="H57" s="192" t="n">
        <x:v>5</x:v>
      </x:c>
      <x:c r="I57" s="192" t="str">
        <x:v>Workbook Bank</x:v>
      </x:c>
      <x:c r="J57" s="192" t="str">
        <x:v>1. Clinical Evaluation</x:v>
      </x:c>
      <x:c r="K57" s="192" t="str">
        <x:v>Anger versus violence</x:v>
      </x:c>
      <x:c r="L57" s="192" t="str"/>
      <x:c r="M57" s="192" t="str">
        <x:v>Easy</x:v>
      </x:c>
      <x:c r="N57" s="192" t="str">
        <x:v>Easy</x:v>
      </x:c>
      <x:c r="O57" s="192" t="str">
        <x:v>Knowledge &amp; Recall</x:v>
      </x:c>
      <x:c r="P57" s="192" t="str">
        <x:v>Knowledge &amp; Recall</x:v>
      </x:c>
      <x:c r="Q57" s="192" t="n">
        <x:v>4</x:v>
      </x:c>
      <x:c r="R57" s="192" t="str">
        <x:v>A</x:v>
      </x:c>
      <x:c r="S57" s="192" t="str">
        <x:v>Approved</x:v>
      </x:c>
      <x:c r="T57" s="192" t="str">
        <x:v>Active</x:v>
      </x:c>
      <x:c r="U57" s="192" t="n">
        <x:v>1</x:v>
      </x:c>
      <x:c r="V57" s="192" t="str"/>
      <x:c r="W57" s="192" t="str">
        <x:v>No additional flag</x:v>
      </x:c>
      <x:c r="X57" s="192" t="str">
        <x:v>No structural flag</x:v>
      </x:c>
      <x:c r="Y57" s="192" t="str">
        <x:v>Not Yet Reviewed</x:v>
      </x:c>
      <x:c r="Z57" s="192" t="str">
        <x:v>CTA LMFT Workbook 4</x:v>
      </x:c>
      <x:c r="AA57" s="192" t="str">
        <x:v>CTA_LMFT_WB4_17_Question_Bank_v1.0.docx</x:v>
      </x:c>
      <x:c r="AB57" s="192" t="str">
        <x:v>1.0</x:v>
      </x:c>
      <x:c r="AC57" s="193"/>
      <x:c r="AD57" s="193" t="n">
        <x:v>46228</x:v>
      </x:c>
      <x:c r="AE57" s="192" t="str"/>
      <x:c r="AF57" s="194" t="str">
        <x:v>Workbook bank; reserve pool after controlled review</x:v>
      </x:c>
    </x:row>
    <x:row r="58">
      <x:c r="A58" s="191" t="str">
        <x:v>CTA-LMFT-MQB-0057</x:v>
      </x:c>
      <x:c r="B58" s="192" t="str">
        <x:v>LMFT-WB04-QB-Q006</x:v>
      </x:c>
      <x:c r="C58" s="192" t="str">
        <x:v>LMFT</x:v>
      </x:c>
      <x:c r="D58" s="192" t="str">
        <x:v>Workbook Question Bank</x:v>
      </x:c>
      <x:c r="E58" s="192" t="n">
        <x:v>4</x:v>
      </x:c>
      <x:c r="F58" s="192" t="str">
        <x:v>Relational, Family-System, Trauma, and Strengths Assessment</x:v>
      </x:c>
      <x:c r="G58" s="192"/>
      <x:c r="H58" s="192" t="n">
        <x:v>6</x:v>
      </x:c>
      <x:c r="I58" s="192" t="str">
        <x:v>Workbook Bank</x:v>
      </x:c>
      <x:c r="J58" s="192" t="str">
        <x:v>1. Clinical Evaluation</x:v>
      </x:c>
      <x:c r="K58" s="192" t="str">
        <x:v>Inclusive intimacy assessment</x:v>
      </x:c>
      <x:c r="L58" s="192" t="str"/>
      <x:c r="M58" s="192" t="str">
        <x:v>Moderate</x:v>
      </x:c>
      <x:c r="N58" s="192" t="str">
        <x:v>Moderate</x:v>
      </x:c>
      <x:c r="O58" s="192" t="str">
        <x:v>Application</x:v>
      </x:c>
      <x:c r="P58" s="192" t="str">
        <x:v>Application</x:v>
      </x:c>
      <x:c r="Q58" s="192" t="n">
        <x:v>4</x:v>
      </x:c>
      <x:c r="R58" s="192" t="str">
        <x:v>B</x:v>
      </x:c>
      <x:c r="S58" s="192" t="str">
        <x:v>Approved</x:v>
      </x:c>
      <x:c r="T58" s="192" t="str">
        <x:v>Active</x:v>
      </x:c>
      <x:c r="U58" s="192" t="n">
        <x:v>1</x:v>
      </x:c>
      <x:c r="V58" s="192" t="str"/>
      <x:c r="W58" s="192" t="str">
        <x:v>No additional flag</x:v>
      </x:c>
      <x:c r="X58" s="192" t="str">
        <x:v>No structural flag</x:v>
      </x:c>
      <x:c r="Y58" s="192" t="str">
        <x:v>Not Yet Reviewed</x:v>
      </x:c>
      <x:c r="Z58" s="192" t="str">
        <x:v>CTA LMFT Workbook 4</x:v>
      </x:c>
      <x:c r="AA58" s="192" t="str">
        <x:v>CTA_LMFT_WB4_17_Question_Bank_v1.0.docx</x:v>
      </x:c>
      <x:c r="AB58" s="192" t="str">
        <x:v>1.0</x:v>
      </x:c>
      <x:c r="AC58" s="193"/>
      <x:c r="AD58" s="193" t="n">
        <x:v>46228</x:v>
      </x:c>
      <x:c r="AE58" s="192" t="str"/>
      <x:c r="AF58" s="194" t="str">
        <x:v>Workbook bank; reserve pool after controlled review</x:v>
      </x:c>
    </x:row>
    <x:row r="59">
      <x:c r="A59" s="191" t="str">
        <x:v>CTA-LMFT-MQB-0058</x:v>
      </x:c>
      <x:c r="B59" s="192" t="str">
        <x:v>LMFT-WB04-QB-Q007</x:v>
      </x:c>
      <x:c r="C59" s="192" t="str">
        <x:v>LMFT</x:v>
      </x:c>
      <x:c r="D59" s="192" t="str">
        <x:v>Workbook Question Bank</x:v>
      </x:c>
      <x:c r="E59" s="192" t="n">
        <x:v>4</x:v>
      </x:c>
      <x:c r="F59" s="192" t="str">
        <x:v>Relational, Family-System, Trauma, and Strengths Assessment</x:v>
      </x:c>
      <x:c r="G59" s="192"/>
      <x:c r="H59" s="192" t="n">
        <x:v>7</x:v>
      </x:c>
      <x:c r="I59" s="192" t="str">
        <x:v>Workbook Bank</x:v>
      </x:c>
      <x:c r="J59" s="192" t="str">
        <x:v>1. Clinical Evaluation</x:v>
      </x:c>
      <x:c r="K59" s="192" t="str">
        <x:v>Cultural meaning of family closeness</x:v>
      </x:c>
      <x:c r="L59" s="192" t="str"/>
      <x:c r="M59" s="192" t="str">
        <x:v>Moderate</x:v>
      </x:c>
      <x:c r="N59" s="192" t="str">
        <x:v>Moderate</x:v>
      </x:c>
      <x:c r="O59" s="192" t="str">
        <x:v>Application</x:v>
      </x:c>
      <x:c r="P59" s="192" t="str">
        <x:v>Application</x:v>
      </x:c>
      <x:c r="Q59" s="192" t="n">
        <x:v>4</x:v>
      </x:c>
      <x:c r="R59" s="192" t="str">
        <x:v>C</x:v>
      </x:c>
      <x:c r="S59" s="192" t="str">
        <x:v>Approved</x:v>
      </x:c>
      <x:c r="T59" s="192" t="str">
        <x:v>Active</x:v>
      </x:c>
      <x:c r="U59" s="192" t="n">
        <x:v>1</x:v>
      </x:c>
      <x:c r="V59" s="192" t="str"/>
      <x:c r="W59" s="192" t="str">
        <x:v>No additional flag</x:v>
      </x:c>
      <x:c r="X59" s="192" t="str">
        <x:v>No structural flag</x:v>
      </x:c>
      <x:c r="Y59" s="192" t="str">
        <x:v>Not Yet Reviewed</x:v>
      </x:c>
      <x:c r="Z59" s="192" t="str">
        <x:v>CTA LMFT Workbook 4</x:v>
      </x:c>
      <x:c r="AA59" s="192" t="str">
        <x:v>CTA_LMFT_WB4_17_Question_Bank_v1.0.docx</x:v>
      </x:c>
      <x:c r="AB59" s="192" t="str">
        <x:v>1.0</x:v>
      </x:c>
      <x:c r="AC59" s="193"/>
      <x:c r="AD59" s="193" t="n">
        <x:v>46228</x:v>
      </x:c>
      <x:c r="AE59" s="192" t="str"/>
      <x:c r="AF59" s="194" t="str">
        <x:v>Workbook bank; reserve pool after controlled review</x:v>
      </x:c>
    </x:row>
    <x:row r="60">
      <x:c r="A60" s="191" t="str">
        <x:v>CTA-LMFT-MQB-0059</x:v>
      </x:c>
      <x:c r="B60" s="192" t="str">
        <x:v>LMFT-WB04-QB-Q008</x:v>
      </x:c>
      <x:c r="C60" s="192" t="str">
        <x:v>LMFT</x:v>
      </x:c>
      <x:c r="D60" s="192" t="str">
        <x:v>Workbook Question Bank</x:v>
      </x:c>
      <x:c r="E60" s="192" t="n">
        <x:v>4</x:v>
      </x:c>
      <x:c r="F60" s="192" t="str">
        <x:v>Relational, Family-System, Trauma, and Strengths Assessment</x:v>
      </x:c>
      <x:c r="G60" s="192"/>
      <x:c r="H60" s="192" t="n">
        <x:v>8</x:v>
      </x:c>
      <x:c r="I60" s="192" t="str">
        <x:v>Workbook Bank</x:v>
      </x:c>
      <x:c r="J60" s="192" t="str">
        <x:v>1. Clinical Evaluation</x:v>
      </x:c>
      <x:c r="K60" s="192" t="str">
        <x:v>Grief and cultural context</x:v>
      </x:c>
      <x:c r="L60" s="192" t="str"/>
      <x:c r="M60" s="192" t="str">
        <x:v>Moderate</x:v>
      </x:c>
      <x:c r="N60" s="192" t="str">
        <x:v>Moderate</x:v>
      </x:c>
      <x:c r="O60" s="192" t="str">
        <x:v>Application</x:v>
      </x:c>
      <x:c r="P60" s="192" t="str">
        <x:v>Application</x:v>
      </x:c>
      <x:c r="Q60" s="192" t="n">
        <x:v>4</x:v>
      </x:c>
      <x:c r="R60" s="192" t="str">
        <x:v>D</x:v>
      </x:c>
      <x:c r="S60" s="192" t="str">
        <x:v>Approved</x:v>
      </x:c>
      <x:c r="T60" s="192" t="str">
        <x:v>Active</x:v>
      </x:c>
      <x:c r="U60" s="192" t="n">
        <x:v>1</x:v>
      </x:c>
      <x:c r="V60" s="192" t="str"/>
      <x:c r="W60" s="192" t="str">
        <x:v>No additional flag</x:v>
      </x:c>
      <x:c r="X60" s="192" t="str">
        <x:v>No structural flag</x:v>
      </x:c>
      <x:c r="Y60" s="192" t="str">
        <x:v>Not Yet Reviewed</x:v>
      </x:c>
      <x:c r="Z60" s="192" t="str">
        <x:v>CTA LMFT Workbook 4</x:v>
      </x:c>
      <x:c r="AA60" s="192" t="str">
        <x:v>CTA_LMFT_WB4_17_Question_Bank_v1.0.docx</x:v>
      </x:c>
      <x:c r="AB60" s="192" t="str">
        <x:v>1.0</x:v>
      </x:c>
      <x:c r="AC60" s="193"/>
      <x:c r="AD60" s="193" t="n">
        <x:v>46228</x:v>
      </x:c>
      <x:c r="AE60" s="192" t="str"/>
      <x:c r="AF60" s="194" t="str">
        <x:v>Workbook bank; reserve pool after controlled review</x:v>
      </x:c>
    </x:row>
    <x:row r="61">
      <x:c r="A61" s="191" t="str">
        <x:v>CTA-LMFT-MQB-0060</x:v>
      </x:c>
      <x:c r="B61" s="192" t="str">
        <x:v>LMFT-WB04-QB-Q009</x:v>
      </x:c>
      <x:c r="C61" s="192" t="str">
        <x:v>LMFT</x:v>
      </x:c>
      <x:c r="D61" s="192" t="str">
        <x:v>Workbook Question Bank</x:v>
      </x:c>
      <x:c r="E61" s="192" t="n">
        <x:v>4</x:v>
      </x:c>
      <x:c r="F61" s="192" t="str">
        <x:v>Relational, Family-System, Trauma, and Strengths Assessment</x:v>
      </x:c>
      <x:c r="G61" s="192"/>
      <x:c r="H61" s="192" t="n">
        <x:v>9</x:v>
      </x:c>
      <x:c r="I61" s="192" t="str">
        <x:v>Workbook Bank</x:v>
      </x:c>
      <x:c r="J61" s="192" t="str">
        <x:v>1. Clinical Evaluation</x:v>
      </x:c>
      <x:c r="K61" s="192" t="str">
        <x:v>Aggression pattern assessment</x:v>
      </x:c>
      <x:c r="L61" s="192" t="str"/>
      <x:c r="M61" s="192" t="str">
        <x:v>Moderate</x:v>
      </x:c>
      <x:c r="N61" s="192" t="str">
        <x:v>Moderate</x:v>
      </x:c>
      <x:c r="O61" s="192" t="str">
        <x:v>Scenario-Based</x:v>
      </x:c>
      <x:c r="P61" s="192" t="str">
        <x:v>Scenario-Based</x:v>
      </x:c>
      <x:c r="Q61" s="192" t="n">
        <x:v>4</x:v>
      </x:c>
      <x:c r="R61" s="192" t="str">
        <x:v>A</x:v>
      </x:c>
      <x:c r="S61" s="192" t="str">
        <x:v>Approved</x:v>
      </x:c>
      <x:c r="T61" s="192" t="str">
        <x:v>Active</x:v>
      </x:c>
      <x:c r="U61" s="192" t="n">
        <x:v>1</x:v>
      </x:c>
      <x:c r="V61" s="192" t="str"/>
      <x:c r="W61" s="192" t="str">
        <x:v>No additional flag</x:v>
      </x:c>
      <x:c r="X61" s="192" t="str">
        <x:v>No structural flag</x:v>
      </x:c>
      <x:c r="Y61" s="192" t="str">
        <x:v>Not Yet Reviewed</x:v>
      </x:c>
      <x:c r="Z61" s="192" t="str">
        <x:v>CTA LMFT Workbook 4</x:v>
      </x:c>
      <x:c r="AA61" s="192" t="str">
        <x:v>CTA_LMFT_WB4_17_Question_Bank_v1.0.docx</x:v>
      </x:c>
      <x:c r="AB61" s="192" t="str">
        <x:v>1.0</x:v>
      </x:c>
      <x:c r="AC61" s="193"/>
      <x:c r="AD61" s="193" t="n">
        <x:v>46228</x:v>
      </x:c>
      <x:c r="AE61" s="192" t="str"/>
      <x:c r="AF61" s="194" t="str">
        <x:v>Workbook bank; reserve pool after controlled review</x:v>
      </x:c>
    </x:row>
    <x:row r="62">
      <x:c r="A62" s="191" t="str">
        <x:v>CTA-LMFT-MQB-0061</x:v>
      </x:c>
      <x:c r="B62" s="192" t="str">
        <x:v>LMFT-WB04-QB-Q010</x:v>
      </x:c>
      <x:c r="C62" s="192" t="str">
        <x:v>LMFT</x:v>
      </x:c>
      <x:c r="D62" s="192" t="str">
        <x:v>Workbook Question Bank</x:v>
      </x:c>
      <x:c r="E62" s="192" t="n">
        <x:v>4</x:v>
      </x:c>
      <x:c r="F62" s="192" t="str">
        <x:v>Relational, Family-System, Trauma, and Strengths Assessment</x:v>
      </x:c>
      <x:c r="G62" s="192"/>
      <x:c r="H62" s="192" t="n">
        <x:v>10</x:v>
      </x:c>
      <x:c r="I62" s="192" t="str">
        <x:v>Workbook Bank</x:v>
      </x:c>
      <x:c r="J62" s="192" t="str">
        <x:v>1. Clinical Evaluation</x:v>
      </x:c>
      <x:c r="K62" s="192" t="str">
        <x:v>Dissociation and stabilization</x:v>
      </x:c>
      <x:c r="L62" s="192" t="str"/>
      <x:c r="M62" s="192" t="str">
        <x:v>Moderate</x:v>
      </x:c>
      <x:c r="N62" s="192" t="str">
        <x:v>Moderate</x:v>
      </x:c>
      <x:c r="O62" s="192" t="str">
        <x:v>Scenario-Based</x:v>
      </x:c>
      <x:c r="P62" s="192" t="str">
        <x:v>Scenario-Based</x:v>
      </x:c>
      <x:c r="Q62" s="192" t="n">
        <x:v>4</x:v>
      </x:c>
      <x:c r="R62" s="192" t="str">
        <x:v>B</x:v>
      </x:c>
      <x:c r="S62" s="192" t="str">
        <x:v>Approved</x:v>
      </x:c>
      <x:c r="T62" s="192" t="str">
        <x:v>Active</x:v>
      </x:c>
      <x:c r="U62" s="192" t="n">
        <x:v>1</x:v>
      </x:c>
      <x:c r="V62" s="192" t="str"/>
      <x:c r="W62" s="192" t="str">
        <x:v>No additional flag</x:v>
      </x:c>
      <x:c r="X62" s="192" t="str">
        <x:v>No structural flag</x:v>
      </x:c>
      <x:c r="Y62" s="192" t="str">
        <x:v>Not Yet Reviewed</x:v>
      </x:c>
      <x:c r="Z62" s="192" t="str">
        <x:v>CTA LMFT Workbook 4</x:v>
      </x:c>
      <x:c r="AA62" s="192" t="str">
        <x:v>CTA_LMFT_WB4_17_Question_Bank_v1.0.docx</x:v>
      </x:c>
      <x:c r="AB62" s="192" t="str">
        <x:v>1.0</x:v>
      </x:c>
      <x:c r="AC62" s="193"/>
      <x:c r="AD62" s="193" t="n">
        <x:v>46228</x:v>
      </x:c>
      <x:c r="AE62" s="192" t="str"/>
      <x:c r="AF62" s="194" t="str">
        <x:v>Workbook bank; reserve pool after controlled review</x:v>
      </x:c>
    </x:row>
    <x:row r="63">
      <x:c r="A63" s="191" t="str">
        <x:v>CTA-LMFT-MQB-0062</x:v>
      </x:c>
      <x:c r="B63" s="192" t="str">
        <x:v>LMFT-WB04-QB-Q011</x:v>
      </x:c>
      <x:c r="C63" s="192" t="str">
        <x:v>LMFT</x:v>
      </x:c>
      <x:c r="D63" s="192" t="str">
        <x:v>Workbook Question Bank</x:v>
      </x:c>
      <x:c r="E63" s="192" t="n">
        <x:v>4</x:v>
      </x:c>
      <x:c r="F63" s="192" t="str">
        <x:v>Relational, Family-System, Trauma, and Strengths Assessment</x:v>
      </x:c>
      <x:c r="G63" s="192"/>
      <x:c r="H63" s="192" t="n">
        <x:v>11</x:v>
      </x:c>
      <x:c r="I63" s="192" t="str">
        <x:v>Workbook Bank</x:v>
      </x:c>
      <x:c r="J63" s="192" t="str">
        <x:v>1. Clinical Evaluation</x:v>
      </x:c>
      <x:c r="K63" s="192" t="str">
        <x:v>Instrument language and cultural fit</x:v>
      </x:c>
      <x:c r="L63" s="192" t="str"/>
      <x:c r="M63" s="192" t="str">
        <x:v>Moderate</x:v>
      </x:c>
      <x:c r="N63" s="192" t="str">
        <x:v>Moderate</x:v>
      </x:c>
      <x:c r="O63" s="192" t="str">
        <x:v>Application</x:v>
      </x:c>
      <x:c r="P63" s="192" t="str">
        <x:v>Application</x:v>
      </x:c>
      <x:c r="Q63" s="192" t="n">
        <x:v>4</x:v>
      </x:c>
      <x:c r="R63" s="192" t="str">
        <x:v>C</x:v>
      </x:c>
      <x:c r="S63" s="192" t="str">
        <x:v>Approved</x:v>
      </x:c>
      <x:c r="T63" s="192" t="str">
        <x:v>Active</x:v>
      </x:c>
      <x:c r="U63" s="192" t="n">
        <x:v>1</x:v>
      </x:c>
      <x:c r="V63" s="192" t="str"/>
      <x:c r="W63" s="192" t="str">
        <x:v>No additional flag</x:v>
      </x:c>
      <x:c r="X63" s="192" t="str">
        <x:v>No structural flag</x:v>
      </x:c>
      <x:c r="Y63" s="192" t="str">
        <x:v>Not Yet Reviewed</x:v>
      </x:c>
      <x:c r="Z63" s="192" t="str">
        <x:v>CTA LMFT Workbook 4</x:v>
      </x:c>
      <x:c r="AA63" s="192" t="str">
        <x:v>CTA_LMFT_WB4_17_Question_Bank_v1.0.docx</x:v>
      </x:c>
      <x:c r="AB63" s="192" t="str">
        <x:v>1.0</x:v>
      </x:c>
      <x:c r="AC63" s="193"/>
      <x:c r="AD63" s="193" t="n">
        <x:v>46228</x:v>
      </x:c>
      <x:c r="AE63" s="192" t="str"/>
      <x:c r="AF63" s="194" t="str">
        <x:v>Workbook bank; reserve pool after controlled review</x:v>
      </x:c>
    </x:row>
    <x:row r="64">
      <x:c r="A64" s="191" t="str">
        <x:v>CTA-LMFT-MQB-0063</x:v>
      </x:c>
      <x:c r="B64" s="192" t="str">
        <x:v>LMFT-WB04-QB-Q012</x:v>
      </x:c>
      <x:c r="C64" s="192" t="str">
        <x:v>LMFT</x:v>
      </x:c>
      <x:c r="D64" s="192" t="str">
        <x:v>Workbook Question Bank</x:v>
      </x:c>
      <x:c r="E64" s="192" t="n">
        <x:v>4</x:v>
      </x:c>
      <x:c r="F64" s="192" t="str">
        <x:v>Relational, Family-System, Trauma, and Strengths Assessment</x:v>
      </x:c>
      <x:c r="G64" s="192"/>
      <x:c r="H64" s="192" t="n">
        <x:v>12</x:v>
      </x:c>
      <x:c r="I64" s="192" t="str">
        <x:v>Workbook Bank</x:v>
      </x:c>
      <x:c r="J64" s="192" t="str">
        <x:v>1. Clinical Evaluation</x:v>
      </x:c>
      <x:c r="K64" s="192" t="str">
        <x:v>Referral for specialized learning evaluation</x:v>
      </x:c>
      <x:c r="L64" s="192" t="str"/>
      <x:c r="M64" s="192" t="str">
        <x:v>Moderate</x:v>
      </x:c>
      <x:c r="N64" s="192" t="str">
        <x:v>Moderate</x:v>
      </x:c>
      <x:c r="O64" s="192" t="str">
        <x:v>Application</x:v>
      </x:c>
      <x:c r="P64" s="192" t="str">
        <x:v>Application</x:v>
      </x:c>
      <x:c r="Q64" s="192" t="n">
        <x:v>4</x:v>
      </x:c>
      <x:c r="R64" s="192" t="str">
        <x:v>D</x:v>
      </x:c>
      <x:c r="S64" s="192" t="str">
        <x:v>Approved</x:v>
      </x:c>
      <x:c r="T64" s="192" t="str">
        <x:v>Active</x:v>
      </x:c>
      <x:c r="U64" s="192" t="n">
        <x:v>1</x:v>
      </x:c>
      <x:c r="V64" s="192" t="str"/>
      <x:c r="W64" s="192" t="str">
        <x:v>No additional flag</x:v>
      </x:c>
      <x:c r="X64" s="192" t="str">
        <x:v>No structural flag</x:v>
      </x:c>
      <x:c r="Y64" s="192" t="str">
        <x:v>Not Yet Reviewed</x:v>
      </x:c>
      <x:c r="Z64" s="192" t="str">
        <x:v>CTA LMFT Workbook 4</x:v>
      </x:c>
      <x:c r="AA64" s="192" t="str">
        <x:v>CTA_LMFT_WB4_17_Question_Bank_v1.0.docx</x:v>
      </x:c>
      <x:c r="AB64" s="192" t="str">
        <x:v>1.0</x:v>
      </x:c>
      <x:c r="AC64" s="193"/>
      <x:c r="AD64" s="193" t="n">
        <x:v>46228</x:v>
      </x:c>
      <x:c r="AE64" s="192" t="str"/>
      <x:c r="AF64" s="194" t="str">
        <x:v>Workbook bank; reserve pool after controlled review</x:v>
      </x:c>
    </x:row>
    <x:row r="65">
      <x:c r="A65" s="191" t="str">
        <x:v>CTA-LMFT-MQB-0064</x:v>
      </x:c>
      <x:c r="B65" s="192" t="str">
        <x:v>LMFT-WB04-QB-Q013</x:v>
      </x:c>
      <x:c r="C65" s="192" t="str">
        <x:v>LMFT</x:v>
      </x:c>
      <x:c r="D65" s="192" t="str">
        <x:v>Workbook Question Bank</x:v>
      </x:c>
      <x:c r="E65" s="192" t="n">
        <x:v>4</x:v>
      </x:c>
      <x:c r="F65" s="192" t="str">
        <x:v>Relational, Family-System, Trauma, and Strengths Assessment</x:v>
      </x:c>
      <x:c r="G65" s="192"/>
      <x:c r="H65" s="192" t="n">
        <x:v>13</x:v>
      </x:c>
      <x:c r="I65" s="192" t="str">
        <x:v>Workbook Bank</x:v>
      </x:c>
      <x:c r="J65" s="192" t="str">
        <x:v>1. Clinical Evaluation</x:v>
      </x:c>
      <x:c r="K65" s="192" t="str">
        <x:v>Caregiving transition and family system</x:v>
      </x:c>
      <x:c r="L65" s="192" t="str"/>
      <x:c r="M65" s="192" t="str">
        <x:v>Difficult</x:v>
      </x:c>
      <x:c r="N65" s="192" t="str">
        <x:v>Difficult</x:v>
      </x:c>
      <x:c r="O65" s="192" t="str">
        <x:v>Integrated Clinical Reasoning</x:v>
      </x:c>
      <x:c r="P65" s="192" t="str">
        <x:v>Integrated Clinical Reasoning</x:v>
      </x:c>
      <x:c r="Q65" s="192" t="n">
        <x:v>4</x:v>
      </x:c>
      <x:c r="R65" s="192" t="str">
        <x:v>A</x:v>
      </x:c>
      <x:c r="S65" s="192" t="str">
        <x:v>Approved</x:v>
      </x:c>
      <x:c r="T65" s="192" t="str">
        <x:v>Active</x:v>
      </x:c>
      <x:c r="U65" s="192" t="n">
        <x:v>1</x:v>
      </x:c>
      <x:c r="V65" s="192" t="str"/>
      <x:c r="W65" s="192" t="str">
        <x:v>No additional flag</x:v>
      </x:c>
      <x:c r="X65" s="192" t="str">
        <x:v>No structural flag</x:v>
      </x:c>
      <x:c r="Y65" s="192" t="str">
        <x:v>Not Yet Reviewed</x:v>
      </x:c>
      <x:c r="Z65" s="192" t="str">
        <x:v>CTA LMFT Workbook 4</x:v>
      </x:c>
      <x:c r="AA65" s="192" t="str">
        <x:v>CTA_LMFT_WB4_17_Question_Bank_v1.0.docx</x:v>
      </x:c>
      <x:c r="AB65" s="192" t="str">
        <x:v>1.0</x:v>
      </x:c>
      <x:c r="AC65" s="193"/>
      <x:c r="AD65" s="193" t="n">
        <x:v>46228</x:v>
      </x:c>
      <x:c r="AE65" s="192" t="str"/>
      <x:c r="AF65" s="194" t="str">
        <x:v>Workbook bank; reserve pool after controlled review</x:v>
      </x:c>
    </x:row>
    <x:row r="66">
      <x:c r="A66" s="191" t="str">
        <x:v>CTA-LMFT-MQB-0065</x:v>
      </x:c>
      <x:c r="B66" s="192" t="str">
        <x:v>LMFT-WB04-QB-Q014</x:v>
      </x:c>
      <x:c r="C66" s="192" t="str">
        <x:v>LMFT</x:v>
      </x:c>
      <x:c r="D66" s="192" t="str">
        <x:v>Workbook Question Bank</x:v>
      </x:c>
      <x:c r="E66" s="192" t="n">
        <x:v>4</x:v>
      </x:c>
      <x:c r="F66" s="192" t="str">
        <x:v>Relational, Family-System, Trauma, and Strengths Assessment</x:v>
      </x:c>
      <x:c r="G66" s="192"/>
      <x:c r="H66" s="192" t="n">
        <x:v>14</x:v>
      </x:c>
      <x:c r="I66" s="192" t="str">
        <x:v>Workbook Bank</x:v>
      </x:c>
      <x:c r="J66" s="192" t="str">
        <x:v>1. Clinical Evaluation</x:v>
      </x:c>
      <x:c r="K66" s="192" t="str">
        <x:v>Stalking and coercive control</x:v>
      </x:c>
      <x:c r="L66" s="192" t="str"/>
      <x:c r="M66" s="192" t="str">
        <x:v>Difficult</x:v>
      </x:c>
      <x:c r="N66" s="192" t="str">
        <x:v>Difficult</x:v>
      </x:c>
      <x:c r="O66" s="192" t="str">
        <x:v>Scenario-Based</x:v>
      </x:c>
      <x:c r="P66" s="192" t="str">
        <x:v>Scenario-Based</x:v>
      </x:c>
      <x:c r="Q66" s="192" t="n">
        <x:v>4</x:v>
      </x:c>
      <x:c r="R66" s="192" t="str">
        <x:v>B</x:v>
      </x:c>
      <x:c r="S66" s="192" t="str">
        <x:v>Approved</x:v>
      </x:c>
      <x:c r="T66" s="192" t="str">
        <x:v>Active</x:v>
      </x:c>
      <x:c r="U66" s="192" t="n">
        <x:v>1</x:v>
      </x:c>
      <x:c r="V66" s="192" t="str"/>
      <x:c r="W66" s="192" t="str">
        <x:v>No additional flag</x:v>
      </x:c>
      <x:c r="X66" s="192" t="str">
        <x:v>No structural flag</x:v>
      </x:c>
      <x:c r="Y66" s="192" t="str">
        <x:v>Not Yet Reviewed</x:v>
      </x:c>
      <x:c r="Z66" s="192" t="str">
        <x:v>CTA LMFT Workbook 4</x:v>
      </x:c>
      <x:c r="AA66" s="192" t="str">
        <x:v>CTA_LMFT_WB4_17_Question_Bank_v1.0.docx</x:v>
      </x:c>
      <x:c r="AB66" s="192" t="str">
        <x:v>1.0</x:v>
      </x:c>
      <x:c r="AC66" s="193"/>
      <x:c r="AD66" s="193" t="n">
        <x:v>46228</x:v>
      </x:c>
      <x:c r="AE66" s="192" t="str"/>
      <x:c r="AF66" s="194" t="str">
        <x:v>Workbook bank; reserve pool after controlled review</x:v>
      </x:c>
    </x:row>
    <x:row r="67">
      <x:c r="A67" s="191" t="str">
        <x:v>CTA-LMFT-MQB-0066</x:v>
      </x:c>
      <x:c r="B67" s="192" t="str">
        <x:v>LMFT-WB04-QB-Q015</x:v>
      </x:c>
      <x:c r="C67" s="192" t="str">
        <x:v>LMFT</x:v>
      </x:c>
      <x:c r="D67" s="192" t="str">
        <x:v>Workbook Question Bank</x:v>
      </x:c>
      <x:c r="E67" s="192" t="n">
        <x:v>4</x:v>
      </x:c>
      <x:c r="F67" s="192" t="str">
        <x:v>Relational, Family-System, Trauma, and Strengths Assessment</x:v>
      </x:c>
      <x:c r="G67" s="192"/>
      <x:c r="H67" s="192" t="n">
        <x:v>15</x:v>
      </x:c>
      <x:c r="I67" s="192" t="str">
        <x:v>Workbook Bank</x:v>
      </x:c>
      <x:c r="J67" s="192" t="str">
        <x:v>1. Clinical Evaluation</x:v>
      </x:c>
      <x:c r="K67" s="192" t="str">
        <x:v>Sexualized behavior and safety assessment</x:v>
      </x:c>
      <x:c r="L67" s="192" t="str"/>
      <x:c r="M67" s="192" t="str">
        <x:v>Difficult</x:v>
      </x:c>
      <x:c r="N67" s="192" t="str">
        <x:v>Difficult</x:v>
      </x:c>
      <x:c r="O67" s="192" t="str">
        <x:v>Scenario-Based</x:v>
      </x:c>
      <x:c r="P67" s="192" t="str">
        <x:v>Scenario-Based</x:v>
      </x:c>
      <x:c r="Q67" s="192" t="n">
        <x:v>4</x:v>
      </x:c>
      <x:c r="R67" s="192" t="str">
        <x:v>C</x:v>
      </x:c>
      <x:c r="S67" s="192" t="str">
        <x:v>Approved</x:v>
      </x:c>
      <x:c r="T67" s="192" t="str">
        <x:v>Active</x:v>
      </x:c>
      <x:c r="U67" s="192" t="n">
        <x:v>1</x:v>
      </x:c>
      <x:c r="V67" s="192" t="str"/>
      <x:c r="W67" s="192" t="str">
        <x:v>No additional flag</x:v>
      </x:c>
      <x:c r="X67" s="192" t="str">
        <x:v>No structural flag</x:v>
      </x:c>
      <x:c r="Y67" s="192" t="str">
        <x:v>Not Yet Reviewed</x:v>
      </x:c>
      <x:c r="Z67" s="192" t="str">
        <x:v>CTA LMFT Workbook 4</x:v>
      </x:c>
      <x:c r="AA67" s="192" t="str">
        <x:v>CTA_LMFT_WB4_17_Question_Bank_v1.0.docx</x:v>
      </x:c>
      <x:c r="AB67" s="192" t="str">
        <x:v>1.0</x:v>
      </x:c>
      <x:c r="AC67" s="193"/>
      <x:c r="AD67" s="193" t="n">
        <x:v>46228</x:v>
      </x:c>
      <x:c r="AE67" s="192" t="str"/>
      <x:c r="AF67" s="194" t="str">
        <x:v>Workbook bank; reserve pool after controlled review</x:v>
      </x:c>
    </x:row>
    <x:row r="68">
      <x:c r="A68" s="191" t="str">
        <x:v>CTA-LMFT-MQB-0067</x:v>
      </x:c>
      <x:c r="B68" s="192" t="str">
        <x:v>LMFT-WB04-QB-Q016</x:v>
      </x:c>
      <x:c r="C68" s="192" t="str">
        <x:v>LMFT</x:v>
      </x:c>
      <x:c r="D68" s="192" t="str">
        <x:v>Workbook Question Bank</x:v>
      </x:c>
      <x:c r="E68" s="192" t="n">
        <x:v>4</x:v>
      </x:c>
      <x:c r="F68" s="192" t="str">
        <x:v>Relational, Family-System, Trauma, and Strengths Assessment</x:v>
      </x:c>
      <x:c r="G68" s="192"/>
      <x:c r="H68" s="192" t="n">
        <x:v>16</x:v>
      </x:c>
      <x:c r="I68" s="192" t="str">
        <x:v>Workbook Bank</x:v>
      </x:c>
      <x:c r="J68" s="192" t="str">
        <x:v>1. Clinical Evaluation</x:v>
      </x:c>
      <x:c r="K68" s="192" t="str">
        <x:v>Abrupt change, medication, and family decision</x:v>
      </x:c>
      <x:c r="L68" s="192" t="str"/>
      <x:c r="M68" s="192" t="str">
        <x:v>Difficult</x:v>
      </x:c>
      <x:c r="N68" s="192" t="str">
        <x:v>Difficult</x:v>
      </x:c>
      <x:c r="O68" s="192" t="str">
        <x:v>Integrated Clinical Reasoning</x:v>
      </x:c>
      <x:c r="P68" s="192" t="str">
        <x:v>Integrated Clinical Reasoning</x:v>
      </x:c>
      <x:c r="Q68" s="192" t="n">
        <x:v>4</x:v>
      </x:c>
      <x:c r="R68" s="192" t="str">
        <x:v>D</x:v>
      </x:c>
      <x:c r="S68" s="192" t="str">
        <x:v>Approved</x:v>
      </x:c>
      <x:c r="T68" s="192" t="str">
        <x:v>Active</x:v>
      </x:c>
      <x:c r="U68" s="192" t="n">
        <x:v>1</x:v>
      </x:c>
      <x:c r="V68" s="192" t="str"/>
      <x:c r="W68" s="192" t="str">
        <x:v>No additional flag</x:v>
      </x:c>
      <x:c r="X68" s="192" t="str">
        <x:v>No structural flag</x:v>
      </x:c>
      <x:c r="Y68" s="192" t="str">
        <x:v>Not Yet Reviewed</x:v>
      </x:c>
      <x:c r="Z68" s="192" t="str">
        <x:v>CTA LMFT Workbook 4</x:v>
      </x:c>
      <x:c r="AA68" s="192" t="str">
        <x:v>CTA_LMFT_WB4_17_Question_Bank_v1.0.docx</x:v>
      </x:c>
      <x:c r="AB68" s="192" t="str">
        <x:v>1.0</x:v>
      </x:c>
      <x:c r="AC68" s="193"/>
      <x:c r="AD68" s="193" t="n">
        <x:v>46228</x:v>
      </x:c>
      <x:c r="AE68" s="192" t="str"/>
      <x:c r="AF68" s="194" t="str">
        <x:v>Workbook bank; reserve pool after controlled review</x:v>
      </x:c>
    </x:row>
    <x:row r="69">
      <x:c r="A69" s="191" t="str">
        <x:v>CTA-LMFT-MQB-0068</x:v>
      </x:c>
      <x:c r="B69" s="192" t="str">
        <x:v>LMFT-WB04-QB-Q017</x:v>
      </x:c>
      <x:c r="C69" s="192" t="str">
        <x:v>LMFT</x:v>
      </x:c>
      <x:c r="D69" s="192" t="str">
        <x:v>Workbook Question Bank</x:v>
      </x:c>
      <x:c r="E69" s="192" t="n">
        <x:v>4</x:v>
      </x:c>
      <x:c r="F69" s="192" t="str">
        <x:v>Relational, Family-System, Trauma, and Strengths Assessment</x:v>
      </x:c>
      <x:c r="G69" s="192"/>
      <x:c r="H69" s="192" t="n">
        <x:v>17</x:v>
      </x:c>
      <x:c r="I69" s="192" t="str">
        <x:v>Workbook Bank</x:v>
      </x:c>
      <x:c r="J69" s="192" t="str">
        <x:v>1. Clinical Evaluation</x:v>
      </x:c>
      <x:c r="K69" s="192" t="str">
        <x:v>Integrated cross-cultural trauma and family assessment</x:v>
      </x:c>
      <x:c r="L69" s="192" t="str"/>
      <x:c r="M69" s="192" t="str">
        <x:v>Difficult</x:v>
      </x:c>
      <x:c r="N69" s="192" t="str">
        <x:v>Difficult</x:v>
      </x:c>
      <x:c r="O69" s="192" t="str">
        <x:v>Integrated Clinical Reasoning</x:v>
      </x:c>
      <x:c r="P69" s="192" t="str">
        <x:v>Integrated Clinical Reasoning</x:v>
      </x:c>
      <x:c r="Q69" s="192" t="n">
        <x:v>4</x:v>
      </x:c>
      <x:c r="R69" s="192" t="str">
        <x:v>A</x:v>
      </x:c>
      <x:c r="S69" s="192" t="str">
        <x:v>Approved</x:v>
      </x:c>
      <x:c r="T69" s="192" t="str">
        <x:v>Active</x:v>
      </x:c>
      <x:c r="U69" s="192" t="n">
        <x:v>1</x:v>
      </x:c>
      <x:c r="V69" s="192" t="str"/>
      <x:c r="W69" s="192" t="str">
        <x:v>No additional flag</x:v>
      </x:c>
      <x:c r="X69" s="192" t="str">
        <x:v>No structural flag</x:v>
      </x:c>
      <x:c r="Y69" s="192" t="str">
        <x:v>Not Yet Reviewed</x:v>
      </x:c>
      <x:c r="Z69" s="192" t="str">
        <x:v>CTA LMFT Workbook 4</x:v>
      </x:c>
      <x:c r="AA69" s="192" t="str">
        <x:v>CTA_LMFT_WB4_17_Question_Bank_v1.0.docx</x:v>
      </x:c>
      <x:c r="AB69" s="192" t="str">
        <x:v>1.0</x:v>
      </x:c>
      <x:c r="AC69" s="193"/>
      <x:c r="AD69" s="193" t="n">
        <x:v>46228</x:v>
      </x:c>
      <x:c r="AE69" s="192" t="str"/>
      <x:c r="AF69" s="194" t="str">
        <x:v>Workbook bank; reserve pool after controlled review</x:v>
      </x:c>
    </x:row>
    <x:row r="70">
      <x:c r="A70" s="191" t="str">
        <x:v>CTA-LMFT-MQB-0069</x:v>
      </x:c>
      <x:c r="B70" s="192" t="str">
        <x:v>LMFT-WB05-QB-Q001</x:v>
      </x:c>
      <x:c r="C70" s="192" t="str">
        <x:v>LMFT</x:v>
      </x:c>
      <x:c r="D70" s="192" t="str">
        <x:v>Workbook Question Bank</x:v>
      </x:c>
      <x:c r="E70" s="192" t="n">
        <x:v>5</x:v>
      </x:c>
      <x:c r="F70" s="192" t="str">
        <x:v>Diagnosis and Differential Diagnosis</x:v>
      </x:c>
      <x:c r="G70" s="192"/>
      <x:c r="H70" s="192" t="n">
        <x:v>1</x:v>
      </x:c>
      <x:c r="I70" s="192" t="str">
        <x:v>Workbook Bank</x:v>
      </x:c>
      <x:c r="J70" s="192" t="str">
        <x:v>2. Developing a Diagnostic Impression</x:v>
      </x:c>
      <x:c r="K70" s="192" t="str">
        <x:v>Provisional diagnosis</x:v>
      </x:c>
      <x:c r="L70" s="192" t="str"/>
      <x:c r="M70" s="192" t="str">
        <x:v>Easy</x:v>
      </x:c>
      <x:c r="N70" s="192" t="str">
        <x:v>Easy</x:v>
      </x:c>
      <x:c r="O70" s="192" t="str">
        <x:v>Knowledge &amp; Recall</x:v>
      </x:c>
      <x:c r="P70" s="192" t="str">
        <x:v>Knowledge &amp; Recall</x:v>
      </x:c>
      <x:c r="Q70" s="192" t="n">
        <x:v>4</x:v>
      </x:c>
      <x:c r="R70" s="192" t="str">
        <x:v>B</x:v>
      </x:c>
      <x:c r="S70" s="192" t="str">
        <x:v>Approved</x:v>
      </x:c>
      <x:c r="T70" s="192" t="str">
        <x:v>Active</x:v>
      </x:c>
      <x:c r="U70" s="192" t="n">
        <x:v>1</x:v>
      </x:c>
      <x:c r="V70" s="192" t="str"/>
      <x:c r="W70" s="192" t="str">
        <x:v>Review Candidate</x:v>
      </x:c>
      <x:c r="X70" s="192" t="str">
        <x:v>No structural flag</x:v>
      </x:c>
      <x:c r="Y70" s="192" t="str">
        <x:v>Not Yet Reviewed</x:v>
      </x:c>
      <x:c r="Z70" s="192" t="str">
        <x:v>CTA LMFT Workbook 5</x:v>
      </x:c>
      <x:c r="AA70" s="192" t="str">
        <x:v>CTA_LMFT_WB5_17_Question_Bank_v1.0.docx</x:v>
      </x:c>
      <x:c r="AB70" s="192" t="str">
        <x:v>1.0</x:v>
      </x:c>
      <x:c r="AC70" s="193"/>
      <x:c r="AD70" s="193" t="n">
        <x:v>46228</x:v>
      </x:c>
      <x:c r="AE70" s="192" t="str"/>
      <x:c r="AF70" s="194" t="str">
        <x:v>Workbook bank; reserve pool after controlled review</x:v>
      </x:c>
    </x:row>
    <x:row r="71">
      <x:c r="A71" s="191" t="str">
        <x:v>CTA-LMFT-MQB-0070</x:v>
      </x:c>
      <x:c r="B71" s="192" t="str">
        <x:v>LMFT-WB05-QB-Q002</x:v>
      </x:c>
      <x:c r="C71" s="192" t="str">
        <x:v>LMFT</x:v>
      </x:c>
      <x:c r="D71" s="192" t="str">
        <x:v>Workbook Question Bank</x:v>
      </x:c>
      <x:c r="E71" s="192" t="n">
        <x:v>5</x:v>
      </x:c>
      <x:c r="F71" s="192" t="str">
        <x:v>Diagnosis and Differential Diagnosis</x:v>
      </x:c>
      <x:c r="G71" s="192"/>
      <x:c r="H71" s="192" t="n">
        <x:v>2</x:v>
      </x:c>
      <x:c r="I71" s="192" t="str">
        <x:v>Workbook Bank</x:v>
      </x:c>
      <x:c r="J71" s="192" t="str">
        <x:v>2. Developing a Diagnostic Impression</x:v>
      </x:c>
      <x:c r="K71" s="192" t="str">
        <x:v>Diagnostic parsimony</x:v>
      </x:c>
      <x:c r="L71" s="192" t="str"/>
      <x:c r="M71" s="192" t="str">
        <x:v>Easy</x:v>
      </x:c>
      <x:c r="N71" s="192" t="str">
        <x:v>Easy</x:v>
      </x:c>
      <x:c r="O71" s="192" t="str">
        <x:v>Knowledge &amp; Recall</x:v>
      </x:c>
      <x:c r="P71" s="192" t="str">
        <x:v>Knowledge &amp; Recall</x:v>
      </x:c>
      <x:c r="Q71" s="192" t="n">
        <x:v>4</x:v>
      </x:c>
      <x:c r="R71" s="192" t="str">
        <x:v>A</x:v>
      </x:c>
      <x:c r="S71" s="192" t="str">
        <x:v>Approved</x:v>
      </x:c>
      <x:c r="T71" s="192" t="str">
        <x:v>Active</x:v>
      </x:c>
      <x:c r="U71" s="192" t="n">
        <x:v>1</x:v>
      </x:c>
      <x:c r="V71" s="192" t="str"/>
      <x:c r="W71" s="192" t="str">
        <x:v>No additional flag</x:v>
      </x:c>
      <x:c r="X71" s="192" t="str">
        <x:v>No structural flag</x:v>
      </x:c>
      <x:c r="Y71" s="192" t="str">
        <x:v>Not Yet Reviewed</x:v>
      </x:c>
      <x:c r="Z71" s="192" t="str">
        <x:v>CTA LMFT Workbook 5</x:v>
      </x:c>
      <x:c r="AA71" s="192" t="str">
        <x:v>CTA_LMFT_WB5_17_Question_Bank_v1.0.docx</x:v>
      </x:c>
      <x:c r="AB71" s="192" t="str">
        <x:v>1.0</x:v>
      </x:c>
      <x:c r="AC71" s="193"/>
      <x:c r="AD71" s="193" t="n">
        <x:v>46228</x:v>
      </x:c>
      <x:c r="AE71" s="192" t="str"/>
      <x:c r="AF71" s="194" t="str">
        <x:v>Workbook bank; reserve pool after controlled review</x:v>
      </x:c>
    </x:row>
    <x:row r="72">
      <x:c r="A72" s="191" t="str">
        <x:v>CTA-LMFT-MQB-0071</x:v>
      </x:c>
      <x:c r="B72" s="192" t="str">
        <x:v>LMFT-WB05-QB-Q003</x:v>
      </x:c>
      <x:c r="C72" s="192" t="str">
        <x:v>LMFT</x:v>
      </x:c>
      <x:c r="D72" s="192" t="str">
        <x:v>Workbook Question Bank</x:v>
      </x:c>
      <x:c r="E72" s="192" t="n">
        <x:v>5</x:v>
      </x:c>
      <x:c r="F72" s="192" t="str">
        <x:v>Diagnosis and Differential Diagnosis</x:v>
      </x:c>
      <x:c r="G72" s="192"/>
      <x:c r="H72" s="192" t="n">
        <x:v>3</x:v>
      </x:c>
      <x:c r="I72" s="192" t="str">
        <x:v>Workbook Bank</x:v>
      </x:c>
      <x:c r="J72" s="192" t="str">
        <x:v>2. Developing a Diagnostic Impression</x:v>
      </x:c>
      <x:c r="K72" s="192" t="str">
        <x:v>Bipolar differential</x:v>
      </x:c>
      <x:c r="L72" s="192" t="str"/>
      <x:c r="M72" s="192" t="str">
        <x:v>Easy</x:v>
      </x:c>
      <x:c r="N72" s="192" t="str">
        <x:v>Easy</x:v>
      </x:c>
      <x:c r="O72" s="192" t="str">
        <x:v>Knowledge &amp; Recall</x:v>
      </x:c>
      <x:c r="P72" s="192" t="str">
        <x:v>Knowledge &amp; Recall</x:v>
      </x:c>
      <x:c r="Q72" s="192" t="n">
        <x:v>4</x:v>
      </x:c>
      <x:c r="R72" s="192" t="str">
        <x:v>C</x:v>
      </x:c>
      <x:c r="S72" s="192" t="str">
        <x:v>Approved</x:v>
      </x:c>
      <x:c r="T72" s="192" t="str">
        <x:v>Active</x:v>
      </x:c>
      <x:c r="U72" s="192" t="n">
        <x:v>1</x:v>
      </x:c>
      <x:c r="V72" s="192" t="str"/>
      <x:c r="W72" s="192" t="str">
        <x:v>No additional flag</x:v>
      </x:c>
      <x:c r="X72" s="192" t="str">
        <x:v>No structural flag</x:v>
      </x:c>
      <x:c r="Y72" s="192" t="str">
        <x:v>Not Yet Reviewed</x:v>
      </x:c>
      <x:c r="Z72" s="192" t="str">
        <x:v>CTA LMFT Workbook 5</x:v>
      </x:c>
      <x:c r="AA72" s="192" t="str">
        <x:v>CTA_LMFT_WB5_17_Question_Bank_v1.0.docx</x:v>
      </x:c>
      <x:c r="AB72" s="192" t="str">
        <x:v>1.0</x:v>
      </x:c>
      <x:c r="AC72" s="193"/>
      <x:c r="AD72" s="193" t="n">
        <x:v>46228</x:v>
      </x:c>
      <x:c r="AE72" s="192" t="str"/>
      <x:c r="AF72" s="194" t="str">
        <x:v>Workbook bank; reserve pool after controlled review</x:v>
      </x:c>
    </x:row>
    <x:row r="73">
      <x:c r="A73" s="191" t="str">
        <x:v>CTA-LMFT-MQB-0072</x:v>
      </x:c>
      <x:c r="B73" s="192" t="str">
        <x:v>LMFT-WB05-QB-Q004</x:v>
      </x:c>
      <x:c r="C73" s="192" t="str">
        <x:v>LMFT</x:v>
      </x:c>
      <x:c r="D73" s="192" t="str">
        <x:v>Workbook Question Bank</x:v>
      </x:c>
      <x:c r="E73" s="192" t="n">
        <x:v>5</x:v>
      </x:c>
      <x:c r="F73" s="192" t="str">
        <x:v>Diagnosis and Differential Diagnosis</x:v>
      </x:c>
      <x:c r="G73" s="192"/>
      <x:c r="H73" s="192" t="n">
        <x:v>4</x:v>
      </x:c>
      <x:c r="I73" s="192" t="str">
        <x:v>Workbook Bank</x:v>
      </x:c>
      <x:c r="J73" s="192" t="str">
        <x:v>2. Developing a Diagnostic Impression</x:v>
      </x:c>
      <x:c r="K73" s="192" t="str">
        <x:v>Contextual and relational conditions</x:v>
      </x:c>
      <x:c r="L73" s="192" t="str"/>
      <x:c r="M73" s="192" t="str">
        <x:v>Easy</x:v>
      </x:c>
      <x:c r="N73" s="192" t="str">
        <x:v>Easy</x:v>
      </x:c>
      <x:c r="O73" s="192" t="str">
        <x:v>Knowledge &amp; Recall</x:v>
      </x:c>
      <x:c r="P73" s="192" t="str">
        <x:v>Knowledge &amp; Recall</x:v>
      </x:c>
      <x:c r="Q73" s="192" t="n">
        <x:v>4</x:v>
      </x:c>
      <x:c r="R73" s="192" t="str">
        <x:v>D</x:v>
      </x:c>
      <x:c r="S73" s="192" t="str">
        <x:v>Approved</x:v>
      </x:c>
      <x:c r="T73" s="192" t="str">
        <x:v>Active</x:v>
      </x:c>
      <x:c r="U73" s="192" t="n">
        <x:v>1</x:v>
      </x:c>
      <x:c r="V73" s="192" t="str"/>
      <x:c r="W73" s="192" t="str">
        <x:v>No additional flag</x:v>
      </x:c>
      <x:c r="X73" s="192" t="str">
        <x:v>No structural flag</x:v>
      </x:c>
      <x:c r="Y73" s="192" t="str">
        <x:v>Not Yet Reviewed</x:v>
      </x:c>
      <x:c r="Z73" s="192" t="str">
        <x:v>CTA LMFT Workbook 5</x:v>
      </x:c>
      <x:c r="AA73" s="192" t="str">
        <x:v>CTA_LMFT_WB5_17_Question_Bank_v1.0.docx</x:v>
      </x:c>
      <x:c r="AB73" s="192" t="str">
        <x:v>1.0</x:v>
      </x:c>
      <x:c r="AC73" s="193"/>
      <x:c r="AD73" s="193" t="n">
        <x:v>46228</x:v>
      </x:c>
      <x:c r="AE73" s="192" t="str"/>
      <x:c r="AF73" s="194" t="str">
        <x:v>Workbook bank; reserve pool after controlled review</x:v>
      </x:c>
    </x:row>
    <x:row r="74">
      <x:c r="A74" s="191" t="str">
        <x:v>CTA-LMFT-MQB-0073</x:v>
      </x:c>
      <x:c r="B74" s="192" t="str">
        <x:v>LMFT-WB05-QB-Q005</x:v>
      </x:c>
      <x:c r="C74" s="192" t="str">
        <x:v>LMFT</x:v>
      </x:c>
      <x:c r="D74" s="192" t="str">
        <x:v>Workbook Question Bank</x:v>
      </x:c>
      <x:c r="E74" s="192" t="n">
        <x:v>5</x:v>
      </x:c>
      <x:c r="F74" s="192" t="str">
        <x:v>Diagnosis and Differential Diagnosis</x:v>
      </x:c>
      <x:c r="G74" s="192"/>
      <x:c r="H74" s="192" t="n">
        <x:v>5</x:v>
      </x:c>
      <x:c r="I74" s="192" t="str">
        <x:v>Workbook Bank</x:v>
      </x:c>
      <x:c r="J74" s="192" t="str">
        <x:v>2. Developing a Diagnostic Impression</x:v>
      </x:c>
      <x:c r="K74" s="192" t="str">
        <x:v>Medical and substance rule-outs</x:v>
      </x:c>
      <x:c r="L74" s="192" t="str"/>
      <x:c r="M74" s="192" t="str">
        <x:v>Easy</x:v>
      </x:c>
      <x:c r="N74" s="192" t="str">
        <x:v>Easy</x:v>
      </x:c>
      <x:c r="O74" s="192" t="str">
        <x:v>Knowledge &amp; Recall</x:v>
      </x:c>
      <x:c r="P74" s="192" t="str">
        <x:v>Knowledge &amp; Recall</x:v>
      </x:c>
      <x:c r="Q74" s="192" t="n">
        <x:v>4</x:v>
      </x:c>
      <x:c r="R74" s="192" t="str">
        <x:v>A</x:v>
      </x:c>
      <x:c r="S74" s="192" t="str">
        <x:v>Approved</x:v>
      </x:c>
      <x:c r="T74" s="192" t="str">
        <x:v>Active</x:v>
      </x:c>
      <x:c r="U74" s="192" t="n">
        <x:v>1</x:v>
      </x:c>
      <x:c r="V74" s="192" t="str"/>
      <x:c r="W74" s="192" t="str">
        <x:v>No additional flag</x:v>
      </x:c>
      <x:c r="X74" s="192" t="str">
        <x:v>No structural flag</x:v>
      </x:c>
      <x:c r="Y74" s="192" t="str">
        <x:v>Not Yet Reviewed</x:v>
      </x:c>
      <x:c r="Z74" s="192" t="str">
        <x:v>CTA LMFT Workbook 5</x:v>
      </x:c>
      <x:c r="AA74" s="192" t="str">
        <x:v>CTA_LMFT_WB5_17_Question_Bank_v1.0.docx</x:v>
      </x:c>
      <x:c r="AB74" s="192" t="str">
        <x:v>1.0</x:v>
      </x:c>
      <x:c r="AC74" s="193"/>
      <x:c r="AD74" s="193" t="n">
        <x:v>46228</x:v>
      </x:c>
      <x:c r="AE74" s="192" t="str"/>
      <x:c r="AF74" s="194" t="str">
        <x:v>Workbook bank; reserve pool after controlled review</x:v>
      </x:c>
    </x:row>
    <x:row r="75">
      <x:c r="A75" s="191" t="str">
        <x:v>CTA-LMFT-MQB-0074</x:v>
      </x:c>
      <x:c r="B75" s="192" t="str">
        <x:v>LMFT-WB05-QB-Q006</x:v>
      </x:c>
      <x:c r="C75" s="192" t="str">
        <x:v>LMFT</x:v>
      </x:c>
      <x:c r="D75" s="192" t="str">
        <x:v>Workbook Question Bank</x:v>
      </x:c>
      <x:c r="E75" s="192" t="n">
        <x:v>5</x:v>
      </x:c>
      <x:c r="F75" s="192" t="str">
        <x:v>Diagnosis and Differential Diagnosis</x:v>
      </x:c>
      <x:c r="G75" s="192"/>
      <x:c r="H75" s="192" t="n">
        <x:v>6</x:v>
      </x:c>
      <x:c r="I75" s="192" t="str">
        <x:v>Workbook Bank</x:v>
      </x:c>
      <x:c r="J75" s="192" t="str">
        <x:v>2. Developing a Diagnostic Impression</x:v>
      </x:c>
      <x:c r="K75" s="192" t="str">
        <x:v>Obsessive-compulsive differential</x:v>
      </x:c>
      <x:c r="L75" s="192" t="str"/>
      <x:c r="M75" s="192" t="str">
        <x:v>Moderate</x:v>
      </x:c>
      <x:c r="N75" s="192" t="str">
        <x:v>Moderate</x:v>
      </x:c>
      <x:c r="O75" s="192" t="str">
        <x:v>Application</x:v>
      </x:c>
      <x:c r="P75" s="192" t="str">
        <x:v>Application</x:v>
      </x:c>
      <x:c r="Q75" s="192" t="n">
        <x:v>4</x:v>
      </x:c>
      <x:c r="R75" s="192" t="str">
        <x:v>B</x:v>
      </x:c>
      <x:c r="S75" s="192" t="str">
        <x:v>Approved</x:v>
      </x:c>
      <x:c r="T75" s="192" t="str">
        <x:v>Active</x:v>
      </x:c>
      <x:c r="U75" s="192" t="n">
        <x:v>1</x:v>
      </x:c>
      <x:c r="V75" s="192" t="str"/>
      <x:c r="W75" s="192" t="str">
        <x:v>No additional flag</x:v>
      </x:c>
      <x:c r="X75" s="192" t="str">
        <x:v>No structural flag</x:v>
      </x:c>
      <x:c r="Y75" s="192" t="str">
        <x:v>Not Yet Reviewed</x:v>
      </x:c>
      <x:c r="Z75" s="192" t="str">
        <x:v>CTA LMFT Workbook 5</x:v>
      </x:c>
      <x:c r="AA75" s="192" t="str">
        <x:v>CTA_LMFT_WB5_17_Question_Bank_v1.0.docx</x:v>
      </x:c>
      <x:c r="AB75" s="192" t="str">
        <x:v>1.0</x:v>
      </x:c>
      <x:c r="AC75" s="193"/>
      <x:c r="AD75" s="193" t="n">
        <x:v>46228</x:v>
      </x:c>
      <x:c r="AE75" s="192" t="str"/>
      <x:c r="AF75" s="194" t="str">
        <x:v>Workbook bank; reserve pool after controlled review</x:v>
      </x:c>
    </x:row>
    <x:row r="76">
      <x:c r="A76" s="191" t="str">
        <x:v>CTA-LMFT-MQB-0075</x:v>
      </x:c>
      <x:c r="B76" s="192" t="str">
        <x:v>LMFT-WB05-QB-Q007</x:v>
      </x:c>
      <x:c r="C76" s="192" t="str">
        <x:v>LMFT</x:v>
      </x:c>
      <x:c r="D76" s="192" t="str">
        <x:v>Workbook Question Bank</x:v>
      </x:c>
      <x:c r="E76" s="192" t="n">
        <x:v>5</x:v>
      </x:c>
      <x:c r="F76" s="192" t="str">
        <x:v>Diagnosis and Differential Diagnosis</x:v>
      </x:c>
      <x:c r="G76" s="192"/>
      <x:c r="H76" s="192" t="n">
        <x:v>7</x:v>
      </x:c>
      <x:c r="I76" s="192" t="str">
        <x:v>Workbook Bank</x:v>
      </x:c>
      <x:c r="J76" s="192" t="str">
        <x:v>2. Developing a Diagnostic Impression</x:v>
      </x:c>
      <x:c r="K76" s="192" t="str">
        <x:v>Stress-related versus depressive presentation</x:v>
      </x:c>
      <x:c r="L76" s="192" t="str"/>
      <x:c r="M76" s="192" t="str">
        <x:v>Moderate</x:v>
      </x:c>
      <x:c r="N76" s="192" t="str">
        <x:v>Moderate</x:v>
      </x:c>
      <x:c r="O76" s="192" t="str">
        <x:v>Application</x:v>
      </x:c>
      <x:c r="P76" s="192" t="str">
        <x:v>Application</x:v>
      </x:c>
      <x:c r="Q76" s="192" t="n">
        <x:v>4</x:v>
      </x:c>
      <x:c r="R76" s="192" t="str">
        <x:v>C</x:v>
      </x:c>
      <x:c r="S76" s="192" t="str">
        <x:v>Approved</x:v>
      </x:c>
      <x:c r="T76" s="192" t="str">
        <x:v>Active</x:v>
      </x:c>
      <x:c r="U76" s="192" t="n">
        <x:v>1</x:v>
      </x:c>
      <x:c r="V76" s="192" t="str"/>
      <x:c r="W76" s="192" t="str">
        <x:v>No additional flag</x:v>
      </x:c>
      <x:c r="X76" s="192" t="str">
        <x:v>No structural flag</x:v>
      </x:c>
      <x:c r="Y76" s="192" t="str">
        <x:v>Not Yet Reviewed</x:v>
      </x:c>
      <x:c r="Z76" s="192" t="str">
        <x:v>CTA LMFT Workbook 5</x:v>
      </x:c>
      <x:c r="AA76" s="192" t="str">
        <x:v>CTA_LMFT_WB5_17_Question_Bank_v1.0.docx</x:v>
      </x:c>
      <x:c r="AB76" s="192" t="str">
        <x:v>1.0</x:v>
      </x:c>
      <x:c r="AC76" s="193"/>
      <x:c r="AD76" s="193" t="n">
        <x:v>46228</x:v>
      </x:c>
      <x:c r="AE76" s="192" t="str"/>
      <x:c r="AF76" s="194" t="str">
        <x:v>Workbook bank; reserve pool after controlled review</x:v>
      </x:c>
    </x:row>
    <x:row r="77">
      <x:c r="A77" s="191" t="str">
        <x:v>CTA-LMFT-MQB-0076</x:v>
      </x:c>
      <x:c r="B77" s="192" t="str">
        <x:v>LMFT-WB05-QB-Q008</x:v>
      </x:c>
      <x:c r="C77" s="192" t="str">
        <x:v>LMFT</x:v>
      </x:c>
      <x:c r="D77" s="192" t="str">
        <x:v>Workbook Question Bank</x:v>
      </x:c>
      <x:c r="E77" s="192" t="n">
        <x:v>5</x:v>
      </x:c>
      <x:c r="F77" s="192" t="str">
        <x:v>Diagnosis and Differential Diagnosis</x:v>
      </x:c>
      <x:c r="G77" s="192"/>
      <x:c r="H77" s="192" t="n">
        <x:v>8</x:v>
      </x:c>
      <x:c r="I77" s="192" t="str">
        <x:v>Workbook Bank</x:v>
      </x:c>
      <x:c r="J77" s="192" t="str">
        <x:v>2. Developing a Diagnostic Impression</x:v>
      </x:c>
      <x:c r="K77" s="192" t="str">
        <x:v>Primary versus substance-induced psychosis</x:v>
      </x:c>
      <x:c r="L77" s="192" t="str"/>
      <x:c r="M77" s="192" t="str">
        <x:v>Moderate</x:v>
      </x:c>
      <x:c r="N77" s="192" t="str">
        <x:v>Moderate</x:v>
      </x:c>
      <x:c r="O77" s="192" t="str">
        <x:v>Scenario-Based</x:v>
      </x:c>
      <x:c r="P77" s="192" t="str">
        <x:v>Scenario-Based</x:v>
      </x:c>
      <x:c r="Q77" s="192" t="n">
        <x:v>4</x:v>
      </x:c>
      <x:c r="R77" s="192" t="str">
        <x:v>D</x:v>
      </x:c>
      <x:c r="S77" s="192" t="str">
        <x:v>Approved</x:v>
      </x:c>
      <x:c r="T77" s="192" t="str">
        <x:v>Active</x:v>
      </x:c>
      <x:c r="U77" s="192" t="n">
        <x:v>1</x:v>
      </x:c>
      <x:c r="V77" s="192" t="str"/>
      <x:c r="W77" s="192" t="str">
        <x:v>No additional flag</x:v>
      </x:c>
      <x:c r="X77" s="192" t="str">
        <x:v>No structural flag</x:v>
      </x:c>
      <x:c r="Y77" s="192" t="str">
        <x:v>Not Yet Reviewed</x:v>
      </x:c>
      <x:c r="Z77" s="192" t="str">
        <x:v>CTA LMFT Workbook 5</x:v>
      </x:c>
      <x:c r="AA77" s="192" t="str">
        <x:v>CTA_LMFT_WB5_17_Question_Bank_v1.0.docx</x:v>
      </x:c>
      <x:c r="AB77" s="192" t="str">
        <x:v>1.0</x:v>
      </x:c>
      <x:c r="AC77" s="193"/>
      <x:c r="AD77" s="193" t="n">
        <x:v>46228</x:v>
      </x:c>
      <x:c r="AE77" s="192" t="str"/>
      <x:c r="AF77" s="194" t="str">
        <x:v>Workbook bank; reserve pool after controlled review</x:v>
      </x:c>
    </x:row>
    <x:row r="78">
      <x:c r="A78" s="191" t="str">
        <x:v>CTA-LMFT-MQB-0077</x:v>
      </x:c>
      <x:c r="B78" s="192" t="str">
        <x:v>LMFT-WB05-QB-Q009</x:v>
      </x:c>
      <x:c r="C78" s="192" t="str">
        <x:v>LMFT</x:v>
      </x:c>
      <x:c r="D78" s="192" t="str">
        <x:v>Workbook Question Bank</x:v>
      </x:c>
      <x:c r="E78" s="192" t="n">
        <x:v>5</x:v>
      </x:c>
      <x:c r="F78" s="192" t="str">
        <x:v>Diagnosis and Differential Diagnosis</x:v>
      </x:c>
      <x:c r="G78" s="192"/>
      <x:c r="H78" s="192" t="n">
        <x:v>9</x:v>
      </x:c>
      <x:c r="I78" s="192" t="str">
        <x:v>Workbook Bank</x:v>
      </x:c>
      <x:c r="J78" s="192" t="str">
        <x:v>2. Developing a Diagnostic Impression</x:v>
      </x:c>
      <x:c r="K78" s="192" t="str">
        <x:v>Child developmental differential</x:v>
      </x:c>
      <x:c r="L78" s="192" t="str"/>
      <x:c r="M78" s="192" t="str">
        <x:v>Moderate</x:v>
      </x:c>
      <x:c r="N78" s="192" t="str">
        <x:v>Moderate</x:v>
      </x:c>
      <x:c r="O78" s="192" t="str">
        <x:v>Application</x:v>
      </x:c>
      <x:c r="P78" s="192" t="str">
        <x:v>Application</x:v>
      </x:c>
      <x:c r="Q78" s="192" t="n">
        <x:v>4</x:v>
      </x:c>
      <x:c r="R78" s="192" t="str">
        <x:v>A</x:v>
      </x:c>
      <x:c r="S78" s="192" t="str">
        <x:v>Approved</x:v>
      </x:c>
      <x:c r="T78" s="192" t="str">
        <x:v>Active</x:v>
      </x:c>
      <x:c r="U78" s="192" t="n">
        <x:v>1</x:v>
      </x:c>
      <x:c r="V78" s="192" t="str"/>
      <x:c r="W78" s="192" t="str">
        <x:v>No additional flag</x:v>
      </x:c>
      <x:c r="X78" s="192" t="str">
        <x:v>No structural flag</x:v>
      </x:c>
      <x:c r="Y78" s="192" t="str">
        <x:v>Not Yet Reviewed</x:v>
      </x:c>
      <x:c r="Z78" s="192" t="str">
        <x:v>CTA LMFT Workbook 5</x:v>
      </x:c>
      <x:c r="AA78" s="192" t="str">
        <x:v>CTA_LMFT_WB5_17_Question_Bank_v1.0.docx</x:v>
      </x:c>
      <x:c r="AB78" s="192" t="str">
        <x:v>1.0</x:v>
      </x:c>
      <x:c r="AC78" s="193"/>
      <x:c r="AD78" s="193" t="n">
        <x:v>46228</x:v>
      </x:c>
      <x:c r="AE78" s="192" t="str"/>
      <x:c r="AF78" s="194" t="str">
        <x:v>Workbook bank; reserve pool after controlled review</x:v>
      </x:c>
    </x:row>
    <x:row r="79">
      <x:c r="A79" s="191" t="str">
        <x:v>CTA-LMFT-MQB-0078</x:v>
      </x:c>
      <x:c r="B79" s="192" t="str">
        <x:v>LMFT-WB05-QB-Q010</x:v>
      </x:c>
      <x:c r="C79" s="192" t="str">
        <x:v>LMFT</x:v>
      </x:c>
      <x:c r="D79" s="192" t="str">
        <x:v>Workbook Question Bank</x:v>
      </x:c>
      <x:c r="E79" s="192" t="n">
        <x:v>5</x:v>
      </x:c>
      <x:c r="F79" s="192" t="str">
        <x:v>Diagnosis and Differential Diagnosis</x:v>
      </x:c>
      <x:c r="G79" s="192"/>
      <x:c r="H79" s="192" t="n">
        <x:v>10</x:v>
      </x:c>
      <x:c r="I79" s="192" t="str">
        <x:v>Workbook Bank</x:v>
      </x:c>
      <x:c r="J79" s="192" t="str">
        <x:v>2. Developing a Diagnostic Impression</x:v>
      </x:c>
      <x:c r="K79" s="192" t="str">
        <x:v>Gender diversity and diagnostic context</x:v>
      </x:c>
      <x:c r="L79" s="192" t="str"/>
      <x:c r="M79" s="192" t="str">
        <x:v>Moderate</x:v>
      </x:c>
      <x:c r="N79" s="192" t="str">
        <x:v>Moderate</x:v>
      </x:c>
      <x:c r="O79" s="192" t="str">
        <x:v>Application</x:v>
      </x:c>
      <x:c r="P79" s="192" t="str">
        <x:v>Application</x:v>
      </x:c>
      <x:c r="Q79" s="192" t="n">
        <x:v>4</x:v>
      </x:c>
      <x:c r="R79" s="192" t="str">
        <x:v>B</x:v>
      </x:c>
      <x:c r="S79" s="192" t="str">
        <x:v>Approved</x:v>
      </x:c>
      <x:c r="T79" s="192" t="str">
        <x:v>Active</x:v>
      </x:c>
      <x:c r="U79" s="192" t="n">
        <x:v>1</x:v>
      </x:c>
      <x:c r="V79" s="192" t="str"/>
      <x:c r="W79" s="192" t="str">
        <x:v>Review Candidate</x:v>
      </x:c>
      <x:c r="X79" s="192" t="str">
        <x:v>No structural flag</x:v>
      </x:c>
      <x:c r="Y79" s="192" t="str">
        <x:v>Not Yet Reviewed</x:v>
      </x:c>
      <x:c r="Z79" s="192" t="str">
        <x:v>CTA LMFT Workbook 5</x:v>
      </x:c>
      <x:c r="AA79" s="192" t="str">
        <x:v>CTA_LMFT_WB5_17_Question_Bank_v1.0.docx</x:v>
      </x:c>
      <x:c r="AB79" s="192" t="str">
        <x:v>1.0</x:v>
      </x:c>
      <x:c r="AC79" s="193"/>
      <x:c r="AD79" s="193" t="n">
        <x:v>46228</x:v>
      </x:c>
      <x:c r="AE79" s="192" t="str"/>
      <x:c r="AF79" s="194" t="str">
        <x:v>Workbook bank; reserve pool after controlled review</x:v>
      </x:c>
    </x:row>
    <x:row r="80">
      <x:c r="A80" s="191" t="str">
        <x:v>CTA-LMFT-MQB-0079</x:v>
      </x:c>
      <x:c r="B80" s="192" t="str">
        <x:v>LMFT-WB05-QB-Q011</x:v>
      </x:c>
      <x:c r="C80" s="192" t="str">
        <x:v>LMFT</x:v>
      </x:c>
      <x:c r="D80" s="192" t="str">
        <x:v>Workbook Question Bank</x:v>
      </x:c>
      <x:c r="E80" s="192" t="n">
        <x:v>5</x:v>
      </x:c>
      <x:c r="F80" s="192" t="str">
        <x:v>Diagnosis and Differential Diagnosis</x:v>
      </x:c>
      <x:c r="G80" s="192"/>
      <x:c r="H80" s="192" t="n">
        <x:v>11</x:v>
      </x:c>
      <x:c r="I80" s="192" t="str">
        <x:v>Workbook Bank</x:v>
      </x:c>
      <x:c r="J80" s="192" t="str">
        <x:v>2. Developing a Diagnostic Impression</x:v>
      </x:c>
      <x:c r="K80" s="192" t="str">
        <x:v>Collateral report and unassessed partner</x:v>
      </x:c>
      <x:c r="L80" s="192" t="str"/>
      <x:c r="M80" s="192" t="str">
        <x:v>Moderate</x:v>
      </x:c>
      <x:c r="N80" s="192" t="str">
        <x:v>Moderate</x:v>
      </x:c>
      <x:c r="O80" s="192" t="str">
        <x:v>Scenario-Based</x:v>
      </x:c>
      <x:c r="P80" s="192" t="str">
        <x:v>Scenario-Based</x:v>
      </x:c>
      <x:c r="Q80" s="192" t="n">
        <x:v>4</x:v>
      </x:c>
      <x:c r="R80" s="192" t="str">
        <x:v>C</x:v>
      </x:c>
      <x:c r="S80" s="192" t="str">
        <x:v>Approved</x:v>
      </x:c>
      <x:c r="T80" s="192" t="str">
        <x:v>Active</x:v>
      </x:c>
      <x:c r="U80" s="192" t="n">
        <x:v>1</x:v>
      </x:c>
      <x:c r="V80" s="192" t="str"/>
      <x:c r="W80" s="192" t="str">
        <x:v>No additional flag</x:v>
      </x:c>
      <x:c r="X80" s="192" t="str">
        <x:v>No structural flag</x:v>
      </x:c>
      <x:c r="Y80" s="192" t="str">
        <x:v>Not Yet Reviewed</x:v>
      </x:c>
      <x:c r="Z80" s="192" t="str">
        <x:v>CTA LMFT Workbook 5</x:v>
      </x:c>
      <x:c r="AA80" s="192" t="str">
        <x:v>CTA_LMFT_WB5_17_Question_Bank_v1.0.docx</x:v>
      </x:c>
      <x:c r="AB80" s="192" t="str">
        <x:v>1.0</x:v>
      </x:c>
      <x:c r="AC80" s="193"/>
      <x:c r="AD80" s="193" t="n">
        <x:v>46228</x:v>
      </x:c>
      <x:c r="AE80" s="192" t="str"/>
      <x:c r="AF80" s="194" t="str">
        <x:v>Workbook bank; reserve pool after controlled review</x:v>
      </x:c>
    </x:row>
    <x:row r="81">
      <x:c r="A81" s="191" t="str">
        <x:v>CTA-LMFT-MQB-0080</x:v>
      </x:c>
      <x:c r="B81" s="192" t="str">
        <x:v>LMFT-WB05-QB-Q012</x:v>
      </x:c>
      <x:c r="C81" s="192" t="str">
        <x:v>LMFT</x:v>
      </x:c>
      <x:c r="D81" s="192" t="str">
        <x:v>Workbook Question Bank</x:v>
      </x:c>
      <x:c r="E81" s="192" t="n">
        <x:v>5</x:v>
      </x:c>
      <x:c r="F81" s="192" t="str">
        <x:v>Diagnosis and Differential Diagnosis</x:v>
      </x:c>
      <x:c r="G81" s="192"/>
      <x:c r="H81" s="192" t="n">
        <x:v>12</x:v>
      </x:c>
      <x:c r="I81" s="192" t="str">
        <x:v>Workbook Bank</x:v>
      </x:c>
      <x:c r="J81" s="192" t="str">
        <x:v>2. Developing a Diagnostic Impression</x:v>
      </x:c>
      <x:c r="K81" s="192" t="str">
        <x:v>Trauma and personality differential</x:v>
      </x:c>
      <x:c r="L81" s="192" t="str"/>
      <x:c r="M81" s="192" t="str">
        <x:v>Moderate</x:v>
      </x:c>
      <x:c r="N81" s="192" t="str">
        <x:v>Moderate</x:v>
      </x:c>
      <x:c r="O81" s="192" t="str">
        <x:v>Application</x:v>
      </x:c>
      <x:c r="P81" s="192" t="str">
        <x:v>Application</x:v>
      </x:c>
      <x:c r="Q81" s="192" t="n">
        <x:v>4</x:v>
      </x:c>
      <x:c r="R81" s="192" t="str">
        <x:v>D</x:v>
      </x:c>
      <x:c r="S81" s="192" t="str">
        <x:v>Approved</x:v>
      </x:c>
      <x:c r="T81" s="192" t="str">
        <x:v>Active</x:v>
      </x:c>
      <x:c r="U81" s="192" t="n">
        <x:v>1</x:v>
      </x:c>
      <x:c r="V81" s="192" t="str"/>
      <x:c r="W81" s="192" t="str">
        <x:v>No additional flag</x:v>
      </x:c>
      <x:c r="X81" s="192" t="str">
        <x:v>No structural flag</x:v>
      </x:c>
      <x:c r="Y81" s="192" t="str">
        <x:v>Not Yet Reviewed</x:v>
      </x:c>
      <x:c r="Z81" s="192" t="str">
        <x:v>CTA LMFT Workbook 5</x:v>
      </x:c>
      <x:c r="AA81" s="192" t="str">
        <x:v>CTA_LMFT_WB5_17_Question_Bank_v1.0.docx</x:v>
      </x:c>
      <x:c r="AB81" s="192" t="str">
        <x:v>1.0</x:v>
      </x:c>
      <x:c r="AC81" s="193"/>
      <x:c r="AD81" s="193" t="n">
        <x:v>46228</x:v>
      </x:c>
      <x:c r="AE81" s="192" t="str"/>
      <x:c r="AF81" s="194" t="str">
        <x:v>Workbook bank; reserve pool after controlled review</x:v>
      </x:c>
    </x:row>
    <x:row r="82">
      <x:c r="A82" s="191" t="str">
        <x:v>CTA-LMFT-MQB-0081</x:v>
      </x:c>
      <x:c r="B82" s="192" t="str">
        <x:v>LMFT-WB05-QB-Q013</x:v>
      </x:c>
      <x:c r="C82" s="192" t="str">
        <x:v>LMFT</x:v>
      </x:c>
      <x:c r="D82" s="192" t="str">
        <x:v>Workbook Question Bank</x:v>
      </x:c>
      <x:c r="E82" s="192" t="n">
        <x:v>5</x:v>
      </x:c>
      <x:c r="F82" s="192" t="str">
        <x:v>Diagnosis and Differential Diagnosis</x:v>
      </x:c>
      <x:c r="G82" s="192"/>
      <x:c r="H82" s="192" t="n">
        <x:v>13</x:v>
      </x:c>
      <x:c r="I82" s="192" t="str">
        <x:v>Workbook Bank</x:v>
      </x:c>
      <x:c r="J82" s="192" t="str">
        <x:v>2. Developing a Diagnostic Impression</x:v>
      </x:c>
      <x:c r="K82" s="192" t="str">
        <x:v>Perinatal psychiatric emergency</x:v>
      </x:c>
      <x:c r="L82" s="192" t="str"/>
      <x:c r="M82" s="192" t="str">
        <x:v>Difficult</x:v>
      </x:c>
      <x:c r="N82" s="192" t="str">
        <x:v>Difficult</x:v>
      </x:c>
      <x:c r="O82" s="192" t="str">
        <x:v>Integrated Clinical Reasoning</x:v>
      </x:c>
      <x:c r="P82" s="192" t="str">
        <x:v>Integrated Clinical Reasoning</x:v>
      </x:c>
      <x:c r="Q82" s="192" t="n">
        <x:v>4</x:v>
      </x:c>
      <x:c r="R82" s="192" t="str">
        <x:v>A</x:v>
      </x:c>
      <x:c r="S82" s="192" t="str">
        <x:v>Approved</x:v>
      </x:c>
      <x:c r="T82" s="192" t="str">
        <x:v>Active</x:v>
      </x:c>
      <x:c r="U82" s="192" t="n">
        <x:v>1</x:v>
      </x:c>
      <x:c r="V82" s="192" t="str"/>
      <x:c r="W82" s="192" t="str">
        <x:v>No additional flag</x:v>
      </x:c>
      <x:c r="X82" s="192" t="str">
        <x:v>No structural flag</x:v>
      </x:c>
      <x:c r="Y82" s="192" t="str">
        <x:v>Not Yet Reviewed</x:v>
      </x:c>
      <x:c r="Z82" s="192" t="str">
        <x:v>CTA LMFT Workbook 5</x:v>
      </x:c>
      <x:c r="AA82" s="192" t="str">
        <x:v>CTA_LMFT_WB5_17_Question_Bank_v1.0.docx</x:v>
      </x:c>
      <x:c r="AB82" s="192" t="str">
        <x:v>1.0</x:v>
      </x:c>
      <x:c r="AC82" s="193"/>
      <x:c r="AD82" s="193" t="n">
        <x:v>46228</x:v>
      </x:c>
      <x:c r="AE82" s="192" t="str"/>
      <x:c r="AF82" s="194" t="str">
        <x:v>Workbook bank; reserve pool after controlled review</x:v>
      </x:c>
    </x:row>
    <x:row r="83">
      <x:c r="A83" s="191" t="str">
        <x:v>CTA-LMFT-MQB-0082</x:v>
      </x:c>
      <x:c r="B83" s="192" t="str">
        <x:v>LMFT-WB05-QB-Q014</x:v>
      </x:c>
      <x:c r="C83" s="192" t="str">
        <x:v>LMFT</x:v>
      </x:c>
      <x:c r="D83" s="192" t="str">
        <x:v>Workbook Question Bank</x:v>
      </x:c>
      <x:c r="E83" s="192" t="n">
        <x:v>5</x:v>
      </x:c>
      <x:c r="F83" s="192" t="str">
        <x:v>Diagnosis and Differential Diagnosis</x:v>
      </x:c>
      <x:c r="G83" s="192"/>
      <x:c r="H83" s="192" t="n">
        <x:v>14</x:v>
      </x:c>
      <x:c r="I83" s="192" t="str">
        <x:v>Workbook Bank</x:v>
      </x:c>
      <x:c r="J83" s="192" t="str">
        <x:v>2. Developing a Diagnostic Impression</x:v>
      </x:c>
      <x:c r="K83" s="192" t="str">
        <x:v>Abrupt cognitive change and family decision</x:v>
      </x:c>
      <x:c r="L83" s="192" t="str"/>
      <x:c r="M83" s="192" t="str">
        <x:v>Difficult</x:v>
      </x:c>
      <x:c r="N83" s="192" t="str">
        <x:v>Difficult</x:v>
      </x:c>
      <x:c r="O83" s="192" t="str">
        <x:v>Integrated Clinical Reasoning</x:v>
      </x:c>
      <x:c r="P83" s="192" t="str">
        <x:v>Integrated Clinical Reasoning</x:v>
      </x:c>
      <x:c r="Q83" s="192" t="n">
        <x:v>4</x:v>
      </x:c>
      <x:c r="R83" s="192" t="str">
        <x:v>B</x:v>
      </x:c>
      <x:c r="S83" s="192" t="str">
        <x:v>Approved</x:v>
      </x:c>
      <x:c r="T83" s="192" t="str">
        <x:v>Active</x:v>
      </x:c>
      <x:c r="U83" s="192" t="n">
        <x:v>1</x:v>
      </x:c>
      <x:c r="V83" s="192" t="str"/>
      <x:c r="W83" s="192" t="str">
        <x:v>No additional flag</x:v>
      </x:c>
      <x:c r="X83" s="192" t="str">
        <x:v>No structural flag</x:v>
      </x:c>
      <x:c r="Y83" s="192" t="str">
        <x:v>Not Yet Reviewed</x:v>
      </x:c>
      <x:c r="Z83" s="192" t="str">
        <x:v>CTA LMFT Workbook 5</x:v>
      </x:c>
      <x:c r="AA83" s="192" t="str">
        <x:v>CTA_LMFT_WB5_17_Question_Bank_v1.0.docx</x:v>
      </x:c>
      <x:c r="AB83" s="192" t="str">
        <x:v>1.0</x:v>
      </x:c>
      <x:c r="AC83" s="193"/>
      <x:c r="AD83" s="193" t="n">
        <x:v>46228</x:v>
      </x:c>
      <x:c r="AE83" s="192" t="str"/>
      <x:c r="AF83" s="194" t="str">
        <x:v>Workbook bank; reserve pool after controlled review</x:v>
      </x:c>
    </x:row>
    <x:row r="84">
      <x:c r="A84" s="191" t="str">
        <x:v>CTA-LMFT-MQB-0083</x:v>
      </x:c>
      <x:c r="B84" s="192" t="str">
        <x:v>LMFT-WB05-QB-Q015</x:v>
      </x:c>
      <x:c r="C84" s="192" t="str">
        <x:v>LMFT</x:v>
      </x:c>
      <x:c r="D84" s="192" t="str">
        <x:v>Workbook Question Bank</x:v>
      </x:c>
      <x:c r="E84" s="192" t="n">
        <x:v>5</x:v>
      </x:c>
      <x:c r="F84" s="192" t="str">
        <x:v>Diagnosis and Differential Diagnosis</x:v>
      </x:c>
      <x:c r="G84" s="192"/>
      <x:c r="H84" s="192" t="n">
        <x:v>15</x:v>
      </x:c>
      <x:c r="I84" s="192" t="str">
        <x:v>Workbook Bank</x:v>
      </x:c>
      <x:c r="J84" s="192" t="str">
        <x:v>2. Developing a Diagnostic Impression</x:v>
      </x:c>
      <x:c r="K84" s="192" t="str">
        <x:v>Bipolar, substance, gambling, and relational differential</x:v>
      </x:c>
      <x:c r="L84" s="192" t="str"/>
      <x:c r="M84" s="192" t="str">
        <x:v>Difficult</x:v>
      </x:c>
      <x:c r="N84" s="192" t="str">
        <x:v>Difficult</x:v>
      </x:c>
      <x:c r="O84" s="192" t="str">
        <x:v>Integrated Clinical Reasoning</x:v>
      </x:c>
      <x:c r="P84" s="192" t="str">
        <x:v>Integrated Clinical Reasoning</x:v>
      </x:c>
      <x:c r="Q84" s="192" t="n">
        <x:v>4</x:v>
      </x:c>
      <x:c r="R84" s="192" t="str">
        <x:v>C</x:v>
      </x:c>
      <x:c r="S84" s="192" t="str">
        <x:v>Approved</x:v>
      </x:c>
      <x:c r="T84" s="192" t="str">
        <x:v>Active</x:v>
      </x:c>
      <x:c r="U84" s="192" t="n">
        <x:v>1</x:v>
      </x:c>
      <x:c r="V84" s="192" t="str"/>
      <x:c r="W84" s="192" t="str">
        <x:v>No additional flag</x:v>
      </x:c>
      <x:c r="X84" s="192" t="str">
        <x:v>No structural flag</x:v>
      </x:c>
      <x:c r="Y84" s="192" t="str">
        <x:v>Not Yet Reviewed</x:v>
      </x:c>
      <x:c r="Z84" s="192" t="str">
        <x:v>CTA LMFT Workbook 5</x:v>
      </x:c>
      <x:c r="AA84" s="192" t="str">
        <x:v>CTA_LMFT_WB5_17_Question_Bank_v1.0.docx</x:v>
      </x:c>
      <x:c r="AB84" s="192" t="str">
        <x:v>1.0</x:v>
      </x:c>
      <x:c r="AC84" s="193"/>
      <x:c r="AD84" s="193" t="n">
        <x:v>46228</x:v>
      </x:c>
      <x:c r="AE84" s="192" t="str"/>
      <x:c r="AF84" s="194" t="str">
        <x:v>Workbook bank; reserve pool after controlled review</x:v>
      </x:c>
    </x:row>
    <x:row r="85">
      <x:c r="A85" s="191" t="str">
        <x:v>CTA-LMFT-MQB-0084</x:v>
      </x:c>
      <x:c r="B85" s="192" t="str">
        <x:v>LMFT-WB05-QB-Q016</x:v>
      </x:c>
      <x:c r="C85" s="192" t="str">
        <x:v>LMFT</x:v>
      </x:c>
      <x:c r="D85" s="192" t="str">
        <x:v>Workbook Question Bank</x:v>
      </x:c>
      <x:c r="E85" s="192" t="n">
        <x:v>5</x:v>
      </x:c>
      <x:c r="F85" s="192" t="str">
        <x:v>Diagnosis and Differential Diagnosis</x:v>
      </x:c>
      <x:c r="G85" s="192"/>
      <x:c r="H85" s="192" t="n">
        <x:v>16</x:v>
      </x:c>
      <x:c r="I85" s="192" t="str">
        <x:v>Workbook Bank</x:v>
      </x:c>
      <x:c r="J85" s="192" t="str">
        <x:v>2. Developing a Diagnostic Impression</x:v>
      </x:c>
      <x:c r="K85" s="192" t="str">
        <x:v>Eating-disorder differential and medical risk</x:v>
      </x:c>
      <x:c r="L85" s="192" t="str"/>
      <x:c r="M85" s="192" t="str">
        <x:v>Difficult</x:v>
      </x:c>
      <x:c r="N85" s="192" t="str">
        <x:v>Difficult</x:v>
      </x:c>
      <x:c r="O85" s="192" t="str">
        <x:v>Integrated Clinical Reasoning</x:v>
      </x:c>
      <x:c r="P85" s="192" t="str">
        <x:v>Integrated Clinical Reasoning</x:v>
      </x:c>
      <x:c r="Q85" s="192" t="n">
        <x:v>4</x:v>
      </x:c>
      <x:c r="R85" s="192" t="str">
        <x:v>D</x:v>
      </x:c>
      <x:c r="S85" s="192" t="str">
        <x:v>Approved</x:v>
      </x:c>
      <x:c r="T85" s="192" t="str">
        <x:v>Active</x:v>
      </x:c>
      <x:c r="U85" s="192" t="n">
        <x:v>1</x:v>
      </x:c>
      <x:c r="V85" s="192" t="str"/>
      <x:c r="W85" s="192" t="str">
        <x:v>No additional flag</x:v>
      </x:c>
      <x:c r="X85" s="192" t="str">
        <x:v>No structural flag</x:v>
      </x:c>
      <x:c r="Y85" s="192" t="str">
        <x:v>Not Yet Reviewed</x:v>
      </x:c>
      <x:c r="Z85" s="192" t="str">
        <x:v>CTA LMFT Workbook 5</x:v>
      </x:c>
      <x:c r="AA85" s="192" t="str">
        <x:v>CTA_LMFT_WB5_17_Question_Bank_v1.0.docx</x:v>
      </x:c>
      <x:c r="AB85" s="192" t="str">
        <x:v>1.0</x:v>
      </x:c>
      <x:c r="AC85" s="193"/>
      <x:c r="AD85" s="193" t="n">
        <x:v>46228</x:v>
      </x:c>
      <x:c r="AE85" s="192" t="str"/>
      <x:c r="AF85" s="194" t="str">
        <x:v>Workbook bank; reserve pool after controlled review</x:v>
      </x:c>
    </x:row>
    <x:row r="86">
      <x:c r="A86" s="191" t="str">
        <x:v>CTA-LMFT-MQB-0085</x:v>
      </x:c>
      <x:c r="B86" s="192" t="str">
        <x:v>LMFT-WB05-QB-Q017</x:v>
      </x:c>
      <x:c r="C86" s="192" t="str">
        <x:v>LMFT</x:v>
      </x:c>
      <x:c r="D86" s="192" t="str">
        <x:v>Workbook Question Bank</x:v>
      </x:c>
      <x:c r="E86" s="192" t="n">
        <x:v>5</x:v>
      </x:c>
      <x:c r="F86" s="192" t="str">
        <x:v>Diagnosis and Differential Diagnosis</x:v>
      </x:c>
      <x:c r="G86" s="192"/>
      <x:c r="H86" s="192" t="n">
        <x:v>17</x:v>
      </x:c>
      <x:c r="I86" s="192" t="str">
        <x:v>Workbook Bank</x:v>
      </x:c>
      <x:c r="J86" s="192" t="str">
        <x:v>2. Developing a Diagnostic Impression</x:v>
      </x:c>
      <x:c r="K86" s="192" t="str">
        <x:v>Cultural, trauma, spiritual, and language differential</x:v>
      </x:c>
      <x:c r="L86" s="192" t="str"/>
      <x:c r="M86" s="192" t="str">
        <x:v>Difficult</x:v>
      </x:c>
      <x:c r="N86" s="192" t="str">
        <x:v>Difficult</x:v>
      </x:c>
      <x:c r="O86" s="192" t="str">
        <x:v>Integrated Clinical Reasoning</x:v>
      </x:c>
      <x:c r="P86" s="192" t="str">
        <x:v>Integrated Clinical Reasoning</x:v>
      </x:c>
      <x:c r="Q86" s="192" t="n">
        <x:v>4</x:v>
      </x:c>
      <x:c r="R86" s="192" t="str">
        <x:v>A</x:v>
      </x:c>
      <x:c r="S86" s="192" t="str">
        <x:v>Approved</x:v>
      </x:c>
      <x:c r="T86" s="192" t="str">
        <x:v>Active</x:v>
      </x:c>
      <x:c r="U86" s="192" t="n">
        <x:v>1</x:v>
      </x:c>
      <x:c r="V86" s="192" t="str"/>
      <x:c r="W86" s="192" t="str">
        <x:v>No additional flag</x:v>
      </x:c>
      <x:c r="X86" s="192" t="str">
        <x:v>No structural flag</x:v>
      </x:c>
      <x:c r="Y86" s="192" t="str">
        <x:v>Not Yet Reviewed</x:v>
      </x:c>
      <x:c r="Z86" s="192" t="str">
        <x:v>CTA LMFT Workbook 5</x:v>
      </x:c>
      <x:c r="AA86" s="192" t="str">
        <x:v>CTA_LMFT_WB5_17_Question_Bank_v1.0.docx</x:v>
      </x:c>
      <x:c r="AB86" s="192" t="str">
        <x:v>1.0</x:v>
      </x:c>
      <x:c r="AC86" s="193"/>
      <x:c r="AD86" s="193" t="n">
        <x:v>46228</x:v>
      </x:c>
      <x:c r="AE86" s="192" t="str"/>
      <x:c r="AF86" s="194" t="str">
        <x:v>Workbook bank; reserve pool after controlled review</x:v>
      </x:c>
    </x:row>
    <x:row r="87">
      <x:c r="A87" s="191" t="str">
        <x:v>CTA-LMFT-MQB-0086</x:v>
      </x:c>
      <x:c r="B87" s="192" t="str">
        <x:v>LMFT-WB06-QB-Q001</x:v>
      </x:c>
      <x:c r="C87" s="192" t="str">
        <x:v>LMFT</x:v>
      </x:c>
      <x:c r="D87" s="192" t="str">
        <x:v>Workbook Question Bank</x:v>
      </x:c>
      <x:c r="E87" s="192" t="n">
        <x:v>6</x:v>
      </x:c>
      <x:c r="F87" s="192" t="str">
        <x:v>Crisis, Abuse, and Safety</x:v>
      </x:c>
      <x:c r="G87" s="192"/>
      <x:c r="H87" s="192" t="n">
        <x:v>1</x:v>
      </x:c>
      <x:c r="I87" s="192" t="str">
        <x:v>Workbook Bank</x:v>
      </x:c>
      <x:c r="J87" s="192" t="str">
        <x:v>3. Managing Crisis Situations</x:v>
      </x:c>
      <x:c r="K87" s="192" t="str">
        <x:v>SAFER direct assessment</x:v>
      </x:c>
      <x:c r="L87" s="192" t="str"/>
      <x:c r="M87" s="192" t="str">
        <x:v>Easy</x:v>
      </x:c>
      <x:c r="N87" s="192" t="str">
        <x:v>Easy</x:v>
      </x:c>
      <x:c r="O87" s="192" t="str">
        <x:v>Application</x:v>
      </x:c>
      <x:c r="P87" s="192" t="str">
        <x:v>Application</x:v>
      </x:c>
      <x:c r="Q87" s="192" t="n">
        <x:v>4</x:v>
      </x:c>
      <x:c r="R87" s="192" t="str">
        <x:v>B</x:v>
      </x:c>
      <x:c r="S87" s="192" t="str">
        <x:v>Approved</x:v>
      </x:c>
      <x:c r="T87" s="192" t="str">
        <x:v>Active</x:v>
      </x:c>
      <x:c r="U87" s="192" t="n">
        <x:v>1</x:v>
      </x:c>
      <x:c r="V87" s="192" t="str"/>
      <x:c r="W87" s="192" t="str">
        <x:v>No additional flag</x:v>
      </x:c>
      <x:c r="X87" s="192" t="str">
        <x:v>No structural flag</x:v>
      </x:c>
      <x:c r="Y87" s="192" t="str">
        <x:v>Not Yet Reviewed</x:v>
      </x:c>
      <x:c r="Z87" s="192" t="str">
        <x:v>CTA LMFT Workbook 6</x:v>
      </x:c>
      <x:c r="AA87" s="192" t="str">
        <x:v>CTA_LMFT_WB6_17_Question_Bank_v1.0.docx</x:v>
      </x:c>
      <x:c r="AB87" s="192" t="str">
        <x:v>1.0</x:v>
      </x:c>
      <x:c r="AC87" s="193"/>
      <x:c r="AD87" s="193" t="n">
        <x:v>46228</x:v>
      </x:c>
      <x:c r="AE87" s="192" t="str"/>
      <x:c r="AF87" s="194" t="str">
        <x:v>Workbook bank; reserve pool after controlled review</x:v>
      </x:c>
    </x:row>
    <x:row r="88">
      <x:c r="A88" s="191" t="str">
        <x:v>CTA-LMFT-MQB-0087</x:v>
      </x:c>
      <x:c r="B88" s="192" t="str">
        <x:v>LMFT-WB06-QB-Q002</x:v>
      </x:c>
      <x:c r="C88" s="192" t="str">
        <x:v>LMFT</x:v>
      </x:c>
      <x:c r="D88" s="192" t="str">
        <x:v>Workbook Question Bank</x:v>
      </x:c>
      <x:c r="E88" s="192" t="n">
        <x:v>6</x:v>
      </x:c>
      <x:c r="F88" s="192" t="str">
        <x:v>Crisis, Abuse, and Safety</x:v>
      </x:c>
      <x:c r="G88" s="192"/>
      <x:c r="H88" s="192" t="n">
        <x:v>2</x:v>
      </x:c>
      <x:c r="I88" s="192" t="str">
        <x:v>Workbook Bank</x:v>
      </x:c>
      <x:c r="J88" s="192" t="str">
        <x:v>3. Managing Crisis Situations</x:v>
      </x:c>
      <x:c r="K88" s="192" t="str">
        <x:v>Dynamic risk factors</x:v>
      </x:c>
      <x:c r="L88" s="192" t="str"/>
      <x:c r="M88" s="192" t="str">
        <x:v>Easy</x:v>
      </x:c>
      <x:c r="N88" s="192" t="str">
        <x:v>Easy</x:v>
      </x:c>
      <x:c r="O88" s="192" t="str">
        <x:v>Knowledge &amp; Recall</x:v>
      </x:c>
      <x:c r="P88" s="192" t="str">
        <x:v>Knowledge &amp; Recall</x:v>
      </x:c>
      <x:c r="Q88" s="192" t="n">
        <x:v>4</x:v>
      </x:c>
      <x:c r="R88" s="192" t="str">
        <x:v>A</x:v>
      </x:c>
      <x:c r="S88" s="192" t="str">
        <x:v>Approved</x:v>
      </x:c>
      <x:c r="T88" s="192" t="str">
        <x:v>Active</x:v>
      </x:c>
      <x:c r="U88" s="192" t="n">
        <x:v>1</x:v>
      </x:c>
      <x:c r="V88" s="192" t="str"/>
      <x:c r="W88" s="192" t="str">
        <x:v>No additional flag</x:v>
      </x:c>
      <x:c r="X88" s="192" t="str">
        <x:v>No structural flag</x:v>
      </x:c>
      <x:c r="Y88" s="192" t="str">
        <x:v>Not Yet Reviewed</x:v>
      </x:c>
      <x:c r="Z88" s="192" t="str">
        <x:v>CTA LMFT Workbook 6</x:v>
      </x:c>
      <x:c r="AA88" s="192" t="str">
        <x:v>CTA_LMFT_WB6_17_Question_Bank_v1.0.docx</x:v>
      </x:c>
      <x:c r="AB88" s="192" t="str">
        <x:v>1.0</x:v>
      </x:c>
      <x:c r="AC88" s="193"/>
      <x:c r="AD88" s="193" t="n">
        <x:v>46228</x:v>
      </x:c>
      <x:c r="AE88" s="192" t="str"/>
      <x:c r="AF88" s="194" t="str">
        <x:v>Workbook bank; reserve pool after controlled review</x:v>
      </x:c>
    </x:row>
    <x:row r="89">
      <x:c r="A89" s="191" t="str">
        <x:v>CTA-LMFT-MQB-0088</x:v>
      </x:c>
      <x:c r="B89" s="192" t="str">
        <x:v>LMFT-WB06-QB-Q003</x:v>
      </x:c>
      <x:c r="C89" s="192" t="str">
        <x:v>LMFT</x:v>
      </x:c>
      <x:c r="D89" s="192" t="str">
        <x:v>Workbook Question Bank</x:v>
      </x:c>
      <x:c r="E89" s="192" t="n">
        <x:v>6</x:v>
      </x:c>
      <x:c r="F89" s="192" t="str">
        <x:v>Crisis, Abuse, and Safety</x:v>
      </x:c>
      <x:c r="G89" s="192"/>
      <x:c r="H89" s="192" t="n">
        <x:v>3</x:v>
      </x:c>
      <x:c r="I89" s="192" t="str">
        <x:v>Workbook Bank</x:v>
      </x:c>
      <x:c r="J89" s="192" t="str">
        <x:v>3. Managing Crisis Situations</x:v>
      </x:c>
      <x:c r="K89" s="192" t="str">
        <x:v>Collaborative safety planning</x:v>
      </x:c>
      <x:c r="L89" s="192" t="str"/>
      <x:c r="M89" s="192" t="str">
        <x:v>Easy</x:v>
      </x:c>
      <x:c r="N89" s="192" t="str">
        <x:v>Easy</x:v>
      </x:c>
      <x:c r="O89" s="192" t="str">
        <x:v>Knowledge &amp; Recall</x:v>
      </x:c>
      <x:c r="P89" s="192" t="str">
        <x:v>Knowledge &amp; Recall</x:v>
      </x:c>
      <x:c r="Q89" s="192" t="n">
        <x:v>4</x:v>
      </x:c>
      <x:c r="R89" s="192" t="str">
        <x:v>C</x:v>
      </x:c>
      <x:c r="S89" s="192" t="str">
        <x:v>Approved</x:v>
      </x:c>
      <x:c r="T89" s="192" t="str">
        <x:v>Active</x:v>
      </x:c>
      <x:c r="U89" s="192" t="n">
        <x:v>1</x:v>
      </x:c>
      <x:c r="V89" s="192" t="str"/>
      <x:c r="W89" s="192" t="str">
        <x:v>No additional flag</x:v>
      </x:c>
      <x:c r="X89" s="192" t="str">
        <x:v>No structural flag</x:v>
      </x:c>
      <x:c r="Y89" s="192" t="str">
        <x:v>Not Yet Reviewed</x:v>
      </x:c>
      <x:c r="Z89" s="192" t="str">
        <x:v>CTA LMFT Workbook 6</x:v>
      </x:c>
      <x:c r="AA89" s="192" t="str">
        <x:v>CTA_LMFT_WB6_17_Question_Bank_v1.0.docx</x:v>
      </x:c>
      <x:c r="AB89" s="192" t="str">
        <x:v>1.0</x:v>
      </x:c>
      <x:c r="AC89" s="193"/>
      <x:c r="AD89" s="193" t="n">
        <x:v>46228</x:v>
      </x:c>
      <x:c r="AE89" s="192" t="str"/>
      <x:c r="AF89" s="194" t="str">
        <x:v>Workbook bank; reserve pool after controlled review</x:v>
      </x:c>
    </x:row>
    <x:row r="90">
      <x:c r="A90" s="191" t="str">
        <x:v>CTA-LMFT-MQB-0089</x:v>
      </x:c>
      <x:c r="B90" s="192" t="str">
        <x:v>LMFT-WB06-QB-Q004</x:v>
      </x:c>
      <x:c r="C90" s="192" t="str">
        <x:v>LMFT</x:v>
      </x:c>
      <x:c r="D90" s="192" t="str">
        <x:v>Workbook Question Bank</x:v>
      </x:c>
      <x:c r="E90" s="192" t="n">
        <x:v>6</x:v>
      </x:c>
      <x:c r="F90" s="192" t="str">
        <x:v>Crisis, Abuse, and Safety</x:v>
      </x:c>
      <x:c r="G90" s="192"/>
      <x:c r="H90" s="192" t="n">
        <x:v>4</x:v>
      </x:c>
      <x:c r="I90" s="192" t="str">
        <x:v>Workbook Bank</x:v>
      </x:c>
      <x:c r="J90" s="192" t="str">
        <x:v>3. Managing Crisis Situations</x:v>
      </x:c>
      <x:c r="K90" s="192" t="str">
        <x:v>Reasonable suspicion and child reporting</x:v>
      </x:c>
      <x:c r="L90" s="192" t="str"/>
      <x:c r="M90" s="192" t="str">
        <x:v>Easy</x:v>
      </x:c>
      <x:c r="N90" s="192" t="str">
        <x:v>Easy</x:v>
      </x:c>
      <x:c r="O90" s="192" t="str">
        <x:v>Application</x:v>
      </x:c>
      <x:c r="P90" s="192" t="str">
        <x:v>Application</x:v>
      </x:c>
      <x:c r="Q90" s="192" t="n">
        <x:v>4</x:v>
      </x:c>
      <x:c r="R90" s="192" t="str">
        <x:v>D</x:v>
      </x:c>
      <x:c r="S90" s="192" t="str">
        <x:v>Approved</x:v>
      </x:c>
      <x:c r="T90" s="192" t="str">
        <x:v>Active</x:v>
      </x:c>
      <x:c r="U90" s="192" t="n">
        <x:v>1</x:v>
      </x:c>
      <x:c r="V90" s="192" t="str"/>
      <x:c r="W90" s="192" t="str">
        <x:v>No additional flag</x:v>
      </x:c>
      <x:c r="X90" s="192" t="str">
        <x:v>No structural flag</x:v>
      </x:c>
      <x:c r="Y90" s="192" t="str">
        <x:v>Not Yet Reviewed</x:v>
      </x:c>
      <x:c r="Z90" s="192" t="str">
        <x:v>CTA LMFT Workbook 6</x:v>
      </x:c>
      <x:c r="AA90" s="192" t="str">
        <x:v>CTA_LMFT_WB6_17_Question_Bank_v1.0.docx</x:v>
      </x:c>
      <x:c r="AB90" s="192" t="str">
        <x:v>1.0</x:v>
      </x:c>
      <x:c r="AC90" s="193"/>
      <x:c r="AD90" s="193" t="n">
        <x:v>46228</x:v>
      </x:c>
      <x:c r="AE90" s="192" t="str"/>
      <x:c r="AF90" s="194" t="str">
        <x:v>Workbook bank; reserve pool after controlled review</x:v>
      </x:c>
    </x:row>
    <x:row r="91">
      <x:c r="A91" s="191" t="str">
        <x:v>CTA-LMFT-MQB-0090</x:v>
      </x:c>
      <x:c r="B91" s="192" t="str">
        <x:v>LMFT-WB06-QB-Q005</x:v>
      </x:c>
      <x:c r="C91" s="192" t="str">
        <x:v>LMFT</x:v>
      </x:c>
      <x:c r="D91" s="192" t="str">
        <x:v>Workbook Question Bank</x:v>
      </x:c>
      <x:c r="E91" s="192" t="n">
        <x:v>6</x:v>
      </x:c>
      <x:c r="F91" s="192" t="str">
        <x:v>Crisis, Abuse, and Safety</x:v>
      </x:c>
      <x:c r="G91" s="192"/>
      <x:c r="H91" s="192" t="n">
        <x:v>5</x:v>
      </x:c>
      <x:c r="I91" s="192" t="str">
        <x:v>Workbook Bank</x:v>
      </x:c>
      <x:c r="J91" s="192" t="str">
        <x:v>3. Managing Crisis Situations</x:v>
      </x:c>
      <x:c r="K91" s="192" t="str">
        <x:v>Section 5150 scope</x:v>
      </x:c>
      <x:c r="L91" s="192" t="str"/>
      <x:c r="M91" s="192" t="str">
        <x:v>Easy</x:v>
      </x:c>
      <x:c r="N91" s="192" t="str">
        <x:v>Easy</x:v>
      </x:c>
      <x:c r="O91" s="192" t="str">
        <x:v>Knowledge &amp; Recall</x:v>
      </x:c>
      <x:c r="P91" s="192" t="str">
        <x:v>Knowledge &amp; Recall</x:v>
      </x:c>
      <x:c r="Q91" s="192" t="n">
        <x:v>4</x:v>
      </x:c>
      <x:c r="R91" s="192" t="str">
        <x:v>A</x:v>
      </x:c>
      <x:c r="S91" s="192" t="str">
        <x:v>Approved</x:v>
      </x:c>
      <x:c r="T91" s="192" t="str">
        <x:v>Active</x:v>
      </x:c>
      <x:c r="U91" s="192" t="n">
        <x:v>1</x:v>
      </x:c>
      <x:c r="V91" s="192" t="str"/>
      <x:c r="W91" s="192" t="str">
        <x:v>No additional flag</x:v>
      </x:c>
      <x:c r="X91" s="192" t="str">
        <x:v>No structural flag</x:v>
      </x:c>
      <x:c r="Y91" s="192" t="str">
        <x:v>Not Yet Reviewed</x:v>
      </x:c>
      <x:c r="Z91" s="192" t="str">
        <x:v>CTA LMFT Workbook 6</x:v>
      </x:c>
      <x:c r="AA91" s="192" t="str">
        <x:v>CTA_LMFT_WB6_17_Question_Bank_v1.0.docx</x:v>
      </x:c>
      <x:c r="AB91" s="192" t="str">
        <x:v>1.0</x:v>
      </x:c>
      <x:c r="AC91" s="193"/>
      <x:c r="AD91" s="193" t="n">
        <x:v>46228</x:v>
      </x:c>
      <x:c r="AE91" s="192" t="str"/>
      <x:c r="AF91" s="194" t="str">
        <x:v>Workbook bank; reserve pool after controlled review</x:v>
      </x:c>
    </x:row>
    <x:row r="92">
      <x:c r="A92" s="191" t="str">
        <x:v>CTA-LMFT-MQB-0091</x:v>
      </x:c>
      <x:c r="B92" s="192" t="str">
        <x:v>LMFT-WB06-QB-Q006</x:v>
      </x:c>
      <x:c r="C92" s="192" t="str">
        <x:v>LMFT</x:v>
      </x:c>
      <x:c r="D92" s="192" t="str">
        <x:v>Workbook Question Bank</x:v>
      </x:c>
      <x:c r="E92" s="192" t="n">
        <x:v>6</x:v>
      </x:c>
      <x:c r="F92" s="192" t="str">
        <x:v>Crisis, Abuse, and Safety</x:v>
      </x:c>
      <x:c r="G92" s="192"/>
      <x:c r="H92" s="192" t="n">
        <x:v>6</x:v>
      </x:c>
      <x:c r="I92" s="192" t="str">
        <x:v>Workbook Bank</x:v>
      </x:c>
      <x:c r="J92" s="192" t="str">
        <x:v>3. Managing Crisis Situations</x:v>
      </x:c>
      <x:c r="K92" s="192" t="str">
        <x:v>Telehealth crisis location</x:v>
      </x:c>
      <x:c r="L92" s="192" t="str"/>
      <x:c r="M92" s="192" t="str">
        <x:v>Moderate</x:v>
      </x:c>
      <x:c r="N92" s="192" t="str">
        <x:v>Moderate</x:v>
      </x:c>
      <x:c r="O92" s="192" t="str">
        <x:v>Scenario-Based</x:v>
      </x:c>
      <x:c r="P92" s="192" t="str">
        <x:v>Scenario-Based</x:v>
      </x:c>
      <x:c r="Q92" s="192" t="n">
        <x:v>4</x:v>
      </x:c>
      <x:c r="R92" s="192" t="str">
        <x:v>B</x:v>
      </x:c>
      <x:c r="S92" s="192" t="str">
        <x:v>Approved</x:v>
      </x:c>
      <x:c r="T92" s="192" t="str">
        <x:v>Active</x:v>
      </x:c>
      <x:c r="U92" s="192" t="n">
        <x:v>1</x:v>
      </x:c>
      <x:c r="V92" s="192" t="str"/>
      <x:c r="W92" s="192" t="str">
        <x:v>No additional flag</x:v>
      </x:c>
      <x:c r="X92" s="192" t="str">
        <x:v>No structural flag</x:v>
      </x:c>
      <x:c r="Y92" s="192" t="str">
        <x:v>Not Yet Reviewed</x:v>
      </x:c>
      <x:c r="Z92" s="192" t="str">
        <x:v>CTA LMFT Workbook 6</x:v>
      </x:c>
      <x:c r="AA92" s="192" t="str">
        <x:v>CTA_LMFT_WB6_17_Question_Bank_v1.0.docx</x:v>
      </x:c>
      <x:c r="AB92" s="192" t="str">
        <x:v>1.0</x:v>
      </x:c>
      <x:c r="AC92" s="193"/>
      <x:c r="AD92" s="193" t="n">
        <x:v>46228</x:v>
      </x:c>
      <x:c r="AE92" s="192" t="str"/>
      <x:c r="AF92" s="194" t="str">
        <x:v>Workbook bank; reserve pool after controlled review</x:v>
      </x:c>
    </x:row>
    <x:row r="93">
      <x:c r="A93" s="191" t="str">
        <x:v>CTA-LMFT-MQB-0092</x:v>
      </x:c>
      <x:c r="B93" s="192" t="str">
        <x:v>LMFT-WB06-QB-Q007</x:v>
      </x:c>
      <x:c r="C93" s="192" t="str">
        <x:v>LMFT</x:v>
      </x:c>
      <x:c r="D93" s="192" t="str">
        <x:v>Workbook Question Bank</x:v>
      </x:c>
      <x:c r="E93" s="192" t="n">
        <x:v>6</x:v>
      </x:c>
      <x:c r="F93" s="192" t="str">
        <x:v>Crisis, Abuse, and Safety</x:v>
      </x:c>
      <x:c r="G93" s="192"/>
      <x:c r="H93" s="192" t="n">
        <x:v>7</x:v>
      </x:c>
      <x:c r="I93" s="192" t="str">
        <x:v>Workbook Bank</x:v>
      </x:c>
      <x:c r="J93" s="192" t="str">
        <x:v>3. Managing Crisis Situations</x:v>
      </x:c>
      <x:c r="K93" s="192" t="str">
        <x:v>Nonsuicidal self-injury assessment</x:v>
      </x:c>
      <x:c r="L93" s="192" t="str"/>
      <x:c r="M93" s="192" t="str">
        <x:v>Moderate</x:v>
      </x:c>
      <x:c r="N93" s="192" t="str">
        <x:v>Moderate</x:v>
      </x:c>
      <x:c r="O93" s="192" t="str">
        <x:v>Application</x:v>
      </x:c>
      <x:c r="P93" s="192" t="str">
        <x:v>Application</x:v>
      </x:c>
      <x:c r="Q93" s="192" t="n">
        <x:v>4</x:v>
      </x:c>
      <x:c r="R93" s="192" t="str">
        <x:v>C</x:v>
      </x:c>
      <x:c r="S93" s="192" t="str">
        <x:v>Approved</x:v>
      </x:c>
      <x:c r="T93" s="192" t="str">
        <x:v>Active</x:v>
      </x:c>
      <x:c r="U93" s="192" t="n">
        <x:v>1</x:v>
      </x:c>
      <x:c r="V93" s="192" t="str"/>
      <x:c r="W93" s="192" t="str">
        <x:v>No additional flag</x:v>
      </x:c>
      <x:c r="X93" s="192" t="str">
        <x:v>No structural flag</x:v>
      </x:c>
      <x:c r="Y93" s="192" t="str">
        <x:v>Not Yet Reviewed</x:v>
      </x:c>
      <x:c r="Z93" s="192" t="str">
        <x:v>CTA LMFT Workbook 6</x:v>
      </x:c>
      <x:c r="AA93" s="192" t="str">
        <x:v>CTA_LMFT_WB6_17_Question_Bank_v1.0.docx</x:v>
      </x:c>
      <x:c r="AB93" s="192" t="str">
        <x:v>1.0</x:v>
      </x:c>
      <x:c r="AC93" s="193"/>
      <x:c r="AD93" s="193" t="n">
        <x:v>46228</x:v>
      </x:c>
      <x:c r="AE93" s="192" t="str"/>
      <x:c r="AF93" s="194" t="str">
        <x:v>Workbook bank; reserve pool after controlled review</x:v>
      </x:c>
    </x:row>
    <x:row r="94">
      <x:c r="A94" s="191" t="str">
        <x:v>CTA-LMFT-MQB-0093</x:v>
      </x:c>
      <x:c r="B94" s="192" t="str">
        <x:v>LMFT-WB06-QB-Q008</x:v>
      </x:c>
      <x:c r="C94" s="192" t="str">
        <x:v>LMFT</x:v>
      </x:c>
      <x:c r="D94" s="192" t="str">
        <x:v>Workbook Question Bank</x:v>
      </x:c>
      <x:c r="E94" s="192" t="n">
        <x:v>6</x:v>
      </x:c>
      <x:c r="F94" s="192" t="str">
        <x:v>Crisis, Abuse, and Safety</x:v>
      </x:c>
      <x:c r="G94" s="192"/>
      <x:c r="H94" s="192" t="n">
        <x:v>8</x:v>
      </x:c>
      <x:c r="I94" s="192" t="str">
        <x:v>Workbook Bank</x:v>
      </x:c>
      <x:c r="J94" s="192" t="str">
        <x:v>3. Managing Crisis Situations</x:v>
      </x:c>
      <x:c r="K94" s="192" t="str">
        <x:v>Violence-risk clarification</x:v>
      </x:c>
      <x:c r="L94" s="192" t="str"/>
      <x:c r="M94" s="192" t="str">
        <x:v>Moderate</x:v>
      </x:c>
      <x:c r="N94" s="192" t="str">
        <x:v>Moderate</x:v>
      </x:c>
      <x:c r="O94" s="192" t="str">
        <x:v>Scenario-Based</x:v>
      </x:c>
      <x:c r="P94" s="192" t="str">
        <x:v>Scenario-Based</x:v>
      </x:c>
      <x:c r="Q94" s="192" t="n">
        <x:v>4</x:v>
      </x:c>
      <x:c r="R94" s="192" t="str">
        <x:v>D</x:v>
      </x:c>
      <x:c r="S94" s="192" t="str">
        <x:v>Approved</x:v>
      </x:c>
      <x:c r="T94" s="192" t="str">
        <x:v>Active</x:v>
      </x:c>
      <x:c r="U94" s="192" t="n">
        <x:v>1</x:v>
      </x:c>
      <x:c r="V94" s="192" t="str"/>
      <x:c r="W94" s="192" t="str">
        <x:v>No additional flag</x:v>
      </x:c>
      <x:c r="X94" s="192" t="str">
        <x:v>No structural flag</x:v>
      </x:c>
      <x:c r="Y94" s="192" t="str">
        <x:v>Not Yet Reviewed</x:v>
      </x:c>
      <x:c r="Z94" s="192" t="str">
        <x:v>CTA LMFT Workbook 6</x:v>
      </x:c>
      <x:c r="AA94" s="192" t="str">
        <x:v>CTA_LMFT_WB6_17_Question_Bank_v1.0.docx</x:v>
      </x:c>
      <x:c r="AB94" s="192" t="str">
        <x:v>1.0</x:v>
      </x:c>
      <x:c r="AC94" s="193"/>
      <x:c r="AD94" s="193" t="n">
        <x:v>46228</x:v>
      </x:c>
      <x:c r="AE94" s="192" t="str"/>
      <x:c r="AF94" s="194" t="str">
        <x:v>Workbook bank; reserve pool after controlled review</x:v>
      </x:c>
    </x:row>
    <x:row r="95">
      <x:c r="A95" s="191" t="str">
        <x:v>CTA-LMFT-MQB-0094</x:v>
      </x:c>
      <x:c r="B95" s="192" t="str">
        <x:v>LMFT-WB06-QB-Q009</x:v>
      </x:c>
      <x:c r="C95" s="192" t="str">
        <x:v>LMFT</x:v>
      </x:c>
      <x:c r="D95" s="192" t="str">
        <x:v>Workbook Question Bank</x:v>
      </x:c>
      <x:c r="E95" s="192" t="n">
        <x:v>6</x:v>
      </x:c>
      <x:c r="F95" s="192" t="str">
        <x:v>Crisis, Abuse, and Safety</x:v>
      </x:c>
      <x:c r="G95" s="192"/>
      <x:c r="H95" s="192" t="n">
        <x:v>9</x:v>
      </x:c>
      <x:c r="I95" s="192" t="str">
        <x:v>Workbook Bank</x:v>
      </x:c>
      <x:c r="J95" s="192" t="str">
        <x:v>3. Managing Crisis Situations</x:v>
      </x:c>
      <x:c r="K95" s="192" t="str">
        <x:v>Elder abuse and basic needs</x:v>
      </x:c>
      <x:c r="L95" s="192" t="str"/>
      <x:c r="M95" s="192" t="str">
        <x:v>Moderate</x:v>
      </x:c>
      <x:c r="N95" s="192" t="str">
        <x:v>Moderate</x:v>
      </x:c>
      <x:c r="O95" s="192" t="str">
        <x:v>Scenario-Based</x:v>
      </x:c>
      <x:c r="P95" s="192" t="str">
        <x:v>Scenario-Based</x:v>
      </x:c>
      <x:c r="Q95" s="192" t="n">
        <x:v>4</x:v>
      </x:c>
      <x:c r="R95" s="192" t="str">
        <x:v>A</x:v>
      </x:c>
      <x:c r="S95" s="192" t="str">
        <x:v>Approved</x:v>
      </x:c>
      <x:c r="T95" s="192" t="str">
        <x:v>Active</x:v>
      </x:c>
      <x:c r="U95" s="192" t="n">
        <x:v>1</x:v>
      </x:c>
      <x:c r="V95" s="192" t="str"/>
      <x:c r="W95" s="192" t="str">
        <x:v>No additional flag</x:v>
      </x:c>
      <x:c r="X95" s="192" t="str">
        <x:v>No structural flag</x:v>
      </x:c>
      <x:c r="Y95" s="192" t="str">
        <x:v>Not Yet Reviewed</x:v>
      </x:c>
      <x:c r="Z95" s="192" t="str">
        <x:v>CTA LMFT Workbook 6</x:v>
      </x:c>
      <x:c r="AA95" s="192" t="str">
        <x:v>CTA_LMFT_WB6_17_Question_Bank_v1.0.docx</x:v>
      </x:c>
      <x:c r="AB95" s="192" t="str">
        <x:v>1.0</x:v>
      </x:c>
      <x:c r="AC95" s="193"/>
      <x:c r="AD95" s="193" t="n">
        <x:v>46228</x:v>
      </x:c>
      <x:c r="AE95" s="192" t="str"/>
      <x:c r="AF95" s="194" t="str">
        <x:v>Workbook bank; reserve pool after controlled review</x:v>
      </x:c>
    </x:row>
    <x:row r="96">
      <x:c r="A96" s="191" t="str">
        <x:v>CTA-LMFT-MQB-0095</x:v>
      </x:c>
      <x:c r="B96" s="192" t="str">
        <x:v>LMFT-WB06-QB-Q010</x:v>
      </x:c>
      <x:c r="C96" s="192" t="str">
        <x:v>LMFT</x:v>
      </x:c>
      <x:c r="D96" s="192" t="str">
        <x:v>Workbook Question Bank</x:v>
      </x:c>
      <x:c r="E96" s="192" t="n">
        <x:v>6</x:v>
      </x:c>
      <x:c r="F96" s="192" t="str">
        <x:v>Crisis, Abuse, and Safety</x:v>
      </x:c>
      <x:c r="G96" s="192"/>
      <x:c r="H96" s="192" t="n">
        <x:v>10</x:v>
      </x:c>
      <x:c r="I96" s="192" t="str">
        <x:v>Workbook Bank</x:v>
      </x:c>
      <x:c r="J96" s="192" t="str">
        <x:v>3. Managing Crisis Situations</x:v>
      </x:c>
      <x:c r="K96" s="192" t="str">
        <x:v>Coercive control and conjoint safety</x:v>
      </x:c>
      <x:c r="L96" s="192" t="str"/>
      <x:c r="M96" s="192" t="str">
        <x:v>Moderate</x:v>
      </x:c>
      <x:c r="N96" s="192" t="str">
        <x:v>Moderate</x:v>
      </x:c>
      <x:c r="O96" s="192" t="str">
        <x:v>Scenario-Based</x:v>
      </x:c>
      <x:c r="P96" s="192" t="str">
        <x:v>Scenario-Based</x:v>
      </x:c>
      <x:c r="Q96" s="192" t="n">
        <x:v>4</x:v>
      </x:c>
      <x:c r="R96" s="192" t="str">
        <x:v>B</x:v>
      </x:c>
      <x:c r="S96" s="192" t="str">
        <x:v>Approved</x:v>
      </x:c>
      <x:c r="T96" s="192" t="str">
        <x:v>Active</x:v>
      </x:c>
      <x:c r="U96" s="192" t="n">
        <x:v>1</x:v>
      </x:c>
      <x:c r="V96" s="192" t="str"/>
      <x:c r="W96" s="192" t="str">
        <x:v>No additional flag</x:v>
      </x:c>
      <x:c r="X96" s="192" t="str">
        <x:v>No structural flag</x:v>
      </x:c>
      <x:c r="Y96" s="192" t="str">
        <x:v>Not Yet Reviewed</x:v>
      </x:c>
      <x:c r="Z96" s="192" t="str">
        <x:v>CTA LMFT Workbook 6</x:v>
      </x:c>
      <x:c r="AA96" s="192" t="str">
        <x:v>CTA_LMFT_WB6_17_Question_Bank_v1.0.docx</x:v>
      </x:c>
      <x:c r="AB96" s="192" t="str">
        <x:v>1.0</x:v>
      </x:c>
      <x:c r="AC96" s="193"/>
      <x:c r="AD96" s="193" t="n">
        <x:v>46228</x:v>
      </x:c>
      <x:c r="AE96" s="192" t="str"/>
      <x:c r="AF96" s="194" t="str">
        <x:v>Workbook bank; reserve pool after controlled review</x:v>
      </x:c>
    </x:row>
    <x:row r="97">
      <x:c r="A97" s="191" t="str">
        <x:v>CTA-LMFT-MQB-0096</x:v>
      </x:c>
      <x:c r="B97" s="192" t="str">
        <x:v>LMFT-WB06-QB-Q011</x:v>
      </x:c>
      <x:c r="C97" s="192" t="str">
        <x:v>LMFT</x:v>
      </x:c>
      <x:c r="D97" s="192" t="str">
        <x:v>Workbook Question Bank</x:v>
      </x:c>
      <x:c r="E97" s="192" t="n">
        <x:v>6</x:v>
      </x:c>
      <x:c r="F97" s="192" t="str">
        <x:v>Crisis, Abuse, and Safety</x:v>
      </x:c>
      <x:c r="G97" s="192"/>
      <x:c r="H97" s="192" t="n">
        <x:v>11</x:v>
      </x:c>
      <x:c r="I97" s="192" t="str">
        <x:v>Workbook Bank</x:v>
      </x:c>
      <x:c r="J97" s="192" t="str">
        <x:v>3. Managing Crisis Situations</x:v>
      </x:c>
      <x:c r="K97" s="192" t="str">
        <x:v>Sedative withdrawal emergency</x:v>
      </x:c>
      <x:c r="L97" s="192" t="str"/>
      <x:c r="M97" s="192" t="str">
        <x:v>Moderate</x:v>
      </x:c>
      <x:c r="N97" s="192" t="str">
        <x:v>Moderate</x:v>
      </x:c>
      <x:c r="O97" s="192" t="str">
        <x:v>Application</x:v>
      </x:c>
      <x:c r="P97" s="192" t="str">
        <x:v>Application</x:v>
      </x:c>
      <x:c r="Q97" s="192" t="n">
        <x:v>4</x:v>
      </x:c>
      <x:c r="R97" s="192" t="str">
        <x:v>C</x:v>
      </x:c>
      <x:c r="S97" s="192" t="str">
        <x:v>Approved</x:v>
      </x:c>
      <x:c r="T97" s="192" t="str">
        <x:v>Active</x:v>
      </x:c>
      <x:c r="U97" s="192" t="n">
        <x:v>1</x:v>
      </x:c>
      <x:c r="V97" s="192" t="str"/>
      <x:c r="W97" s="192" t="str">
        <x:v>No additional flag</x:v>
      </x:c>
      <x:c r="X97" s="192" t="str">
        <x:v>No structural flag</x:v>
      </x:c>
      <x:c r="Y97" s="192" t="str">
        <x:v>Not Yet Reviewed</x:v>
      </x:c>
      <x:c r="Z97" s="192" t="str">
        <x:v>CTA LMFT Workbook 6</x:v>
      </x:c>
      <x:c r="AA97" s="192" t="str">
        <x:v>CTA_LMFT_WB6_17_Question_Bank_v1.0.docx</x:v>
      </x:c>
      <x:c r="AB97" s="192" t="str">
        <x:v>1.0</x:v>
      </x:c>
      <x:c r="AC97" s="193"/>
      <x:c r="AD97" s="193" t="n">
        <x:v>46228</x:v>
      </x:c>
      <x:c r="AE97" s="192" t="str"/>
      <x:c r="AF97" s="194" t="str">
        <x:v>Workbook bank; reserve pool after controlled review</x:v>
      </x:c>
    </x:row>
    <x:row r="98">
      <x:c r="A98" s="191" t="str">
        <x:v>CTA-LMFT-MQB-0097</x:v>
      </x:c>
      <x:c r="B98" s="192" t="str">
        <x:v>LMFT-WB06-QB-Q012</x:v>
      </x:c>
      <x:c r="C98" s="192" t="str">
        <x:v>LMFT</x:v>
      </x:c>
      <x:c r="D98" s="192" t="str">
        <x:v>Workbook Question Bank</x:v>
      </x:c>
      <x:c r="E98" s="192" t="n">
        <x:v>6</x:v>
      </x:c>
      <x:c r="F98" s="192" t="str">
        <x:v>Crisis, Abuse, and Safety</x:v>
      </x:c>
      <x:c r="G98" s="192"/>
      <x:c r="H98" s="192" t="n">
        <x:v>12</x:v>
      </x:c>
      <x:c r="I98" s="192" t="str">
        <x:v>Workbook Bank</x:v>
      </x:c>
      <x:c r="J98" s="192" t="str">
        <x:v>3. Managing Crisis Situations</x:v>
      </x:c>
      <x:c r="K98" s="192" t="str">
        <x:v>Disaster stabilization</x:v>
      </x:c>
      <x:c r="L98" s="192" t="str"/>
      <x:c r="M98" s="192" t="str">
        <x:v>Moderate</x:v>
      </x:c>
      <x:c r="N98" s="192" t="str">
        <x:v>Moderate</x:v>
      </x:c>
      <x:c r="O98" s="192" t="str">
        <x:v>Scenario-Based</x:v>
      </x:c>
      <x:c r="P98" s="192" t="str">
        <x:v>Scenario-Based</x:v>
      </x:c>
      <x:c r="Q98" s="192" t="n">
        <x:v>4</x:v>
      </x:c>
      <x:c r="R98" s="192" t="str">
        <x:v>D</x:v>
      </x:c>
      <x:c r="S98" s="192" t="str">
        <x:v>Approved</x:v>
      </x:c>
      <x:c r="T98" s="192" t="str">
        <x:v>Active</x:v>
      </x:c>
      <x:c r="U98" s="192" t="n">
        <x:v>1</x:v>
      </x:c>
      <x:c r="V98" s="192" t="str"/>
      <x:c r="W98" s="192" t="str">
        <x:v>No additional flag</x:v>
      </x:c>
      <x:c r="X98" s="192" t="str">
        <x:v>No structural flag</x:v>
      </x:c>
      <x:c r="Y98" s="192" t="str">
        <x:v>Not Yet Reviewed</x:v>
      </x:c>
      <x:c r="Z98" s="192" t="str">
        <x:v>CTA LMFT Workbook 6</x:v>
      </x:c>
      <x:c r="AA98" s="192" t="str">
        <x:v>CTA_LMFT_WB6_17_Question_Bank_v1.0.docx</x:v>
      </x:c>
      <x:c r="AB98" s="192" t="str">
        <x:v>1.0</x:v>
      </x:c>
      <x:c r="AC98" s="193"/>
      <x:c r="AD98" s="193" t="n">
        <x:v>46228</x:v>
      </x:c>
      <x:c r="AE98" s="192" t="str"/>
      <x:c r="AF98" s="194" t="str">
        <x:v>Workbook bank; reserve pool after controlled review</x:v>
      </x:c>
    </x:row>
    <x:row r="99">
      <x:c r="A99" s="191" t="str">
        <x:v>CTA-LMFT-MQB-0098</x:v>
      </x:c>
      <x:c r="B99" s="192" t="str">
        <x:v>LMFT-WB06-QB-Q013</x:v>
      </x:c>
      <x:c r="C99" s="192" t="str">
        <x:v>LMFT</x:v>
      </x:c>
      <x:c r="D99" s="192" t="str">
        <x:v>Workbook Question Bank</x:v>
      </x:c>
      <x:c r="E99" s="192" t="n">
        <x:v>6</x:v>
      </x:c>
      <x:c r="F99" s="192" t="str">
        <x:v>Crisis, Abuse, and Safety</x:v>
      </x:c>
      <x:c r="G99" s="192"/>
      <x:c r="H99" s="192" t="n">
        <x:v>13</x:v>
      </x:c>
      <x:c r="I99" s="192" t="str">
        <x:v>Workbook Bank</x:v>
      </x:c>
      <x:c r="J99" s="192" t="str">
        <x:v>3. Managing Crisis Situations</x:v>
      </x:c>
      <x:c r="K99" s="192" t="str">
        <x:v>Interrupted suicide behavior</x:v>
      </x:c>
      <x:c r="L99" s="192" t="str"/>
      <x:c r="M99" s="192" t="str">
        <x:v>Difficult</x:v>
      </x:c>
      <x:c r="N99" s="192" t="str">
        <x:v>Difficult</x:v>
      </x:c>
      <x:c r="O99" s="192" t="str">
        <x:v>Integrated Clinical Reasoning</x:v>
      </x:c>
      <x:c r="P99" s="192" t="str">
        <x:v>Integrated Clinical Reasoning</x:v>
      </x:c>
      <x:c r="Q99" s="192" t="n">
        <x:v>4</x:v>
      </x:c>
      <x:c r="R99" s="192" t="str">
        <x:v>A</x:v>
      </x:c>
      <x:c r="S99" s="192" t="str">
        <x:v>Approved</x:v>
      </x:c>
      <x:c r="T99" s="192" t="str">
        <x:v>Active</x:v>
      </x:c>
      <x:c r="U99" s="192" t="n">
        <x:v>1</x:v>
      </x:c>
      <x:c r="V99" s="192" t="str"/>
      <x:c r="W99" s="192" t="str">
        <x:v>No additional flag</x:v>
      </x:c>
      <x:c r="X99" s="192" t="str">
        <x:v>No structural flag</x:v>
      </x:c>
      <x:c r="Y99" s="192" t="str">
        <x:v>Not Yet Reviewed</x:v>
      </x:c>
      <x:c r="Z99" s="192" t="str">
        <x:v>CTA LMFT Workbook 6</x:v>
      </x:c>
      <x:c r="AA99" s="192" t="str">
        <x:v>CTA_LMFT_WB6_17_Question_Bank_v1.0.docx</x:v>
      </x:c>
      <x:c r="AB99" s="192" t="str">
        <x:v>1.0</x:v>
      </x:c>
      <x:c r="AC99" s="193"/>
      <x:c r="AD99" s="193" t="n">
        <x:v>46228</x:v>
      </x:c>
      <x:c r="AE99" s="192" t="str"/>
      <x:c r="AF99" s="194" t="str">
        <x:v>Workbook bank; reserve pool after controlled review</x:v>
      </x:c>
    </x:row>
    <x:row r="100">
      <x:c r="A100" s="191" t="str">
        <x:v>CTA-LMFT-MQB-0099</x:v>
      </x:c>
      <x:c r="B100" s="192" t="str">
        <x:v>LMFT-WB06-QB-Q014</x:v>
      </x:c>
      <x:c r="C100" s="192" t="str">
        <x:v>LMFT</x:v>
      </x:c>
      <x:c r="D100" s="192" t="str">
        <x:v>Workbook Question Bank</x:v>
      </x:c>
      <x:c r="E100" s="192" t="n">
        <x:v>6</x:v>
      </x:c>
      <x:c r="F100" s="192" t="str">
        <x:v>Crisis, Abuse, and Safety</x:v>
      </x:c>
      <x:c r="G100" s="192"/>
      <x:c r="H100" s="192" t="n">
        <x:v>14</x:v>
      </x:c>
      <x:c r="I100" s="192" t="str">
        <x:v>Workbook Bank</x:v>
      </x:c>
      <x:c r="J100" s="192" t="str">
        <x:v>3. Managing Crisis Situations</x:v>
      </x:c>
      <x:c r="K100" s="192" t="str">
        <x:v>Specific adolescent violence threat</x:v>
      </x:c>
      <x:c r="L100" s="192" t="str"/>
      <x:c r="M100" s="192" t="str">
        <x:v>Difficult</x:v>
      </x:c>
      <x:c r="N100" s="192" t="str">
        <x:v>Difficult</x:v>
      </x:c>
      <x:c r="O100" s="192" t="str">
        <x:v>Integrated Clinical Reasoning</x:v>
      </x:c>
      <x:c r="P100" s="192" t="str">
        <x:v>Integrated Clinical Reasoning</x:v>
      </x:c>
      <x:c r="Q100" s="192" t="n">
        <x:v>4</x:v>
      </x:c>
      <x:c r="R100" s="192" t="str">
        <x:v>B</x:v>
      </x:c>
      <x:c r="S100" s="192" t="str">
        <x:v>Approved</x:v>
      </x:c>
      <x:c r="T100" s="192" t="str">
        <x:v>Active</x:v>
      </x:c>
      <x:c r="U100" s="192" t="n">
        <x:v>1</x:v>
      </x:c>
      <x:c r="V100" s="192" t="str"/>
      <x:c r="W100" s="192" t="str">
        <x:v>No additional flag</x:v>
      </x:c>
      <x:c r="X100" s="192" t="str">
        <x:v>No structural flag</x:v>
      </x:c>
      <x:c r="Y100" s="192" t="str">
        <x:v>Not Yet Reviewed</x:v>
      </x:c>
      <x:c r="Z100" s="192" t="str">
        <x:v>CTA LMFT Workbook 6</x:v>
      </x:c>
      <x:c r="AA100" s="192" t="str">
        <x:v>CTA_LMFT_WB6_17_Question_Bank_v1.0.docx</x:v>
      </x:c>
      <x:c r="AB100" s="192" t="str">
        <x:v>1.0</x:v>
      </x:c>
      <x:c r="AC100" s="193"/>
      <x:c r="AD100" s="193" t="n">
        <x:v>46228</x:v>
      </x:c>
      <x:c r="AE100" s="192" t="str"/>
      <x:c r="AF100" s="194" t="str">
        <x:v>Workbook bank; reserve pool after controlled review</x:v>
      </x:c>
    </x:row>
    <x:row r="101">
      <x:c r="A101" s="191" t="str">
        <x:v>CTA-LMFT-MQB-0100</x:v>
      </x:c>
      <x:c r="B101" s="192" t="str">
        <x:v>LMFT-WB06-QB-Q015</x:v>
      </x:c>
      <x:c r="C101" s="192" t="str">
        <x:v>LMFT</x:v>
      </x:c>
      <x:c r="D101" s="192" t="str">
        <x:v>Workbook Question Bank</x:v>
      </x:c>
      <x:c r="E101" s="192" t="n">
        <x:v>6</x:v>
      </x:c>
      <x:c r="F101" s="192" t="str">
        <x:v>Crisis, Abuse, and Safety</x:v>
      </x:c>
      <x:c r="G101" s="192"/>
      <x:c r="H101" s="192" t="n">
        <x:v>15</x:v>
      </x:c>
      <x:c r="I101" s="192" t="str">
        <x:v>Workbook Bank</x:v>
      </x:c>
      <x:c r="J101" s="192" t="str">
        <x:v>3. Managing Crisis Situations</x:v>
      </x:c>
      <x:c r="K101" s="192" t="str">
        <x:v>Psychosis, grave disability, and scope</x:v>
      </x:c>
      <x:c r="L101" s="192" t="str"/>
      <x:c r="M101" s="192" t="str">
        <x:v>Difficult</x:v>
      </x:c>
      <x:c r="N101" s="192" t="str">
        <x:v>Difficult</x:v>
      </x:c>
      <x:c r="O101" s="192" t="str">
        <x:v>Integrated Clinical Reasoning</x:v>
      </x:c>
      <x:c r="P101" s="192" t="str">
        <x:v>Integrated Clinical Reasoning</x:v>
      </x:c>
      <x:c r="Q101" s="192" t="n">
        <x:v>4</x:v>
      </x:c>
      <x:c r="R101" s="192" t="str">
        <x:v>C</x:v>
      </x:c>
      <x:c r="S101" s="192" t="str">
        <x:v>Approved</x:v>
      </x:c>
      <x:c r="T101" s="192" t="str">
        <x:v>Active</x:v>
      </x:c>
      <x:c r="U101" s="192" t="n">
        <x:v>1</x:v>
      </x:c>
      <x:c r="V101" s="192" t="str"/>
      <x:c r="W101" s="192" t="str">
        <x:v>No additional flag</x:v>
      </x:c>
      <x:c r="X101" s="192" t="str">
        <x:v>No structural flag</x:v>
      </x:c>
      <x:c r="Y101" s="192" t="str">
        <x:v>Not Yet Reviewed</x:v>
      </x:c>
      <x:c r="Z101" s="192" t="str">
        <x:v>CTA LMFT Workbook 6</x:v>
      </x:c>
      <x:c r="AA101" s="192" t="str">
        <x:v>CTA_LMFT_WB6_17_Question_Bank_v1.0.docx</x:v>
      </x:c>
      <x:c r="AB101" s="192" t="str">
        <x:v>1.0</x:v>
      </x:c>
      <x:c r="AC101" s="193"/>
      <x:c r="AD101" s="193" t="n">
        <x:v>46228</x:v>
      </x:c>
      <x:c r="AE101" s="192" t="str"/>
      <x:c r="AF101" s="194" t="str">
        <x:v>Workbook bank; reserve pool after controlled review</x:v>
      </x:c>
    </x:row>
    <x:row r="102">
      <x:c r="A102" s="191" t="str">
        <x:v>CTA-LMFT-MQB-0101</x:v>
      </x:c>
      <x:c r="B102" s="192" t="str">
        <x:v>LMFT-WB06-QB-Q016</x:v>
      </x:c>
      <x:c r="C102" s="192" t="str">
        <x:v>LMFT</x:v>
      </x:c>
      <x:c r="D102" s="192" t="str">
        <x:v>Workbook Question Bank</x:v>
      </x:c>
      <x:c r="E102" s="192" t="n">
        <x:v>6</x:v>
      </x:c>
      <x:c r="F102" s="192" t="str">
        <x:v>Crisis, Abuse, and Safety</x:v>
      </x:c>
      <x:c r="G102" s="192"/>
      <x:c r="H102" s="192" t="n">
        <x:v>16</x:v>
      </x:c>
      <x:c r="I102" s="192" t="str">
        <x:v>Workbook Bank</x:v>
      </x:c>
      <x:c r="J102" s="192" t="str">
        <x:v>3. Managing Crisis Situations</x:v>
      </x:c>
      <x:c r="K102" s="192" t="str">
        <x:v>Child abuse with immediate retaliation risk</x:v>
      </x:c>
      <x:c r="L102" s="192" t="str"/>
      <x:c r="M102" s="192" t="str">
        <x:v>Difficult</x:v>
      </x:c>
      <x:c r="N102" s="192" t="str">
        <x:v>Difficult</x:v>
      </x:c>
      <x:c r="O102" s="192" t="str">
        <x:v>Integrated Clinical Reasoning</x:v>
      </x:c>
      <x:c r="P102" s="192" t="str">
        <x:v>Integrated Clinical Reasoning</x:v>
      </x:c>
      <x:c r="Q102" s="192" t="n">
        <x:v>4</x:v>
      </x:c>
      <x:c r="R102" s="192" t="str">
        <x:v>D</x:v>
      </x:c>
      <x:c r="S102" s="192" t="str">
        <x:v>Approved</x:v>
      </x:c>
      <x:c r="T102" s="192" t="str">
        <x:v>Active</x:v>
      </x:c>
      <x:c r="U102" s="192" t="n">
        <x:v>1</x:v>
      </x:c>
      <x:c r="V102" s="192" t="str"/>
      <x:c r="W102" s="192" t="str">
        <x:v>No additional flag</x:v>
      </x:c>
      <x:c r="X102" s="192" t="str">
        <x:v>No structural flag</x:v>
      </x:c>
      <x:c r="Y102" s="192" t="str">
        <x:v>Not Yet Reviewed</x:v>
      </x:c>
      <x:c r="Z102" s="192" t="str">
        <x:v>CTA LMFT Workbook 6</x:v>
      </x:c>
      <x:c r="AA102" s="192" t="str">
        <x:v>CTA_LMFT_WB6_17_Question_Bank_v1.0.docx</x:v>
      </x:c>
      <x:c r="AB102" s="192" t="str">
        <x:v>1.0</x:v>
      </x:c>
      <x:c r="AC102" s="193"/>
      <x:c r="AD102" s="193" t="n">
        <x:v>46228</x:v>
      </x:c>
      <x:c r="AE102" s="192" t="str"/>
      <x:c r="AF102" s="194" t="str">
        <x:v>Workbook bank; reserve pool after controlled review</x:v>
      </x:c>
    </x:row>
    <x:row r="103">
      <x:c r="A103" s="191" t="str">
        <x:v>CTA-LMFT-MQB-0102</x:v>
      </x:c>
      <x:c r="B103" s="192" t="str">
        <x:v>LMFT-WB06-QB-Q017</x:v>
      </x:c>
      <x:c r="C103" s="192" t="str">
        <x:v>LMFT</x:v>
      </x:c>
      <x:c r="D103" s="192" t="str">
        <x:v>Workbook Question Bank</x:v>
      </x:c>
      <x:c r="E103" s="192" t="n">
        <x:v>6</x:v>
      </x:c>
      <x:c r="F103" s="192" t="str">
        <x:v>Crisis, Abuse, and Safety</x:v>
      </x:c>
      <x:c r="G103" s="192"/>
      <x:c r="H103" s="192" t="n">
        <x:v>17</x:v>
      </x:c>
      <x:c r="I103" s="192" t="str">
        <x:v>Workbook Bank</x:v>
      </x:c>
      <x:c r="J103" s="192" t="str">
        <x:v>3. Managing Crisis Situations</x:v>
      </x:c>
      <x:c r="K103" s="192" t="str">
        <x:v>Least restrictive supported disposition</x:v>
      </x:c>
      <x:c r="L103" s="192" t="str"/>
      <x:c r="M103" s="192" t="str">
        <x:v>Difficult</x:v>
      </x:c>
      <x:c r="N103" s="192" t="str">
        <x:v>Difficult</x:v>
      </x:c>
      <x:c r="O103" s="192" t="str">
        <x:v>Integrated Clinical Reasoning</x:v>
      </x:c>
      <x:c r="P103" s="192" t="str">
        <x:v>Integrated Clinical Reasoning</x:v>
      </x:c>
      <x:c r="Q103" s="192" t="n">
        <x:v>4</x:v>
      </x:c>
      <x:c r="R103" s="192" t="str">
        <x:v>A</x:v>
      </x:c>
      <x:c r="S103" s="192" t="str">
        <x:v>Approved</x:v>
      </x:c>
      <x:c r="T103" s="192" t="str">
        <x:v>Active</x:v>
      </x:c>
      <x:c r="U103" s="192" t="n">
        <x:v>1</x:v>
      </x:c>
      <x:c r="V103" s="192" t="str"/>
      <x:c r="W103" s="192" t="str">
        <x:v>No additional flag</x:v>
      </x:c>
      <x:c r="X103" s="192" t="str">
        <x:v>No structural flag</x:v>
      </x:c>
      <x:c r="Y103" s="192" t="str">
        <x:v>Not Yet Reviewed</x:v>
      </x:c>
      <x:c r="Z103" s="192" t="str">
        <x:v>CTA LMFT Workbook 6</x:v>
      </x:c>
      <x:c r="AA103" s="192" t="str">
        <x:v>CTA_LMFT_WB6_17_Question_Bank_v1.0.docx</x:v>
      </x:c>
      <x:c r="AB103" s="192" t="str">
        <x:v>1.0</x:v>
      </x:c>
      <x:c r="AC103" s="193"/>
      <x:c r="AD103" s="193" t="n">
        <x:v>46228</x:v>
      </x:c>
      <x:c r="AE103" s="192" t="str"/>
      <x:c r="AF103" s="194" t="str">
        <x:v>Workbook bank; reserve pool after controlled review</x:v>
      </x:c>
    </x:row>
    <x:row r="104">
      <x:c r="A104" s="191" t="str">
        <x:v>CTA-LMFT-MQB-0103</x:v>
      </x:c>
      <x:c r="B104" s="192" t="str">
        <x:v>LMFT-WB07-QB-Q001</x:v>
      </x:c>
      <x:c r="C104" s="192" t="str">
        <x:v>LMFT</x:v>
      </x:c>
      <x:c r="D104" s="192" t="str">
        <x:v>Workbook Question Bank</x:v>
      </x:c>
      <x:c r="E104" s="192" t="n">
        <x:v>7</x:v>
      </x:c>
      <x:c r="F104" s="192" t="str">
        <x:v>Planning, Progress, and Termination</x:v>
      </x:c>
      <x:c r="G104" s="192"/>
      <x:c r="H104" s="192" t="n">
        <x:v>1</x:v>
      </x:c>
      <x:c r="I104" s="192" t="str">
        <x:v>Workbook Bank</x:v>
      </x:c>
      <x:c r="J104" s="192" t="str">
        <x:v>4. Case Conceptualization and Planning</x:v>
      </x:c>
      <x:c r="K104" s="192" t="str">
        <x:v>PLAN-ER sequence</x:v>
      </x:c>
      <x:c r="L104" s="192" t="str"/>
      <x:c r="M104" s="192" t="str">
        <x:v>Easy</x:v>
      </x:c>
      <x:c r="N104" s="192" t="str">
        <x:v>Easy</x:v>
      </x:c>
      <x:c r="O104" s="192" t="str">
        <x:v>Knowledge &amp; Recall</x:v>
      </x:c>
      <x:c r="P104" s="192" t="str">
        <x:v>Knowledge &amp; Recall</x:v>
      </x:c>
      <x:c r="Q104" s="192" t="n">
        <x:v>4</x:v>
      </x:c>
      <x:c r="R104" s="192" t="str">
        <x:v>B</x:v>
      </x:c>
      <x:c r="S104" s="192" t="str">
        <x:v>Approved</x:v>
      </x:c>
      <x:c r="T104" s="192" t="str">
        <x:v>Active</x:v>
      </x:c>
      <x:c r="U104" s="192" t="n">
        <x:v>1</x:v>
      </x:c>
      <x:c r="V104" s="192" t="str"/>
      <x:c r="W104" s="192" t="str">
        <x:v>No additional flag</x:v>
      </x:c>
      <x:c r="X104" s="192" t="str">
        <x:v>No structural flag</x:v>
      </x:c>
      <x:c r="Y104" s="192" t="str">
        <x:v>Not Yet Reviewed</x:v>
      </x:c>
      <x:c r="Z104" s="192" t="str">
        <x:v>CTA LMFT Workbook 7</x:v>
      </x:c>
      <x:c r="AA104" s="192" t="str">
        <x:v>CTA_LMFT_WB7_17_Question_Bank_v1.0.docx</x:v>
      </x:c>
      <x:c r="AB104" s="192" t="str">
        <x:v>1.0</x:v>
      </x:c>
      <x:c r="AC104" s="193"/>
      <x:c r="AD104" s="193" t="n">
        <x:v>46228</x:v>
      </x:c>
      <x:c r="AE104" s="192" t="str"/>
      <x:c r="AF104" s="194" t="str">
        <x:v>Workbook bank; reserve pool after controlled review</x:v>
      </x:c>
    </x:row>
    <x:row r="105">
      <x:c r="A105" s="191" t="str">
        <x:v>CTA-LMFT-MQB-0104</x:v>
      </x:c>
      <x:c r="B105" s="192" t="str">
        <x:v>LMFT-WB07-QB-Q002</x:v>
      </x:c>
      <x:c r="C105" s="192" t="str">
        <x:v>LMFT</x:v>
      </x:c>
      <x:c r="D105" s="192" t="str">
        <x:v>Workbook Question Bank</x:v>
      </x:c>
      <x:c r="E105" s="192" t="n">
        <x:v>7</x:v>
      </x:c>
      <x:c r="F105" s="192" t="str">
        <x:v>Planning, Progress, and Termination</x:v>
      </x:c>
      <x:c r="G105" s="192"/>
      <x:c r="H105" s="192" t="n">
        <x:v>2</x:v>
      </x:c>
      <x:c r="I105" s="192" t="str">
        <x:v>Workbook Bank</x:v>
      </x:c>
      <x:c r="J105" s="192" t="str">
        <x:v>4. Case Conceptualization and Planning</x:v>
      </x:c>
      <x:c r="K105" s="192" t="str">
        <x:v>Goal hierarchy</x:v>
      </x:c>
      <x:c r="L105" s="192" t="str"/>
      <x:c r="M105" s="192" t="str">
        <x:v>Easy</x:v>
      </x:c>
      <x:c r="N105" s="192" t="str">
        <x:v>Easy</x:v>
      </x:c>
      <x:c r="O105" s="192" t="str">
        <x:v>Application</x:v>
      </x:c>
      <x:c r="P105" s="192" t="str">
        <x:v>Application</x:v>
      </x:c>
      <x:c r="Q105" s="192" t="n">
        <x:v>4</x:v>
      </x:c>
      <x:c r="R105" s="192" t="str">
        <x:v>A</x:v>
      </x:c>
      <x:c r="S105" s="192" t="str">
        <x:v>Approved</x:v>
      </x:c>
      <x:c r="T105" s="192" t="str">
        <x:v>Active</x:v>
      </x:c>
      <x:c r="U105" s="192" t="n">
        <x:v>1</x:v>
      </x:c>
      <x:c r="V105" s="192" t="str"/>
      <x:c r="W105" s="192" t="str">
        <x:v>No additional flag</x:v>
      </x:c>
      <x:c r="X105" s="192" t="str">
        <x:v>No structural flag</x:v>
      </x:c>
      <x:c r="Y105" s="192" t="str">
        <x:v>Not Yet Reviewed</x:v>
      </x:c>
      <x:c r="Z105" s="192" t="str">
        <x:v>CTA LMFT Workbook 7</x:v>
      </x:c>
      <x:c r="AA105" s="192" t="str">
        <x:v>CTA_LMFT_WB7_17_Question_Bank_v1.0.docx</x:v>
      </x:c>
      <x:c r="AB105" s="192" t="str">
        <x:v>1.0</x:v>
      </x:c>
      <x:c r="AC105" s="193"/>
      <x:c r="AD105" s="193" t="n">
        <x:v>46228</x:v>
      </x:c>
      <x:c r="AE105" s="192" t="str"/>
      <x:c r="AF105" s="194" t="str">
        <x:v>Workbook bank; reserve pool after controlled review</x:v>
      </x:c>
    </x:row>
    <x:row r="106">
      <x:c r="A106" s="191" t="str">
        <x:v>CTA-LMFT-MQB-0105</x:v>
      </x:c>
      <x:c r="B106" s="192" t="str">
        <x:v>LMFT-WB07-QB-Q003</x:v>
      </x:c>
      <x:c r="C106" s="192" t="str">
        <x:v>LMFT</x:v>
      </x:c>
      <x:c r="D106" s="192" t="str">
        <x:v>Workbook Question Bank</x:v>
      </x:c>
      <x:c r="E106" s="192" t="n">
        <x:v>7</x:v>
      </x:c>
      <x:c r="F106" s="192" t="str">
        <x:v>Planning, Progress, and Termination</x:v>
      </x:c>
      <x:c r="G106" s="192"/>
      <x:c r="H106" s="192" t="n">
        <x:v>3</x:v>
      </x:c>
      <x:c r="I106" s="192" t="str">
        <x:v>Workbook Bank</x:v>
      </x:c>
      <x:c r="J106" s="192" t="str">
        <x:v>4. Case Conceptualization and Planning</x:v>
      </x:c>
      <x:c r="K106" s="192" t="str">
        <x:v>Measurable goals</x:v>
      </x:c>
      <x:c r="L106" s="192" t="str"/>
      <x:c r="M106" s="192" t="str">
        <x:v>Easy</x:v>
      </x:c>
      <x:c r="N106" s="192" t="str">
        <x:v>Easy</x:v>
      </x:c>
      <x:c r="O106" s="192" t="str">
        <x:v>Knowledge &amp; Recall</x:v>
      </x:c>
      <x:c r="P106" s="192" t="str">
        <x:v>Knowledge &amp; Recall</x:v>
      </x:c>
      <x:c r="Q106" s="192" t="n">
        <x:v>4</x:v>
      </x:c>
      <x:c r="R106" s="192" t="str">
        <x:v>C</x:v>
      </x:c>
      <x:c r="S106" s="192" t="str">
        <x:v>Approved</x:v>
      </x:c>
      <x:c r="T106" s="192" t="str">
        <x:v>Active</x:v>
      </x:c>
      <x:c r="U106" s="192" t="n">
        <x:v>1</x:v>
      </x:c>
      <x:c r="V106" s="192" t="str"/>
      <x:c r="W106" s="192" t="str">
        <x:v>No additional flag</x:v>
      </x:c>
      <x:c r="X106" s="192" t="str">
        <x:v>No structural flag</x:v>
      </x:c>
      <x:c r="Y106" s="192" t="str">
        <x:v>Not Yet Reviewed</x:v>
      </x:c>
      <x:c r="Z106" s="192" t="str">
        <x:v>CTA LMFT Workbook 7</x:v>
      </x:c>
      <x:c r="AA106" s="192" t="str">
        <x:v>CTA_LMFT_WB7_17_Question_Bank_v1.0.docx</x:v>
      </x:c>
      <x:c r="AB106" s="192" t="str">
        <x:v>1.0</x:v>
      </x:c>
      <x:c r="AC106" s="193"/>
      <x:c r="AD106" s="193" t="n">
        <x:v>46228</x:v>
      </x:c>
      <x:c r="AE106" s="192" t="str"/>
      <x:c r="AF106" s="194" t="str">
        <x:v>Workbook bank; reserve pool after controlled review</x:v>
      </x:c>
    </x:row>
    <x:row r="107">
      <x:c r="A107" s="191" t="str">
        <x:v>CTA-LMFT-MQB-0106</x:v>
      </x:c>
      <x:c r="B107" s="192" t="str">
        <x:v>LMFT-WB07-QB-Q004</x:v>
      </x:c>
      <x:c r="C107" s="192" t="str">
        <x:v>LMFT</x:v>
      </x:c>
      <x:c r="D107" s="192" t="str">
        <x:v>Workbook Question Bank</x:v>
      </x:c>
      <x:c r="E107" s="192" t="n">
        <x:v>7</x:v>
      </x:c>
      <x:c r="F107" s="192" t="str">
        <x:v>Planning, Progress, and Termination</x:v>
      </x:c>
      <x:c r="G107" s="192"/>
      <x:c r="H107" s="192" t="n">
        <x:v>4</x:v>
      </x:c>
      <x:c r="I107" s="192" t="str">
        <x:v>Workbook Bank</x:v>
      </x:c>
      <x:c r="J107" s="192" t="str">
        <x:v>4. Case Conceptualization and Planning</x:v>
      </x:c>
      <x:c r="K107" s="192" t="str">
        <x:v>Unit of treatment</x:v>
      </x:c>
      <x:c r="L107" s="192" t="str"/>
      <x:c r="M107" s="192" t="str">
        <x:v>Easy</x:v>
      </x:c>
      <x:c r="N107" s="192" t="str">
        <x:v>Easy</x:v>
      </x:c>
      <x:c r="O107" s="192" t="str">
        <x:v>Scenario-Based</x:v>
      </x:c>
      <x:c r="P107" s="192" t="str">
        <x:v>Scenario-Based</x:v>
      </x:c>
      <x:c r="Q107" s="192" t="n">
        <x:v>4</x:v>
      </x:c>
      <x:c r="R107" s="192" t="str">
        <x:v>D</x:v>
      </x:c>
      <x:c r="S107" s="192" t="str">
        <x:v>Approved</x:v>
      </x:c>
      <x:c r="T107" s="192" t="str">
        <x:v>Active</x:v>
      </x:c>
      <x:c r="U107" s="192" t="n">
        <x:v>1</x:v>
      </x:c>
      <x:c r="V107" s="192" t="str"/>
      <x:c r="W107" s="192" t="str">
        <x:v>No additional flag</x:v>
      </x:c>
      <x:c r="X107" s="192" t="str">
        <x:v>No structural flag</x:v>
      </x:c>
      <x:c r="Y107" s="192" t="str">
        <x:v>Not Yet Reviewed</x:v>
      </x:c>
      <x:c r="Z107" s="192" t="str">
        <x:v>CTA LMFT Workbook 7</x:v>
      </x:c>
      <x:c r="AA107" s="192" t="str">
        <x:v>CTA_LMFT_WB7_17_Question_Bank_v1.0.docx</x:v>
      </x:c>
      <x:c r="AB107" s="192" t="str">
        <x:v>1.0</x:v>
      </x:c>
      <x:c r="AC107" s="193"/>
      <x:c r="AD107" s="193" t="n">
        <x:v>46228</x:v>
      </x:c>
      <x:c r="AE107" s="192" t="str"/>
      <x:c r="AF107" s="194" t="str">
        <x:v>Workbook bank; reserve pool after controlled review</x:v>
      </x:c>
    </x:row>
    <x:row r="108">
      <x:c r="A108" s="191" t="str">
        <x:v>CTA-LMFT-MQB-0107</x:v>
      </x:c>
      <x:c r="B108" s="192" t="str">
        <x:v>LMFT-WB07-QB-Q005</x:v>
      </x:c>
      <x:c r="C108" s="192" t="str">
        <x:v>LMFT</x:v>
      </x:c>
      <x:c r="D108" s="192" t="str">
        <x:v>Workbook Question Bank</x:v>
      </x:c>
      <x:c r="E108" s="192" t="n">
        <x:v>7</x:v>
      </x:c>
      <x:c r="F108" s="192" t="str">
        <x:v>Planning, Progress, and Termination</x:v>
      </x:c>
      <x:c r="G108" s="192"/>
      <x:c r="H108" s="192" t="n">
        <x:v>5</x:v>
      </x:c>
      <x:c r="I108" s="192" t="str">
        <x:v>Workbook Bank</x:v>
      </x:c>
      <x:c r="J108" s="192" t="str">
        <x:v>4. Case Conceptualization and Planning</x:v>
      </x:c>
      <x:c r="K108" s="192" t="str">
        <x:v>Theory-informed planning</x:v>
      </x:c>
      <x:c r="L108" s="192" t="str"/>
      <x:c r="M108" s="192" t="str">
        <x:v>Easy</x:v>
      </x:c>
      <x:c r="N108" s="192" t="str">
        <x:v>Easy</x:v>
      </x:c>
      <x:c r="O108" s="192" t="str">
        <x:v>Application</x:v>
      </x:c>
      <x:c r="P108" s="192" t="str">
        <x:v>Application</x:v>
      </x:c>
      <x:c r="Q108" s="192" t="n">
        <x:v>4</x:v>
      </x:c>
      <x:c r="R108" s="192" t="str">
        <x:v>A</x:v>
      </x:c>
      <x:c r="S108" s="192" t="str">
        <x:v>Approved</x:v>
      </x:c>
      <x:c r="T108" s="192" t="str">
        <x:v>Active</x:v>
      </x:c>
      <x:c r="U108" s="192" t="n">
        <x:v>1</x:v>
      </x:c>
      <x:c r="V108" s="192" t="str"/>
      <x:c r="W108" s="192" t="str">
        <x:v>No additional flag</x:v>
      </x:c>
      <x:c r="X108" s="192" t="str">
        <x:v>No structural flag</x:v>
      </x:c>
      <x:c r="Y108" s="192" t="str">
        <x:v>Not Yet Reviewed</x:v>
      </x:c>
      <x:c r="Z108" s="192" t="str">
        <x:v>CTA LMFT Workbook 7</x:v>
      </x:c>
      <x:c r="AA108" s="192" t="str">
        <x:v>CTA_LMFT_WB7_17_Question_Bank_v1.0.docx</x:v>
      </x:c>
      <x:c r="AB108" s="192" t="str">
        <x:v>1.0</x:v>
      </x:c>
      <x:c r="AC108" s="193"/>
      <x:c r="AD108" s="193" t="n">
        <x:v>46228</x:v>
      </x:c>
      <x:c r="AE108" s="192" t="str"/>
      <x:c r="AF108" s="194" t="str">
        <x:v>Workbook bank; reserve pool after controlled review</x:v>
      </x:c>
    </x:row>
    <x:row r="109">
      <x:c r="A109" s="191" t="str">
        <x:v>CTA-LMFT-MQB-0108</x:v>
      </x:c>
      <x:c r="B109" s="192" t="str">
        <x:v>LMFT-WB07-QB-Q006</x:v>
      </x:c>
      <x:c r="C109" s="192" t="str">
        <x:v>LMFT</x:v>
      </x:c>
      <x:c r="D109" s="192" t="str">
        <x:v>Workbook Question Bank</x:v>
      </x:c>
      <x:c r="E109" s="192" t="n">
        <x:v>7</x:v>
      </x:c>
      <x:c r="F109" s="192" t="str">
        <x:v>Planning, Progress, and Termination</x:v>
      </x:c>
      <x:c r="G109" s="192"/>
      <x:c r="H109" s="192" t="n">
        <x:v>6</x:v>
      </x:c>
      <x:c r="I109" s="192" t="str">
        <x:v>Workbook Bank</x:v>
      </x:c>
      <x:c r="J109" s="192" t="str">
        <x:v>4. Case Conceptualization and Planning</x:v>
      </x:c>
      <x:c r="K109" s="192" t="str">
        <x:v>Alliance rupture</x:v>
      </x:c>
      <x:c r="L109" s="192" t="str"/>
      <x:c r="M109" s="192" t="str">
        <x:v>Moderate</x:v>
      </x:c>
      <x:c r="N109" s="192" t="str">
        <x:v>Moderate</x:v>
      </x:c>
      <x:c r="O109" s="192" t="str">
        <x:v>Scenario-Based</x:v>
      </x:c>
      <x:c r="P109" s="192" t="str">
        <x:v>Scenario-Based</x:v>
      </x:c>
      <x:c r="Q109" s="192" t="n">
        <x:v>4</x:v>
      </x:c>
      <x:c r="R109" s="192" t="str">
        <x:v>D</x:v>
      </x:c>
      <x:c r="S109" s="192" t="str">
        <x:v>Approved</x:v>
      </x:c>
      <x:c r="T109" s="192" t="str">
        <x:v>Active</x:v>
      </x:c>
      <x:c r="U109" s="192" t="n">
        <x:v>1</x:v>
      </x:c>
      <x:c r="V109" s="192" t="str"/>
      <x:c r="W109" s="192" t="str">
        <x:v>No additional flag</x:v>
      </x:c>
      <x:c r="X109" s="192" t="str">
        <x:v>No structural flag</x:v>
      </x:c>
      <x:c r="Y109" s="192" t="str">
        <x:v>Not Yet Reviewed</x:v>
      </x:c>
      <x:c r="Z109" s="192" t="str">
        <x:v>CTA LMFT Workbook 7</x:v>
      </x:c>
      <x:c r="AA109" s="192" t="str">
        <x:v>CTA_LMFT_WB7_17_Question_Bank_v1.0.docx</x:v>
      </x:c>
      <x:c r="AB109" s="192" t="str">
        <x:v>1.0</x:v>
      </x:c>
      <x:c r="AC109" s="193"/>
      <x:c r="AD109" s="193" t="n">
        <x:v>46228</x:v>
      </x:c>
      <x:c r="AE109" s="192" t="str"/>
      <x:c r="AF109" s="194" t="str">
        <x:v>Workbook bank; reserve pool after controlled review</x:v>
      </x:c>
    </x:row>
    <x:row r="110">
      <x:c r="A110" s="191" t="str">
        <x:v>CTA-LMFT-MQB-0109</x:v>
      </x:c>
      <x:c r="B110" s="192" t="str">
        <x:v>LMFT-WB07-QB-Q007</x:v>
      </x:c>
      <x:c r="C110" s="192" t="str">
        <x:v>LMFT</x:v>
      </x:c>
      <x:c r="D110" s="192" t="str">
        <x:v>Workbook Question Bank</x:v>
      </x:c>
      <x:c r="E110" s="192" t="n">
        <x:v>7</x:v>
      </x:c>
      <x:c r="F110" s="192" t="str">
        <x:v>Planning, Progress, and Termination</x:v>
      </x:c>
      <x:c r="G110" s="192"/>
      <x:c r="H110" s="192" t="n">
        <x:v>7</x:v>
      </x:c>
      <x:c r="I110" s="192" t="str">
        <x:v>Workbook Bank</x:v>
      </x:c>
      <x:c r="J110" s="192" t="str">
        <x:v>4. Case Conceptualization and Planning</x:v>
      </x:c>
      <x:c r="K110" s="192" t="str">
        <x:v>Outcome monitoring</x:v>
      </x:c>
      <x:c r="L110" s="192" t="str"/>
      <x:c r="M110" s="192" t="str">
        <x:v>Moderate</x:v>
      </x:c>
      <x:c r="N110" s="192" t="str">
        <x:v>Moderate</x:v>
      </x:c>
      <x:c r="O110" s="192" t="str">
        <x:v>Application</x:v>
      </x:c>
      <x:c r="P110" s="192" t="str">
        <x:v>Application</x:v>
      </x:c>
      <x:c r="Q110" s="192" t="n">
        <x:v>4</x:v>
      </x:c>
      <x:c r="R110" s="192" t="str">
        <x:v>C</x:v>
      </x:c>
      <x:c r="S110" s="192" t="str">
        <x:v>Approved</x:v>
      </x:c>
      <x:c r="T110" s="192" t="str">
        <x:v>Active</x:v>
      </x:c>
      <x:c r="U110" s="192" t="n">
        <x:v>1</x:v>
      </x:c>
      <x:c r="V110" s="192" t="str"/>
      <x:c r="W110" s="192" t="str">
        <x:v>No additional flag</x:v>
      </x:c>
      <x:c r="X110" s="192" t="str">
        <x:v>No structural flag</x:v>
      </x:c>
      <x:c r="Y110" s="192" t="str">
        <x:v>Not Yet Reviewed</x:v>
      </x:c>
      <x:c r="Z110" s="192" t="str">
        <x:v>CTA LMFT Workbook 7</x:v>
      </x:c>
      <x:c r="AA110" s="192" t="str">
        <x:v>CTA_LMFT_WB7_17_Question_Bank_v1.0.docx</x:v>
      </x:c>
      <x:c r="AB110" s="192" t="str">
        <x:v>1.0</x:v>
      </x:c>
      <x:c r="AC110" s="193"/>
      <x:c r="AD110" s="193" t="n">
        <x:v>46228</x:v>
      </x:c>
      <x:c r="AE110" s="192" t="str"/>
      <x:c r="AF110" s="194" t="str">
        <x:v>Workbook bank; reserve pool after controlled review</x:v>
      </x:c>
    </x:row>
    <x:row r="111">
      <x:c r="A111" s="191" t="str">
        <x:v>CTA-LMFT-MQB-0110</x:v>
      </x:c>
      <x:c r="B111" s="192" t="str">
        <x:v>LMFT-WB07-QB-Q008</x:v>
      </x:c>
      <x:c r="C111" s="192" t="str">
        <x:v>LMFT</x:v>
      </x:c>
      <x:c r="D111" s="192" t="str">
        <x:v>Workbook Question Bank</x:v>
      </x:c>
      <x:c r="E111" s="192" t="n">
        <x:v>7</x:v>
      </x:c>
      <x:c r="F111" s="192" t="str">
        <x:v>Planning, Progress, and Termination</x:v>
      </x:c>
      <x:c r="G111" s="192"/>
      <x:c r="H111" s="192" t="n">
        <x:v>8</x:v>
      </x:c>
      <x:c r="I111" s="192" t="str">
        <x:v>Workbook Bank</x:v>
      </x:c>
      <x:c r="J111" s="192" t="str">
        <x:v>4. Case Conceptualization and Planning</x:v>
      </x:c>
      <x:c r="K111" s="192" t="str">
        <x:v>Third-party referral limits</x:v>
      </x:c>
      <x:c r="L111" s="192" t="str"/>
      <x:c r="M111" s="192" t="str">
        <x:v>Moderate</x:v>
      </x:c>
      <x:c r="N111" s="192" t="str">
        <x:v>Moderate</x:v>
      </x:c>
      <x:c r="O111" s="192" t="str">
        <x:v>Scenario-Based</x:v>
      </x:c>
      <x:c r="P111" s="192" t="str">
        <x:v>Scenario-Based</x:v>
      </x:c>
      <x:c r="Q111" s="192" t="n">
        <x:v>4</x:v>
      </x:c>
      <x:c r="R111" s="192" t="str">
        <x:v>B</x:v>
      </x:c>
      <x:c r="S111" s="192" t="str">
        <x:v>Approved</x:v>
      </x:c>
      <x:c r="T111" s="192" t="str">
        <x:v>Active</x:v>
      </x:c>
      <x:c r="U111" s="192" t="n">
        <x:v>1</x:v>
      </x:c>
      <x:c r="V111" s="192" t="str"/>
      <x:c r="W111" s="192" t="str">
        <x:v>No additional flag</x:v>
      </x:c>
      <x:c r="X111" s="192" t="str">
        <x:v>No structural flag</x:v>
      </x:c>
      <x:c r="Y111" s="192" t="str">
        <x:v>Not Yet Reviewed</x:v>
      </x:c>
      <x:c r="Z111" s="192" t="str">
        <x:v>CTA LMFT Workbook 7</x:v>
      </x:c>
      <x:c r="AA111" s="192" t="str">
        <x:v>CTA_LMFT_WB7_17_Question_Bank_v1.0.docx</x:v>
      </x:c>
      <x:c r="AB111" s="192" t="str">
        <x:v>1.0</x:v>
      </x:c>
      <x:c r="AC111" s="193"/>
      <x:c r="AD111" s="193" t="n">
        <x:v>46228</x:v>
      </x:c>
      <x:c r="AE111" s="192" t="str"/>
      <x:c r="AF111" s="194" t="str">
        <x:v>Workbook bank; reserve pool after controlled review</x:v>
      </x:c>
    </x:row>
    <x:row r="112">
      <x:c r="A112" s="191" t="str">
        <x:v>CTA-LMFT-MQB-0111</x:v>
      </x:c>
      <x:c r="B112" s="192" t="str">
        <x:v>LMFT-WB07-QB-Q009</x:v>
      </x:c>
      <x:c r="C112" s="192" t="str">
        <x:v>LMFT</x:v>
      </x:c>
      <x:c r="D112" s="192" t="str">
        <x:v>Workbook Question Bank</x:v>
      </x:c>
      <x:c r="E112" s="192" t="n">
        <x:v>7</x:v>
      </x:c>
      <x:c r="F112" s="192" t="str">
        <x:v>Planning, Progress, and Termination</x:v>
      </x:c>
      <x:c r="G112" s="192"/>
      <x:c r="H112" s="192" t="n">
        <x:v>9</x:v>
      </x:c>
      <x:c r="I112" s="192" t="str">
        <x:v>Workbook Bank</x:v>
      </x:c>
      <x:c r="J112" s="192" t="str">
        <x:v>4. Case Conceptualization and Planning</x:v>
      </x:c>
      <x:c r="K112" s="192" t="str">
        <x:v>Lack of progress</x:v>
      </x:c>
      <x:c r="L112" s="192" t="str"/>
      <x:c r="M112" s="192" t="str">
        <x:v>Moderate</x:v>
      </x:c>
      <x:c r="N112" s="192" t="str">
        <x:v>Moderate</x:v>
      </x:c>
      <x:c r="O112" s="192" t="str">
        <x:v>Scenario-Based</x:v>
      </x:c>
      <x:c r="P112" s="192" t="str">
        <x:v>Scenario-Based</x:v>
      </x:c>
      <x:c r="Q112" s="192" t="n">
        <x:v>4</x:v>
      </x:c>
      <x:c r="R112" s="192" t="str">
        <x:v>A</x:v>
      </x:c>
      <x:c r="S112" s="192" t="str">
        <x:v>Approved</x:v>
      </x:c>
      <x:c r="T112" s="192" t="str">
        <x:v>Active</x:v>
      </x:c>
      <x:c r="U112" s="192" t="n">
        <x:v>1</x:v>
      </x:c>
      <x:c r="V112" s="192" t="str"/>
      <x:c r="W112" s="192" t="str">
        <x:v>No additional flag</x:v>
      </x:c>
      <x:c r="X112" s="192" t="str">
        <x:v>No structural flag</x:v>
      </x:c>
      <x:c r="Y112" s="192" t="str">
        <x:v>Not Yet Reviewed</x:v>
      </x:c>
      <x:c r="Z112" s="192" t="str">
        <x:v>CTA LMFT Workbook 7</x:v>
      </x:c>
      <x:c r="AA112" s="192" t="str">
        <x:v>CTA_LMFT_WB7_17_Question_Bank_v1.0.docx</x:v>
      </x:c>
      <x:c r="AB112" s="192" t="str">
        <x:v>1.0</x:v>
      </x:c>
      <x:c r="AC112" s="193"/>
      <x:c r="AD112" s="193" t="n">
        <x:v>46228</x:v>
      </x:c>
      <x:c r="AE112" s="192" t="str"/>
      <x:c r="AF112" s="194" t="str">
        <x:v>Workbook bank; reserve pool after controlled review</x:v>
      </x:c>
    </x:row>
    <x:row r="113">
      <x:c r="A113" s="191" t="str">
        <x:v>CTA-LMFT-MQB-0112</x:v>
      </x:c>
      <x:c r="B113" s="192" t="str">
        <x:v>LMFT-WB07-QB-Q010</x:v>
      </x:c>
      <x:c r="C113" s="192" t="str">
        <x:v>LMFT</x:v>
      </x:c>
      <x:c r="D113" s="192" t="str">
        <x:v>Workbook Question Bank</x:v>
      </x:c>
      <x:c r="E113" s="192" t="n">
        <x:v>7</x:v>
      </x:c>
      <x:c r="F113" s="192" t="str">
        <x:v>Planning, Progress, and Termination</x:v>
      </x:c>
      <x:c r="G113" s="192"/>
      <x:c r="H113" s="192" t="n">
        <x:v>10</x:v>
      </x:c>
      <x:c r="I113" s="192" t="str">
        <x:v>Workbook Bank</x:v>
      </x:c>
      <x:c r="J113" s="192" t="str">
        <x:v>4. Case Conceptualization and Planning</x:v>
      </x:c>
      <x:c r="K113" s="192" t="str">
        <x:v>Modality and level of care</x:v>
      </x:c>
      <x:c r="L113" s="192" t="str"/>
      <x:c r="M113" s="192" t="str">
        <x:v>Moderate</x:v>
      </x:c>
      <x:c r="N113" s="192" t="str">
        <x:v>Moderate</x:v>
      </x:c>
      <x:c r="O113" s="192" t="str">
        <x:v>Application</x:v>
      </x:c>
      <x:c r="P113" s="192" t="str">
        <x:v>Application</x:v>
      </x:c>
      <x:c r="Q113" s="192" t="n">
        <x:v>4</x:v>
      </x:c>
      <x:c r="R113" s="192" t="str">
        <x:v>C</x:v>
      </x:c>
      <x:c r="S113" s="192" t="str">
        <x:v>Approved</x:v>
      </x:c>
      <x:c r="T113" s="192" t="str">
        <x:v>Active</x:v>
      </x:c>
      <x:c r="U113" s="192" t="n">
        <x:v>1</x:v>
      </x:c>
      <x:c r="V113" s="192" t="str"/>
      <x:c r="W113" s="192" t="str">
        <x:v>No additional flag</x:v>
      </x:c>
      <x:c r="X113" s="192" t="str">
        <x:v>No structural flag</x:v>
      </x:c>
      <x:c r="Y113" s="192" t="str">
        <x:v>Not Yet Reviewed</x:v>
      </x:c>
      <x:c r="Z113" s="192" t="str">
        <x:v>CTA LMFT Workbook 7</x:v>
      </x:c>
      <x:c r="AA113" s="192" t="str">
        <x:v>CTA_LMFT_WB7_17_Question_Bank_v1.0.docx</x:v>
      </x:c>
      <x:c r="AB113" s="192" t="str">
        <x:v>1.0</x:v>
      </x:c>
      <x:c r="AC113" s="193"/>
      <x:c r="AD113" s="193" t="n">
        <x:v>46228</x:v>
      </x:c>
      <x:c r="AE113" s="192" t="str"/>
      <x:c r="AF113" s="194" t="str">
        <x:v>Workbook bank; reserve pool after controlled review</x:v>
      </x:c>
    </x:row>
    <x:row r="114">
      <x:c r="A114" s="191" t="str">
        <x:v>CTA-LMFT-MQB-0113</x:v>
      </x:c>
      <x:c r="B114" s="192" t="str">
        <x:v>LMFT-WB07-QB-Q011</x:v>
      </x:c>
      <x:c r="C114" s="192" t="str">
        <x:v>LMFT</x:v>
      </x:c>
      <x:c r="D114" s="192" t="str">
        <x:v>Workbook Question Bank</x:v>
      </x:c>
      <x:c r="E114" s="192" t="n">
        <x:v>7</x:v>
      </x:c>
      <x:c r="F114" s="192" t="str">
        <x:v>Planning, Progress, and Termination</x:v>
      </x:c>
      <x:c r="G114" s="192"/>
      <x:c r="H114" s="192" t="n">
        <x:v>11</x:v>
      </x:c>
      <x:c r="I114" s="192" t="str">
        <x:v>Workbook Bank</x:v>
      </x:c>
      <x:c r="J114" s="192" t="str">
        <x:v>4. Case Conceptualization and Planning</x:v>
      </x:c>
      <x:c r="K114" s="192" t="str">
        <x:v>Termination readiness</x:v>
      </x:c>
      <x:c r="L114" s="192" t="str"/>
      <x:c r="M114" s="192" t="str">
        <x:v>Moderate</x:v>
      </x:c>
      <x:c r="N114" s="192" t="str">
        <x:v>Moderate</x:v>
      </x:c>
      <x:c r="O114" s="192" t="str">
        <x:v>Scenario-Based</x:v>
      </x:c>
      <x:c r="P114" s="192" t="str">
        <x:v>Scenario-Based</x:v>
      </x:c>
      <x:c r="Q114" s="192" t="n">
        <x:v>4</x:v>
      </x:c>
      <x:c r="R114" s="192" t="str">
        <x:v>D</x:v>
      </x:c>
      <x:c r="S114" s="192" t="str">
        <x:v>Approved</x:v>
      </x:c>
      <x:c r="T114" s="192" t="str">
        <x:v>Active</x:v>
      </x:c>
      <x:c r="U114" s="192" t="n">
        <x:v>1</x:v>
      </x:c>
      <x:c r="V114" s="192" t="str"/>
      <x:c r="W114" s="192" t="str">
        <x:v>No additional flag</x:v>
      </x:c>
      <x:c r="X114" s="192" t="str">
        <x:v>No structural flag</x:v>
      </x:c>
      <x:c r="Y114" s="192" t="str">
        <x:v>Not Yet Reviewed</x:v>
      </x:c>
      <x:c r="Z114" s="192" t="str">
        <x:v>CTA LMFT Workbook 7</x:v>
      </x:c>
      <x:c r="AA114" s="192" t="str">
        <x:v>CTA_LMFT_WB7_17_Question_Bank_v1.0.docx</x:v>
      </x:c>
      <x:c r="AB114" s="192" t="str">
        <x:v>1.0</x:v>
      </x:c>
      <x:c r="AC114" s="193"/>
      <x:c r="AD114" s="193" t="n">
        <x:v>46228</x:v>
      </x:c>
      <x:c r="AE114" s="192" t="str"/>
      <x:c r="AF114" s="194" t="str">
        <x:v>Workbook bank; reserve pool after controlled review</x:v>
      </x:c>
    </x:row>
    <x:row r="115">
      <x:c r="A115" s="191" t="str">
        <x:v>CTA-LMFT-MQB-0114</x:v>
      </x:c>
      <x:c r="B115" s="192" t="str">
        <x:v>LMFT-WB07-QB-Q012</x:v>
      </x:c>
      <x:c r="C115" s="192" t="str">
        <x:v>LMFT</x:v>
      </x:c>
      <x:c r="D115" s="192" t="str">
        <x:v>Workbook Question Bank</x:v>
      </x:c>
      <x:c r="E115" s="192" t="n">
        <x:v>7</x:v>
      </x:c>
      <x:c r="F115" s="192" t="str">
        <x:v>Planning, Progress, and Termination</x:v>
      </x:c>
      <x:c r="G115" s="192"/>
      <x:c r="H115" s="192" t="n">
        <x:v>12</x:v>
      </x:c>
      <x:c r="I115" s="192" t="str">
        <x:v>Workbook Bank</x:v>
      </x:c>
      <x:c r="J115" s="192" t="str">
        <x:v>4. Case Conceptualization and Planning</x:v>
      </x:c>
      <x:c r="K115" s="192" t="str">
        <x:v>CLOSE termination check</x:v>
      </x:c>
      <x:c r="L115" s="192" t="str"/>
      <x:c r="M115" s="192" t="str">
        <x:v>Moderate</x:v>
      </x:c>
      <x:c r="N115" s="192" t="str">
        <x:v>Moderate</x:v>
      </x:c>
      <x:c r="O115" s="192" t="str">
        <x:v>Knowledge &amp; Recall</x:v>
      </x:c>
      <x:c r="P115" s="192" t="str">
        <x:v>Knowledge &amp; Recall</x:v>
      </x:c>
      <x:c r="Q115" s="192" t="n">
        <x:v>4</x:v>
      </x:c>
      <x:c r="R115" s="192" t="str">
        <x:v>B</x:v>
      </x:c>
      <x:c r="S115" s="192" t="str">
        <x:v>Approved</x:v>
      </x:c>
      <x:c r="T115" s="192" t="str">
        <x:v>Active</x:v>
      </x:c>
      <x:c r="U115" s="192" t="n">
        <x:v>1</x:v>
      </x:c>
      <x:c r="V115" s="192" t="str"/>
      <x:c r="W115" s="192" t="str">
        <x:v>No additional flag</x:v>
      </x:c>
      <x:c r="X115" s="192" t="str">
        <x:v>No structural flag</x:v>
      </x:c>
      <x:c r="Y115" s="192" t="str">
        <x:v>Not Yet Reviewed</x:v>
      </x:c>
      <x:c r="Z115" s="192" t="str">
        <x:v>CTA LMFT Workbook 7</x:v>
      </x:c>
      <x:c r="AA115" s="192" t="str">
        <x:v>CTA_LMFT_WB7_17_Question_Bank_v1.0.docx</x:v>
      </x:c>
      <x:c r="AB115" s="192" t="str">
        <x:v>1.0</x:v>
      </x:c>
      <x:c r="AC115" s="193"/>
      <x:c r="AD115" s="193" t="n">
        <x:v>46228</x:v>
      </x:c>
      <x:c r="AE115" s="192" t="str"/>
      <x:c r="AF115" s="194" t="str">
        <x:v>Workbook bank; reserve pool after controlled review</x:v>
      </x:c>
    </x:row>
    <x:row r="116">
      <x:c r="A116" s="191" t="str">
        <x:v>CTA-LMFT-MQB-0115</x:v>
      </x:c>
      <x:c r="B116" s="192" t="str">
        <x:v>LMFT-WB07-QB-Q013</x:v>
      </x:c>
      <x:c r="C116" s="192" t="str">
        <x:v>LMFT</x:v>
      </x:c>
      <x:c r="D116" s="192" t="str">
        <x:v>Workbook Question Bank</x:v>
      </x:c>
      <x:c r="E116" s="192" t="n">
        <x:v>7</x:v>
      </x:c>
      <x:c r="F116" s="192" t="str">
        <x:v>Planning, Progress, and Termination</x:v>
      </x:c>
      <x:c r="G116" s="192"/>
      <x:c r="H116" s="192" t="n">
        <x:v>13</x:v>
      </x:c>
      <x:c r="I116" s="192" t="str">
        <x:v>Workbook Bank</x:v>
      </x:c>
      <x:c r="J116" s="192" t="str">
        <x:v>4. Case Conceptualization and Planning</x:v>
      </x:c>
      <x:c r="K116" s="192" t="str">
        <x:v>Integrated planning under safety and systemic stress</x:v>
      </x:c>
      <x:c r="L116" s="192" t="str"/>
      <x:c r="M116" s="192" t="str">
        <x:v>Difficult</x:v>
      </x:c>
      <x:c r="N116" s="192" t="str">
        <x:v>Difficult</x:v>
      </x:c>
      <x:c r="O116" s="192" t="str">
        <x:v>Integrated Clinical Reasoning</x:v>
      </x:c>
      <x:c r="P116" s="192" t="str">
        <x:v>Integrated Clinical Reasoning</x:v>
      </x:c>
      <x:c r="Q116" s="192" t="n">
        <x:v>4</x:v>
      </x:c>
      <x:c r="R116" s="192" t="str">
        <x:v>A</x:v>
      </x:c>
      <x:c r="S116" s="192" t="str">
        <x:v>Approved</x:v>
      </x:c>
      <x:c r="T116" s="192" t="str">
        <x:v>Active</x:v>
      </x:c>
      <x:c r="U116" s="192" t="n">
        <x:v>1</x:v>
      </x:c>
      <x:c r="V116" s="192" t="str"/>
      <x:c r="W116" s="192" t="str">
        <x:v>No additional flag</x:v>
      </x:c>
      <x:c r="X116" s="192" t="str">
        <x:v>No structural flag</x:v>
      </x:c>
      <x:c r="Y116" s="192" t="str">
        <x:v>Not Yet Reviewed</x:v>
      </x:c>
      <x:c r="Z116" s="192" t="str">
        <x:v>CTA LMFT Workbook 7</x:v>
      </x:c>
      <x:c r="AA116" s="192" t="str">
        <x:v>CTA_LMFT_WB7_17_Question_Bank_v1.0.docx</x:v>
      </x:c>
      <x:c r="AB116" s="192" t="str">
        <x:v>1.0</x:v>
      </x:c>
      <x:c r="AC116" s="193"/>
      <x:c r="AD116" s="193" t="n">
        <x:v>46228</x:v>
      </x:c>
      <x:c r="AE116" s="192" t="str"/>
      <x:c r="AF116" s="194" t="str">
        <x:v>Workbook bank; reserve pool after controlled review</x:v>
      </x:c>
    </x:row>
    <x:row r="117">
      <x:c r="A117" s="191" t="str">
        <x:v>CTA-LMFT-MQB-0116</x:v>
      </x:c>
      <x:c r="B117" s="192" t="str">
        <x:v>LMFT-WB07-QB-Q014</x:v>
      </x:c>
      <x:c r="C117" s="192" t="str">
        <x:v>LMFT</x:v>
      </x:c>
      <x:c r="D117" s="192" t="str">
        <x:v>Workbook Question Bank</x:v>
      </x:c>
      <x:c r="E117" s="192" t="n">
        <x:v>7</x:v>
      </x:c>
      <x:c r="F117" s="192" t="str">
        <x:v>Planning, Progress, and Termination</x:v>
      </x:c>
      <x:c r="G117" s="192"/>
      <x:c r="H117" s="192" t="n">
        <x:v>14</x:v>
      </x:c>
      <x:c r="I117" s="192" t="str">
        <x:v>Workbook Bank</x:v>
      </x:c>
      <x:c r="J117" s="192" t="str">
        <x:v>4. Case Conceptualization and Planning</x:v>
      </x:c>
      <x:c r="K117" s="192" t="str">
        <x:v>Integrated plan revision and theory fit</x:v>
      </x:c>
      <x:c r="L117" s="192" t="str"/>
      <x:c r="M117" s="192" t="str">
        <x:v>Difficult</x:v>
      </x:c>
      <x:c r="N117" s="192" t="str">
        <x:v>Difficult</x:v>
      </x:c>
      <x:c r="O117" s="192" t="str">
        <x:v>Integrated Clinical Reasoning</x:v>
      </x:c>
      <x:c r="P117" s="192" t="str">
        <x:v>Integrated Clinical Reasoning</x:v>
      </x:c>
      <x:c r="Q117" s="192" t="n">
        <x:v>4</x:v>
      </x:c>
      <x:c r="R117" s="192" t="str">
        <x:v>D</x:v>
      </x:c>
      <x:c r="S117" s="192" t="str">
        <x:v>Approved</x:v>
      </x:c>
      <x:c r="T117" s="192" t="str">
        <x:v>Active</x:v>
      </x:c>
      <x:c r="U117" s="192" t="n">
        <x:v>1</x:v>
      </x:c>
      <x:c r="V117" s="192" t="str"/>
      <x:c r="W117" s="192" t="str">
        <x:v>No additional flag</x:v>
      </x:c>
      <x:c r="X117" s="192" t="str">
        <x:v>No structural flag</x:v>
      </x:c>
      <x:c r="Y117" s="192" t="str">
        <x:v>Not Yet Reviewed</x:v>
      </x:c>
      <x:c r="Z117" s="192" t="str">
        <x:v>CTA LMFT Workbook 7</x:v>
      </x:c>
      <x:c r="AA117" s="192" t="str">
        <x:v>CTA_LMFT_WB7_17_Question_Bank_v1.0.docx</x:v>
      </x:c>
      <x:c r="AB117" s="192" t="str">
        <x:v>1.0</x:v>
      </x:c>
      <x:c r="AC117" s="193"/>
      <x:c r="AD117" s="193" t="n">
        <x:v>46228</x:v>
      </x:c>
      <x:c r="AE117" s="192" t="str"/>
      <x:c r="AF117" s="194" t="str">
        <x:v>Workbook bank; reserve pool after controlled review</x:v>
      </x:c>
    </x:row>
    <x:row r="118">
      <x:c r="A118" s="191" t="str">
        <x:v>CTA-LMFT-MQB-0117</x:v>
      </x:c>
      <x:c r="B118" s="192" t="str">
        <x:v>LMFT-WB07-QB-Q015</x:v>
      </x:c>
      <x:c r="C118" s="192" t="str">
        <x:v>LMFT</x:v>
      </x:c>
      <x:c r="D118" s="192" t="str">
        <x:v>Workbook Question Bank</x:v>
      </x:c>
      <x:c r="E118" s="192" t="n">
        <x:v>7</x:v>
      </x:c>
      <x:c r="F118" s="192" t="str">
        <x:v>Planning, Progress, and Termination</x:v>
      </x:c>
      <x:c r="G118" s="192"/>
      <x:c r="H118" s="192" t="n">
        <x:v>15</x:v>
      </x:c>
      <x:c r="I118" s="192" t="str">
        <x:v>Workbook Bank</x:v>
      </x:c>
      <x:c r="J118" s="192" t="str">
        <x:v>4. Case Conceptualization and Planning</x:v>
      </x:c>
      <x:c r="K118" s="192" t="str">
        <x:v>Integrated termination with financial barrier</x:v>
      </x:c>
      <x:c r="L118" s="192" t="str"/>
      <x:c r="M118" s="192" t="str">
        <x:v>Difficult</x:v>
      </x:c>
      <x:c r="N118" s="192" t="str">
        <x:v>Difficult</x:v>
      </x:c>
      <x:c r="O118" s="192" t="str">
        <x:v>Integrated Clinical Reasoning</x:v>
      </x:c>
      <x:c r="P118" s="192" t="str">
        <x:v>Integrated Clinical Reasoning</x:v>
      </x:c>
      <x:c r="Q118" s="192" t="n">
        <x:v>4</x:v>
      </x:c>
      <x:c r="R118" s="192" t="str">
        <x:v>B</x:v>
      </x:c>
      <x:c r="S118" s="192" t="str">
        <x:v>Approved</x:v>
      </x:c>
      <x:c r="T118" s="192" t="str">
        <x:v>Active</x:v>
      </x:c>
      <x:c r="U118" s="192" t="n">
        <x:v>1</x:v>
      </x:c>
      <x:c r="V118" s="192" t="str"/>
      <x:c r="W118" s="192" t="str">
        <x:v>No additional flag</x:v>
      </x:c>
      <x:c r="X118" s="192" t="str">
        <x:v>No structural flag</x:v>
      </x:c>
      <x:c r="Y118" s="192" t="str">
        <x:v>Not Yet Reviewed</x:v>
      </x:c>
      <x:c r="Z118" s="192" t="str">
        <x:v>CTA LMFT Workbook 7</x:v>
      </x:c>
      <x:c r="AA118" s="192" t="str">
        <x:v>CTA_LMFT_WB7_17_Question_Bank_v1.0.docx</x:v>
      </x:c>
      <x:c r="AB118" s="192" t="str">
        <x:v>1.0</x:v>
      </x:c>
      <x:c r="AC118" s="193"/>
      <x:c r="AD118" s="193" t="n">
        <x:v>46228</x:v>
      </x:c>
      <x:c r="AE118" s="192" t="str"/>
      <x:c r="AF118" s="194" t="str">
        <x:v>Workbook bank; reserve pool after controlled review</x:v>
      </x:c>
    </x:row>
    <x:row r="119">
      <x:c r="A119" s="191" t="str">
        <x:v>CTA-LMFT-MQB-0118</x:v>
      </x:c>
      <x:c r="B119" s="192" t="str">
        <x:v>LMFT-WB07-QB-Q016</x:v>
      </x:c>
      <x:c r="C119" s="192" t="str">
        <x:v>LMFT</x:v>
      </x:c>
      <x:c r="D119" s="192" t="str">
        <x:v>Workbook Question Bank</x:v>
      </x:c>
      <x:c r="E119" s="192" t="n">
        <x:v>7</x:v>
      </x:c>
      <x:c r="F119" s="192" t="str">
        <x:v>Planning, Progress, and Termination</x:v>
      </x:c>
      <x:c r="G119" s="192"/>
      <x:c r="H119" s="192" t="n">
        <x:v>16</x:v>
      </x:c>
      <x:c r="I119" s="192" t="str">
        <x:v>Workbook Bank</x:v>
      </x:c>
      <x:c r="J119" s="192" t="str">
        <x:v>4. Case Conceptualization and Planning</x:v>
      </x:c>
      <x:c r="K119" s="192" t="str">
        <x:v>Integrated conjoint termination and client roles</x:v>
      </x:c>
      <x:c r="L119" s="192" t="str"/>
      <x:c r="M119" s="192" t="str">
        <x:v>Difficult</x:v>
      </x:c>
      <x:c r="N119" s="192" t="str">
        <x:v>Difficult</x:v>
      </x:c>
      <x:c r="O119" s="192" t="str">
        <x:v>Integrated Clinical Reasoning</x:v>
      </x:c>
      <x:c r="P119" s="192" t="str">
        <x:v>Integrated Clinical Reasoning</x:v>
      </x:c>
      <x:c r="Q119" s="192" t="n">
        <x:v>4</x:v>
      </x:c>
      <x:c r="R119" s="192" t="str">
        <x:v>C</x:v>
      </x:c>
      <x:c r="S119" s="192" t="str">
        <x:v>Approved</x:v>
      </x:c>
      <x:c r="T119" s="192" t="str">
        <x:v>Active</x:v>
      </x:c>
      <x:c r="U119" s="192" t="n">
        <x:v>1</x:v>
      </x:c>
      <x:c r="V119" s="192" t="str"/>
      <x:c r="W119" s="192" t="str">
        <x:v>No additional flag</x:v>
      </x:c>
      <x:c r="X119" s="192" t="str">
        <x:v>No structural flag</x:v>
      </x:c>
      <x:c r="Y119" s="192" t="str">
        <x:v>Not Yet Reviewed</x:v>
      </x:c>
      <x:c r="Z119" s="192" t="str">
        <x:v>CTA LMFT Workbook 7</x:v>
      </x:c>
      <x:c r="AA119" s="192" t="str">
        <x:v>CTA_LMFT_WB7_17_Question_Bank_v1.0.docx</x:v>
      </x:c>
      <x:c r="AB119" s="192" t="str">
        <x:v>1.0</x:v>
      </x:c>
      <x:c r="AC119" s="193"/>
      <x:c r="AD119" s="193" t="n">
        <x:v>46228</x:v>
      </x:c>
      <x:c r="AE119" s="192" t="str"/>
      <x:c r="AF119" s="194" t="str">
        <x:v>Workbook bank; reserve pool after controlled review</x:v>
      </x:c>
    </x:row>
    <x:row r="120">
      <x:c r="A120" s="191" t="str">
        <x:v>CTA-LMFT-MQB-0119</x:v>
      </x:c>
      <x:c r="B120" s="192" t="str">
        <x:v>LMFT-WB07-QB-Q017</x:v>
      </x:c>
      <x:c r="C120" s="192" t="str">
        <x:v>LMFT</x:v>
      </x:c>
      <x:c r="D120" s="192" t="str">
        <x:v>Workbook Question Bank</x:v>
      </x:c>
      <x:c r="E120" s="192" t="n">
        <x:v>7</x:v>
      </x:c>
      <x:c r="F120" s="192" t="str">
        <x:v>Planning, Progress, and Termination</x:v>
      </x:c>
      <x:c r="G120" s="192"/>
      <x:c r="H120" s="192" t="n">
        <x:v>17</x:v>
      </x:c>
      <x:c r="I120" s="192" t="str">
        <x:v>Workbook Bank</x:v>
      </x:c>
      <x:c r="J120" s="192" t="str">
        <x:v>4. Case Conceptualization and Planning</x:v>
      </x:c>
      <x:c r="K120" s="192" t="str">
        <x:v>Integrated discharge after higher-level care</x:v>
      </x:c>
      <x:c r="L120" s="192" t="str"/>
      <x:c r="M120" s="192" t="str">
        <x:v>Difficult</x:v>
      </x:c>
      <x:c r="N120" s="192" t="str">
        <x:v>Difficult</x:v>
      </x:c>
      <x:c r="O120" s="192" t="str">
        <x:v>Integrated Clinical Reasoning</x:v>
      </x:c>
      <x:c r="P120" s="192" t="str">
        <x:v>Integrated Clinical Reasoning</x:v>
      </x:c>
      <x:c r="Q120" s="192" t="n">
        <x:v>4</x:v>
      </x:c>
      <x:c r="R120" s="192" t="str">
        <x:v>A</x:v>
      </x:c>
      <x:c r="S120" s="192" t="str">
        <x:v>Approved</x:v>
      </x:c>
      <x:c r="T120" s="192" t="str">
        <x:v>Active</x:v>
      </x:c>
      <x:c r="U120" s="192" t="n">
        <x:v>1</x:v>
      </x:c>
      <x:c r="V120" s="192" t="str"/>
      <x:c r="W120" s="192" t="str">
        <x:v>No additional flag</x:v>
      </x:c>
      <x:c r="X120" s="192" t="str">
        <x:v>No structural flag</x:v>
      </x:c>
      <x:c r="Y120" s="192" t="str">
        <x:v>Not Yet Reviewed</x:v>
      </x:c>
      <x:c r="Z120" s="192" t="str">
        <x:v>CTA LMFT Workbook 7</x:v>
      </x:c>
      <x:c r="AA120" s="192" t="str">
        <x:v>CTA_LMFT_WB7_17_Question_Bank_v1.0.docx</x:v>
      </x:c>
      <x:c r="AB120" s="192" t="str">
        <x:v>1.0</x:v>
      </x:c>
      <x:c r="AC120" s="193"/>
      <x:c r="AD120" s="193" t="n">
        <x:v>46228</x:v>
      </x:c>
      <x:c r="AE120" s="192" t="str"/>
      <x:c r="AF120" s="194" t="str">
        <x:v>Workbook bank; reserve pool after controlled review</x:v>
      </x:c>
    </x:row>
    <x:row r="121">
      <x:c r="A121" s="191" t="str">
        <x:v>CTA-LMFT-MQB-0120</x:v>
      </x:c>
      <x:c r="B121" s="192" t="str">
        <x:v>LMFT-WB08-QB-Q001</x:v>
      </x:c>
      <x:c r="C121" s="192" t="str">
        <x:v>LMFT</x:v>
      </x:c>
      <x:c r="D121" s="192" t="str">
        <x:v>Workbook Question Bank</x:v>
      </x:c>
      <x:c r="E121" s="192" t="n">
        <x:v>8</x:v>
      </x:c>
      <x:c r="F121" s="192" t="str">
        <x:v>Family, Couple, Attachment, and Relational Interventions</x:v>
      </x:c>
      <x:c r="G121" s="192"/>
      <x:c r="H121" s="192" t="n">
        <x:v>1</x:v>
      </x:c>
      <x:c r="I121" s="192" t="str">
        <x:v>Workbook Bank</x:v>
      </x:c>
      <x:c r="J121" s="192" t="str">
        <x:v>5. Treatment</x:v>
      </x:c>
      <x:c r="K121" s="192" t="str">
        <x:v>Unit of treatment selection</x:v>
      </x:c>
      <x:c r="L121" s="192" t="str"/>
      <x:c r="M121" s="192" t="str">
        <x:v>Easy</x:v>
      </x:c>
      <x:c r="N121" s="192" t="str">
        <x:v>Easy</x:v>
      </x:c>
      <x:c r="O121" s="192" t="str">
        <x:v>Knowledge &amp; Recall</x:v>
      </x:c>
      <x:c r="P121" s="192" t="str">
        <x:v>Knowledge &amp; Recall</x:v>
      </x:c>
      <x:c r="Q121" s="192" t="n">
        <x:v>4</x:v>
      </x:c>
      <x:c r="R121" s="192" t="str">
        <x:v>B</x:v>
      </x:c>
      <x:c r="S121" s="192" t="str">
        <x:v>Approved</x:v>
      </x:c>
      <x:c r="T121" s="192" t="str">
        <x:v>Active</x:v>
      </x:c>
      <x:c r="U121" s="192" t="n">
        <x:v>1</x:v>
      </x:c>
      <x:c r="V121" s="192" t="str"/>
      <x:c r="W121" s="192" t="str">
        <x:v>No additional flag</x:v>
      </x:c>
      <x:c r="X121" s="192" t="str">
        <x:v>No structural flag</x:v>
      </x:c>
      <x:c r="Y121" s="192" t="str">
        <x:v>Not Yet Reviewed</x:v>
      </x:c>
      <x:c r="Z121" s="192" t="str">
        <x:v>CTA LMFT Workbook 8</x:v>
      </x:c>
      <x:c r="AA121" s="192" t="str">
        <x:v>CTA_LMFT_WB8_17_Question_Bank_v1.0.docx</x:v>
      </x:c>
      <x:c r="AB121" s="192" t="str">
        <x:v>1.0</x:v>
      </x:c>
      <x:c r="AC121" s="193"/>
      <x:c r="AD121" s="193" t="n">
        <x:v>46228</x:v>
      </x:c>
      <x:c r="AE121" s="192" t="str"/>
      <x:c r="AF121" s="194" t="str">
        <x:v>Workbook bank; reserve pool after controlled review</x:v>
      </x:c>
    </x:row>
    <x:row r="122">
      <x:c r="A122" s="191" t="str">
        <x:v>CTA-LMFT-MQB-0121</x:v>
      </x:c>
      <x:c r="B122" s="192" t="str">
        <x:v>LMFT-WB08-QB-Q002</x:v>
      </x:c>
      <x:c r="C122" s="192" t="str">
        <x:v>LMFT</x:v>
      </x:c>
      <x:c r="D122" s="192" t="str">
        <x:v>Workbook Question Bank</x:v>
      </x:c>
      <x:c r="E122" s="192" t="n">
        <x:v>8</x:v>
      </x:c>
      <x:c r="F122" s="192" t="str">
        <x:v>Family, Couple, Attachment, and Relational Interventions</x:v>
      </x:c>
      <x:c r="G122" s="192"/>
      <x:c r="H122" s="192" t="n">
        <x:v>2</x:v>
      </x:c>
      <x:c r="I122" s="192" t="str">
        <x:v>Workbook Bank</x:v>
      </x:c>
      <x:c r="J122" s="192" t="str">
        <x:v>5. Treatment</x:v>
      </x:c>
      <x:c r="K122" s="192" t="str">
        <x:v>Attachment repair</x:v>
      </x:c>
      <x:c r="L122" s="192" t="str"/>
      <x:c r="M122" s="192" t="str">
        <x:v>Easy</x:v>
      </x:c>
      <x:c r="N122" s="192" t="str">
        <x:v>Easy</x:v>
      </x:c>
      <x:c r="O122" s="192" t="str">
        <x:v>Application</x:v>
      </x:c>
      <x:c r="P122" s="192" t="str">
        <x:v>Application</x:v>
      </x:c>
      <x:c r="Q122" s="192" t="n">
        <x:v>4</x:v>
      </x:c>
      <x:c r="R122" s="192" t="str">
        <x:v>A</x:v>
      </x:c>
      <x:c r="S122" s="192" t="str">
        <x:v>Approved</x:v>
      </x:c>
      <x:c r="T122" s="192" t="str">
        <x:v>Active</x:v>
      </x:c>
      <x:c r="U122" s="192" t="n">
        <x:v>1</x:v>
      </x:c>
      <x:c r="V122" s="192" t="str"/>
      <x:c r="W122" s="192" t="str">
        <x:v>No additional flag</x:v>
      </x:c>
      <x:c r="X122" s="192" t="str">
        <x:v>No structural flag</x:v>
      </x:c>
      <x:c r="Y122" s="192" t="str">
        <x:v>Not Yet Reviewed</x:v>
      </x:c>
      <x:c r="Z122" s="192" t="str">
        <x:v>CTA LMFT Workbook 8</x:v>
      </x:c>
      <x:c r="AA122" s="192" t="str">
        <x:v>CTA_LMFT_WB8_17_Question_Bank_v1.0.docx</x:v>
      </x:c>
      <x:c r="AB122" s="192" t="str">
        <x:v>1.0</x:v>
      </x:c>
      <x:c r="AC122" s="193"/>
      <x:c r="AD122" s="193" t="n">
        <x:v>46228</x:v>
      </x:c>
      <x:c r="AE122" s="192" t="str"/>
      <x:c r="AF122" s="194" t="str">
        <x:v>Workbook bank; reserve pool after controlled review</x:v>
      </x:c>
    </x:row>
    <x:row r="123">
      <x:c r="A123" s="191" t="str">
        <x:v>CTA-LMFT-MQB-0122</x:v>
      </x:c>
      <x:c r="B123" s="192" t="str">
        <x:v>LMFT-WB08-QB-Q003</x:v>
      </x:c>
      <x:c r="C123" s="192" t="str">
        <x:v>LMFT</x:v>
      </x:c>
      <x:c r="D123" s="192" t="str">
        <x:v>Workbook Question Bank</x:v>
      </x:c>
      <x:c r="E123" s="192" t="n">
        <x:v>8</x:v>
      </x:c>
      <x:c r="F123" s="192" t="str">
        <x:v>Family, Couple, Attachment, and Relational Interventions</x:v>
      </x:c>
      <x:c r="G123" s="192"/>
      <x:c r="H123" s="192" t="n">
        <x:v>3</x:v>
      </x:c>
      <x:c r="I123" s="192" t="str">
        <x:v>Workbook Bank</x:v>
      </x:c>
      <x:c r="J123" s="192" t="str">
        <x:v>5. Treatment</x:v>
      </x:c>
      <x:c r="K123" s="192" t="str">
        <x:v>Group screening</x:v>
      </x:c>
      <x:c r="L123" s="192" t="str"/>
      <x:c r="M123" s="192" t="str">
        <x:v>Easy</x:v>
      </x:c>
      <x:c r="N123" s="192" t="str">
        <x:v>Easy</x:v>
      </x:c>
      <x:c r="O123" s="192" t="str">
        <x:v>Knowledge &amp; Recall</x:v>
      </x:c>
      <x:c r="P123" s="192" t="str">
        <x:v>Knowledge &amp; Recall</x:v>
      </x:c>
      <x:c r="Q123" s="192" t="n">
        <x:v>4</x:v>
      </x:c>
      <x:c r="R123" s="192" t="str">
        <x:v>C</x:v>
      </x:c>
      <x:c r="S123" s="192" t="str">
        <x:v>Approved</x:v>
      </x:c>
      <x:c r="T123" s="192" t="str">
        <x:v>Active</x:v>
      </x:c>
      <x:c r="U123" s="192" t="n">
        <x:v>1</x:v>
      </x:c>
      <x:c r="V123" s="192" t="str"/>
      <x:c r="W123" s="192" t="str">
        <x:v>No additional flag</x:v>
      </x:c>
      <x:c r="X123" s="192" t="str">
        <x:v>No structural flag</x:v>
      </x:c>
      <x:c r="Y123" s="192" t="str">
        <x:v>Not Yet Reviewed</x:v>
      </x:c>
      <x:c r="Z123" s="192" t="str">
        <x:v>CTA LMFT Workbook 8</x:v>
      </x:c>
      <x:c r="AA123" s="192" t="str">
        <x:v>CTA_LMFT_WB8_17_Question_Bank_v1.0.docx</x:v>
      </x:c>
      <x:c r="AB123" s="192" t="str">
        <x:v>1.0</x:v>
      </x:c>
      <x:c r="AC123" s="193"/>
      <x:c r="AD123" s="193" t="n">
        <x:v>46228</x:v>
      </x:c>
      <x:c r="AE123" s="192" t="str"/>
      <x:c r="AF123" s="194" t="str">
        <x:v>Workbook bank; reserve pool after controlled review</x:v>
      </x:c>
    </x:row>
    <x:row r="124">
      <x:c r="A124" s="191" t="str">
        <x:v>CTA-LMFT-MQB-0123</x:v>
      </x:c>
      <x:c r="B124" s="192" t="str">
        <x:v>LMFT-WB08-QB-Q004</x:v>
      </x:c>
      <x:c r="C124" s="192" t="str">
        <x:v>LMFT</x:v>
      </x:c>
      <x:c r="D124" s="192" t="str">
        <x:v>Workbook Question Bank</x:v>
      </x:c>
      <x:c r="E124" s="192" t="n">
        <x:v>8</x:v>
      </x:c>
      <x:c r="F124" s="192" t="str">
        <x:v>Family, Couple, Attachment, and Relational Interventions</x:v>
      </x:c>
      <x:c r="G124" s="192"/>
      <x:c r="H124" s="192" t="n">
        <x:v>4</x:v>
      </x:c>
      <x:c r="I124" s="192" t="str">
        <x:v>Workbook Bank</x:v>
      </x:c>
      <x:c r="J124" s="192" t="str">
        <x:v>5. Treatment</x:v>
      </x:c>
      <x:c r="K124" s="192" t="str">
        <x:v>Family transition normalization</x:v>
      </x:c>
      <x:c r="L124" s="192" t="str"/>
      <x:c r="M124" s="192" t="str">
        <x:v>Easy</x:v>
      </x:c>
      <x:c r="N124" s="192" t="str">
        <x:v>Easy</x:v>
      </x:c>
      <x:c r="O124" s="192" t="str">
        <x:v>Scenario-Based</x:v>
      </x:c>
      <x:c r="P124" s="192" t="str">
        <x:v>Scenario-Based</x:v>
      </x:c>
      <x:c r="Q124" s="192" t="n">
        <x:v>4</x:v>
      </x:c>
      <x:c r="R124" s="192" t="str">
        <x:v>D</x:v>
      </x:c>
      <x:c r="S124" s="192" t="str">
        <x:v>Approved</x:v>
      </x:c>
      <x:c r="T124" s="192" t="str">
        <x:v>Active</x:v>
      </x:c>
      <x:c r="U124" s="192" t="n">
        <x:v>1</x:v>
      </x:c>
      <x:c r="V124" s="192" t="str"/>
      <x:c r="W124" s="192" t="str">
        <x:v>No additional flag</x:v>
      </x:c>
      <x:c r="X124" s="192" t="str">
        <x:v>No structural flag</x:v>
      </x:c>
      <x:c r="Y124" s="192" t="str">
        <x:v>Not Yet Reviewed</x:v>
      </x:c>
      <x:c r="Z124" s="192" t="str">
        <x:v>CTA LMFT Workbook 8</x:v>
      </x:c>
      <x:c r="AA124" s="192" t="str">
        <x:v>CTA_LMFT_WB8_17_Question_Bank_v1.0.docx</x:v>
      </x:c>
      <x:c r="AB124" s="192" t="str">
        <x:v>1.0</x:v>
      </x:c>
      <x:c r="AC124" s="193"/>
      <x:c r="AD124" s="193" t="n">
        <x:v>46228</x:v>
      </x:c>
      <x:c r="AE124" s="192" t="str"/>
      <x:c r="AF124" s="194" t="str">
        <x:v>Workbook bank; reserve pool after controlled review</x:v>
      </x:c>
    </x:row>
    <x:row r="125">
      <x:c r="A125" s="191" t="str">
        <x:v>CTA-LMFT-MQB-0124</x:v>
      </x:c>
      <x:c r="B125" s="192" t="str">
        <x:v>LMFT-WB08-QB-Q005</x:v>
      </x:c>
      <x:c r="C125" s="192" t="str">
        <x:v>LMFT</x:v>
      </x:c>
      <x:c r="D125" s="192" t="str">
        <x:v>Workbook Question Bank</x:v>
      </x:c>
      <x:c r="E125" s="192" t="n">
        <x:v>8</x:v>
      </x:c>
      <x:c r="F125" s="192" t="str">
        <x:v>Family, Couple, Attachment, and Relational Interventions</x:v>
      </x:c>
      <x:c r="G125" s="192"/>
      <x:c r="H125" s="192" t="n">
        <x:v>5</x:v>
      </x:c>
      <x:c r="I125" s="192" t="str">
        <x:v>Workbook Bank</x:v>
      </x:c>
      <x:c r="J125" s="192" t="str">
        <x:v>5. Treatment</x:v>
      </x:c>
      <x:c r="K125" s="192" t="str">
        <x:v>Demand-withdraw cycle</x:v>
      </x:c>
      <x:c r="L125" s="192" t="str"/>
      <x:c r="M125" s="192" t="str">
        <x:v>Easy</x:v>
      </x:c>
      <x:c r="N125" s="192" t="str">
        <x:v>Easy</x:v>
      </x:c>
      <x:c r="O125" s="192" t="str">
        <x:v>Application</x:v>
      </x:c>
      <x:c r="P125" s="192" t="str">
        <x:v>Application</x:v>
      </x:c>
      <x:c r="Q125" s="192" t="n">
        <x:v>4</x:v>
      </x:c>
      <x:c r="R125" s="192" t="str">
        <x:v>A</x:v>
      </x:c>
      <x:c r="S125" s="192" t="str">
        <x:v>Approved</x:v>
      </x:c>
      <x:c r="T125" s="192" t="str">
        <x:v>Active</x:v>
      </x:c>
      <x:c r="U125" s="192" t="n">
        <x:v>1</x:v>
      </x:c>
      <x:c r="V125" s="192" t="str"/>
      <x:c r="W125" s="192" t="str">
        <x:v>No additional flag</x:v>
      </x:c>
      <x:c r="X125" s="192" t="str">
        <x:v>No structural flag</x:v>
      </x:c>
      <x:c r="Y125" s="192" t="str">
        <x:v>Not Yet Reviewed</x:v>
      </x:c>
      <x:c r="Z125" s="192" t="str">
        <x:v>CTA LMFT Workbook 8</x:v>
      </x:c>
      <x:c r="AA125" s="192" t="str">
        <x:v>CTA_LMFT_WB8_17_Question_Bank_v1.0.docx</x:v>
      </x:c>
      <x:c r="AB125" s="192" t="str">
        <x:v>1.0</x:v>
      </x:c>
      <x:c r="AC125" s="193"/>
      <x:c r="AD125" s="193" t="n">
        <x:v>46228</x:v>
      </x:c>
      <x:c r="AE125" s="192" t="str"/>
      <x:c r="AF125" s="194" t="str">
        <x:v>Workbook bank; reserve pool after controlled review</x:v>
      </x:c>
    </x:row>
    <x:row r="126">
      <x:c r="A126" s="191" t="str">
        <x:v>CTA-LMFT-MQB-0125</x:v>
      </x:c>
      <x:c r="B126" s="192" t="str">
        <x:v>LMFT-WB08-QB-Q006</x:v>
      </x:c>
      <x:c r="C126" s="192" t="str">
        <x:v>LMFT</x:v>
      </x:c>
      <x:c r="D126" s="192" t="str">
        <x:v>Workbook Question Bank</x:v>
      </x:c>
      <x:c r="E126" s="192" t="n">
        <x:v>8</x:v>
      </x:c>
      <x:c r="F126" s="192" t="str">
        <x:v>Family, Couple, Attachment, and Relational Interventions</x:v>
      </x:c>
      <x:c r="G126" s="192"/>
      <x:c r="H126" s="192" t="n">
        <x:v>6</x:v>
      </x:c>
      <x:c r="I126" s="192" t="str">
        <x:v>Workbook Bank</x:v>
      </x:c>
      <x:c r="J126" s="192" t="str">
        <x:v>5. Treatment</x:v>
      </x:c>
      <x:c r="K126" s="192" t="str">
        <x:v>Intimacy and sexuality assessment</x:v>
      </x:c>
      <x:c r="L126" s="192" t="str"/>
      <x:c r="M126" s="192" t="str">
        <x:v>Moderate</x:v>
      </x:c>
      <x:c r="N126" s="192" t="str">
        <x:v>Moderate</x:v>
      </x:c>
      <x:c r="O126" s="192" t="str">
        <x:v>Scenario-Based</x:v>
      </x:c>
      <x:c r="P126" s="192" t="str">
        <x:v>Scenario-Based</x:v>
      </x:c>
      <x:c r="Q126" s="192" t="n">
        <x:v>4</x:v>
      </x:c>
      <x:c r="R126" s="192" t="str">
        <x:v>D</x:v>
      </x:c>
      <x:c r="S126" s="192" t="str">
        <x:v>Approved</x:v>
      </x:c>
      <x:c r="T126" s="192" t="str">
        <x:v>Active</x:v>
      </x:c>
      <x:c r="U126" s="192" t="n">
        <x:v>1</x:v>
      </x:c>
      <x:c r="V126" s="192" t="str"/>
      <x:c r="W126" s="192" t="str">
        <x:v>No additional flag</x:v>
      </x:c>
      <x:c r="X126" s="192" t="str">
        <x:v>No structural flag</x:v>
      </x:c>
      <x:c r="Y126" s="192" t="str">
        <x:v>Not Yet Reviewed</x:v>
      </x:c>
      <x:c r="Z126" s="192" t="str">
        <x:v>CTA LMFT Workbook 8</x:v>
      </x:c>
      <x:c r="AA126" s="192" t="str">
        <x:v>CTA_LMFT_WB8_17_Question_Bank_v1.0.docx</x:v>
      </x:c>
      <x:c r="AB126" s="192" t="str">
        <x:v>1.0</x:v>
      </x:c>
      <x:c r="AC126" s="193"/>
      <x:c r="AD126" s="193" t="n">
        <x:v>46228</x:v>
      </x:c>
      <x:c r="AE126" s="192" t="str"/>
      <x:c r="AF126" s="194" t="str">
        <x:v>Workbook bank; reserve pool after controlled review</x:v>
      </x:c>
    </x:row>
    <x:row r="127">
      <x:c r="A127" s="191" t="str">
        <x:v>CTA-LMFT-MQB-0126</x:v>
      </x:c>
      <x:c r="B127" s="192" t="str">
        <x:v>LMFT-WB08-QB-Q007</x:v>
      </x:c>
      <x:c r="C127" s="192" t="str">
        <x:v>LMFT</x:v>
      </x:c>
      <x:c r="D127" s="192" t="str">
        <x:v>Workbook Question Bank</x:v>
      </x:c>
      <x:c r="E127" s="192" t="n">
        <x:v>8</x:v>
      </x:c>
      <x:c r="F127" s="192" t="str">
        <x:v>Family, Couple, Attachment, and Relational Interventions</x:v>
      </x:c>
      <x:c r="G127" s="192"/>
      <x:c r="H127" s="192" t="n">
        <x:v>7</x:v>
      </x:c>
      <x:c r="I127" s="192" t="str">
        <x:v>Workbook Bank</x:v>
      </x:c>
      <x:c r="J127" s="192" t="str">
        <x:v>5. Treatment</x:v>
      </x:c>
      <x:c r="K127" s="192" t="str">
        <x:v>Caregiver burden and family organization</x:v>
      </x:c>
      <x:c r="L127" s="192" t="str"/>
      <x:c r="M127" s="192" t="str">
        <x:v>Moderate</x:v>
      </x:c>
      <x:c r="N127" s="192" t="str">
        <x:v>Moderate</x:v>
      </x:c>
      <x:c r="O127" s="192" t="str">
        <x:v>Application</x:v>
      </x:c>
      <x:c r="P127" s="192" t="str">
        <x:v>Application</x:v>
      </x:c>
      <x:c r="Q127" s="192" t="n">
        <x:v>4</x:v>
      </x:c>
      <x:c r="R127" s="192" t="str">
        <x:v>C</x:v>
      </x:c>
      <x:c r="S127" s="192" t="str">
        <x:v>Approved</x:v>
      </x:c>
      <x:c r="T127" s="192" t="str">
        <x:v>Active</x:v>
      </x:c>
      <x:c r="U127" s="192" t="n">
        <x:v>1</x:v>
      </x:c>
      <x:c r="V127" s="192" t="str"/>
      <x:c r="W127" s="192" t="str">
        <x:v>No additional flag</x:v>
      </x:c>
      <x:c r="X127" s="192" t="str">
        <x:v>No structural flag</x:v>
      </x:c>
      <x:c r="Y127" s="192" t="str">
        <x:v>Not Yet Reviewed</x:v>
      </x:c>
      <x:c r="Z127" s="192" t="str">
        <x:v>CTA LMFT Workbook 8</x:v>
      </x:c>
      <x:c r="AA127" s="192" t="str">
        <x:v>CTA_LMFT_WB8_17_Question_Bank_v1.0.docx</x:v>
      </x:c>
      <x:c r="AB127" s="192" t="str">
        <x:v>1.0</x:v>
      </x:c>
      <x:c r="AC127" s="193"/>
      <x:c r="AD127" s="193" t="n">
        <x:v>46228</x:v>
      </x:c>
      <x:c r="AE127" s="192" t="str"/>
      <x:c r="AF127" s="194" t="str">
        <x:v>Workbook bank; reserve pool after controlled review</x:v>
      </x:c>
    </x:row>
    <x:row r="128">
      <x:c r="A128" s="191" t="str">
        <x:v>CTA-LMFT-MQB-0127</x:v>
      </x:c>
      <x:c r="B128" s="192" t="str">
        <x:v>LMFT-WB08-QB-Q008</x:v>
      </x:c>
      <x:c r="C128" s="192" t="str">
        <x:v>LMFT</x:v>
      </x:c>
      <x:c r="D128" s="192" t="str">
        <x:v>Workbook Question Bank</x:v>
      </x:c>
      <x:c r="E128" s="192" t="n">
        <x:v>8</x:v>
      </x:c>
      <x:c r="F128" s="192" t="str">
        <x:v>Family, Couple, Attachment, and Relational Interventions</x:v>
      </x:c>
      <x:c r="G128" s="192"/>
      <x:c r="H128" s="192" t="n">
        <x:v>8</x:v>
      </x:c>
      <x:c r="I128" s="192" t="str">
        <x:v>Workbook Bank</x:v>
      </x:c>
      <x:c r="J128" s="192" t="str">
        <x:v>5. Treatment</x:v>
      </x:c>
      <x:c r="K128" s="192" t="str">
        <x:v>Group process and monopolizing</x:v>
      </x:c>
      <x:c r="L128" s="192" t="str"/>
      <x:c r="M128" s="192" t="str">
        <x:v>Moderate</x:v>
      </x:c>
      <x:c r="N128" s="192" t="str">
        <x:v>Moderate</x:v>
      </x:c>
      <x:c r="O128" s="192" t="str">
        <x:v>Scenario-Based</x:v>
      </x:c>
      <x:c r="P128" s="192" t="str">
        <x:v>Scenario-Based</x:v>
      </x:c>
      <x:c r="Q128" s="192" t="n">
        <x:v>4</x:v>
      </x:c>
      <x:c r="R128" s="192" t="str">
        <x:v>B</x:v>
      </x:c>
      <x:c r="S128" s="192" t="str">
        <x:v>Approved</x:v>
      </x:c>
      <x:c r="T128" s="192" t="str">
        <x:v>Active</x:v>
      </x:c>
      <x:c r="U128" s="192" t="n">
        <x:v>1</x:v>
      </x:c>
      <x:c r="V128" s="192" t="str"/>
      <x:c r="W128" s="192" t="str">
        <x:v>No additional flag</x:v>
      </x:c>
      <x:c r="X128" s="192" t="str">
        <x:v>No structural flag</x:v>
      </x:c>
      <x:c r="Y128" s="192" t="str">
        <x:v>Not Yet Reviewed</x:v>
      </x:c>
      <x:c r="Z128" s="192" t="str">
        <x:v>CTA LMFT Workbook 8</x:v>
      </x:c>
      <x:c r="AA128" s="192" t="str">
        <x:v>CTA_LMFT_WB8_17_Question_Bank_v1.0.docx</x:v>
      </x:c>
      <x:c r="AB128" s="192" t="str">
        <x:v>1.0</x:v>
      </x:c>
      <x:c r="AC128" s="193"/>
      <x:c r="AD128" s="193" t="n">
        <x:v>46228</x:v>
      </x:c>
      <x:c r="AE128" s="192" t="str"/>
      <x:c r="AF128" s="194" t="str">
        <x:v>Workbook bank; reserve pool after controlled review</x:v>
      </x:c>
    </x:row>
    <x:row r="129">
      <x:c r="A129" s="191" t="str">
        <x:v>CTA-LMFT-MQB-0128</x:v>
      </x:c>
      <x:c r="B129" s="192" t="str">
        <x:v>LMFT-WB08-QB-Q009</x:v>
      </x:c>
      <x:c r="C129" s="192" t="str">
        <x:v>LMFT</x:v>
      </x:c>
      <x:c r="D129" s="192" t="str">
        <x:v>Workbook Question Bank</x:v>
      </x:c>
      <x:c r="E129" s="192" t="n">
        <x:v>8</x:v>
      </x:c>
      <x:c r="F129" s="192" t="str">
        <x:v>Family, Couple, Attachment, and Relational Interventions</x:v>
      </x:c>
      <x:c r="G129" s="192"/>
      <x:c r="H129" s="192" t="n">
        <x:v>9</x:v>
      </x:c>
      <x:c r="I129" s="192" t="str">
        <x:v>Workbook Bank</x:v>
      </x:c>
      <x:c r="J129" s="192" t="str">
        <x:v>5. Treatment</x:v>
      </x:c>
      <x:c r="K129" s="192" t="str">
        <x:v>School collaboration and minimum disclosure</x:v>
      </x:c>
      <x:c r="L129" s="192" t="str"/>
      <x:c r="M129" s="192" t="str">
        <x:v>Moderate</x:v>
      </x:c>
      <x:c r="N129" s="192" t="str">
        <x:v>Moderate</x:v>
      </x:c>
      <x:c r="O129" s="192" t="str">
        <x:v>Scenario-Based</x:v>
      </x:c>
      <x:c r="P129" s="192" t="str">
        <x:v>Scenario-Based</x:v>
      </x:c>
      <x:c r="Q129" s="192" t="n">
        <x:v>4</x:v>
      </x:c>
      <x:c r="R129" s="192" t="str">
        <x:v>A</x:v>
      </x:c>
      <x:c r="S129" s="192" t="str">
        <x:v>Approved</x:v>
      </x:c>
      <x:c r="T129" s="192" t="str">
        <x:v>Active</x:v>
      </x:c>
      <x:c r="U129" s="192" t="n">
        <x:v>1</x:v>
      </x:c>
      <x:c r="V129" s="192" t="str"/>
      <x:c r="W129" s="192" t="str">
        <x:v>No additional flag</x:v>
      </x:c>
      <x:c r="X129" s="192" t="str">
        <x:v>No structural flag</x:v>
      </x:c>
      <x:c r="Y129" s="192" t="str">
        <x:v>Not Yet Reviewed</x:v>
      </x:c>
      <x:c r="Z129" s="192" t="str">
        <x:v>CTA LMFT Workbook 8</x:v>
      </x:c>
      <x:c r="AA129" s="192" t="str">
        <x:v>CTA_LMFT_WB8_17_Question_Bank_v1.0.docx</x:v>
      </x:c>
      <x:c r="AB129" s="192" t="str">
        <x:v>1.0</x:v>
      </x:c>
      <x:c r="AC129" s="193"/>
      <x:c r="AD129" s="193" t="n">
        <x:v>46228</x:v>
      </x:c>
      <x:c r="AE129" s="192" t="str"/>
      <x:c r="AF129" s="194" t="str">
        <x:v>Workbook bank; reserve pool after controlled review</x:v>
      </x:c>
    </x:row>
    <x:row r="130">
      <x:c r="A130" s="191" t="str">
        <x:v>CTA-LMFT-MQB-0129</x:v>
      </x:c>
      <x:c r="B130" s="192" t="str">
        <x:v>LMFT-WB08-QB-Q010</x:v>
      </x:c>
      <x:c r="C130" s="192" t="str">
        <x:v>LMFT</x:v>
      </x:c>
      <x:c r="D130" s="192" t="str">
        <x:v>Workbook Question Bank</x:v>
      </x:c>
      <x:c r="E130" s="192" t="n">
        <x:v>8</x:v>
      </x:c>
      <x:c r="F130" s="192" t="str">
        <x:v>Family, Couple, Attachment, and Relational Interventions</x:v>
      </x:c>
      <x:c r="G130" s="192"/>
      <x:c r="H130" s="192" t="n">
        <x:v>10</x:v>
      </x:c>
      <x:c r="I130" s="192" t="str">
        <x:v>Workbook Bank</x:v>
      </x:c>
      <x:c r="J130" s="192" t="str">
        <x:v>5. Treatment</x:v>
      </x:c>
      <x:c r="K130" s="192" t="str">
        <x:v>Voluntariness in conjoint treatment</x:v>
      </x:c>
      <x:c r="L130" s="192" t="str"/>
      <x:c r="M130" s="192" t="str">
        <x:v>Moderate</x:v>
      </x:c>
      <x:c r="N130" s="192" t="str">
        <x:v>Moderate</x:v>
      </x:c>
      <x:c r="O130" s="192" t="str">
        <x:v>Application</x:v>
      </x:c>
      <x:c r="P130" s="192" t="str">
        <x:v>Application</x:v>
      </x:c>
      <x:c r="Q130" s="192" t="n">
        <x:v>4</x:v>
      </x:c>
      <x:c r="R130" s="192" t="str">
        <x:v>C</x:v>
      </x:c>
      <x:c r="S130" s="192" t="str">
        <x:v>Approved</x:v>
      </x:c>
      <x:c r="T130" s="192" t="str">
        <x:v>Active</x:v>
      </x:c>
      <x:c r="U130" s="192" t="n">
        <x:v>1</x:v>
      </x:c>
      <x:c r="V130" s="192" t="str"/>
      <x:c r="W130" s="192" t="str">
        <x:v>No additional flag</x:v>
      </x:c>
      <x:c r="X130" s="192" t="str">
        <x:v>No structural flag</x:v>
      </x:c>
      <x:c r="Y130" s="192" t="str">
        <x:v>Not Yet Reviewed</x:v>
      </x:c>
      <x:c r="Z130" s="192" t="str">
        <x:v>CTA LMFT Workbook 8</x:v>
      </x:c>
      <x:c r="AA130" s="192" t="str">
        <x:v>CTA_LMFT_WB8_17_Question_Bank_v1.0.docx</x:v>
      </x:c>
      <x:c r="AB130" s="192" t="str">
        <x:v>1.0</x:v>
      </x:c>
      <x:c r="AC130" s="193"/>
      <x:c r="AD130" s="193" t="n">
        <x:v>46228</x:v>
      </x:c>
      <x:c r="AE130" s="192" t="str"/>
      <x:c r="AF130" s="194" t="str">
        <x:v>Workbook bank; reserve pool after controlled review</x:v>
      </x:c>
    </x:row>
    <x:row r="131">
      <x:c r="A131" s="191" t="str">
        <x:v>CTA-LMFT-MQB-0130</x:v>
      </x:c>
      <x:c r="B131" s="192" t="str">
        <x:v>LMFT-WB08-QB-Q011</x:v>
      </x:c>
      <x:c r="C131" s="192" t="str">
        <x:v>LMFT</x:v>
      </x:c>
      <x:c r="D131" s="192" t="str">
        <x:v>Workbook Question Bank</x:v>
      </x:c>
      <x:c r="E131" s="192" t="n">
        <x:v>8</x:v>
      </x:c>
      <x:c r="F131" s="192" t="str">
        <x:v>Family, Couple, Attachment, and Relational Interventions</x:v>
      </x:c>
      <x:c r="G131" s="192"/>
      <x:c r="H131" s="192" t="n">
        <x:v>11</x:v>
      </x:c>
      <x:c r="I131" s="192" t="str">
        <x:v>Workbook Bank</x:v>
      </x:c>
      <x:c r="J131" s="192" t="str">
        <x:v>5. Treatment</x:v>
      </x:c>
      <x:c r="K131" s="192" t="str">
        <x:v>Alliance rupture and perceived alignment</x:v>
      </x:c>
      <x:c r="L131" s="192" t="str"/>
      <x:c r="M131" s="192" t="str">
        <x:v>Moderate</x:v>
      </x:c>
      <x:c r="N131" s="192" t="str">
        <x:v>Moderate</x:v>
      </x:c>
      <x:c r="O131" s="192" t="str">
        <x:v>Scenario-Based</x:v>
      </x:c>
      <x:c r="P131" s="192" t="str">
        <x:v>Scenario-Based</x:v>
      </x:c>
      <x:c r="Q131" s="192" t="n">
        <x:v>4</x:v>
      </x:c>
      <x:c r="R131" s="192" t="str">
        <x:v>D</x:v>
      </x:c>
      <x:c r="S131" s="192" t="str">
        <x:v>Approved</x:v>
      </x:c>
      <x:c r="T131" s="192" t="str">
        <x:v>Active</x:v>
      </x:c>
      <x:c r="U131" s="192" t="n">
        <x:v>1</x:v>
      </x:c>
      <x:c r="V131" s="192" t="str"/>
      <x:c r="W131" s="192" t="str">
        <x:v>No additional flag</x:v>
      </x:c>
      <x:c r="X131" s="192" t="str">
        <x:v>No structural flag</x:v>
      </x:c>
      <x:c r="Y131" s="192" t="str">
        <x:v>Not Yet Reviewed</x:v>
      </x:c>
      <x:c r="Z131" s="192" t="str">
        <x:v>CTA LMFT Workbook 8</x:v>
      </x:c>
      <x:c r="AA131" s="192" t="str">
        <x:v>CTA_LMFT_WB8_17_Question_Bank_v1.0.docx</x:v>
      </x:c>
      <x:c r="AB131" s="192" t="str">
        <x:v>1.0</x:v>
      </x:c>
      <x:c r="AC131" s="193"/>
      <x:c r="AD131" s="193" t="n">
        <x:v>46228</x:v>
      </x:c>
      <x:c r="AE131" s="192" t="str"/>
      <x:c r="AF131" s="194" t="str">
        <x:v>Workbook bank; reserve pool after controlled review</x:v>
      </x:c>
    </x:row>
    <x:row r="132">
      <x:c r="A132" s="191" t="str">
        <x:v>CTA-LMFT-MQB-0131</x:v>
      </x:c>
      <x:c r="B132" s="192" t="str">
        <x:v>LMFT-WB08-QB-Q012</x:v>
      </x:c>
      <x:c r="C132" s="192" t="str">
        <x:v>LMFT</x:v>
      </x:c>
      <x:c r="D132" s="192" t="str">
        <x:v>Workbook Question Bank</x:v>
      </x:c>
      <x:c r="E132" s="192" t="n">
        <x:v>8</x:v>
      </x:c>
      <x:c r="F132" s="192" t="str">
        <x:v>Family, Couple, Attachment, and Relational Interventions</x:v>
      </x:c>
      <x:c r="G132" s="192"/>
      <x:c r="H132" s="192" t="n">
        <x:v>12</x:v>
      </x:c>
      <x:c r="I132" s="192" t="str">
        <x:v>Workbook Bank</x:v>
      </x:c>
      <x:c r="J132" s="192" t="str">
        <x:v>5. Treatment</x:v>
      </x:c>
      <x:c r="K132" s="192" t="str">
        <x:v>SAFER SYSTEM response review</x:v>
      </x:c>
      <x:c r="L132" s="192" t="str"/>
      <x:c r="M132" s="192" t="str">
        <x:v>Moderate</x:v>
      </x:c>
      <x:c r="N132" s="192" t="str">
        <x:v>Moderate</x:v>
      </x:c>
      <x:c r="O132" s="192" t="str">
        <x:v>Knowledge &amp; Recall</x:v>
      </x:c>
      <x:c r="P132" s="192" t="str">
        <x:v>Knowledge &amp; Recall</x:v>
      </x:c>
      <x:c r="Q132" s="192" t="n">
        <x:v>4</x:v>
      </x:c>
      <x:c r="R132" s="192" t="str">
        <x:v>B</x:v>
      </x:c>
      <x:c r="S132" s="192" t="str">
        <x:v>Approved</x:v>
      </x:c>
      <x:c r="T132" s="192" t="str">
        <x:v>Active</x:v>
      </x:c>
      <x:c r="U132" s="192" t="n">
        <x:v>1</x:v>
      </x:c>
      <x:c r="V132" s="192" t="str"/>
      <x:c r="W132" s="192" t="str">
        <x:v>No additional flag</x:v>
      </x:c>
      <x:c r="X132" s="192" t="str">
        <x:v>No structural flag</x:v>
      </x:c>
      <x:c r="Y132" s="192" t="str">
        <x:v>Not Yet Reviewed</x:v>
      </x:c>
      <x:c r="Z132" s="192" t="str">
        <x:v>CTA LMFT Workbook 8</x:v>
      </x:c>
      <x:c r="AA132" s="192" t="str">
        <x:v>CTA_LMFT_WB8_17_Question_Bank_v1.0.docx</x:v>
      </x:c>
      <x:c r="AB132" s="192" t="str">
        <x:v>1.0</x:v>
      </x:c>
      <x:c r="AC132" s="193"/>
      <x:c r="AD132" s="193" t="n">
        <x:v>46228</x:v>
      </x:c>
      <x:c r="AE132" s="192" t="str"/>
      <x:c r="AF132" s="194" t="str">
        <x:v>Workbook bank; reserve pool after controlled review</x:v>
      </x:c>
    </x:row>
    <x:row r="133">
      <x:c r="A133" s="191" t="str">
        <x:v>CTA-LMFT-MQB-0132</x:v>
      </x:c>
      <x:c r="B133" s="192" t="str">
        <x:v>LMFT-WB08-QB-Q013</x:v>
      </x:c>
      <x:c r="C133" s="192" t="str">
        <x:v>LMFT</x:v>
      </x:c>
      <x:c r="D133" s="192" t="str">
        <x:v>Workbook Question Bank</x:v>
      </x:c>
      <x:c r="E133" s="192" t="n">
        <x:v>8</x:v>
      </x:c>
      <x:c r="F133" s="192" t="str">
        <x:v>Family, Couple, Attachment, and Relational Interventions</x:v>
      </x:c>
      <x:c r="G133" s="192"/>
      <x:c r="H133" s="192" t="n">
        <x:v>13</x:v>
      </x:c>
      <x:c r="I133" s="192" t="str">
        <x:v>Workbook Bank</x:v>
      </x:c>
      <x:c r="J133" s="192" t="str">
        <x:v>5. Treatment</x:v>
      </x:c>
      <x:c r="K133" s="192" t="str">
        <x:v>Integrated unit and family pattern revision</x:v>
      </x:c>
      <x:c r="L133" s="192" t="str"/>
      <x:c r="M133" s="192" t="str">
        <x:v>Difficult</x:v>
      </x:c>
      <x:c r="N133" s="192" t="str">
        <x:v>Difficult</x:v>
      </x:c>
      <x:c r="O133" s="192" t="str">
        <x:v>Integrated Clinical Reasoning</x:v>
      </x:c>
      <x:c r="P133" s="192" t="str">
        <x:v>Integrated Clinical Reasoning</x:v>
      </x:c>
      <x:c r="Q133" s="192" t="n">
        <x:v>4</x:v>
      </x:c>
      <x:c r="R133" s="192" t="str">
        <x:v>A</x:v>
      </x:c>
      <x:c r="S133" s="192" t="str">
        <x:v>Approved</x:v>
      </x:c>
      <x:c r="T133" s="192" t="str">
        <x:v>Active</x:v>
      </x:c>
      <x:c r="U133" s="192" t="n">
        <x:v>1</x:v>
      </x:c>
      <x:c r="V133" s="192" t="str"/>
      <x:c r="W133" s="192" t="str">
        <x:v>No additional flag</x:v>
      </x:c>
      <x:c r="X133" s="192" t="str">
        <x:v>No structural flag</x:v>
      </x:c>
      <x:c r="Y133" s="192" t="str">
        <x:v>Not Yet Reviewed</x:v>
      </x:c>
      <x:c r="Z133" s="192" t="str">
        <x:v>CTA LMFT Workbook 8</x:v>
      </x:c>
      <x:c r="AA133" s="192" t="str">
        <x:v>CTA_LMFT_WB8_17_Question_Bank_v1.0.docx</x:v>
      </x:c>
      <x:c r="AB133" s="192" t="str">
        <x:v>1.0</x:v>
      </x:c>
      <x:c r="AC133" s="193"/>
      <x:c r="AD133" s="193" t="n">
        <x:v>46228</x:v>
      </x:c>
      <x:c r="AE133" s="192" t="str"/>
      <x:c r="AF133" s="194" t="str">
        <x:v>Workbook bank; reserve pool after controlled review</x:v>
      </x:c>
    </x:row>
    <x:row r="134">
      <x:c r="A134" s="191" t="str">
        <x:v>CTA-LMFT-MQB-0133</x:v>
      </x:c>
      <x:c r="B134" s="192" t="str">
        <x:v>LMFT-WB08-QB-Q014</x:v>
      </x:c>
      <x:c r="C134" s="192" t="str">
        <x:v>LMFT</x:v>
      </x:c>
      <x:c r="D134" s="192" t="str">
        <x:v>Workbook Question Bank</x:v>
      </x:c>
      <x:c r="E134" s="192" t="n">
        <x:v>8</x:v>
      </x:c>
      <x:c r="F134" s="192" t="str">
        <x:v>Family, Couple, Attachment, and Relational Interventions</x:v>
      </x:c>
      <x:c r="G134" s="192"/>
      <x:c r="H134" s="192" t="n">
        <x:v>14</x:v>
      </x:c>
      <x:c r="I134" s="192" t="str">
        <x:v>Workbook Bank</x:v>
      </x:c>
      <x:c r="J134" s="192" t="str">
        <x:v>5. Treatment</x:v>
      </x:c>
      <x:c r="K134" s="192" t="str">
        <x:v>Integrated stepfamily pacing and hierarchy</x:v>
      </x:c>
      <x:c r="L134" s="192" t="str"/>
      <x:c r="M134" s="192" t="str">
        <x:v>Difficult</x:v>
      </x:c>
      <x:c r="N134" s="192" t="str">
        <x:v>Difficult</x:v>
      </x:c>
      <x:c r="O134" s="192" t="str">
        <x:v>Integrated Clinical Reasoning</x:v>
      </x:c>
      <x:c r="P134" s="192" t="str">
        <x:v>Integrated Clinical Reasoning</x:v>
      </x:c>
      <x:c r="Q134" s="192" t="n">
        <x:v>4</x:v>
      </x:c>
      <x:c r="R134" s="192" t="str">
        <x:v>D</x:v>
      </x:c>
      <x:c r="S134" s="192" t="str">
        <x:v>Approved</x:v>
      </x:c>
      <x:c r="T134" s="192" t="str">
        <x:v>Active</x:v>
      </x:c>
      <x:c r="U134" s="192" t="n">
        <x:v>1</x:v>
      </x:c>
      <x:c r="V134" s="192" t="str"/>
      <x:c r="W134" s="192" t="str">
        <x:v>No additional flag</x:v>
      </x:c>
      <x:c r="X134" s="192" t="str">
        <x:v>No structural flag</x:v>
      </x:c>
      <x:c r="Y134" s="192" t="str">
        <x:v>Not Yet Reviewed</x:v>
      </x:c>
      <x:c r="Z134" s="192" t="str">
        <x:v>CTA LMFT Workbook 8</x:v>
      </x:c>
      <x:c r="AA134" s="192" t="str">
        <x:v>CTA_LMFT_WB8_17_Question_Bank_v1.0.docx</x:v>
      </x:c>
      <x:c r="AB134" s="192" t="str">
        <x:v>1.0</x:v>
      </x:c>
      <x:c r="AC134" s="193"/>
      <x:c r="AD134" s="193" t="n">
        <x:v>46228</x:v>
      </x:c>
      <x:c r="AE134" s="192" t="str"/>
      <x:c r="AF134" s="194" t="str">
        <x:v>Workbook bank; reserve pool after controlled review</x:v>
      </x:c>
    </x:row>
    <x:row r="135">
      <x:c r="A135" s="191" t="str">
        <x:v>CTA-LMFT-MQB-0134</x:v>
      </x:c>
      <x:c r="B135" s="192" t="str">
        <x:v>LMFT-WB08-QB-Q015</x:v>
      </x:c>
      <x:c r="C135" s="192" t="str">
        <x:v>LMFT</x:v>
      </x:c>
      <x:c r="D135" s="192" t="str">
        <x:v>Workbook Question Bank</x:v>
      </x:c>
      <x:c r="E135" s="192" t="n">
        <x:v>8</x:v>
      </x:c>
      <x:c r="F135" s="192" t="str">
        <x:v>Family, Couple, Attachment, and Relational Interventions</x:v>
      </x:c>
      <x:c r="G135" s="192"/>
      <x:c r="H135" s="192" t="n">
        <x:v>15</x:v>
      </x:c>
      <x:c r="I135" s="192" t="str">
        <x:v>Workbook Bank</x:v>
      </x:c>
      <x:c r="J135" s="192" t="str">
        <x:v>5. Treatment</x:v>
      </x:c>
      <x:c r="K135" s="192" t="str">
        <x:v>Integrated caregiving, medical coordination, and continuity</x:v>
      </x:c>
      <x:c r="L135" s="192" t="str"/>
      <x:c r="M135" s="192" t="str">
        <x:v>Difficult</x:v>
      </x:c>
      <x:c r="N135" s="192" t="str">
        <x:v>Difficult</x:v>
      </x:c>
      <x:c r="O135" s="192" t="str">
        <x:v>Integrated Clinical Reasoning</x:v>
      </x:c>
      <x:c r="P135" s="192" t="str">
        <x:v>Integrated Clinical Reasoning</x:v>
      </x:c>
      <x:c r="Q135" s="192" t="n">
        <x:v>4</x:v>
      </x:c>
      <x:c r="R135" s="192" t="str">
        <x:v>C</x:v>
      </x:c>
      <x:c r="S135" s="192" t="str">
        <x:v>Approved</x:v>
      </x:c>
      <x:c r="T135" s="192" t="str">
        <x:v>Active</x:v>
      </x:c>
      <x:c r="U135" s="192" t="n">
        <x:v>1</x:v>
      </x:c>
      <x:c r="V135" s="192" t="str"/>
      <x:c r="W135" s="192" t="str">
        <x:v>No additional flag</x:v>
      </x:c>
      <x:c r="X135" s="192" t="str">
        <x:v>No structural flag</x:v>
      </x:c>
      <x:c r="Y135" s="192" t="str">
        <x:v>Not Yet Reviewed</x:v>
      </x:c>
      <x:c r="Z135" s="192" t="str">
        <x:v>CTA LMFT Workbook 8</x:v>
      </x:c>
      <x:c r="AA135" s="192" t="str">
        <x:v>CTA_LMFT_WB8_17_Question_Bank_v1.0.docx</x:v>
      </x:c>
      <x:c r="AB135" s="192" t="str">
        <x:v>1.0</x:v>
      </x:c>
      <x:c r="AC135" s="193"/>
      <x:c r="AD135" s="193" t="n">
        <x:v>46228</x:v>
      </x:c>
      <x:c r="AE135" s="192" t="str"/>
      <x:c r="AF135" s="194" t="str">
        <x:v>Workbook bank; reserve pool after controlled review</x:v>
      </x:c>
    </x:row>
    <x:row r="136">
      <x:c r="A136" s="191" t="str">
        <x:v>CTA-LMFT-MQB-0135</x:v>
      </x:c>
      <x:c r="B136" s="192" t="str">
        <x:v>LMFT-WB08-QB-Q016</x:v>
      </x:c>
      <x:c r="C136" s="192" t="str">
        <x:v>LMFT</x:v>
      </x:c>
      <x:c r="D136" s="192" t="str">
        <x:v>Workbook Question Bank</x:v>
      </x:c>
      <x:c r="E136" s="192" t="n">
        <x:v>8</x:v>
      </x:c>
      <x:c r="F136" s="192" t="str">
        <x:v>Family, Couple, Attachment, and Relational Interventions</x:v>
      </x:c>
      <x:c r="G136" s="192"/>
      <x:c r="H136" s="192" t="n">
        <x:v>16</x:v>
      </x:c>
      <x:c r="I136" s="192" t="str">
        <x:v>Workbook Bank</x:v>
      </x:c>
      <x:c r="J136" s="192" t="str">
        <x:v>5. Treatment</x:v>
      </x:c>
      <x:c r="K136" s="192" t="str">
        <x:v>Integrated group safety and process</x:v>
      </x:c>
      <x:c r="L136" s="192" t="str"/>
      <x:c r="M136" s="192" t="str">
        <x:v>Difficult</x:v>
      </x:c>
      <x:c r="N136" s="192" t="str">
        <x:v>Difficult</x:v>
      </x:c>
      <x:c r="O136" s="192" t="str">
        <x:v>Integrated Clinical Reasoning</x:v>
      </x:c>
      <x:c r="P136" s="192" t="str">
        <x:v>Integrated Clinical Reasoning</x:v>
      </x:c>
      <x:c r="Q136" s="192" t="n">
        <x:v>4</x:v>
      </x:c>
      <x:c r="R136" s="192" t="str">
        <x:v>B</x:v>
      </x:c>
      <x:c r="S136" s="192" t="str">
        <x:v>Approved</x:v>
      </x:c>
      <x:c r="T136" s="192" t="str">
        <x:v>Active</x:v>
      </x:c>
      <x:c r="U136" s="192" t="n">
        <x:v>1</x:v>
      </x:c>
      <x:c r="V136" s="192" t="str"/>
      <x:c r="W136" s="192" t="str">
        <x:v>No additional flag</x:v>
      </x:c>
      <x:c r="X136" s="192" t="str">
        <x:v>No structural flag</x:v>
      </x:c>
      <x:c r="Y136" s="192" t="str">
        <x:v>Not Yet Reviewed</x:v>
      </x:c>
      <x:c r="Z136" s="192" t="str">
        <x:v>CTA LMFT Workbook 8</x:v>
      </x:c>
      <x:c r="AA136" s="192" t="str">
        <x:v>CTA_LMFT_WB8_17_Question_Bank_v1.0.docx</x:v>
      </x:c>
      <x:c r="AB136" s="192" t="str">
        <x:v>1.0</x:v>
      </x:c>
      <x:c r="AC136" s="193"/>
      <x:c r="AD136" s="193" t="n">
        <x:v>46228</x:v>
      </x:c>
      <x:c r="AE136" s="192" t="str"/>
      <x:c r="AF136" s="194" t="str">
        <x:v>Workbook bank; reserve pool after controlled review</x:v>
      </x:c>
    </x:row>
    <x:row r="137">
      <x:c r="A137" s="191" t="str">
        <x:v>CTA-LMFT-MQB-0136</x:v>
      </x:c>
      <x:c r="B137" s="192" t="str">
        <x:v>LMFT-WB08-QB-Q017</x:v>
      </x:c>
      <x:c r="C137" s="192" t="str">
        <x:v>LMFT</x:v>
      </x:c>
      <x:c r="D137" s="192" t="str">
        <x:v>Workbook Question Bank</x:v>
      </x:c>
      <x:c r="E137" s="192" t="n">
        <x:v>8</x:v>
      </x:c>
      <x:c r="F137" s="192" t="str">
        <x:v>Family, Couple, Attachment, and Relational Interventions</x:v>
      </x:c>
      <x:c r="G137" s="192"/>
      <x:c r="H137" s="192" t="n">
        <x:v>17</x:v>
      </x:c>
      <x:c r="I137" s="192" t="str">
        <x:v>Workbook Bank</x:v>
      </x:c>
      <x:c r="J137" s="192" t="str">
        <x:v>5. Treatment</x:v>
      </x:c>
      <x:c r="K137" s="192" t="str">
        <x:v>Integrated reassessment of conjoint treatment</x:v>
      </x:c>
      <x:c r="L137" s="192" t="str"/>
      <x:c r="M137" s="192" t="str">
        <x:v>Difficult</x:v>
      </x:c>
      <x:c r="N137" s="192" t="str">
        <x:v>Difficult</x:v>
      </x:c>
      <x:c r="O137" s="192" t="str">
        <x:v>Integrated Clinical Reasoning</x:v>
      </x:c>
      <x:c r="P137" s="192" t="str">
        <x:v>Integrated Clinical Reasoning</x:v>
      </x:c>
      <x:c r="Q137" s="192" t="n">
        <x:v>4</x:v>
      </x:c>
      <x:c r="R137" s="192" t="str">
        <x:v>A</x:v>
      </x:c>
      <x:c r="S137" s="192" t="str">
        <x:v>Approved</x:v>
      </x:c>
      <x:c r="T137" s="192" t="str">
        <x:v>Active</x:v>
      </x:c>
      <x:c r="U137" s="192" t="n">
        <x:v>1</x:v>
      </x:c>
      <x:c r="V137" s="192" t="str"/>
      <x:c r="W137" s="192" t="str">
        <x:v>No additional flag</x:v>
      </x:c>
      <x:c r="X137" s="192" t="str">
        <x:v>No structural flag</x:v>
      </x:c>
      <x:c r="Y137" s="192" t="str">
        <x:v>Not Yet Reviewed</x:v>
      </x:c>
      <x:c r="Z137" s="192" t="str">
        <x:v>CTA LMFT Workbook 8</x:v>
      </x:c>
      <x:c r="AA137" s="192" t="str">
        <x:v>CTA_LMFT_WB8_17_Question_Bank_v1.0.docx</x:v>
      </x:c>
      <x:c r="AB137" s="192" t="str">
        <x:v>1.0</x:v>
      </x:c>
      <x:c r="AC137" s="193"/>
      <x:c r="AD137" s="193" t="n">
        <x:v>46228</x:v>
      </x:c>
      <x:c r="AE137" s="192" t="str"/>
      <x:c r="AF137" s="194" t="str">
        <x:v>Workbook bank; reserve pool after controlled review</x:v>
      </x:c>
    </x:row>
    <x:row r="138">
      <x:c r="A138" s="191" t="str">
        <x:v>CTA-LMFT-MQB-0137</x:v>
      </x:c>
      <x:c r="B138" s="192" t="str">
        <x:v>LMFT-WB09-QB-Q001</x:v>
      </x:c>
      <x:c r="C138" s="192" t="str">
        <x:v>LMFT</x:v>
      </x:c>
      <x:c r="D138" s="192" t="str">
        <x:v>Workbook Question Bank</x:v>
      </x:c>
      <x:c r="E138" s="192" t="n">
        <x:v>9</x:v>
      </x:c>
      <x:c r="F138" s="192" t="str">
        <x:v>Trauma, Psychological, Behavioral, and Recovery Interventions</x:v>
      </x:c>
      <x:c r="G138" s="192"/>
      <x:c r="H138" s="192" t="n">
        <x:v>1</x:v>
      </x:c>
      <x:c r="I138" s="192" t="str">
        <x:v>Workbook Bank</x:v>
      </x:c>
      <x:c r="J138" s="192" t="str">
        <x:v>5. Treatment</x:v>
      </x:c>
      <x:c r="K138" s="192" t="str">
        <x:v>FITS intervention sequence</x:v>
      </x:c>
      <x:c r="L138" s="192" t="str"/>
      <x:c r="M138" s="192" t="str">
        <x:v>Easy</x:v>
      </x:c>
      <x:c r="N138" s="192" t="str">
        <x:v>Easy</x:v>
      </x:c>
      <x:c r="O138" s="192" t="str">
        <x:v>Knowledge &amp; Recall</x:v>
      </x:c>
      <x:c r="P138" s="192" t="str">
        <x:v>Knowledge &amp; Recall</x:v>
      </x:c>
      <x:c r="Q138" s="192" t="n">
        <x:v>4</x:v>
      </x:c>
      <x:c r="R138" s="192" t="str">
        <x:v>A</x:v>
      </x:c>
      <x:c r="S138" s="192" t="str">
        <x:v>Approved</x:v>
      </x:c>
      <x:c r="T138" s="192" t="str">
        <x:v>Active</x:v>
      </x:c>
      <x:c r="U138" s="192" t="n">
        <x:v>1</x:v>
      </x:c>
      <x:c r="V138" s="192" t="str"/>
      <x:c r="W138" s="192" t="str">
        <x:v>No additional flag</x:v>
      </x:c>
      <x:c r="X138" s="192" t="str">
        <x:v>No structural flag</x:v>
      </x:c>
      <x:c r="Y138" s="192" t="str">
        <x:v>Not Yet Reviewed</x:v>
      </x:c>
      <x:c r="Z138" s="192" t="str">
        <x:v>CTA LMFT Workbook 9</x:v>
      </x:c>
      <x:c r="AA138" s="192" t="str">
        <x:v>CTA_LMFT_WB9_17_Question_Bank_v1.0.docx</x:v>
      </x:c>
      <x:c r="AB138" s="192" t="str">
        <x:v>1.0</x:v>
      </x:c>
      <x:c r="AC138" s="193"/>
      <x:c r="AD138" s="193" t="n">
        <x:v>46228</x:v>
      </x:c>
      <x:c r="AE138" s="192" t="str"/>
      <x:c r="AF138" s="194" t="str">
        <x:v>Workbook bank; reserve pool after controlled review</x:v>
      </x:c>
    </x:row>
    <x:row r="139">
      <x:c r="A139" s="191" t="str">
        <x:v>CTA-LMFT-MQB-0138</x:v>
      </x:c>
      <x:c r="B139" s="192" t="str">
        <x:v>LMFT-WB09-QB-Q002</x:v>
      </x:c>
      <x:c r="C139" s="192" t="str">
        <x:v>LMFT</x:v>
      </x:c>
      <x:c r="D139" s="192" t="str">
        <x:v>Workbook Question Bank</x:v>
      </x:c>
      <x:c r="E139" s="192" t="n">
        <x:v>9</x:v>
      </x:c>
      <x:c r="F139" s="192" t="str">
        <x:v>Trauma, Psychological, Behavioral, and Recovery Interventions</x:v>
      </x:c>
      <x:c r="G139" s="192"/>
      <x:c r="H139" s="192" t="n">
        <x:v>2</x:v>
      </x:c>
      <x:c r="I139" s="192" t="str">
        <x:v>Workbook Bank</x:v>
      </x:c>
      <x:c r="J139" s="192" t="str">
        <x:v>5. Treatment</x:v>
      </x:c>
      <x:c r="K139" s="192" t="str">
        <x:v>Trauma stabilization and pacing</x:v>
      </x:c>
      <x:c r="L139" s="192" t="str"/>
      <x:c r="M139" s="192" t="str">
        <x:v>Easy</x:v>
      </x:c>
      <x:c r="N139" s="192" t="str">
        <x:v>Easy</x:v>
      </x:c>
      <x:c r="O139" s="192" t="str">
        <x:v>Application</x:v>
      </x:c>
      <x:c r="P139" s="192" t="str">
        <x:v>Application</x:v>
      </x:c>
      <x:c r="Q139" s="192" t="n">
        <x:v>4</x:v>
      </x:c>
      <x:c r="R139" s="192" t="str">
        <x:v>B</x:v>
      </x:c>
      <x:c r="S139" s="192" t="str">
        <x:v>Approved</x:v>
      </x:c>
      <x:c r="T139" s="192" t="str">
        <x:v>Active</x:v>
      </x:c>
      <x:c r="U139" s="192" t="n">
        <x:v>1</x:v>
      </x:c>
      <x:c r="V139" s="192" t="str"/>
      <x:c r="W139" s="192" t="str">
        <x:v>No additional flag</x:v>
      </x:c>
      <x:c r="X139" s="192" t="str">
        <x:v>No structural flag</x:v>
      </x:c>
      <x:c r="Y139" s="192" t="str">
        <x:v>Not Yet Reviewed</x:v>
      </x:c>
      <x:c r="Z139" s="192" t="str">
        <x:v>CTA LMFT Workbook 9</x:v>
      </x:c>
      <x:c r="AA139" s="192" t="str">
        <x:v>CTA_LMFT_WB9_17_Question_Bank_v1.0.docx</x:v>
      </x:c>
      <x:c r="AB139" s="192" t="str">
        <x:v>1.0</x:v>
      </x:c>
      <x:c r="AC139" s="193"/>
      <x:c r="AD139" s="193" t="n">
        <x:v>46228</x:v>
      </x:c>
      <x:c r="AE139" s="192" t="str"/>
      <x:c r="AF139" s="194" t="str">
        <x:v>Workbook bank; reserve pool after controlled review</x:v>
      </x:c>
    </x:row>
    <x:row r="140">
      <x:c r="A140" s="191" t="str">
        <x:v>CTA-LMFT-MQB-0139</x:v>
      </x:c>
      <x:c r="B140" s="192" t="str">
        <x:v>LMFT-WB09-QB-Q003</x:v>
      </x:c>
      <x:c r="C140" s="192" t="str">
        <x:v>LMFT</x:v>
      </x:c>
      <x:c r="D140" s="192" t="str">
        <x:v>Workbook Question Bank</x:v>
      </x:c>
      <x:c r="E140" s="192" t="n">
        <x:v>9</x:v>
      </x:c>
      <x:c r="F140" s="192" t="str">
        <x:v>Trauma, Psychological, Behavioral, and Recovery Interventions</x:v>
      </x:c>
      <x:c r="G140" s="192"/>
      <x:c r="H140" s="192" t="n">
        <x:v>3</x:v>
      </x:c>
      <x:c r="I140" s="192" t="str">
        <x:v>Workbook Bank</x:v>
      </x:c>
      <x:c r="J140" s="192" t="str">
        <x:v>5. Treatment</x:v>
      </x:c>
      <x:c r="K140" s="192" t="str">
        <x:v>Behavioral activation</x:v>
      </x:c>
      <x:c r="L140" s="192" t="str"/>
      <x:c r="M140" s="192" t="str">
        <x:v>Easy</x:v>
      </x:c>
      <x:c r="N140" s="192" t="str">
        <x:v>Easy</x:v>
      </x:c>
      <x:c r="O140" s="192" t="str">
        <x:v>Knowledge &amp; Recall</x:v>
      </x:c>
      <x:c r="P140" s="192" t="str">
        <x:v>Knowledge &amp; Recall</x:v>
      </x:c>
      <x:c r="Q140" s="192" t="n">
        <x:v>4</x:v>
      </x:c>
      <x:c r="R140" s="192" t="str">
        <x:v>C</x:v>
      </x:c>
      <x:c r="S140" s="192" t="str">
        <x:v>Approved</x:v>
      </x:c>
      <x:c r="T140" s="192" t="str">
        <x:v>Active</x:v>
      </x:c>
      <x:c r="U140" s="192" t="n">
        <x:v>1</x:v>
      </x:c>
      <x:c r="V140" s="192" t="str"/>
      <x:c r="W140" s="192" t="str">
        <x:v>No additional flag</x:v>
      </x:c>
      <x:c r="X140" s="192" t="str">
        <x:v>No structural flag</x:v>
      </x:c>
      <x:c r="Y140" s="192" t="str">
        <x:v>Not Yet Reviewed</x:v>
      </x:c>
      <x:c r="Z140" s="192" t="str">
        <x:v>CTA LMFT Workbook 9</x:v>
      </x:c>
      <x:c r="AA140" s="192" t="str">
        <x:v>CTA_LMFT_WB9_17_Question_Bank_v1.0.docx</x:v>
      </x:c>
      <x:c r="AB140" s="192" t="str">
        <x:v>1.0</x:v>
      </x:c>
      <x:c r="AC140" s="193"/>
      <x:c r="AD140" s="193" t="n">
        <x:v>46228</x:v>
      </x:c>
      <x:c r="AE140" s="192" t="str"/>
      <x:c r="AF140" s="194" t="str">
        <x:v>Workbook bank; reserve pool after controlled review</x:v>
      </x:c>
    </x:row>
    <x:row r="141">
      <x:c r="A141" s="191" t="str">
        <x:v>CTA-LMFT-MQB-0140</x:v>
      </x:c>
      <x:c r="B141" s="192" t="str">
        <x:v>LMFT-WB09-QB-Q004</x:v>
      </x:c>
      <x:c r="C141" s="192" t="str">
        <x:v>LMFT</x:v>
      </x:c>
      <x:c r="D141" s="192" t="str">
        <x:v>Workbook Question Bank</x:v>
      </x:c>
      <x:c r="E141" s="192" t="n">
        <x:v>9</x:v>
      </x:c>
      <x:c r="F141" s="192" t="str">
        <x:v>Trauma, Psychological, Behavioral, and Recovery Interventions</x:v>
      </x:c>
      <x:c r="G141" s="192"/>
      <x:c r="H141" s="192" t="n">
        <x:v>4</x:v>
      </x:c>
      <x:c r="I141" s="192" t="str">
        <x:v>Workbook Bank</x:v>
      </x:c>
      <x:c r="J141" s="192" t="str">
        <x:v>5. Treatment</x:v>
      </x:c>
      <x:c r="K141" s="192" t="str">
        <x:v>Behavioral chain analysis</x:v>
      </x:c>
      <x:c r="L141" s="192" t="str"/>
      <x:c r="M141" s="192" t="str">
        <x:v>Easy</x:v>
      </x:c>
      <x:c r="N141" s="192" t="str">
        <x:v>Easy</x:v>
      </x:c>
      <x:c r="O141" s="192" t="str">
        <x:v>Scenario-Based</x:v>
      </x:c>
      <x:c r="P141" s="192" t="str">
        <x:v>Scenario-Based</x:v>
      </x:c>
      <x:c r="Q141" s="192" t="n">
        <x:v>4</x:v>
      </x:c>
      <x:c r="R141" s="192" t="str">
        <x:v>D</x:v>
      </x:c>
      <x:c r="S141" s="192" t="str">
        <x:v>Approved</x:v>
      </x:c>
      <x:c r="T141" s="192" t="str">
        <x:v>Active</x:v>
      </x:c>
      <x:c r="U141" s="192" t="n">
        <x:v>1</x:v>
      </x:c>
      <x:c r="V141" s="192" t="str"/>
      <x:c r="W141" s="192" t="str">
        <x:v>No additional flag</x:v>
      </x:c>
      <x:c r="X141" s="192" t="str">
        <x:v>No structural flag</x:v>
      </x:c>
      <x:c r="Y141" s="192" t="str">
        <x:v>Not Yet Reviewed</x:v>
      </x:c>
      <x:c r="Z141" s="192" t="str">
        <x:v>CTA LMFT Workbook 9</x:v>
      </x:c>
      <x:c r="AA141" s="192" t="str">
        <x:v>CTA_LMFT_WB9_17_Question_Bank_v1.0.docx</x:v>
      </x:c>
      <x:c r="AB141" s="192" t="str">
        <x:v>1.0</x:v>
      </x:c>
      <x:c r="AC141" s="193"/>
      <x:c r="AD141" s="193" t="n">
        <x:v>46228</x:v>
      </x:c>
      <x:c r="AE141" s="192" t="str"/>
      <x:c r="AF141" s="194" t="str">
        <x:v>Workbook bank; reserve pool after controlled review</x:v>
      </x:c>
    </x:row>
    <x:row r="142">
      <x:c r="A142" s="191" t="str">
        <x:v>CTA-LMFT-MQB-0141</x:v>
      </x:c>
      <x:c r="B142" s="192" t="str">
        <x:v>LMFT-WB09-QB-Q005</x:v>
      </x:c>
      <x:c r="C142" s="192" t="str">
        <x:v>LMFT</x:v>
      </x:c>
      <x:c r="D142" s="192" t="str">
        <x:v>Workbook Question Bank</x:v>
      </x:c>
      <x:c r="E142" s="192" t="n">
        <x:v>9</x:v>
      </x:c>
      <x:c r="F142" s="192" t="str">
        <x:v>Trauma, Psychological, Behavioral, and Recovery Interventions</x:v>
      </x:c>
      <x:c r="G142" s="192"/>
      <x:c r="H142" s="192" t="n">
        <x:v>5</x:v>
      </x:c>
      <x:c r="I142" s="192" t="str">
        <x:v>Workbook Bank</x:v>
      </x:c>
      <x:c r="J142" s="192" t="str">
        <x:v>5. Treatment</x:v>
      </x:c>
      <x:c r="K142" s="192" t="str">
        <x:v>Motivational interviewing</x:v>
      </x:c>
      <x:c r="L142" s="192" t="str"/>
      <x:c r="M142" s="192" t="str">
        <x:v>Easy</x:v>
      </x:c>
      <x:c r="N142" s="192" t="str">
        <x:v>Easy</x:v>
      </x:c>
      <x:c r="O142" s="192" t="str">
        <x:v>Application</x:v>
      </x:c>
      <x:c r="P142" s="192" t="str">
        <x:v>Application</x:v>
      </x:c>
      <x:c r="Q142" s="192" t="n">
        <x:v>4</x:v>
      </x:c>
      <x:c r="R142" s="192" t="str">
        <x:v>A</x:v>
      </x:c>
      <x:c r="S142" s="192" t="str">
        <x:v>Approved</x:v>
      </x:c>
      <x:c r="T142" s="192" t="str">
        <x:v>Active</x:v>
      </x:c>
      <x:c r="U142" s="192" t="n">
        <x:v>1</x:v>
      </x:c>
      <x:c r="V142" s="192" t="str"/>
      <x:c r="W142" s="192" t="str">
        <x:v>No additional flag</x:v>
      </x:c>
      <x:c r="X142" s="192" t="str">
        <x:v>No structural flag</x:v>
      </x:c>
      <x:c r="Y142" s="192" t="str">
        <x:v>Not Yet Reviewed</x:v>
      </x:c>
      <x:c r="Z142" s="192" t="str">
        <x:v>CTA LMFT Workbook 9</x:v>
      </x:c>
      <x:c r="AA142" s="192" t="str">
        <x:v>CTA_LMFT_WB9_17_Question_Bank_v1.0.docx</x:v>
      </x:c>
      <x:c r="AB142" s="192" t="str">
        <x:v>1.0</x:v>
      </x:c>
      <x:c r="AC142" s="193"/>
      <x:c r="AD142" s="193" t="n">
        <x:v>46228</x:v>
      </x:c>
      <x:c r="AE142" s="192" t="str"/>
      <x:c r="AF142" s="194" t="str">
        <x:v>Workbook bank; reserve pool after controlled review</x:v>
      </x:c>
    </x:row>
    <x:row r="143">
      <x:c r="A143" s="191" t="str">
        <x:v>CTA-LMFT-MQB-0142</x:v>
      </x:c>
      <x:c r="B143" s="192" t="str">
        <x:v>LMFT-WB09-QB-Q006</x:v>
      </x:c>
      <x:c r="C143" s="192" t="str">
        <x:v>LMFT</x:v>
      </x:c>
      <x:c r="D143" s="192" t="str">
        <x:v>Workbook Question Bank</x:v>
      </x:c>
      <x:c r="E143" s="192" t="n">
        <x:v>9</x:v>
      </x:c>
      <x:c r="F143" s="192" t="str">
        <x:v>Trauma, Psychological, Behavioral, and Recovery Interventions</x:v>
      </x:c>
      <x:c r="G143" s="192"/>
      <x:c r="H143" s="192" t="n">
        <x:v>6</x:v>
      </x:c>
      <x:c r="I143" s="192" t="str">
        <x:v>Workbook Bank</x:v>
      </x:c>
      <x:c r="J143" s="192" t="str">
        <x:v>5. Treatment</x:v>
      </x:c>
      <x:c r="K143" s="192" t="str">
        <x:v>Grief, role change, and functioning</x:v>
      </x:c>
      <x:c r="L143" s="192" t="str"/>
      <x:c r="M143" s="192" t="str">
        <x:v>Moderate</x:v>
      </x:c>
      <x:c r="N143" s="192" t="str">
        <x:v>Moderate</x:v>
      </x:c>
      <x:c r="O143" s="192" t="str">
        <x:v>Scenario-Based</x:v>
      </x:c>
      <x:c r="P143" s="192" t="str">
        <x:v>Scenario-Based</x:v>
      </x:c>
      <x:c r="Q143" s="192" t="n">
        <x:v>4</x:v>
      </x:c>
      <x:c r="R143" s="192" t="str">
        <x:v>B</x:v>
      </x:c>
      <x:c r="S143" s="192" t="str">
        <x:v>Approved</x:v>
      </x:c>
      <x:c r="T143" s="192" t="str">
        <x:v>Active</x:v>
      </x:c>
      <x:c r="U143" s="192" t="n">
        <x:v>1</x:v>
      </x:c>
      <x:c r="V143" s="192" t="str"/>
      <x:c r="W143" s="192" t="str">
        <x:v>No additional flag</x:v>
      </x:c>
      <x:c r="X143" s="192" t="str">
        <x:v>No structural flag</x:v>
      </x:c>
      <x:c r="Y143" s="192" t="str">
        <x:v>Not Yet Reviewed</x:v>
      </x:c>
      <x:c r="Z143" s="192" t="str">
        <x:v>CTA LMFT Workbook 9</x:v>
      </x:c>
      <x:c r="AA143" s="192" t="str">
        <x:v>CTA_LMFT_WB9_17_Question_Bank_v1.0.docx</x:v>
      </x:c>
      <x:c r="AB143" s="192" t="str">
        <x:v>1.0</x:v>
      </x:c>
      <x:c r="AC143" s="193"/>
      <x:c r="AD143" s="193" t="n">
        <x:v>46228</x:v>
      </x:c>
      <x:c r="AE143" s="192" t="str"/>
      <x:c r="AF143" s="194" t="str">
        <x:v>Workbook bank; reserve pool after controlled review</x:v>
      </x:c>
    </x:row>
    <x:row r="144">
      <x:c r="A144" s="191" t="str">
        <x:v>CTA-LMFT-MQB-0143</x:v>
      </x:c>
      <x:c r="B144" s="192" t="str">
        <x:v>LMFT-WB09-QB-Q007</x:v>
      </x:c>
      <x:c r="C144" s="192" t="str">
        <x:v>LMFT</x:v>
      </x:c>
      <x:c r="D144" s="192" t="str">
        <x:v>Workbook Question Bank</x:v>
      </x:c>
      <x:c r="E144" s="192" t="n">
        <x:v>9</x:v>
      </x:c>
      <x:c r="F144" s="192" t="str">
        <x:v>Trauma, Psychological, Behavioral, and Recovery Interventions</x:v>
      </x:c>
      <x:c r="G144" s="192"/>
      <x:c r="H144" s="192" t="n">
        <x:v>7</x:v>
      </x:c>
      <x:c r="I144" s="192" t="str">
        <x:v>Workbook Bank</x:v>
      </x:c>
      <x:c r="J144" s="192" t="str">
        <x:v>5. Treatment</x:v>
      </x:c>
      <x:c r="K144" s="192" t="str">
        <x:v>Recovery-oriented coordination</x:v>
      </x:c>
      <x:c r="L144" s="192" t="str"/>
      <x:c r="M144" s="192" t="str">
        <x:v>Moderate</x:v>
      </x:c>
      <x:c r="N144" s="192" t="str">
        <x:v>Moderate</x:v>
      </x:c>
      <x:c r="O144" s="192" t="str">
        <x:v>Application</x:v>
      </x:c>
      <x:c r="P144" s="192" t="str">
        <x:v>Application</x:v>
      </x:c>
      <x:c r="Q144" s="192" t="n">
        <x:v>4</x:v>
      </x:c>
      <x:c r="R144" s="192" t="str">
        <x:v>C</x:v>
      </x:c>
      <x:c r="S144" s="192" t="str">
        <x:v>Approved</x:v>
      </x:c>
      <x:c r="T144" s="192" t="str">
        <x:v>Active</x:v>
      </x:c>
      <x:c r="U144" s="192" t="n">
        <x:v>1</x:v>
      </x:c>
      <x:c r="V144" s="192" t="str"/>
      <x:c r="W144" s="192" t="str">
        <x:v>No additional flag</x:v>
      </x:c>
      <x:c r="X144" s="192" t="str">
        <x:v>No structural flag</x:v>
      </x:c>
      <x:c r="Y144" s="192" t="str">
        <x:v>Not Yet Reviewed</x:v>
      </x:c>
      <x:c r="Z144" s="192" t="str">
        <x:v>CTA LMFT Workbook 9</x:v>
      </x:c>
      <x:c r="AA144" s="192" t="str">
        <x:v>CTA_LMFT_WB9_17_Question_Bank_v1.0.docx</x:v>
      </x:c>
      <x:c r="AB144" s="192" t="str">
        <x:v>1.0</x:v>
      </x:c>
      <x:c r="AC144" s="193"/>
      <x:c r="AD144" s="193" t="n">
        <x:v>46228</x:v>
      </x:c>
      <x:c r="AE144" s="192" t="str"/>
      <x:c r="AF144" s="194" t="str">
        <x:v>Workbook bank; reserve pool after controlled review</x:v>
      </x:c>
    </x:row>
    <x:row r="145">
      <x:c r="A145" s="191" t="str">
        <x:v>CTA-LMFT-MQB-0144</x:v>
      </x:c>
      <x:c r="B145" s="192" t="str">
        <x:v>LMFT-WB09-QB-Q008</x:v>
      </x:c>
      <x:c r="C145" s="192" t="str">
        <x:v>LMFT</x:v>
      </x:c>
      <x:c r="D145" s="192" t="str">
        <x:v>Workbook Question Bank</x:v>
      </x:c>
      <x:c r="E145" s="192" t="n">
        <x:v>9</x:v>
      </x:c>
      <x:c r="F145" s="192" t="str">
        <x:v>Trauma, Psychological, Behavioral, and Recovery Interventions</x:v>
      </x:c>
      <x:c r="G145" s="192"/>
      <x:c r="H145" s="192" t="n">
        <x:v>8</x:v>
      </x:c>
      <x:c r="I145" s="192" t="str">
        <x:v>Workbook Bank</x:v>
      </x:c>
      <x:c r="J145" s="192" t="str">
        <x:v>5. Treatment</x:v>
      </x:c>
      <x:c r="K145" s="192" t="str">
        <x:v>Developmental and caregiver intervention</x:v>
      </x:c>
      <x:c r="L145" s="192" t="str"/>
      <x:c r="M145" s="192" t="str">
        <x:v>Moderate</x:v>
      </x:c>
      <x:c r="N145" s="192" t="str">
        <x:v>Moderate</x:v>
      </x:c>
      <x:c r="O145" s="192" t="str">
        <x:v>Scenario-Based</x:v>
      </x:c>
      <x:c r="P145" s="192" t="str">
        <x:v>Scenario-Based</x:v>
      </x:c>
      <x:c r="Q145" s="192" t="n">
        <x:v>4</x:v>
      </x:c>
      <x:c r="R145" s="192" t="str">
        <x:v>D</x:v>
      </x:c>
      <x:c r="S145" s="192" t="str">
        <x:v>Approved</x:v>
      </x:c>
      <x:c r="T145" s="192" t="str">
        <x:v>Active</x:v>
      </x:c>
      <x:c r="U145" s="192" t="n">
        <x:v>1</x:v>
      </x:c>
      <x:c r="V145" s="192" t="str"/>
      <x:c r="W145" s="192" t="str">
        <x:v>No additional flag</x:v>
      </x:c>
      <x:c r="X145" s="192" t="str">
        <x:v>No structural flag</x:v>
      </x:c>
      <x:c r="Y145" s="192" t="str">
        <x:v>Not Yet Reviewed</x:v>
      </x:c>
      <x:c r="Z145" s="192" t="str">
        <x:v>CTA LMFT Workbook 9</x:v>
      </x:c>
      <x:c r="AA145" s="192" t="str">
        <x:v>CTA_LMFT_WB9_17_Question_Bank_v1.0.docx</x:v>
      </x:c>
      <x:c r="AB145" s="192" t="str">
        <x:v>1.0</x:v>
      </x:c>
      <x:c r="AC145" s="193"/>
      <x:c r="AD145" s="193" t="n">
        <x:v>46228</x:v>
      </x:c>
      <x:c r="AE145" s="192" t="str"/>
      <x:c r="AF145" s="194" t="str">
        <x:v>Workbook bank; reserve pool after controlled review</x:v>
      </x:c>
    </x:row>
    <x:row r="146">
      <x:c r="A146" s="191" t="str">
        <x:v>CTA-LMFT-MQB-0145</x:v>
      </x:c>
      <x:c r="B146" s="192" t="str">
        <x:v>LMFT-WB09-QB-Q009</x:v>
      </x:c>
      <x:c r="C146" s="192" t="str">
        <x:v>LMFT</x:v>
      </x:c>
      <x:c r="D146" s="192" t="str">
        <x:v>Workbook Question Bank</x:v>
      </x:c>
      <x:c r="E146" s="192" t="n">
        <x:v>9</x:v>
      </x:c>
      <x:c r="F146" s="192" t="str">
        <x:v>Trauma, Psychological, Behavioral, and Recovery Interventions</x:v>
      </x:c>
      <x:c r="G146" s="192"/>
      <x:c r="H146" s="192" t="n">
        <x:v>9</x:v>
      </x:c>
      <x:c r="I146" s="192" t="str">
        <x:v>Workbook Bank</x:v>
      </x:c>
      <x:c r="J146" s="192" t="str">
        <x:v>5. Treatment</x:v>
      </x:c>
      <x:c r="K146" s="192" t="str">
        <x:v>Caregiver burden and resource intervention</x:v>
      </x:c>
      <x:c r="L146" s="192" t="str"/>
      <x:c r="M146" s="192" t="str">
        <x:v>Moderate</x:v>
      </x:c>
      <x:c r="N146" s="192" t="str">
        <x:v>Moderate</x:v>
      </x:c>
      <x:c r="O146" s="192" t="str">
        <x:v>Scenario-Based</x:v>
      </x:c>
      <x:c r="P146" s="192" t="str">
        <x:v>Scenario-Based</x:v>
      </x:c>
      <x:c r="Q146" s="192" t="n">
        <x:v>4</x:v>
      </x:c>
      <x:c r="R146" s="192" t="str">
        <x:v>A</x:v>
      </x:c>
      <x:c r="S146" s="192" t="str">
        <x:v>Approved</x:v>
      </x:c>
      <x:c r="T146" s="192" t="str">
        <x:v>Active</x:v>
      </x:c>
      <x:c r="U146" s="192" t="n">
        <x:v>1</x:v>
      </x:c>
      <x:c r="V146" s="192" t="str"/>
      <x:c r="W146" s="192" t="str">
        <x:v>No additional flag</x:v>
      </x:c>
      <x:c r="X146" s="192" t="str">
        <x:v>No structural flag</x:v>
      </x:c>
      <x:c r="Y146" s="192" t="str">
        <x:v>Not Yet Reviewed</x:v>
      </x:c>
      <x:c r="Z146" s="192" t="str">
        <x:v>CTA LMFT Workbook 9</x:v>
      </x:c>
      <x:c r="AA146" s="192" t="str">
        <x:v>CTA_LMFT_WB9_17_Question_Bank_v1.0.docx</x:v>
      </x:c>
      <x:c r="AB146" s="192" t="str">
        <x:v>1.0</x:v>
      </x:c>
      <x:c r="AC146" s="193"/>
      <x:c r="AD146" s="193" t="n">
        <x:v>46228</x:v>
      </x:c>
      <x:c r="AE146" s="192" t="str"/>
      <x:c r="AF146" s="194" t="str">
        <x:v>Workbook bank; reserve pool after controlled review</x:v>
      </x:c>
    </x:row>
    <x:row r="147">
      <x:c r="A147" s="191" t="str">
        <x:v>CTA-LMFT-MQB-0146</x:v>
      </x:c>
      <x:c r="B147" s="192" t="str">
        <x:v>LMFT-WB09-QB-Q010</x:v>
      </x:c>
      <x:c r="C147" s="192" t="str">
        <x:v>LMFT</x:v>
      </x:c>
      <x:c r="D147" s="192" t="str">
        <x:v>Workbook Question Bank</x:v>
      </x:c>
      <x:c r="E147" s="192" t="n">
        <x:v>9</x:v>
      </x:c>
      <x:c r="F147" s="192" t="str">
        <x:v>Trauma, Psychological, Behavioral, and Recovery Interventions</x:v>
      </x:c>
      <x:c r="G147" s="192"/>
      <x:c r="H147" s="192" t="n">
        <x:v>10</x:v>
      </x:c>
      <x:c r="I147" s="192" t="str">
        <x:v>Workbook Bank</x:v>
      </x:c>
      <x:c r="J147" s="192" t="str">
        <x:v>5. Treatment</x:v>
      </x:c>
      <x:c r="K147" s="192" t="str">
        <x:v>Harm reduction and readiness</x:v>
      </x:c>
      <x:c r="L147" s="192" t="str"/>
      <x:c r="M147" s="192" t="str">
        <x:v>Moderate</x:v>
      </x:c>
      <x:c r="N147" s="192" t="str">
        <x:v>Moderate</x:v>
      </x:c>
      <x:c r="O147" s="192" t="str">
        <x:v>Application</x:v>
      </x:c>
      <x:c r="P147" s="192" t="str">
        <x:v>Application</x:v>
      </x:c>
      <x:c r="Q147" s="192" t="n">
        <x:v>4</x:v>
      </x:c>
      <x:c r="R147" s="192" t="str">
        <x:v>B</x:v>
      </x:c>
      <x:c r="S147" s="192" t="str">
        <x:v>Approved</x:v>
      </x:c>
      <x:c r="T147" s="192" t="str">
        <x:v>Active</x:v>
      </x:c>
      <x:c r="U147" s="192" t="n">
        <x:v>1</x:v>
      </x:c>
      <x:c r="V147" s="192" t="str"/>
      <x:c r="W147" s="192" t="str">
        <x:v>No additional flag</x:v>
      </x:c>
      <x:c r="X147" s="192" t="str">
        <x:v>No structural flag</x:v>
      </x:c>
      <x:c r="Y147" s="192" t="str">
        <x:v>Not Yet Reviewed</x:v>
      </x:c>
      <x:c r="Z147" s="192" t="str">
        <x:v>CTA LMFT Workbook 9</x:v>
      </x:c>
      <x:c r="AA147" s="192" t="str">
        <x:v>CTA_LMFT_WB9_17_Question_Bank_v1.0.docx</x:v>
      </x:c>
      <x:c r="AB147" s="192" t="str">
        <x:v>1.0</x:v>
      </x:c>
      <x:c r="AC147" s="193"/>
      <x:c r="AD147" s="193" t="n">
        <x:v>46228</x:v>
      </x:c>
      <x:c r="AE147" s="192" t="str"/>
      <x:c r="AF147" s="194" t="str">
        <x:v>Workbook bank; reserve pool after controlled review</x:v>
      </x:c>
    </x:row>
    <x:row r="148">
      <x:c r="A148" s="191" t="str">
        <x:v>CTA-LMFT-MQB-0147</x:v>
      </x:c>
      <x:c r="B148" s="192" t="str">
        <x:v>LMFT-WB09-QB-Q011</x:v>
      </x:c>
      <x:c r="C148" s="192" t="str">
        <x:v>LMFT</x:v>
      </x:c>
      <x:c r="D148" s="192" t="str">
        <x:v>Workbook Question Bank</x:v>
      </x:c>
      <x:c r="E148" s="192" t="n">
        <x:v>9</x:v>
      </x:c>
      <x:c r="F148" s="192" t="str">
        <x:v>Trauma, Psychological, Behavioral, and Recovery Interventions</x:v>
      </x:c>
      <x:c r="G148" s="192"/>
      <x:c r="H148" s="192" t="n">
        <x:v>11</x:v>
      </x:c>
      <x:c r="I148" s="192" t="str">
        <x:v>Workbook Bank</x:v>
      </x:c>
      <x:c r="J148" s="192" t="str">
        <x:v>5. Treatment</x:v>
      </x:c>
      <x:c r="K148" s="192" t="str">
        <x:v>Eating concerns and medical risk</x:v>
      </x:c>
      <x:c r="L148" s="192" t="str"/>
      <x:c r="M148" s="192" t="str">
        <x:v>Moderate</x:v>
      </x:c>
      <x:c r="N148" s="192" t="str">
        <x:v>Moderate</x:v>
      </x:c>
      <x:c r="O148" s="192" t="str">
        <x:v>Scenario-Based</x:v>
      </x:c>
      <x:c r="P148" s="192" t="str">
        <x:v>Scenario-Based</x:v>
      </x:c>
      <x:c r="Q148" s="192" t="n">
        <x:v>4</x:v>
      </x:c>
      <x:c r="R148" s="192" t="str">
        <x:v>C</x:v>
      </x:c>
      <x:c r="S148" s="192" t="str">
        <x:v>Approved</x:v>
      </x:c>
      <x:c r="T148" s="192" t="str">
        <x:v>Active</x:v>
      </x:c>
      <x:c r="U148" s="192" t="n">
        <x:v>1</x:v>
      </x:c>
      <x:c r="V148" s="192" t="str"/>
      <x:c r="W148" s="192" t="str">
        <x:v>Review Candidate</x:v>
      </x:c>
      <x:c r="X148" s="192" t="str">
        <x:v>No structural flag</x:v>
      </x:c>
      <x:c r="Y148" s="192" t="str">
        <x:v>Not Yet Reviewed</x:v>
      </x:c>
      <x:c r="Z148" s="192" t="str">
        <x:v>CTA LMFT Workbook 9</x:v>
      </x:c>
      <x:c r="AA148" s="192" t="str">
        <x:v>CTA_LMFT_WB9_17_Question_Bank_v1.0.docx</x:v>
      </x:c>
      <x:c r="AB148" s="192" t="str">
        <x:v>1.0</x:v>
      </x:c>
      <x:c r="AC148" s="193"/>
      <x:c r="AD148" s="193" t="n">
        <x:v>46228</x:v>
      </x:c>
      <x:c r="AE148" s="192" t="str"/>
      <x:c r="AF148" s="194" t="str">
        <x:v>Workbook bank; reserve pool after controlled review</x:v>
      </x:c>
    </x:row>
    <x:row r="149">
      <x:c r="A149" s="191" t="str">
        <x:v>CTA-LMFT-MQB-0148</x:v>
      </x:c>
      <x:c r="B149" s="192" t="str">
        <x:v>LMFT-WB09-QB-Q012</x:v>
      </x:c>
      <x:c r="C149" s="192" t="str">
        <x:v>LMFT</x:v>
      </x:c>
      <x:c r="D149" s="192" t="str">
        <x:v>Workbook Question Bank</x:v>
      </x:c>
      <x:c r="E149" s="192" t="n">
        <x:v>9</x:v>
      </x:c>
      <x:c r="F149" s="192" t="str">
        <x:v>Trauma, Psychological, Behavioral, and Recovery Interventions</x:v>
      </x:c>
      <x:c r="G149" s="192"/>
      <x:c r="H149" s="192" t="n">
        <x:v>12</x:v>
      </x:c>
      <x:c r="I149" s="192" t="str">
        <x:v>Workbook Bank</x:v>
      </x:c>
      <x:c r="J149" s="192" t="str">
        <x:v>5. Treatment</x:v>
      </x:c>
      <x:c r="K149" s="192" t="str">
        <x:v>Theory-consistent selection</x:v>
      </x:c>
      <x:c r="L149" s="192" t="str"/>
      <x:c r="M149" s="192" t="str">
        <x:v>Moderate</x:v>
      </x:c>
      <x:c r="N149" s="192" t="str">
        <x:v>Moderate</x:v>
      </x:c>
      <x:c r="O149" s="192" t="str">
        <x:v>Knowledge &amp; Recall</x:v>
      </x:c>
      <x:c r="P149" s="192" t="str">
        <x:v>Knowledge &amp; Recall</x:v>
      </x:c>
      <x:c r="Q149" s="192" t="n">
        <x:v>4</x:v>
      </x:c>
      <x:c r="R149" s="192" t="str">
        <x:v>D</x:v>
      </x:c>
      <x:c r="S149" s="192" t="str">
        <x:v>Approved</x:v>
      </x:c>
      <x:c r="T149" s="192" t="str">
        <x:v>Active</x:v>
      </x:c>
      <x:c r="U149" s="192" t="n">
        <x:v>1</x:v>
      </x:c>
      <x:c r="V149" s="192" t="str"/>
      <x:c r="W149" s="192" t="str">
        <x:v>No additional flag</x:v>
      </x:c>
      <x:c r="X149" s="192" t="str">
        <x:v>No structural flag</x:v>
      </x:c>
      <x:c r="Y149" s="192" t="str">
        <x:v>Not Yet Reviewed</x:v>
      </x:c>
      <x:c r="Z149" s="192" t="str">
        <x:v>CTA LMFT Workbook 9</x:v>
      </x:c>
      <x:c r="AA149" s="192" t="str">
        <x:v>CTA_LMFT_WB9_17_Question_Bank_v1.0.docx</x:v>
      </x:c>
      <x:c r="AB149" s="192" t="str">
        <x:v>1.0</x:v>
      </x:c>
      <x:c r="AC149" s="193"/>
      <x:c r="AD149" s="193" t="n">
        <x:v>46228</x:v>
      </x:c>
      <x:c r="AE149" s="192" t="str"/>
      <x:c r="AF149" s="194" t="str">
        <x:v>Workbook bank; reserve pool after controlled review</x:v>
      </x:c>
    </x:row>
    <x:row r="150">
      <x:c r="A150" s="191" t="str">
        <x:v>CTA-LMFT-MQB-0149</x:v>
      </x:c>
      <x:c r="B150" s="192" t="str">
        <x:v>LMFT-WB09-QB-Q013</x:v>
      </x:c>
      <x:c r="C150" s="192" t="str">
        <x:v>LMFT</x:v>
      </x:c>
      <x:c r="D150" s="192" t="str">
        <x:v>Workbook Question Bank</x:v>
      </x:c>
      <x:c r="E150" s="192" t="n">
        <x:v>9</x:v>
      </x:c>
      <x:c r="F150" s="192" t="str">
        <x:v>Trauma, Psychological, Behavioral, and Recovery Interventions</x:v>
      </x:c>
      <x:c r="G150" s="192"/>
      <x:c r="H150" s="192" t="n">
        <x:v>13</x:v>
      </x:c>
      <x:c r="I150" s="192" t="str">
        <x:v>Workbook Bank</x:v>
      </x:c>
      <x:c r="J150" s="192" t="str">
        <x:v>5. Treatment</x:v>
      </x:c>
      <x:c r="K150" s="192" t="str">
        <x:v>Integrated trauma and reassurance cycle</x:v>
      </x:c>
      <x:c r="L150" s="192" t="str"/>
      <x:c r="M150" s="192" t="str">
        <x:v>Difficult</x:v>
      </x:c>
      <x:c r="N150" s="192" t="str">
        <x:v>Difficult</x:v>
      </x:c>
      <x:c r="O150" s="192" t="str">
        <x:v>Integrated Clinical Reasoning</x:v>
      </x:c>
      <x:c r="P150" s="192" t="str">
        <x:v>Integrated Clinical Reasoning</x:v>
      </x:c>
      <x:c r="Q150" s="192" t="n">
        <x:v>4</x:v>
      </x:c>
      <x:c r="R150" s="192" t="str">
        <x:v>A</x:v>
      </x:c>
      <x:c r="S150" s="192" t="str">
        <x:v>Approved</x:v>
      </x:c>
      <x:c r="T150" s="192" t="str">
        <x:v>Active</x:v>
      </x:c>
      <x:c r="U150" s="192" t="n">
        <x:v>1</x:v>
      </x:c>
      <x:c r="V150" s="192" t="str"/>
      <x:c r="W150" s="192" t="str">
        <x:v>No additional flag</x:v>
      </x:c>
      <x:c r="X150" s="192" t="str">
        <x:v>No structural flag</x:v>
      </x:c>
      <x:c r="Y150" s="192" t="str">
        <x:v>Not Yet Reviewed</x:v>
      </x:c>
      <x:c r="Z150" s="192" t="str">
        <x:v>CTA LMFT Workbook 9</x:v>
      </x:c>
      <x:c r="AA150" s="192" t="str">
        <x:v>CTA_LMFT_WB9_17_Question_Bank_v1.0.docx</x:v>
      </x:c>
      <x:c r="AB150" s="192" t="str">
        <x:v>1.0</x:v>
      </x:c>
      <x:c r="AC150" s="193"/>
      <x:c r="AD150" s="193" t="n">
        <x:v>46228</x:v>
      </x:c>
      <x:c r="AE150" s="192" t="str"/>
      <x:c r="AF150" s="194" t="str">
        <x:v>Workbook bank; reserve pool after controlled review</x:v>
      </x:c>
    </x:row>
    <x:row r="151">
      <x:c r="A151" s="191" t="str">
        <x:v>CTA-LMFT-MQB-0150</x:v>
      </x:c>
      <x:c r="B151" s="192" t="str">
        <x:v>LMFT-WB09-QB-Q014</x:v>
      </x:c>
      <x:c r="C151" s="192" t="str">
        <x:v>LMFT</x:v>
      </x:c>
      <x:c r="D151" s="192" t="str">
        <x:v>Workbook Question Bank</x:v>
      </x:c>
      <x:c r="E151" s="192" t="n">
        <x:v>9</x:v>
      </x:c>
      <x:c r="F151" s="192" t="str">
        <x:v>Trauma, Psychological, Behavioral, and Recovery Interventions</x:v>
      </x:c>
      <x:c r="G151" s="192"/>
      <x:c r="H151" s="192" t="n">
        <x:v>14</x:v>
      </x:c>
      <x:c r="I151" s="192" t="str">
        <x:v>Workbook Bank</x:v>
      </x:c>
      <x:c r="J151" s="192" t="str">
        <x:v>5. Treatment</x:v>
      </x:c>
      <x:c r="K151" s="192" t="str">
        <x:v>Integrated relapse and family recovery</x:v>
      </x:c>
      <x:c r="L151" s="192" t="str"/>
      <x:c r="M151" s="192" t="str">
        <x:v>Difficult</x:v>
      </x:c>
      <x:c r="N151" s="192" t="str">
        <x:v>Difficult</x:v>
      </x:c>
      <x:c r="O151" s="192" t="str">
        <x:v>Integrated Clinical Reasoning</x:v>
      </x:c>
      <x:c r="P151" s="192" t="str">
        <x:v>Integrated Clinical Reasoning</x:v>
      </x:c>
      <x:c r="Q151" s="192" t="n">
        <x:v>4</x:v>
      </x:c>
      <x:c r="R151" s="192" t="str">
        <x:v>B</x:v>
      </x:c>
      <x:c r="S151" s="192" t="str">
        <x:v>Approved</x:v>
      </x:c>
      <x:c r="T151" s="192" t="str">
        <x:v>Active</x:v>
      </x:c>
      <x:c r="U151" s="192" t="n">
        <x:v>1</x:v>
      </x:c>
      <x:c r="V151" s="192" t="str"/>
      <x:c r="W151" s="192" t="str">
        <x:v>No additional flag</x:v>
      </x:c>
      <x:c r="X151" s="192" t="str">
        <x:v>No structural flag</x:v>
      </x:c>
      <x:c r="Y151" s="192" t="str">
        <x:v>Not Yet Reviewed</x:v>
      </x:c>
      <x:c r="Z151" s="192" t="str">
        <x:v>CTA LMFT Workbook 9</x:v>
      </x:c>
      <x:c r="AA151" s="192" t="str">
        <x:v>CTA_LMFT_WB9_17_Question_Bank_v1.0.docx</x:v>
      </x:c>
      <x:c r="AB151" s="192" t="str">
        <x:v>1.0</x:v>
      </x:c>
      <x:c r="AC151" s="193"/>
      <x:c r="AD151" s="193" t="n">
        <x:v>46228</x:v>
      </x:c>
      <x:c r="AE151" s="192" t="str"/>
      <x:c r="AF151" s="194" t="str">
        <x:v>Workbook bank; reserve pool after controlled review</x:v>
      </x:c>
    </x:row>
    <x:row r="152">
      <x:c r="A152" s="191" t="str">
        <x:v>CTA-LMFT-MQB-0151</x:v>
      </x:c>
      <x:c r="B152" s="192" t="str">
        <x:v>LMFT-WB09-QB-Q015</x:v>
      </x:c>
      <x:c r="C152" s="192" t="str">
        <x:v>LMFT</x:v>
      </x:c>
      <x:c r="D152" s="192" t="str">
        <x:v>Workbook Question Bank</x:v>
      </x:c>
      <x:c r="E152" s="192" t="n">
        <x:v>9</x:v>
      </x:c>
      <x:c r="F152" s="192" t="str">
        <x:v>Trauma, Psychological, Behavioral, and Recovery Interventions</x:v>
      </x:c>
      <x:c r="G152" s="192"/>
      <x:c r="H152" s="192" t="n">
        <x:v>15</x:v>
      </x:c>
      <x:c r="I152" s="192" t="str">
        <x:v>Workbook Bank</x:v>
      </x:c>
      <x:c r="J152" s="192" t="str">
        <x:v>5. Treatment</x:v>
      </x:c>
      <x:c r="K152" s="192" t="str">
        <x:v>Integrated nonresponse and access barriers</x:v>
      </x:c>
      <x:c r="L152" s="192" t="str"/>
      <x:c r="M152" s="192" t="str">
        <x:v>Difficult</x:v>
      </x:c>
      <x:c r="N152" s="192" t="str">
        <x:v>Difficult</x:v>
      </x:c>
      <x:c r="O152" s="192" t="str">
        <x:v>Integrated Clinical Reasoning</x:v>
      </x:c>
      <x:c r="P152" s="192" t="str">
        <x:v>Integrated Clinical Reasoning</x:v>
      </x:c>
      <x:c r="Q152" s="192" t="n">
        <x:v>4</x:v>
      </x:c>
      <x:c r="R152" s="192" t="str">
        <x:v>C</x:v>
      </x:c>
      <x:c r="S152" s="192" t="str">
        <x:v>Approved</x:v>
      </x:c>
      <x:c r="T152" s="192" t="str">
        <x:v>Active</x:v>
      </x:c>
      <x:c r="U152" s="192" t="n">
        <x:v>1</x:v>
      </x:c>
      <x:c r="V152" s="192" t="str"/>
      <x:c r="W152" s="192" t="str">
        <x:v>No additional flag</x:v>
      </x:c>
      <x:c r="X152" s="192" t="str">
        <x:v>No structural flag</x:v>
      </x:c>
      <x:c r="Y152" s="192" t="str">
        <x:v>Not Yet Reviewed</x:v>
      </x:c>
      <x:c r="Z152" s="192" t="str">
        <x:v>CTA LMFT Workbook 9</x:v>
      </x:c>
      <x:c r="AA152" s="192" t="str">
        <x:v>CTA_LMFT_WB9_17_Question_Bank_v1.0.docx</x:v>
      </x:c>
      <x:c r="AB152" s="192" t="str">
        <x:v>1.0</x:v>
      </x:c>
      <x:c r="AC152" s="193"/>
      <x:c r="AD152" s="193" t="n">
        <x:v>46228</x:v>
      </x:c>
      <x:c r="AE152" s="192" t="str"/>
      <x:c r="AF152" s="194" t="str">
        <x:v>Workbook bank; reserve pool after controlled review</x:v>
      </x:c>
    </x:row>
    <x:row r="153">
      <x:c r="A153" s="191" t="str">
        <x:v>CTA-LMFT-MQB-0152</x:v>
      </x:c>
      <x:c r="B153" s="192" t="str">
        <x:v>LMFT-WB09-QB-Q016</x:v>
      </x:c>
      <x:c r="C153" s="192" t="str">
        <x:v>LMFT</x:v>
      </x:c>
      <x:c r="D153" s="192" t="str">
        <x:v>Workbook Question Bank</x:v>
      </x:c>
      <x:c r="E153" s="192" t="n">
        <x:v>9</x:v>
      </x:c>
      <x:c r="F153" s="192" t="str">
        <x:v>Trauma, Psychological, Behavioral, and Recovery Interventions</x:v>
      </x:c>
      <x:c r="G153" s="192"/>
      <x:c r="H153" s="192" t="n">
        <x:v>16</x:v>
      </x:c>
      <x:c r="I153" s="192" t="str">
        <x:v>Workbook Bank</x:v>
      </x:c>
      <x:c r="J153" s="192" t="str">
        <x:v>5. Treatment</x:v>
      </x:c>
      <x:c r="K153" s="192" t="str">
        <x:v>Integrated adolescent risk and family work</x:v>
      </x:c>
      <x:c r="L153" s="192" t="str"/>
      <x:c r="M153" s="192" t="str">
        <x:v>Difficult</x:v>
      </x:c>
      <x:c r="N153" s="192" t="str">
        <x:v>Difficult</x:v>
      </x:c>
      <x:c r="O153" s="192" t="str">
        <x:v>Integrated Clinical Reasoning</x:v>
      </x:c>
      <x:c r="P153" s="192" t="str">
        <x:v>Integrated Clinical Reasoning</x:v>
      </x:c>
      <x:c r="Q153" s="192" t="n">
        <x:v>4</x:v>
      </x:c>
      <x:c r="R153" s="192" t="str">
        <x:v>D</x:v>
      </x:c>
      <x:c r="S153" s="192" t="str">
        <x:v>Approved</x:v>
      </x:c>
      <x:c r="T153" s="192" t="str">
        <x:v>Active</x:v>
      </x:c>
      <x:c r="U153" s="192" t="n">
        <x:v>1</x:v>
      </x:c>
      <x:c r="V153" s="192" t="str"/>
      <x:c r="W153" s="192" t="str">
        <x:v>Review Candidate</x:v>
      </x:c>
      <x:c r="X153" s="192" t="str">
        <x:v>No structural flag</x:v>
      </x:c>
      <x:c r="Y153" s="192" t="str">
        <x:v>Not Yet Reviewed</x:v>
      </x:c>
      <x:c r="Z153" s="192" t="str">
        <x:v>CTA LMFT Workbook 9</x:v>
      </x:c>
      <x:c r="AA153" s="192" t="str">
        <x:v>CTA_LMFT_WB9_17_Question_Bank_v1.0.docx</x:v>
      </x:c>
      <x:c r="AB153" s="192" t="str">
        <x:v>1.0</x:v>
      </x:c>
      <x:c r="AC153" s="193"/>
      <x:c r="AD153" s="193" t="n">
        <x:v>46228</x:v>
      </x:c>
      <x:c r="AE153" s="192" t="str"/>
      <x:c r="AF153" s="194" t="str">
        <x:v>Workbook bank; reserve pool after controlled review</x:v>
      </x:c>
    </x:row>
    <x:row r="154">
      <x:c r="A154" s="191" t="str">
        <x:v>CTA-LMFT-MQB-0153</x:v>
      </x:c>
      <x:c r="B154" s="192" t="str">
        <x:v>LMFT-WB09-QB-Q017</x:v>
      </x:c>
      <x:c r="C154" s="192" t="str">
        <x:v>LMFT</x:v>
      </x:c>
      <x:c r="D154" s="192" t="str">
        <x:v>Workbook Question Bank</x:v>
      </x:c>
      <x:c r="E154" s="192" t="n">
        <x:v>9</x:v>
      </x:c>
      <x:c r="F154" s="192" t="str">
        <x:v>Trauma, Psychological, Behavioral, and Recovery Interventions</x:v>
      </x:c>
      <x:c r="G154" s="192"/>
      <x:c r="H154" s="192" t="n">
        <x:v>17</x:v>
      </x:c>
      <x:c r="I154" s="192" t="str">
        <x:v>Workbook Bank</x:v>
      </x:c>
      <x:c r="J154" s="192" t="str">
        <x:v>5. Treatment</x:v>
      </x:c>
      <x:c r="K154" s="192" t="str">
        <x:v>Integrated competence, continuity, and specialty care</x:v>
      </x:c>
      <x:c r="L154" s="192" t="str"/>
      <x:c r="M154" s="192" t="str">
        <x:v>Difficult</x:v>
      </x:c>
      <x:c r="N154" s="192" t="str">
        <x:v>Difficult</x:v>
      </x:c>
      <x:c r="O154" s="192" t="str">
        <x:v>Integrated Clinical Reasoning</x:v>
      </x:c>
      <x:c r="P154" s="192" t="str">
        <x:v>Integrated Clinical Reasoning</x:v>
      </x:c>
      <x:c r="Q154" s="192" t="n">
        <x:v>4</x:v>
      </x:c>
      <x:c r="R154" s="192" t="str">
        <x:v>A</x:v>
      </x:c>
      <x:c r="S154" s="192" t="str">
        <x:v>Approved</x:v>
      </x:c>
      <x:c r="T154" s="192" t="str">
        <x:v>Active</x:v>
      </x:c>
      <x:c r="U154" s="192" t="n">
        <x:v>1</x:v>
      </x:c>
      <x:c r="V154" s="192" t="str"/>
      <x:c r="W154" s="192" t="str">
        <x:v>No additional flag</x:v>
      </x:c>
      <x:c r="X154" s="192" t="str">
        <x:v>No structural flag</x:v>
      </x:c>
      <x:c r="Y154" s="192" t="str">
        <x:v>Not Yet Reviewed</x:v>
      </x:c>
      <x:c r="Z154" s="192" t="str">
        <x:v>CTA LMFT Workbook 9</x:v>
      </x:c>
      <x:c r="AA154" s="192" t="str">
        <x:v>CTA_LMFT_WB9_17_Question_Bank_v1.0.docx</x:v>
      </x:c>
      <x:c r="AB154" s="192" t="str">
        <x:v>1.0</x:v>
      </x:c>
      <x:c r="AC154" s="193"/>
      <x:c r="AD154" s="193" t="n">
        <x:v>46228</x:v>
      </x:c>
      <x:c r="AE154" s="192" t="str"/>
      <x:c r="AF154" s="194" t="str">
        <x:v>Workbook bank; reserve pool after controlled review</x:v>
      </x:c>
    </x:row>
    <x:row r="155">
      <x:c r="A155" s="191" t="str">
        <x:v>CTA-LMFT-MQB-0154</x:v>
      </x:c>
      <x:c r="B155" s="192" t="str">
        <x:v>LMFT-WB10-QB-Q001</x:v>
      </x:c>
      <x:c r="C155" s="192" t="str">
        <x:v>LMFT</x:v>
      </x:c>
      <x:c r="D155" s="192" t="str">
        <x:v>Workbook Question Bank</x:v>
      </x:c>
      <x:c r="E155" s="192" t="n">
        <x:v>10</x:v>
      </x:c>
      <x:c r="F155" s="192" t="str">
        <x:v>Developmental, Cultural, and Contextual Interventions</x:v>
      </x:c>
      <x:c r="G155" s="192"/>
      <x:c r="H155" s="192" t="n">
        <x:v>1</x:v>
      </x:c>
      <x:c r="I155" s="192" t="str">
        <x:v>Workbook Bank</x:v>
      </x:c>
      <x:c r="J155" s="192" t="str">
        <x:v>5. Treatment</x:v>
      </x:c>
      <x:c r="K155" s="192" t="str">
        <x:v>CARE contextual intervention sequence</x:v>
      </x:c>
      <x:c r="L155" s="192" t="str"/>
      <x:c r="M155" s="192" t="str">
        <x:v>Easy</x:v>
      </x:c>
      <x:c r="N155" s="192" t="str">
        <x:v>Easy</x:v>
      </x:c>
      <x:c r="O155" s="192" t="str">
        <x:v>Knowledge &amp; Recall</x:v>
      </x:c>
      <x:c r="P155" s="192" t="str">
        <x:v>Knowledge &amp; Recall</x:v>
      </x:c>
      <x:c r="Q155" s="192" t="n">
        <x:v>4</x:v>
      </x:c>
      <x:c r="R155" s="192" t="str">
        <x:v>A</x:v>
      </x:c>
      <x:c r="S155" s="192" t="str">
        <x:v>Approved</x:v>
      </x:c>
      <x:c r="T155" s="192" t="str">
        <x:v>Active</x:v>
      </x:c>
      <x:c r="U155" s="192" t="n">
        <x:v>1</x:v>
      </x:c>
      <x:c r="V155" s="192" t="str"/>
      <x:c r="W155" s="192" t="str">
        <x:v>No additional flag</x:v>
      </x:c>
      <x:c r="X155" s="192" t="str">
        <x:v>No structural flag</x:v>
      </x:c>
      <x:c r="Y155" s="192" t="str">
        <x:v>Not Yet Reviewed</x:v>
      </x:c>
      <x:c r="Z155" s="192" t="str">
        <x:v>CTA LMFT Workbook 10</x:v>
      </x:c>
      <x:c r="AA155" s="192" t="str">
        <x:v>CTA_LMFT_WB10_17_Question_Bank_v1.0.docx</x:v>
      </x:c>
      <x:c r="AB155" s="192" t="str">
        <x:v>1.0</x:v>
      </x:c>
      <x:c r="AC155" s="193"/>
      <x:c r="AD155" s="193" t="n">
        <x:v>46228</x:v>
      </x:c>
      <x:c r="AE155" s="192" t="str"/>
      <x:c r="AF155" s="194" t="str">
        <x:v>Workbook bank; reserve pool after controlled review</x:v>
      </x:c>
    </x:row>
    <x:row r="156">
      <x:c r="A156" s="191" t="str">
        <x:v>CTA-LMFT-MQB-0155</x:v>
      </x:c>
      <x:c r="B156" s="192" t="str">
        <x:v>LMFT-WB10-QB-Q002</x:v>
      </x:c>
      <x:c r="C156" s="192" t="str">
        <x:v>LMFT</x:v>
      </x:c>
      <x:c r="D156" s="192" t="str">
        <x:v>Workbook Question Bank</x:v>
      </x:c>
      <x:c r="E156" s="192" t="n">
        <x:v>10</x:v>
      </x:c>
      <x:c r="F156" s="192" t="str">
        <x:v>Developmental, Cultural, and Contextual Interventions</x:v>
      </x:c>
      <x:c r="G156" s="192"/>
      <x:c r="H156" s="192" t="n">
        <x:v>2</x:v>
      </x:c>
      <x:c r="I156" s="192" t="str">
        <x:v>Workbook Bank</x:v>
      </x:c>
      <x:c r="J156" s="192" t="str">
        <x:v>5. Treatment</x:v>
      </x:c>
      <x:c r="K156" s="192" t="str">
        <x:v>Developmental capacity versus chronological age</x:v>
      </x:c>
      <x:c r="L156" s="192" t="str"/>
      <x:c r="M156" s="192" t="str">
        <x:v>Easy</x:v>
      </x:c>
      <x:c r="N156" s="192" t="str">
        <x:v>Easy</x:v>
      </x:c>
      <x:c r="O156" s="192" t="str">
        <x:v>Knowledge &amp; Recall</x:v>
      </x:c>
      <x:c r="P156" s="192" t="str">
        <x:v>Knowledge &amp; Recall</x:v>
      </x:c>
      <x:c r="Q156" s="192" t="n">
        <x:v>4</x:v>
      </x:c>
      <x:c r="R156" s="192" t="str">
        <x:v>B</x:v>
      </x:c>
      <x:c r="S156" s="192" t="str">
        <x:v>Approved</x:v>
      </x:c>
      <x:c r="T156" s="192" t="str">
        <x:v>Active</x:v>
      </x:c>
      <x:c r="U156" s="192" t="n">
        <x:v>1</x:v>
      </x:c>
      <x:c r="V156" s="192" t="str"/>
      <x:c r="W156" s="192" t="str">
        <x:v>No additional flag</x:v>
      </x:c>
      <x:c r="X156" s="192" t="str">
        <x:v>No structural flag</x:v>
      </x:c>
      <x:c r="Y156" s="192" t="str">
        <x:v>Not Yet Reviewed</x:v>
      </x:c>
      <x:c r="Z156" s="192" t="str">
        <x:v>CTA LMFT Workbook 10</x:v>
      </x:c>
      <x:c r="AA156" s="192" t="str">
        <x:v>CTA_LMFT_WB10_17_Question_Bank_v1.0.docx</x:v>
      </x:c>
      <x:c r="AB156" s="192" t="str">
        <x:v>1.0</x:v>
      </x:c>
      <x:c r="AC156" s="193"/>
      <x:c r="AD156" s="193" t="n">
        <x:v>46228</x:v>
      </x:c>
      <x:c r="AE156" s="192" t="str"/>
      <x:c r="AF156" s="194" t="str">
        <x:v>Workbook bank; reserve pool after controlled review</x:v>
      </x:c>
    </x:row>
    <x:row r="157">
      <x:c r="A157" s="191" t="str">
        <x:v>CTA-LMFT-MQB-0156</x:v>
      </x:c>
      <x:c r="B157" s="192" t="str">
        <x:v>LMFT-WB10-QB-Q003</x:v>
      </x:c>
      <x:c r="C157" s="192" t="str">
        <x:v>LMFT</x:v>
      </x:c>
      <x:c r="D157" s="192" t="str">
        <x:v>Workbook Question Bank</x:v>
      </x:c>
      <x:c r="E157" s="192" t="n">
        <x:v>10</x:v>
      </x:c>
      <x:c r="F157" s="192" t="str">
        <x:v>Developmental, Cultural, and Contextual Interventions</x:v>
      </x:c>
      <x:c r="G157" s="192"/>
      <x:c r="H157" s="192" t="n">
        <x:v>3</x:v>
      </x:c>
      <x:c r="I157" s="192" t="str">
        <x:v>Workbook Bank</x:v>
      </x:c>
      <x:c r="J157" s="192" t="str">
        <x:v>5. Treatment</x:v>
      </x:c>
      <x:c r="K157" s="192" t="str">
        <x:v>Cultural humility and interactional adaptation</x:v>
      </x:c>
      <x:c r="L157" s="192" t="str"/>
      <x:c r="M157" s="192" t="str">
        <x:v>Easy</x:v>
      </x:c>
      <x:c r="N157" s="192" t="str">
        <x:v>Easy</x:v>
      </x:c>
      <x:c r="O157" s="192" t="str">
        <x:v>Application</x:v>
      </x:c>
      <x:c r="P157" s="192" t="str">
        <x:v>Application</x:v>
      </x:c>
      <x:c r="Q157" s="192" t="n">
        <x:v>4</x:v>
      </x:c>
      <x:c r="R157" s="192" t="str">
        <x:v>C</x:v>
      </x:c>
      <x:c r="S157" s="192" t="str">
        <x:v>Approved</x:v>
      </x:c>
      <x:c r="T157" s="192" t="str">
        <x:v>Active</x:v>
      </x:c>
      <x:c r="U157" s="192" t="n">
        <x:v>1</x:v>
      </x:c>
      <x:c r="V157" s="192" t="str"/>
      <x:c r="W157" s="192" t="str">
        <x:v>No additional flag</x:v>
      </x:c>
      <x:c r="X157" s="192" t="str">
        <x:v>No structural flag</x:v>
      </x:c>
      <x:c r="Y157" s="192" t="str">
        <x:v>Not Yet Reviewed</x:v>
      </x:c>
      <x:c r="Z157" s="192" t="str">
        <x:v>CTA LMFT Workbook 10</x:v>
      </x:c>
      <x:c r="AA157" s="192" t="str">
        <x:v>CTA_LMFT_WB10_17_Question_Bank_v1.0.docx</x:v>
      </x:c>
      <x:c r="AB157" s="192" t="str">
        <x:v>1.0</x:v>
      </x:c>
      <x:c r="AC157" s="193"/>
      <x:c r="AD157" s="193" t="n">
        <x:v>46228</x:v>
      </x:c>
      <x:c r="AE157" s="192" t="str"/>
      <x:c r="AF157" s="194" t="str">
        <x:v>Workbook bank; reserve pool after controlled review</x:v>
      </x:c>
    </x:row>
    <x:row r="158">
      <x:c r="A158" s="191" t="str">
        <x:v>CTA-LMFT-MQB-0157</x:v>
      </x:c>
      <x:c r="B158" s="192" t="str">
        <x:v>LMFT-WB10-QB-Q004</x:v>
      </x:c>
      <x:c r="C158" s="192" t="str">
        <x:v>LMFT</x:v>
      </x:c>
      <x:c r="D158" s="192" t="str">
        <x:v>Workbook Question Bank</x:v>
      </x:c>
      <x:c r="E158" s="192" t="n">
        <x:v>10</x:v>
      </x:c>
      <x:c r="F158" s="192" t="str">
        <x:v>Developmental, Cultural, and Contextual Interventions</x:v>
      </x:c>
      <x:c r="G158" s="192"/>
      <x:c r="H158" s="192" t="n">
        <x:v>4</x:v>
      </x:c>
      <x:c r="I158" s="192" t="str">
        <x:v>Workbook Bank</x:v>
      </x:c>
      <x:c r="J158" s="192" t="str">
        <x:v>5. Treatment</x:v>
      </x:c>
      <x:c r="K158" s="192" t="str">
        <x:v>Accessibility as clinical effectiveness</x:v>
      </x:c>
      <x:c r="L158" s="192" t="str"/>
      <x:c r="M158" s="192" t="str">
        <x:v>Easy</x:v>
      </x:c>
      <x:c r="N158" s="192" t="str">
        <x:v>Easy</x:v>
      </x:c>
      <x:c r="O158" s="192" t="str">
        <x:v>Knowledge &amp; Recall</x:v>
      </x:c>
      <x:c r="P158" s="192" t="str">
        <x:v>Knowledge &amp; Recall</x:v>
      </x:c>
      <x:c r="Q158" s="192" t="n">
        <x:v>4</x:v>
      </x:c>
      <x:c r="R158" s="192" t="str">
        <x:v>D</x:v>
      </x:c>
      <x:c r="S158" s="192" t="str">
        <x:v>Approved</x:v>
      </x:c>
      <x:c r="T158" s="192" t="str">
        <x:v>Active</x:v>
      </x:c>
      <x:c r="U158" s="192" t="n">
        <x:v>1</x:v>
      </x:c>
      <x:c r="V158" s="192" t="str"/>
      <x:c r="W158" s="192" t="str">
        <x:v>No additional flag</x:v>
      </x:c>
      <x:c r="X158" s="192" t="str">
        <x:v>No structural flag</x:v>
      </x:c>
      <x:c r="Y158" s="192" t="str">
        <x:v>Not Yet Reviewed</x:v>
      </x:c>
      <x:c r="Z158" s="192" t="str">
        <x:v>CTA LMFT Workbook 10</x:v>
      </x:c>
      <x:c r="AA158" s="192" t="str">
        <x:v>CTA_LMFT_WB10_17_Question_Bank_v1.0.docx</x:v>
      </x:c>
      <x:c r="AB158" s="192" t="str">
        <x:v>1.0</x:v>
      </x:c>
      <x:c r="AC158" s="193"/>
      <x:c r="AD158" s="193" t="n">
        <x:v>46228</x:v>
      </x:c>
      <x:c r="AE158" s="192" t="str"/>
      <x:c r="AF158" s="194" t="str">
        <x:v>Workbook bank; reserve pool after controlled review</x:v>
      </x:c>
    </x:row>
    <x:row r="159">
      <x:c r="A159" s="191" t="str">
        <x:v>CTA-LMFT-MQB-0158</x:v>
      </x:c>
      <x:c r="B159" s="192" t="str">
        <x:v>LMFT-WB10-QB-Q005</x:v>
      </x:c>
      <x:c r="C159" s="192" t="str">
        <x:v>LMFT</x:v>
      </x:c>
      <x:c r="D159" s="192" t="str">
        <x:v>Workbook Question Bank</x:v>
      </x:c>
      <x:c r="E159" s="192" t="n">
        <x:v>10</x:v>
      </x:c>
      <x:c r="F159" s="192" t="str">
        <x:v>Developmental, Cultural, and Contextual Interventions</x:v>
      </x:c>
      <x:c r="G159" s="192"/>
      <x:c r="H159" s="192" t="n">
        <x:v>5</x:v>
      </x:c>
      <x:c r="I159" s="192" t="str">
        <x:v>Workbook Bank</x:v>
      </x:c>
      <x:c r="J159" s="192" t="str">
        <x:v>5. Treatment</x:v>
      </x:c>
      <x:c r="K159" s="192" t="str">
        <x:v>Evaluation of contextual fit</x:v>
      </x:c>
      <x:c r="L159" s="192" t="str"/>
      <x:c r="M159" s="192" t="str">
        <x:v>Easy</x:v>
      </x:c>
      <x:c r="N159" s="192" t="str">
        <x:v>Easy</x:v>
      </x:c>
      <x:c r="O159" s="192" t="str">
        <x:v>Application</x:v>
      </x:c>
      <x:c r="P159" s="192" t="str">
        <x:v>Application</x:v>
      </x:c>
      <x:c r="Q159" s="192" t="n">
        <x:v>4</x:v>
      </x:c>
      <x:c r="R159" s="192" t="str">
        <x:v>A</x:v>
      </x:c>
      <x:c r="S159" s="192" t="str">
        <x:v>Approved</x:v>
      </x:c>
      <x:c r="T159" s="192" t="str">
        <x:v>Active</x:v>
      </x:c>
      <x:c r="U159" s="192" t="n">
        <x:v>1</x:v>
      </x:c>
      <x:c r="V159" s="192" t="str"/>
      <x:c r="W159" s="192" t="str">
        <x:v>No additional flag</x:v>
      </x:c>
      <x:c r="X159" s="192" t="str">
        <x:v>No structural flag</x:v>
      </x:c>
      <x:c r="Y159" s="192" t="str">
        <x:v>Not Yet Reviewed</x:v>
      </x:c>
      <x:c r="Z159" s="192" t="str">
        <x:v>CTA LMFT Workbook 10</x:v>
      </x:c>
      <x:c r="AA159" s="192" t="str">
        <x:v>CTA_LMFT_WB10_17_Question_Bank_v1.0.docx</x:v>
      </x:c>
      <x:c r="AB159" s="192" t="str">
        <x:v>1.0</x:v>
      </x:c>
      <x:c r="AC159" s="193"/>
      <x:c r="AD159" s="193" t="n">
        <x:v>46228</x:v>
      </x:c>
      <x:c r="AE159" s="192" t="str"/>
      <x:c r="AF159" s="194" t="str">
        <x:v>Workbook bank; reserve pool after controlled review</x:v>
      </x:c>
    </x:row>
    <x:row r="160">
      <x:c r="A160" s="191" t="str">
        <x:v>CTA-LMFT-MQB-0159</x:v>
      </x:c>
      <x:c r="B160" s="192" t="str">
        <x:v>LMFT-WB10-QB-Q006</x:v>
      </x:c>
      <x:c r="C160" s="192" t="str">
        <x:v>LMFT</x:v>
      </x:c>
      <x:c r="D160" s="192" t="str">
        <x:v>Workbook Question Bank</x:v>
      </x:c>
      <x:c r="E160" s="192" t="n">
        <x:v>10</x:v>
      </x:c>
      <x:c r="F160" s="192" t="str">
        <x:v>Developmental, Cultural, and Contextual Interventions</x:v>
      </x:c>
      <x:c r="G160" s="192"/>
      <x:c r="H160" s="192" t="n">
        <x:v>6</x:v>
      </x:c>
      <x:c r="I160" s="192" t="str">
        <x:v>Workbook Bank</x:v>
      </x:c>
      <x:c r="J160" s="192" t="str">
        <x:v>5. Treatment</x:v>
      </x:c>
      <x:c r="K160" s="192" t="str">
        <x:v>Retirement and family life-cycle transition</x:v>
      </x:c>
      <x:c r="L160" s="192" t="str"/>
      <x:c r="M160" s="192" t="str">
        <x:v>Moderate</x:v>
      </x:c>
      <x:c r="N160" s="192" t="str">
        <x:v>Moderate</x:v>
      </x:c>
      <x:c r="O160" s="192" t="str">
        <x:v>Application</x:v>
      </x:c>
      <x:c r="P160" s="192" t="str">
        <x:v>Application</x:v>
      </x:c>
      <x:c r="Q160" s="192" t="n">
        <x:v>4</x:v>
      </x:c>
      <x:c r="R160" s="192" t="str">
        <x:v>B</x:v>
      </x:c>
      <x:c r="S160" s="192" t="str">
        <x:v>Approved</x:v>
      </x:c>
      <x:c r="T160" s="192" t="str">
        <x:v>Active</x:v>
      </x:c>
      <x:c r="U160" s="192" t="n">
        <x:v>1</x:v>
      </x:c>
      <x:c r="V160" s="192" t="str"/>
      <x:c r="W160" s="192" t="str">
        <x:v>No additional flag</x:v>
      </x:c>
      <x:c r="X160" s="192" t="str">
        <x:v>No structural flag</x:v>
      </x:c>
      <x:c r="Y160" s="192" t="str">
        <x:v>Not Yet Reviewed</x:v>
      </x:c>
      <x:c r="Z160" s="192" t="str">
        <x:v>CTA LMFT Workbook 10</x:v>
      </x:c>
      <x:c r="AA160" s="192" t="str">
        <x:v>CTA_LMFT_WB10_17_Question_Bank_v1.0.docx</x:v>
      </x:c>
      <x:c r="AB160" s="192" t="str">
        <x:v>1.0</x:v>
      </x:c>
      <x:c r="AC160" s="193"/>
      <x:c r="AD160" s="193" t="n">
        <x:v>46228</x:v>
      </x:c>
      <x:c r="AE160" s="192" t="str"/>
      <x:c r="AF160" s="194" t="str">
        <x:v>Workbook bank; reserve pool after controlled review</x:v>
      </x:c>
    </x:row>
    <x:row r="161">
      <x:c r="A161" s="191" t="str">
        <x:v>CTA-LMFT-MQB-0160</x:v>
      </x:c>
      <x:c r="B161" s="192" t="str">
        <x:v>LMFT-WB10-QB-Q007</x:v>
      </x:c>
      <x:c r="C161" s="192" t="str">
        <x:v>LMFT</x:v>
      </x:c>
      <x:c r="D161" s="192" t="str">
        <x:v>Workbook Question Bank</x:v>
      </x:c>
      <x:c r="E161" s="192" t="n">
        <x:v>10</x:v>
      </x:c>
      <x:c r="F161" s="192" t="str">
        <x:v>Developmental, Cultural, and Contextual Interventions</x:v>
      </x:c>
      <x:c r="G161" s="192"/>
      <x:c r="H161" s="192" t="n">
        <x:v>7</x:v>
      </x:c>
      <x:c r="I161" s="192" t="str">
        <x:v>Workbook Bank</x:v>
      </x:c>
      <x:c r="J161" s="192" t="str">
        <x:v>5. Treatment</x:v>
      </x:c>
      <x:c r="K161" s="192" t="str">
        <x:v>Neurodiversity, sensory access, and engagement</x:v>
      </x:c>
      <x:c r="L161" s="192" t="str"/>
      <x:c r="M161" s="192" t="str">
        <x:v>Moderate</x:v>
      </x:c>
      <x:c r="N161" s="192" t="str">
        <x:v>Moderate</x:v>
      </x:c>
      <x:c r="O161" s="192" t="str">
        <x:v>Scenario-Based</x:v>
      </x:c>
      <x:c r="P161" s="192" t="str">
        <x:v>Scenario-Based</x:v>
      </x:c>
      <x:c r="Q161" s="192" t="n">
        <x:v>4</x:v>
      </x:c>
      <x:c r="R161" s="192" t="str">
        <x:v>C</x:v>
      </x:c>
      <x:c r="S161" s="192" t="str">
        <x:v>Approved</x:v>
      </x:c>
      <x:c r="T161" s="192" t="str">
        <x:v>Active</x:v>
      </x:c>
      <x:c r="U161" s="192" t="n">
        <x:v>1</x:v>
      </x:c>
      <x:c r="V161" s="192" t="str"/>
      <x:c r="W161" s="192" t="str">
        <x:v>No additional flag</x:v>
      </x:c>
      <x:c r="X161" s="192" t="str">
        <x:v>No structural flag</x:v>
      </x:c>
      <x:c r="Y161" s="192" t="str">
        <x:v>Not Yet Reviewed</x:v>
      </x:c>
      <x:c r="Z161" s="192" t="str">
        <x:v>CTA LMFT Workbook 10</x:v>
      </x:c>
      <x:c r="AA161" s="192" t="str">
        <x:v>CTA_LMFT_WB10_17_Question_Bank_v1.0.docx</x:v>
      </x:c>
      <x:c r="AB161" s="192" t="str">
        <x:v>1.0</x:v>
      </x:c>
      <x:c r="AC161" s="193"/>
      <x:c r="AD161" s="193" t="n">
        <x:v>46228</x:v>
      </x:c>
      <x:c r="AE161" s="192" t="str"/>
      <x:c r="AF161" s="194" t="str">
        <x:v>Workbook bank; reserve pool after controlled review</x:v>
      </x:c>
    </x:row>
    <x:row r="162">
      <x:c r="A162" s="191" t="str">
        <x:v>CTA-LMFT-MQB-0161</x:v>
      </x:c>
      <x:c r="B162" s="192" t="str">
        <x:v>LMFT-WB10-QB-Q008</x:v>
      </x:c>
      <x:c r="C162" s="192" t="str">
        <x:v>LMFT</x:v>
      </x:c>
      <x:c r="D162" s="192" t="str">
        <x:v>Workbook Question Bank</x:v>
      </x:c>
      <x:c r="E162" s="192" t="n">
        <x:v>10</x:v>
      </x:c>
      <x:c r="F162" s="192" t="str">
        <x:v>Developmental, Cultural, and Contextual Interventions</x:v>
      </x:c>
      <x:c r="G162" s="192"/>
      <x:c r="H162" s="192" t="n">
        <x:v>8</x:v>
      </x:c>
      <x:c r="I162" s="192" t="str">
        <x:v>Workbook Bank</x:v>
      </x:c>
      <x:c r="J162" s="192" t="str">
        <x:v>5. Treatment</x:v>
      </x:c>
      <x:c r="K162" s="192" t="str">
        <x:v>Spirituality, safety, and client-defined meaning</x:v>
      </x:c>
      <x:c r="L162" s="192" t="str"/>
      <x:c r="M162" s="192" t="str">
        <x:v>Moderate</x:v>
      </x:c>
      <x:c r="N162" s="192" t="str">
        <x:v>Moderate</x:v>
      </x:c>
      <x:c r="O162" s="192" t="str">
        <x:v>Scenario-Based</x:v>
      </x:c>
      <x:c r="P162" s="192" t="str">
        <x:v>Scenario-Based</x:v>
      </x:c>
      <x:c r="Q162" s="192" t="n">
        <x:v>4</x:v>
      </x:c>
      <x:c r="R162" s="192" t="str">
        <x:v>D</x:v>
      </x:c>
      <x:c r="S162" s="192" t="str">
        <x:v>Approved</x:v>
      </x:c>
      <x:c r="T162" s="192" t="str">
        <x:v>Active</x:v>
      </x:c>
      <x:c r="U162" s="192" t="n">
        <x:v>1</x:v>
      </x:c>
      <x:c r="V162" s="192" t="str"/>
      <x:c r="W162" s="192" t="str">
        <x:v>No additional flag</x:v>
      </x:c>
      <x:c r="X162" s="192" t="str">
        <x:v>No structural flag</x:v>
      </x:c>
      <x:c r="Y162" s="192" t="str">
        <x:v>Not Yet Reviewed</x:v>
      </x:c>
      <x:c r="Z162" s="192" t="str">
        <x:v>CTA LMFT Workbook 10</x:v>
      </x:c>
      <x:c r="AA162" s="192" t="str">
        <x:v>CTA_LMFT_WB10_17_Question_Bank_v1.0.docx</x:v>
      </x:c>
      <x:c r="AB162" s="192" t="str">
        <x:v>1.0</x:v>
      </x:c>
      <x:c r="AC162" s="193"/>
      <x:c r="AD162" s="193" t="n">
        <x:v>46228</x:v>
      </x:c>
      <x:c r="AE162" s="192" t="str"/>
      <x:c r="AF162" s="194" t="str">
        <x:v>Workbook bank; reserve pool after controlled review</x:v>
      </x:c>
    </x:row>
    <x:row r="163">
      <x:c r="A163" s="191" t="str">
        <x:v>CTA-LMFT-MQB-0162</x:v>
      </x:c>
      <x:c r="B163" s="192" t="str">
        <x:v>LMFT-WB10-QB-Q009</x:v>
      </x:c>
      <x:c r="C163" s="192" t="str">
        <x:v>LMFT</x:v>
      </x:c>
      <x:c r="D163" s="192" t="str">
        <x:v>Workbook Question Bank</x:v>
      </x:c>
      <x:c r="E163" s="192" t="n">
        <x:v>10</x:v>
      </x:c>
      <x:c r="F163" s="192" t="str">
        <x:v>Developmental, Cultural, and Contextual Interventions</x:v>
      </x:c>
      <x:c r="G163" s="192"/>
      <x:c r="H163" s="192" t="n">
        <x:v>9</x:v>
      </x:c>
      <x:c r="I163" s="192" t="str">
        <x:v>Workbook Bank</x:v>
      </x:c>
      <x:c r="J163" s="192" t="str">
        <x:v>5. Treatment</x:v>
      </x:c>
      <x:c r="K163" s="192" t="str">
        <x:v>Structural stress and feasible intervention design</x:v>
      </x:c>
      <x:c r="L163" s="192" t="str"/>
      <x:c r="M163" s="192" t="str">
        <x:v>Moderate</x:v>
      </x:c>
      <x:c r="N163" s="192" t="str">
        <x:v>Moderate</x:v>
      </x:c>
      <x:c r="O163" s="192" t="str">
        <x:v>Application</x:v>
      </x:c>
      <x:c r="P163" s="192" t="str">
        <x:v>Application</x:v>
      </x:c>
      <x:c r="Q163" s="192" t="n">
        <x:v>4</x:v>
      </x:c>
      <x:c r="R163" s="192" t="str">
        <x:v>A</x:v>
      </x:c>
      <x:c r="S163" s="192" t="str">
        <x:v>Approved</x:v>
      </x:c>
      <x:c r="T163" s="192" t="str">
        <x:v>Active</x:v>
      </x:c>
      <x:c r="U163" s="192" t="n">
        <x:v>1</x:v>
      </x:c>
      <x:c r="V163" s="192" t="str"/>
      <x:c r="W163" s="192" t="str">
        <x:v>No additional flag</x:v>
      </x:c>
      <x:c r="X163" s="192" t="str">
        <x:v>No structural flag</x:v>
      </x:c>
      <x:c r="Y163" s="192" t="str">
        <x:v>Not Yet Reviewed</x:v>
      </x:c>
      <x:c r="Z163" s="192" t="str">
        <x:v>CTA LMFT Workbook 10</x:v>
      </x:c>
      <x:c r="AA163" s="192" t="str">
        <x:v>CTA_LMFT_WB10_17_Question_Bank_v1.0.docx</x:v>
      </x:c>
      <x:c r="AB163" s="192" t="str">
        <x:v>1.0</x:v>
      </x:c>
      <x:c r="AC163" s="193"/>
      <x:c r="AD163" s="193" t="n">
        <x:v>46228</x:v>
      </x:c>
      <x:c r="AE163" s="192" t="str"/>
      <x:c r="AF163" s="194" t="str">
        <x:v>Workbook bank; reserve pool after controlled review</x:v>
      </x:c>
    </x:row>
    <x:row r="164">
      <x:c r="A164" s="191" t="str">
        <x:v>CTA-LMFT-MQB-0163</x:v>
      </x:c>
      <x:c r="B164" s="192" t="str">
        <x:v>LMFT-WB10-QB-Q010</x:v>
      </x:c>
      <x:c r="C164" s="192" t="str">
        <x:v>LMFT</x:v>
      </x:c>
      <x:c r="D164" s="192" t="str">
        <x:v>Workbook Question Bank</x:v>
      </x:c>
      <x:c r="E164" s="192" t="n">
        <x:v>10</x:v>
      </x:c>
      <x:c r="F164" s="192" t="str">
        <x:v>Developmental, Cultural, and Contextual Interventions</x:v>
      </x:c>
      <x:c r="G164" s="192"/>
      <x:c r="H164" s="192" t="n">
        <x:v>10</x:v>
      </x:c>
      <x:c r="I164" s="192" t="str">
        <x:v>Workbook Bank</x:v>
      </x:c>
      <x:c r="J164" s="192" t="str">
        <x:v>5. Treatment</x:v>
      </x:c>
      <x:c r="K164" s="192" t="str">
        <x:v>Military reintegration and role renegotiation</x:v>
      </x:c>
      <x:c r="L164" s="192" t="str"/>
      <x:c r="M164" s="192" t="str">
        <x:v>Moderate</x:v>
      </x:c>
      <x:c r="N164" s="192" t="str">
        <x:v>Moderate</x:v>
      </x:c>
      <x:c r="O164" s="192" t="str">
        <x:v>Scenario-Based</x:v>
      </x:c>
      <x:c r="P164" s="192" t="str">
        <x:v>Scenario-Based</x:v>
      </x:c>
      <x:c r="Q164" s="192" t="n">
        <x:v>4</x:v>
      </x:c>
      <x:c r="R164" s="192" t="str">
        <x:v>B</x:v>
      </x:c>
      <x:c r="S164" s="192" t="str">
        <x:v>Approved</x:v>
      </x:c>
      <x:c r="T164" s="192" t="str">
        <x:v>Active</x:v>
      </x:c>
      <x:c r="U164" s="192" t="n">
        <x:v>1</x:v>
      </x:c>
      <x:c r="V164" s="192" t="str"/>
      <x:c r="W164" s="192" t="str">
        <x:v>No additional flag</x:v>
      </x:c>
      <x:c r="X164" s="192" t="str">
        <x:v>No structural flag</x:v>
      </x:c>
      <x:c r="Y164" s="192" t="str">
        <x:v>Not Yet Reviewed</x:v>
      </x:c>
      <x:c r="Z164" s="192" t="str">
        <x:v>CTA LMFT Workbook 10</x:v>
      </x:c>
      <x:c r="AA164" s="192" t="str">
        <x:v>CTA_LMFT_WB10_17_Question_Bank_v1.0.docx</x:v>
      </x:c>
      <x:c r="AB164" s="192" t="str">
        <x:v>1.0</x:v>
      </x:c>
      <x:c r="AC164" s="193"/>
      <x:c r="AD164" s="193" t="n">
        <x:v>46228</x:v>
      </x:c>
      <x:c r="AE164" s="192" t="str"/>
      <x:c r="AF164" s="194" t="str">
        <x:v>Workbook bank; reserve pool after controlled review</x:v>
      </x:c>
    </x:row>
    <x:row r="165">
      <x:c r="A165" s="191" t="str">
        <x:v>CTA-LMFT-MQB-0164</x:v>
      </x:c>
      <x:c r="B165" s="192" t="str">
        <x:v>LMFT-WB10-QB-Q011</x:v>
      </x:c>
      <x:c r="C165" s="192" t="str">
        <x:v>LMFT</x:v>
      </x:c>
      <x:c r="D165" s="192" t="str">
        <x:v>Workbook Question Bank</x:v>
      </x:c>
      <x:c r="E165" s="192" t="n">
        <x:v>10</x:v>
      </x:c>
      <x:c r="F165" s="192" t="str">
        <x:v>Developmental, Cultural, and Contextual Interventions</x:v>
      </x:c>
      <x:c r="G165" s="192"/>
      <x:c r="H165" s="192" t="n">
        <x:v>11</x:v>
      </x:c>
      <x:c r="I165" s="192" t="str">
        <x:v>Workbook Bank</x:v>
      </x:c>
      <x:c r="J165" s="192" t="str">
        <x:v>5. Treatment</x:v>
      </x:c>
      <x:c r="K165" s="192" t="str">
        <x:v>Qualified interpretation and role protection</x:v>
      </x:c>
      <x:c r="L165" s="192" t="str"/>
      <x:c r="M165" s="192" t="str">
        <x:v>Moderate</x:v>
      </x:c>
      <x:c r="N165" s="192" t="str">
        <x:v>Moderate</x:v>
      </x:c>
      <x:c r="O165" s="192" t="str">
        <x:v>Scenario-Based</x:v>
      </x:c>
      <x:c r="P165" s="192" t="str">
        <x:v>Scenario-Based</x:v>
      </x:c>
      <x:c r="Q165" s="192" t="n">
        <x:v>4</x:v>
      </x:c>
      <x:c r="R165" s="192" t="str">
        <x:v>C</x:v>
      </x:c>
      <x:c r="S165" s="192" t="str">
        <x:v>Approved</x:v>
      </x:c>
      <x:c r="T165" s="192" t="str">
        <x:v>Active</x:v>
      </x:c>
      <x:c r="U165" s="192" t="n">
        <x:v>1</x:v>
      </x:c>
      <x:c r="V165" s="192" t="str"/>
      <x:c r="W165" s="192" t="str">
        <x:v>No additional flag</x:v>
      </x:c>
      <x:c r="X165" s="192" t="str">
        <x:v>No structural flag</x:v>
      </x:c>
      <x:c r="Y165" s="192" t="str">
        <x:v>Not Yet Reviewed</x:v>
      </x:c>
      <x:c r="Z165" s="192" t="str">
        <x:v>CTA LMFT Workbook 10</x:v>
      </x:c>
      <x:c r="AA165" s="192" t="str">
        <x:v>CTA_LMFT_WB10_17_Question_Bank_v1.0.docx</x:v>
      </x:c>
      <x:c r="AB165" s="192" t="str">
        <x:v>1.0</x:v>
      </x:c>
      <x:c r="AC165" s="193"/>
      <x:c r="AD165" s="193" t="n">
        <x:v>46228</x:v>
      </x:c>
      <x:c r="AE165" s="192" t="str"/>
      <x:c r="AF165" s="194" t="str">
        <x:v>Workbook bank; reserve pool after controlled review</x:v>
      </x:c>
    </x:row>
    <x:row r="166">
      <x:c r="A166" s="191" t="str">
        <x:v>CTA-LMFT-MQB-0165</x:v>
      </x:c>
      <x:c r="B166" s="192" t="str">
        <x:v>LMFT-WB10-QB-Q012</x:v>
      </x:c>
      <x:c r="C166" s="192" t="str">
        <x:v>LMFT</x:v>
      </x:c>
      <x:c r="D166" s="192" t="str">
        <x:v>Workbook Question Bank</x:v>
      </x:c>
      <x:c r="E166" s="192" t="n">
        <x:v>10</x:v>
      </x:c>
      <x:c r="F166" s="192" t="str">
        <x:v>Developmental, Cultural, and Contextual Interventions</x:v>
      </x:c>
      <x:c r="G166" s="192"/>
      <x:c r="H166" s="192" t="n">
        <x:v>12</x:v>
      </x:c>
      <x:c r="I166" s="192" t="str">
        <x:v>Workbook Bank</x:v>
      </x:c>
      <x:c r="J166" s="192" t="str">
        <x:v>5. Treatment</x:v>
      </x:c>
      <x:c r="K166" s="192" t="str">
        <x:v>Affirming care, family involvement, and housing safety</x:v>
      </x:c>
      <x:c r="L166" s="192" t="str"/>
      <x:c r="M166" s="192" t="str">
        <x:v>Moderate</x:v>
      </x:c>
      <x:c r="N166" s="192" t="str">
        <x:v>Moderate</x:v>
      </x:c>
      <x:c r="O166" s="192" t="str">
        <x:v>Integrated Clinical Reasoning</x:v>
      </x:c>
      <x:c r="P166" s="192" t="str">
        <x:v>Integrated Clinical Reasoning</x:v>
      </x:c>
      <x:c r="Q166" s="192" t="n">
        <x:v>4</x:v>
      </x:c>
      <x:c r="R166" s="192" t="str">
        <x:v>D</x:v>
      </x:c>
      <x:c r="S166" s="192" t="str">
        <x:v>Approved</x:v>
      </x:c>
      <x:c r="T166" s="192" t="str">
        <x:v>Active</x:v>
      </x:c>
      <x:c r="U166" s="192" t="n">
        <x:v>1</x:v>
      </x:c>
      <x:c r="V166" s="192" t="str"/>
      <x:c r="W166" s="192" t="str">
        <x:v>Review Candidate</x:v>
      </x:c>
      <x:c r="X166" s="192" t="str">
        <x:v>No structural flag</x:v>
      </x:c>
      <x:c r="Y166" s="192" t="str">
        <x:v>Not Yet Reviewed</x:v>
      </x:c>
      <x:c r="Z166" s="192" t="str">
        <x:v>CTA LMFT Workbook 10</x:v>
      </x:c>
      <x:c r="AA166" s="192" t="str">
        <x:v>CTA_LMFT_WB10_17_Question_Bank_v1.0.docx</x:v>
      </x:c>
      <x:c r="AB166" s="192" t="str">
        <x:v>1.0</x:v>
      </x:c>
      <x:c r="AC166" s="193"/>
      <x:c r="AD166" s="193" t="n">
        <x:v>46228</x:v>
      </x:c>
      <x:c r="AE166" s="192" t="str"/>
      <x:c r="AF166" s="194" t="str">
        <x:v>Workbook bank; reserve pool after controlled review</x:v>
      </x:c>
    </x:row>
    <x:row r="167">
      <x:c r="A167" s="191" t="str">
        <x:v>CTA-LMFT-MQB-0166</x:v>
      </x:c>
      <x:c r="B167" s="192" t="str">
        <x:v>LMFT-WB10-QB-Q013</x:v>
      </x:c>
      <x:c r="C167" s="192" t="str">
        <x:v>LMFT</x:v>
      </x:c>
      <x:c r="D167" s="192" t="str">
        <x:v>Workbook Question Bank</x:v>
      </x:c>
      <x:c r="E167" s="192" t="n">
        <x:v>10</x:v>
      </x:c>
      <x:c r="F167" s="192" t="str">
        <x:v>Developmental, Cultural, and Contextual Interventions</x:v>
      </x:c>
      <x:c r="G167" s="192"/>
      <x:c r="H167" s="192" t="n">
        <x:v>13</x:v>
      </x:c>
      <x:c r="I167" s="192" t="str">
        <x:v>Workbook Bank</x:v>
      </x:c>
      <x:c r="J167" s="192" t="str">
        <x:v>5. Treatment</x:v>
      </x:c>
      <x:c r="K167" s="192" t="str">
        <x:v>Aging, hearing access, caregiving, and independent participation</x:v>
      </x:c>
      <x:c r="L167" s="192" t="str"/>
      <x:c r="M167" s="192" t="str">
        <x:v>Difficult</x:v>
      </x:c>
      <x:c r="N167" s="192" t="str">
        <x:v>Difficult</x:v>
      </x:c>
      <x:c r="O167" s="192" t="str">
        <x:v>Scenario-Based</x:v>
      </x:c>
      <x:c r="P167" s="192" t="str">
        <x:v>Scenario-Based</x:v>
      </x:c>
      <x:c r="Q167" s="192" t="n">
        <x:v>4</x:v>
      </x:c>
      <x:c r="R167" s="192" t="str">
        <x:v>A</x:v>
      </x:c>
      <x:c r="S167" s="192" t="str">
        <x:v>Approved</x:v>
      </x:c>
      <x:c r="T167" s="192" t="str">
        <x:v>Active</x:v>
      </x:c>
      <x:c r="U167" s="192" t="n">
        <x:v>1</x:v>
      </x:c>
      <x:c r="V167" s="192" t="str"/>
      <x:c r="W167" s="192" t="str">
        <x:v>No additional flag</x:v>
      </x:c>
      <x:c r="X167" s="192" t="str">
        <x:v>No structural flag</x:v>
      </x:c>
      <x:c r="Y167" s="192" t="str">
        <x:v>Not Yet Reviewed</x:v>
      </x:c>
      <x:c r="Z167" s="192" t="str">
        <x:v>CTA LMFT Workbook 10</x:v>
      </x:c>
      <x:c r="AA167" s="192" t="str">
        <x:v>CTA_LMFT_WB10_17_Question_Bank_v1.0.docx</x:v>
      </x:c>
      <x:c r="AB167" s="192" t="str">
        <x:v>1.0</x:v>
      </x:c>
      <x:c r="AC167" s="193"/>
      <x:c r="AD167" s="193" t="n">
        <x:v>46228</x:v>
      </x:c>
      <x:c r="AE167" s="192" t="str"/>
      <x:c r="AF167" s="194" t="str">
        <x:v>Workbook bank; reserve pool after controlled review</x:v>
      </x:c>
    </x:row>
    <x:row r="168">
      <x:c r="A168" s="191" t="str">
        <x:v>CTA-LMFT-MQB-0167</x:v>
      </x:c>
      <x:c r="B168" s="192" t="str">
        <x:v>LMFT-WB10-QB-Q014</x:v>
      </x:c>
      <x:c r="C168" s="192" t="str">
        <x:v>LMFT</x:v>
      </x:c>
      <x:c r="D168" s="192" t="str">
        <x:v>Workbook Question Bank</x:v>
      </x:c>
      <x:c r="E168" s="192" t="n">
        <x:v>10</x:v>
      </x:c>
      <x:c r="F168" s="192" t="str">
        <x:v>Developmental, Cultural, and Contextual Interventions</x:v>
      </x:c>
      <x:c r="G168" s="192"/>
      <x:c r="H168" s="192" t="n">
        <x:v>14</x:v>
      </x:c>
      <x:c r="I168" s="192" t="str">
        <x:v>Workbook Bank</x:v>
      </x:c>
      <x:c r="J168" s="192" t="str">
        <x:v>5. Treatment</x:v>
      </x:c>
      <x:c r="K168" s="192" t="str">
        <x:v>Migration, coercive control, language access, and scope</x:v>
      </x:c>
      <x:c r="L168" s="192" t="str"/>
      <x:c r="M168" s="192" t="str">
        <x:v>Difficult</x:v>
      </x:c>
      <x:c r="N168" s="192" t="str">
        <x:v>Difficult</x:v>
      </x:c>
      <x:c r="O168" s="192" t="str">
        <x:v>Integrated Clinical Reasoning</x:v>
      </x:c>
      <x:c r="P168" s="192" t="str">
        <x:v>Integrated Clinical Reasoning</x:v>
      </x:c>
      <x:c r="Q168" s="192" t="n">
        <x:v>4</x:v>
      </x:c>
      <x:c r="R168" s="192" t="str">
        <x:v>B</x:v>
      </x:c>
      <x:c r="S168" s="192" t="str">
        <x:v>Approved</x:v>
      </x:c>
      <x:c r="T168" s="192" t="str">
        <x:v>Active</x:v>
      </x:c>
      <x:c r="U168" s="192" t="n">
        <x:v>1</x:v>
      </x:c>
      <x:c r="V168" s="192" t="str"/>
      <x:c r="W168" s="192" t="str">
        <x:v>No additional flag</x:v>
      </x:c>
      <x:c r="X168" s="192" t="str">
        <x:v>No structural flag</x:v>
      </x:c>
      <x:c r="Y168" s="192" t="str">
        <x:v>Not Yet Reviewed</x:v>
      </x:c>
      <x:c r="Z168" s="192" t="str">
        <x:v>CTA LMFT Workbook 10</x:v>
      </x:c>
      <x:c r="AA168" s="192" t="str">
        <x:v>CTA_LMFT_WB10_17_Question_Bank_v1.0.docx</x:v>
      </x:c>
      <x:c r="AB168" s="192" t="str">
        <x:v>1.0</x:v>
      </x:c>
      <x:c r="AC168" s="193"/>
      <x:c r="AD168" s="193" t="n">
        <x:v>46228</x:v>
      </x:c>
      <x:c r="AE168" s="192" t="str"/>
      <x:c r="AF168" s="194" t="str">
        <x:v>Workbook bank; reserve pool after controlled review</x:v>
      </x:c>
    </x:row>
    <x:row r="169">
      <x:c r="A169" s="191" t="str">
        <x:v>CTA-LMFT-MQB-0168</x:v>
      </x:c>
      <x:c r="B169" s="192" t="str">
        <x:v>LMFT-WB10-QB-Q015</x:v>
      </x:c>
      <x:c r="C169" s="192" t="str">
        <x:v>LMFT</x:v>
      </x:c>
      <x:c r="D169" s="192" t="str">
        <x:v>Workbook Question Bank</x:v>
      </x:c>
      <x:c r="E169" s="192" t="n">
        <x:v>10</x:v>
      </x:c>
      <x:c r="F169" s="192" t="str">
        <x:v>Developmental, Cultural, and Contextual Interventions</x:v>
      </x:c>
      <x:c r="G169" s="192"/>
      <x:c r="H169" s="192" t="n">
        <x:v>15</x:v>
      </x:c>
      <x:c r="I169" s="192" t="str">
        <x:v>Workbook Bank</x:v>
      </x:c>
      <x:c r="J169" s="192" t="str">
        <x:v>5. Treatment</x:v>
      </x:c>
      <x:c r="K169" s="192" t="str">
        <x:v>Adolescent school context, cultural meaning, and coordinated care</x:v>
      </x:c>
      <x:c r="L169" s="192" t="str"/>
      <x:c r="M169" s="192" t="str">
        <x:v>Difficult</x:v>
      </x:c>
      <x:c r="N169" s="192" t="str">
        <x:v>Difficult</x:v>
      </x:c>
      <x:c r="O169" s="192" t="str">
        <x:v>Integrated Clinical Reasoning</x:v>
      </x:c>
      <x:c r="P169" s="192" t="str">
        <x:v>Integrated Clinical Reasoning</x:v>
      </x:c>
      <x:c r="Q169" s="192" t="n">
        <x:v>4</x:v>
      </x:c>
      <x:c r="R169" s="192" t="str">
        <x:v>C</x:v>
      </x:c>
      <x:c r="S169" s="192" t="str">
        <x:v>Approved</x:v>
      </x:c>
      <x:c r="T169" s="192" t="str">
        <x:v>Active</x:v>
      </x:c>
      <x:c r="U169" s="192" t="n">
        <x:v>1</x:v>
      </x:c>
      <x:c r="V169" s="192" t="str"/>
      <x:c r="W169" s="192" t="str">
        <x:v>No additional flag</x:v>
      </x:c>
      <x:c r="X169" s="192" t="str">
        <x:v>No structural flag</x:v>
      </x:c>
      <x:c r="Y169" s="192" t="str">
        <x:v>Not Yet Reviewed</x:v>
      </x:c>
      <x:c r="Z169" s="192" t="str">
        <x:v>CTA LMFT Workbook 10</x:v>
      </x:c>
      <x:c r="AA169" s="192" t="str">
        <x:v>CTA_LMFT_WB10_17_Question_Bank_v1.0.docx</x:v>
      </x:c>
      <x:c r="AB169" s="192" t="str">
        <x:v>1.0</x:v>
      </x:c>
      <x:c r="AC169" s="193"/>
      <x:c r="AD169" s="193" t="n">
        <x:v>46228</x:v>
      </x:c>
      <x:c r="AE169" s="192" t="str"/>
      <x:c r="AF169" s="194" t="str">
        <x:v>Workbook bank; reserve pool after controlled review</x:v>
      </x:c>
    </x:row>
    <x:row r="170">
      <x:c r="A170" s="191" t="str">
        <x:v>CTA-LMFT-MQB-0169</x:v>
      </x:c>
      <x:c r="B170" s="192" t="str">
        <x:v>LMFT-WB10-QB-Q016</x:v>
      </x:c>
      <x:c r="C170" s="192" t="str">
        <x:v>LMFT</x:v>
      </x:c>
      <x:c r="D170" s="192" t="str">
        <x:v>Workbook Question Bank</x:v>
      </x:c>
      <x:c r="E170" s="192" t="n">
        <x:v>10</x:v>
      </x:c>
      <x:c r="F170" s="192" t="str">
        <x:v>Developmental, Cultural, and Contextual Interventions</x:v>
      </x:c>
      <x:c r="G170" s="192"/>
      <x:c r="H170" s="192" t="n">
        <x:v>16</x:v>
      </x:c>
      <x:c r="I170" s="192" t="str">
        <x:v>Workbook Bank</x:v>
      </x:c>
      <x:c r="J170" s="192" t="str">
        <x:v>5. Treatment</x:v>
      </x:c>
      <x:c r="K170" s="192" t="str">
        <x:v>Executive functioning, chronic pain, couple cycle, and homework adaptation</x:v>
      </x:c>
      <x:c r="L170" s="192" t="str"/>
      <x:c r="M170" s="192" t="str">
        <x:v>Difficult</x:v>
      </x:c>
      <x:c r="N170" s="192" t="str">
        <x:v>Difficult</x:v>
      </x:c>
      <x:c r="O170" s="192" t="str">
        <x:v>Integrated Clinical Reasoning</x:v>
      </x:c>
      <x:c r="P170" s="192" t="str">
        <x:v>Integrated Clinical Reasoning</x:v>
      </x:c>
      <x:c r="Q170" s="192" t="n">
        <x:v>4</x:v>
      </x:c>
      <x:c r="R170" s="192" t="str">
        <x:v>D</x:v>
      </x:c>
      <x:c r="S170" s="192" t="str">
        <x:v>Approved</x:v>
      </x:c>
      <x:c r="T170" s="192" t="str">
        <x:v>Active</x:v>
      </x:c>
      <x:c r="U170" s="192" t="n">
        <x:v>1</x:v>
      </x:c>
      <x:c r="V170" s="192" t="str"/>
      <x:c r="W170" s="192" t="str">
        <x:v>No additional flag</x:v>
      </x:c>
      <x:c r="X170" s="192" t="str">
        <x:v>No structural flag</x:v>
      </x:c>
      <x:c r="Y170" s="192" t="str">
        <x:v>Not Yet Reviewed</x:v>
      </x:c>
      <x:c r="Z170" s="192" t="str">
        <x:v>CTA LMFT Workbook 10</x:v>
      </x:c>
      <x:c r="AA170" s="192" t="str">
        <x:v>CTA_LMFT_WB10_17_Question_Bank_v1.0.docx</x:v>
      </x:c>
      <x:c r="AB170" s="192" t="str">
        <x:v>1.0</x:v>
      </x:c>
      <x:c r="AC170" s="193"/>
      <x:c r="AD170" s="193" t="n">
        <x:v>46228</x:v>
      </x:c>
      <x:c r="AE170" s="192" t="str"/>
      <x:c r="AF170" s="194" t="str">
        <x:v>Workbook bank; reserve pool after controlled review</x:v>
      </x:c>
    </x:row>
    <x:row r="171">
      <x:c r="A171" s="191" t="str">
        <x:v>CTA-LMFT-MQB-0170</x:v>
      </x:c>
      <x:c r="B171" s="192" t="str">
        <x:v>LMFT-WB10-QB-Q017</x:v>
      </x:c>
      <x:c r="C171" s="192" t="str">
        <x:v>LMFT</x:v>
      </x:c>
      <x:c r="D171" s="192" t="str">
        <x:v>Workbook Question Bank</x:v>
      </x:c>
      <x:c r="E171" s="192" t="n">
        <x:v>10</x:v>
      </x:c>
      <x:c r="F171" s="192" t="str">
        <x:v>Developmental, Cultural, and Contextual Interventions</x:v>
      </x:c>
      <x:c r="G171" s="192"/>
      <x:c r="H171" s="192" t="n">
        <x:v>17</x:v>
      </x:c>
      <x:c r="I171" s="192" t="str">
        <x:v>Workbook Bank</x:v>
      </x:c>
      <x:c r="J171" s="192" t="str">
        <x:v>5. Treatment</x:v>
      </x:c>
      <x:c r="K171" s="192" t="str">
        <x:v>Historical trauma, institutional mistrust, and coordinated intervention</x:v>
      </x:c>
      <x:c r="L171" s="192" t="str"/>
      <x:c r="M171" s="192" t="str">
        <x:v>Difficult</x:v>
      </x:c>
      <x:c r="N171" s="192" t="str">
        <x:v>Difficult</x:v>
      </x:c>
      <x:c r="O171" s="192" t="str">
        <x:v>Integrated Clinical Reasoning</x:v>
      </x:c>
      <x:c r="P171" s="192" t="str">
        <x:v>Integrated Clinical Reasoning</x:v>
      </x:c>
      <x:c r="Q171" s="192" t="n">
        <x:v>4</x:v>
      </x:c>
      <x:c r="R171" s="192" t="str">
        <x:v>A</x:v>
      </x:c>
      <x:c r="S171" s="192" t="str">
        <x:v>Approved</x:v>
      </x:c>
      <x:c r="T171" s="192" t="str">
        <x:v>Active</x:v>
      </x:c>
      <x:c r="U171" s="192" t="n">
        <x:v>1</x:v>
      </x:c>
      <x:c r="V171" s="192" t="str"/>
      <x:c r="W171" s="192" t="str">
        <x:v>No additional flag</x:v>
      </x:c>
      <x:c r="X171" s="192" t="str">
        <x:v>No structural flag</x:v>
      </x:c>
      <x:c r="Y171" s="192" t="str">
        <x:v>Not Yet Reviewed</x:v>
      </x:c>
      <x:c r="Z171" s="192" t="str">
        <x:v>CTA LMFT Workbook 10</x:v>
      </x:c>
      <x:c r="AA171" s="192" t="str">
        <x:v>CTA_LMFT_WB10_17_Question_Bank_v1.0.docx</x:v>
      </x:c>
      <x:c r="AB171" s="192" t="str">
        <x:v>1.0</x:v>
      </x:c>
      <x:c r="AC171" s="193"/>
      <x:c r="AD171" s="193" t="n">
        <x:v>46228</x:v>
      </x:c>
      <x:c r="AE171" s="192" t="str"/>
      <x:c r="AF171" s="194" t="str">
        <x:v>Workbook bank; reserve pool after controlled review</x:v>
      </x:c>
    </x:row>
    <x:row r="172">
      <x:c r="A172" s="191" t="str">
        <x:v>CTA-LMFT-MQB-0171</x:v>
      </x:c>
      <x:c r="B172" s="192" t="str">
        <x:v>LMFT-WB11-QB-Q001</x:v>
      </x:c>
      <x:c r="C172" s="192" t="str">
        <x:v>LMFT</x:v>
      </x:c>
      <x:c r="D172" s="192" t="str">
        <x:v>Workbook Question Bank</x:v>
      </x:c>
      <x:c r="E172" s="192" t="n">
        <x:v>11</x:v>
      </x:c>
      <x:c r="F172" s="192" t="str">
        <x:v>Theory, Groups, Referral, and Interdisciplinary Collaboration</x:v>
      </x:c>
      <x:c r="G172" s="192"/>
      <x:c r="H172" s="192" t="n">
        <x:v>1</x:v>
      </x:c>
      <x:c r="I172" s="192" t="str">
        <x:v>Workbook Bank</x:v>
      </x:c>
      <x:c r="J172" s="192" t="str">
        <x:v>5. Treatment</x:v>
      </x:c>
      <x:c r="K172" s="192" t="str">
        <x:v>Theory versus technique</x:v>
      </x:c>
      <x:c r="L172" s="192" t="str"/>
      <x:c r="M172" s="192" t="str">
        <x:v>Easy</x:v>
      </x:c>
      <x:c r="N172" s="192" t="str">
        <x:v>Easy</x:v>
      </x:c>
      <x:c r="O172" s="192" t="str">
        <x:v>Knowledge &amp; Recall</x:v>
      </x:c>
      <x:c r="P172" s="192" t="str">
        <x:v>Knowledge &amp; Recall</x:v>
      </x:c>
      <x:c r="Q172" s="192" t="n">
        <x:v>4</x:v>
      </x:c>
      <x:c r="R172" s="192" t="str">
        <x:v>A</x:v>
      </x:c>
      <x:c r="S172" s="192" t="str">
        <x:v>Approved</x:v>
      </x:c>
      <x:c r="T172" s="192" t="str">
        <x:v>Active</x:v>
      </x:c>
      <x:c r="U172" s="192" t="n">
        <x:v>1</x:v>
      </x:c>
      <x:c r="V172" s="192" t="str"/>
      <x:c r="W172" s="192" t="str">
        <x:v>No additional flag</x:v>
      </x:c>
      <x:c r="X172" s="192" t="str">
        <x:v>No structural flag</x:v>
      </x:c>
      <x:c r="Y172" s="192" t="str">
        <x:v>Not Yet Reviewed</x:v>
      </x:c>
      <x:c r="Z172" s="192" t="str">
        <x:v>CTA LMFT Workbook 11</x:v>
      </x:c>
      <x:c r="AA172" s="192" t="str">
        <x:v>CTA_LMFT_WB11_17_Question_Bank_v1.0.docx</x:v>
      </x:c>
      <x:c r="AB172" s="192" t="str">
        <x:v>1.0</x:v>
      </x:c>
      <x:c r="AC172" s="193"/>
      <x:c r="AD172" s="193" t="n">
        <x:v>46228</x:v>
      </x:c>
      <x:c r="AE172" s="192" t="str"/>
      <x:c r="AF172" s="194" t="str">
        <x:v>Workbook bank; reserve pool after controlled review</x:v>
      </x:c>
    </x:row>
    <x:row r="173">
      <x:c r="A173" s="191" t="str">
        <x:v>CTA-LMFT-MQB-0172</x:v>
      </x:c>
      <x:c r="B173" s="192" t="str">
        <x:v>LMFT-WB11-QB-Q002</x:v>
      </x:c>
      <x:c r="C173" s="192" t="str">
        <x:v>LMFT</x:v>
      </x:c>
      <x:c r="D173" s="192" t="str">
        <x:v>Workbook Question Bank</x:v>
      </x:c>
      <x:c r="E173" s="192" t="n">
        <x:v>11</x:v>
      </x:c>
      <x:c r="F173" s="192" t="str">
        <x:v>Theory, Groups, Referral, and Interdisciplinary Collaboration</x:v>
      </x:c>
      <x:c r="G173" s="192"/>
      <x:c r="H173" s="192" t="n">
        <x:v>2</x:v>
      </x:c>
      <x:c r="I173" s="192" t="str">
        <x:v>Workbook Bank</x:v>
      </x:c>
      <x:c r="J173" s="192" t="str">
        <x:v>5. Treatment</x:v>
      </x:c>
      <x:c r="K173" s="192" t="str">
        <x:v>Group screening and fit</x:v>
      </x:c>
      <x:c r="L173" s="192" t="str"/>
      <x:c r="M173" s="192" t="str">
        <x:v>Easy</x:v>
      </x:c>
      <x:c r="N173" s="192" t="str">
        <x:v>Easy</x:v>
      </x:c>
      <x:c r="O173" s="192" t="str">
        <x:v>Knowledge &amp; Recall</x:v>
      </x:c>
      <x:c r="P173" s="192" t="str">
        <x:v>Knowledge &amp; Recall</x:v>
      </x:c>
      <x:c r="Q173" s="192" t="n">
        <x:v>4</x:v>
      </x:c>
      <x:c r="R173" s="192" t="str">
        <x:v>B</x:v>
      </x:c>
      <x:c r="S173" s="192" t="str">
        <x:v>Approved</x:v>
      </x:c>
      <x:c r="T173" s="192" t="str">
        <x:v>Active</x:v>
      </x:c>
      <x:c r="U173" s="192" t="n">
        <x:v>1</x:v>
      </x:c>
      <x:c r="V173" s="192" t="str"/>
      <x:c r="W173" s="192" t="str">
        <x:v>No additional flag</x:v>
      </x:c>
      <x:c r="X173" s="192" t="str">
        <x:v>No structural flag</x:v>
      </x:c>
      <x:c r="Y173" s="192" t="str">
        <x:v>Not Yet Reviewed</x:v>
      </x:c>
      <x:c r="Z173" s="192" t="str">
        <x:v>CTA LMFT Workbook 11</x:v>
      </x:c>
      <x:c r="AA173" s="192" t="str">
        <x:v>CTA_LMFT_WB11_17_Question_Bank_v1.0.docx</x:v>
      </x:c>
      <x:c r="AB173" s="192" t="str">
        <x:v>1.0</x:v>
      </x:c>
      <x:c r="AC173" s="193"/>
      <x:c r="AD173" s="193" t="n">
        <x:v>46228</x:v>
      </x:c>
      <x:c r="AE173" s="192" t="str"/>
      <x:c r="AF173" s="194" t="str">
        <x:v>Workbook bank; reserve pool after controlled review</x:v>
      </x:c>
    </x:row>
    <x:row r="174">
      <x:c r="A174" s="191" t="str">
        <x:v>CTA-LMFT-MQB-0173</x:v>
      </x:c>
      <x:c r="B174" s="192" t="str">
        <x:v>LMFT-WB11-QB-Q003</x:v>
      </x:c>
      <x:c r="C174" s="192" t="str">
        <x:v>LMFT</x:v>
      </x:c>
      <x:c r="D174" s="192" t="str">
        <x:v>Workbook Question Bank</x:v>
      </x:c>
      <x:c r="E174" s="192" t="n">
        <x:v>11</x:v>
      </x:c>
      <x:c r="F174" s="192" t="str">
        <x:v>Theory, Groups, Referral, and Interdisciplinary Collaboration</x:v>
      </x:c>
      <x:c r="G174" s="192"/>
      <x:c r="H174" s="192" t="n">
        <x:v>3</x:v>
      </x:c>
      <x:c r="I174" s="192" t="str">
        <x:v>Workbook Bank</x:v>
      </x:c>
      <x:c r="J174" s="192" t="str">
        <x:v>5. Treatment</x:v>
      </x:c>
      <x:c r="K174" s="192" t="str">
        <x:v>Consultation versus referral</x:v>
      </x:c>
      <x:c r="L174" s="192" t="str"/>
      <x:c r="M174" s="192" t="str">
        <x:v>Easy</x:v>
      </x:c>
      <x:c r="N174" s="192" t="str">
        <x:v>Easy</x:v>
      </x:c>
      <x:c r="O174" s="192" t="str">
        <x:v>Application</x:v>
      </x:c>
      <x:c r="P174" s="192" t="str">
        <x:v>Application</x:v>
      </x:c>
      <x:c r="Q174" s="192" t="n">
        <x:v>4</x:v>
      </x:c>
      <x:c r="R174" s="192" t="str">
        <x:v>C</x:v>
      </x:c>
      <x:c r="S174" s="192" t="str">
        <x:v>Approved</x:v>
      </x:c>
      <x:c r="T174" s="192" t="str">
        <x:v>Active</x:v>
      </x:c>
      <x:c r="U174" s="192" t="n">
        <x:v>1</x:v>
      </x:c>
      <x:c r="V174" s="192" t="str"/>
      <x:c r="W174" s="192" t="str">
        <x:v>No additional flag</x:v>
      </x:c>
      <x:c r="X174" s="192" t="str">
        <x:v>No structural flag</x:v>
      </x:c>
      <x:c r="Y174" s="192" t="str">
        <x:v>Not Yet Reviewed</x:v>
      </x:c>
      <x:c r="Z174" s="192" t="str">
        <x:v>CTA LMFT Workbook 11</x:v>
      </x:c>
      <x:c r="AA174" s="192" t="str">
        <x:v>CTA_LMFT_WB11_17_Question_Bank_v1.0.docx</x:v>
      </x:c>
      <x:c r="AB174" s="192" t="str">
        <x:v>1.0</x:v>
      </x:c>
      <x:c r="AC174" s="193"/>
      <x:c r="AD174" s="193" t="n">
        <x:v>46228</x:v>
      </x:c>
      <x:c r="AE174" s="192" t="str"/>
      <x:c r="AF174" s="194" t="str">
        <x:v>Workbook bank; reserve pool after controlled review</x:v>
      </x:c>
    </x:row>
    <x:row r="175">
      <x:c r="A175" s="191" t="str">
        <x:v>CTA-LMFT-MQB-0174</x:v>
      </x:c>
      <x:c r="B175" s="192" t="str">
        <x:v>LMFT-WB11-QB-Q004</x:v>
      </x:c>
      <x:c r="C175" s="192" t="str">
        <x:v>LMFT</x:v>
      </x:c>
      <x:c r="D175" s="192" t="str">
        <x:v>Workbook Question Bank</x:v>
      </x:c>
      <x:c r="E175" s="192" t="n">
        <x:v>11</x:v>
      </x:c>
      <x:c r="F175" s="192" t="str">
        <x:v>Theory, Groups, Referral, and Interdisciplinary Collaboration</x:v>
      </x:c>
      <x:c r="G175" s="192"/>
      <x:c r="H175" s="192" t="n">
        <x:v>4</x:v>
      </x:c>
      <x:c r="I175" s="192" t="str">
        <x:v>Workbook Bank</x:v>
      </x:c>
      <x:c r="J175" s="192" t="str">
        <x:v>5. Treatment</x:v>
      </x:c>
      <x:c r="K175" s="192" t="str">
        <x:v>Interdisciplinary information sharing</x:v>
      </x:c>
      <x:c r="L175" s="192" t="str"/>
      <x:c r="M175" s="192" t="str">
        <x:v>Easy</x:v>
      </x:c>
      <x:c r="N175" s="192" t="str">
        <x:v>Easy</x:v>
      </x:c>
      <x:c r="O175" s="192" t="str">
        <x:v>Knowledge &amp; Recall</x:v>
      </x:c>
      <x:c r="P175" s="192" t="str">
        <x:v>Knowledge &amp; Recall</x:v>
      </x:c>
      <x:c r="Q175" s="192" t="n">
        <x:v>4</x:v>
      </x:c>
      <x:c r="R175" s="192" t="str">
        <x:v>D</x:v>
      </x:c>
      <x:c r="S175" s="192" t="str">
        <x:v>Approved</x:v>
      </x:c>
      <x:c r="T175" s="192" t="str">
        <x:v>Active</x:v>
      </x:c>
      <x:c r="U175" s="192" t="n">
        <x:v>1</x:v>
      </x:c>
      <x:c r="V175" s="192" t="str"/>
      <x:c r="W175" s="192" t="str">
        <x:v>No additional flag</x:v>
      </x:c>
      <x:c r="X175" s="192" t="str">
        <x:v>No structural flag</x:v>
      </x:c>
      <x:c r="Y175" s="192" t="str">
        <x:v>Not Yet Reviewed</x:v>
      </x:c>
      <x:c r="Z175" s="192" t="str">
        <x:v>CTA LMFT Workbook 11</x:v>
      </x:c>
      <x:c r="AA175" s="192" t="str">
        <x:v>CTA_LMFT_WB11_17_Question_Bank_v1.0.docx</x:v>
      </x:c>
      <x:c r="AB175" s="192" t="str">
        <x:v>1.0</x:v>
      </x:c>
      <x:c r="AC175" s="193"/>
      <x:c r="AD175" s="193" t="n">
        <x:v>46228</x:v>
      </x:c>
      <x:c r="AE175" s="192" t="str"/>
      <x:c r="AF175" s="194" t="str">
        <x:v>Workbook bank; reserve pool after controlled review</x:v>
      </x:c>
    </x:row>
    <x:row r="176">
      <x:c r="A176" s="191" t="str">
        <x:v>CTA-LMFT-MQB-0175</x:v>
      </x:c>
      <x:c r="B176" s="192" t="str">
        <x:v>LMFT-WB11-QB-Q005</x:v>
      </x:c>
      <x:c r="C176" s="192" t="str">
        <x:v>LMFT</x:v>
      </x:c>
      <x:c r="D176" s="192" t="str">
        <x:v>Workbook Question Bank</x:v>
      </x:c>
      <x:c r="E176" s="192" t="n">
        <x:v>11</x:v>
      </x:c>
      <x:c r="F176" s="192" t="str">
        <x:v>Theory, Groups, Referral, and Interdisciplinary Collaboration</x:v>
      </x:c>
      <x:c r="G176" s="192"/>
      <x:c r="H176" s="192" t="n">
        <x:v>5</x:v>
      </x:c>
      <x:c r="I176" s="192" t="str">
        <x:v>Workbook Bank</x:v>
      </x:c>
      <x:c r="J176" s="192" t="str">
        <x:v>5. Treatment</x:v>
      </x:c>
      <x:c r="K176" s="192" t="str">
        <x:v>Coherent integration</x:v>
      </x:c>
      <x:c r="L176" s="192" t="str"/>
      <x:c r="M176" s="192" t="str">
        <x:v>Easy</x:v>
      </x:c>
      <x:c r="N176" s="192" t="str">
        <x:v>Easy</x:v>
      </x:c>
      <x:c r="O176" s="192" t="str">
        <x:v>Application</x:v>
      </x:c>
      <x:c r="P176" s="192" t="str">
        <x:v>Application</x:v>
      </x:c>
      <x:c r="Q176" s="192" t="n">
        <x:v>4</x:v>
      </x:c>
      <x:c r="R176" s="192" t="str">
        <x:v>A</x:v>
      </x:c>
      <x:c r="S176" s="192" t="str">
        <x:v>Approved</x:v>
      </x:c>
      <x:c r="T176" s="192" t="str">
        <x:v>Active</x:v>
      </x:c>
      <x:c r="U176" s="192" t="n">
        <x:v>1</x:v>
      </x:c>
      <x:c r="V176" s="192" t="str"/>
      <x:c r="W176" s="192" t="str">
        <x:v>No additional flag</x:v>
      </x:c>
      <x:c r="X176" s="192" t="str">
        <x:v>No structural flag</x:v>
      </x:c>
      <x:c r="Y176" s="192" t="str">
        <x:v>Not Yet Reviewed</x:v>
      </x:c>
      <x:c r="Z176" s="192" t="str">
        <x:v>CTA LMFT Workbook 11</x:v>
      </x:c>
      <x:c r="AA176" s="192" t="str">
        <x:v>CTA_LMFT_WB11_17_Question_Bank_v1.0.docx</x:v>
      </x:c>
      <x:c r="AB176" s="192" t="str">
        <x:v>1.0</x:v>
      </x:c>
      <x:c r="AC176" s="193"/>
      <x:c r="AD176" s="193" t="n">
        <x:v>46228</x:v>
      </x:c>
      <x:c r="AE176" s="192" t="str"/>
      <x:c r="AF176" s="194" t="str">
        <x:v>Workbook bank; reserve pool after controlled review</x:v>
      </x:c>
    </x:row>
    <x:row r="177">
      <x:c r="A177" s="191" t="str">
        <x:v>CTA-LMFT-MQB-0176</x:v>
      </x:c>
      <x:c r="B177" s="192" t="str">
        <x:v>LMFT-WB11-QB-Q006</x:v>
      </x:c>
      <x:c r="C177" s="192" t="str">
        <x:v>LMFT</x:v>
      </x:c>
      <x:c r="D177" s="192" t="str">
        <x:v>Workbook Question Bank</x:v>
      </x:c>
      <x:c r="E177" s="192" t="n">
        <x:v>11</x:v>
      </x:c>
      <x:c r="F177" s="192" t="str">
        <x:v>Theory, Groups, Referral, and Interdisciplinary Collaboration</x:v>
      </x:c>
      <x:c r="G177" s="192"/>
      <x:c r="H177" s="192" t="n">
        <x:v>6</x:v>
      </x:c>
      <x:c r="I177" s="192" t="str">
        <x:v>Workbook Bank</x:v>
      </x:c>
      <x:c r="J177" s="192" t="str">
        <x:v>5. Treatment</x:v>
      </x:c>
      <x:c r="K177" s="192" t="str">
        <x:v>Structural intervention and hierarchy</x:v>
      </x:c>
      <x:c r="L177" s="192" t="str"/>
      <x:c r="M177" s="192" t="str">
        <x:v>Moderate</x:v>
      </x:c>
      <x:c r="N177" s="192" t="str">
        <x:v>Moderate</x:v>
      </x:c>
      <x:c r="O177" s="192" t="str">
        <x:v>Scenario-Based</x:v>
      </x:c>
      <x:c r="P177" s="192" t="str">
        <x:v>Scenario-Based</x:v>
      </x:c>
      <x:c r="Q177" s="192" t="n">
        <x:v>4</x:v>
      </x:c>
      <x:c r="R177" s="192" t="str">
        <x:v>B</x:v>
      </x:c>
      <x:c r="S177" s="192" t="str">
        <x:v>Approved</x:v>
      </x:c>
      <x:c r="T177" s="192" t="str">
        <x:v>Active</x:v>
      </x:c>
      <x:c r="U177" s="192" t="n">
        <x:v>1</x:v>
      </x:c>
      <x:c r="V177" s="192" t="str"/>
      <x:c r="W177" s="192" t="str">
        <x:v>No additional flag</x:v>
      </x:c>
      <x:c r="X177" s="192" t="str">
        <x:v>No structural flag</x:v>
      </x:c>
      <x:c r="Y177" s="192" t="str">
        <x:v>Not Yet Reviewed</x:v>
      </x:c>
      <x:c r="Z177" s="192" t="str">
        <x:v>CTA LMFT Workbook 11</x:v>
      </x:c>
      <x:c r="AA177" s="192" t="str">
        <x:v>CTA_LMFT_WB11_17_Question_Bank_v1.0.docx</x:v>
      </x:c>
      <x:c r="AB177" s="192" t="str">
        <x:v>1.0</x:v>
      </x:c>
      <x:c r="AC177" s="193"/>
      <x:c r="AD177" s="193" t="n">
        <x:v>46228</x:v>
      </x:c>
      <x:c r="AE177" s="192" t="str"/>
      <x:c r="AF177" s="194" t="str">
        <x:v>Workbook bank; reserve pool after controlled review</x:v>
      </x:c>
    </x:row>
    <x:row r="178">
      <x:c r="A178" s="191" t="str">
        <x:v>CTA-LMFT-MQB-0177</x:v>
      </x:c>
      <x:c r="B178" s="192" t="str">
        <x:v>LMFT-WB11-QB-Q007</x:v>
      </x:c>
      <x:c r="C178" s="192" t="str">
        <x:v>LMFT</x:v>
      </x:c>
      <x:c r="D178" s="192" t="str">
        <x:v>Workbook Question Bank</x:v>
      </x:c>
      <x:c r="E178" s="192" t="n">
        <x:v>11</x:v>
      </x:c>
      <x:c r="F178" s="192" t="str">
        <x:v>Theory, Groups, Referral, and Interdisciplinary Collaboration</x:v>
      </x:c>
      <x:c r="G178" s="192"/>
      <x:c r="H178" s="192" t="n">
        <x:v>7</x:v>
      </x:c>
      <x:c r="I178" s="192" t="str">
        <x:v>Workbook Bank</x:v>
      </x:c>
      <x:c r="J178" s="192" t="str">
        <x:v>5. Treatment</x:v>
      </x:c>
      <x:c r="K178" s="192" t="str">
        <x:v>Bowen differentiation and triangles</x:v>
      </x:c>
      <x:c r="L178" s="192" t="str"/>
      <x:c r="M178" s="192" t="str">
        <x:v>Moderate</x:v>
      </x:c>
      <x:c r="N178" s="192" t="str">
        <x:v>Moderate</x:v>
      </x:c>
      <x:c r="O178" s="192" t="str">
        <x:v>Application</x:v>
      </x:c>
      <x:c r="P178" s="192" t="str">
        <x:v>Application</x:v>
      </x:c>
      <x:c r="Q178" s="192" t="n">
        <x:v>4</x:v>
      </x:c>
      <x:c r="R178" s="192" t="str">
        <x:v>C</x:v>
      </x:c>
      <x:c r="S178" s="192" t="str">
        <x:v>Approved</x:v>
      </x:c>
      <x:c r="T178" s="192" t="str">
        <x:v>Active</x:v>
      </x:c>
      <x:c r="U178" s="192" t="n">
        <x:v>1</x:v>
      </x:c>
      <x:c r="V178" s="192" t="str"/>
      <x:c r="W178" s="192" t="str">
        <x:v>No additional flag</x:v>
      </x:c>
      <x:c r="X178" s="192" t="str">
        <x:v>No structural flag</x:v>
      </x:c>
      <x:c r="Y178" s="192" t="str">
        <x:v>Not Yet Reviewed</x:v>
      </x:c>
      <x:c r="Z178" s="192" t="str">
        <x:v>CTA LMFT Workbook 11</x:v>
      </x:c>
      <x:c r="AA178" s="192" t="str">
        <x:v>CTA_LMFT_WB11_17_Question_Bank_v1.0.docx</x:v>
      </x:c>
      <x:c r="AB178" s="192" t="str">
        <x:v>1.0</x:v>
      </x:c>
      <x:c r="AC178" s="193"/>
      <x:c r="AD178" s="193" t="n">
        <x:v>46228</x:v>
      </x:c>
      <x:c r="AE178" s="192" t="str"/>
      <x:c r="AF178" s="194" t="str">
        <x:v>Workbook bank; reserve pool after controlled review</x:v>
      </x:c>
    </x:row>
    <x:row r="179">
      <x:c r="A179" s="191" t="str">
        <x:v>CTA-LMFT-MQB-0178</x:v>
      </x:c>
      <x:c r="B179" s="192" t="str">
        <x:v>LMFT-WB11-QB-Q008</x:v>
      </x:c>
      <x:c r="C179" s="192" t="str">
        <x:v>LMFT</x:v>
      </x:c>
      <x:c r="D179" s="192" t="str">
        <x:v>Workbook Question Bank</x:v>
      </x:c>
      <x:c r="E179" s="192" t="n">
        <x:v>11</x:v>
      </x:c>
      <x:c r="F179" s="192" t="str">
        <x:v>Theory, Groups, Referral, and Interdisciplinary Collaboration</x:v>
      </x:c>
      <x:c r="G179" s="192"/>
      <x:c r="H179" s="192" t="n">
        <x:v>8</x:v>
      </x:c>
      <x:c r="I179" s="192" t="str">
        <x:v>Workbook Bank</x:v>
      </x:c>
      <x:c r="J179" s="192" t="str">
        <x:v>5. Treatment</x:v>
      </x:c>
      <x:c r="K179" s="192" t="str">
        <x:v>Attachment-focused couple intervention</x:v>
      </x:c>
      <x:c r="L179" s="192" t="str"/>
      <x:c r="M179" s="192" t="str">
        <x:v>Moderate</x:v>
      </x:c>
      <x:c r="N179" s="192" t="str">
        <x:v>Moderate</x:v>
      </x:c>
      <x:c r="O179" s="192" t="str">
        <x:v>Scenario-Based</x:v>
      </x:c>
      <x:c r="P179" s="192" t="str">
        <x:v>Scenario-Based</x:v>
      </x:c>
      <x:c r="Q179" s="192" t="n">
        <x:v>4</x:v>
      </x:c>
      <x:c r="R179" s="192" t="str">
        <x:v>D</x:v>
      </x:c>
      <x:c r="S179" s="192" t="str">
        <x:v>Approved</x:v>
      </x:c>
      <x:c r="T179" s="192" t="str">
        <x:v>Active</x:v>
      </x:c>
      <x:c r="U179" s="192" t="n">
        <x:v>1</x:v>
      </x:c>
      <x:c r="V179" s="192" t="str"/>
      <x:c r="W179" s="192" t="str">
        <x:v>Review Candidate</x:v>
      </x:c>
      <x:c r="X179" s="192" t="str">
        <x:v>No structural flag</x:v>
      </x:c>
      <x:c r="Y179" s="192" t="str">
        <x:v>Not Yet Reviewed</x:v>
      </x:c>
      <x:c r="Z179" s="192" t="str">
        <x:v>CTA LMFT Workbook 11</x:v>
      </x:c>
      <x:c r="AA179" s="192" t="str">
        <x:v>CTA_LMFT_WB11_17_Question_Bank_v1.0.docx</x:v>
      </x:c>
      <x:c r="AB179" s="192" t="str">
        <x:v>1.0</x:v>
      </x:c>
      <x:c r="AC179" s="193"/>
      <x:c r="AD179" s="193" t="n">
        <x:v>46228</x:v>
      </x:c>
      <x:c r="AE179" s="192" t="str"/>
      <x:c r="AF179" s="194" t="str">
        <x:v>Workbook bank; reserve pool after controlled review</x:v>
      </x:c>
    </x:row>
    <x:row r="180">
      <x:c r="A180" s="191" t="str">
        <x:v>CTA-LMFT-MQB-0179</x:v>
      </x:c>
      <x:c r="B180" s="192" t="str">
        <x:v>LMFT-WB11-QB-Q009</x:v>
      </x:c>
      <x:c r="C180" s="192" t="str">
        <x:v>LMFT</x:v>
      </x:c>
      <x:c r="D180" s="192" t="str">
        <x:v>Workbook Question Bank</x:v>
      </x:c>
      <x:c r="E180" s="192" t="n">
        <x:v>11</x:v>
      </x:c>
      <x:c r="F180" s="192" t="str">
        <x:v>Theory, Groups, Referral, and Interdisciplinary Collaboration</x:v>
      </x:c>
      <x:c r="G180" s="192"/>
      <x:c r="H180" s="192" t="n">
        <x:v>9</x:v>
      </x:c>
      <x:c r="I180" s="192" t="str">
        <x:v>Workbook Bank</x:v>
      </x:c>
      <x:c r="J180" s="192" t="str">
        <x:v>5. Treatment</x:v>
      </x:c>
      <x:c r="K180" s="192" t="str">
        <x:v>Strategic attempted solution</x:v>
      </x:c>
      <x:c r="L180" s="192" t="str"/>
      <x:c r="M180" s="192" t="str">
        <x:v>Moderate</x:v>
      </x:c>
      <x:c r="N180" s="192" t="str">
        <x:v>Moderate</x:v>
      </x:c>
      <x:c r="O180" s="192" t="str">
        <x:v>Scenario-Based</x:v>
      </x:c>
      <x:c r="P180" s="192" t="str">
        <x:v>Scenario-Based</x:v>
      </x:c>
      <x:c r="Q180" s="192" t="n">
        <x:v>4</x:v>
      </x:c>
      <x:c r="R180" s="192" t="str">
        <x:v>A</x:v>
      </x:c>
      <x:c r="S180" s="192" t="str">
        <x:v>Approved</x:v>
      </x:c>
      <x:c r="T180" s="192" t="str">
        <x:v>Active</x:v>
      </x:c>
      <x:c r="U180" s="192" t="n">
        <x:v>1</x:v>
      </x:c>
      <x:c r="V180" s="192" t="str"/>
      <x:c r="W180" s="192" t="str">
        <x:v>No additional flag</x:v>
      </x:c>
      <x:c r="X180" s="192" t="str">
        <x:v>No structural flag</x:v>
      </x:c>
      <x:c r="Y180" s="192" t="str">
        <x:v>Not Yet Reviewed</x:v>
      </x:c>
      <x:c r="Z180" s="192" t="str">
        <x:v>CTA LMFT Workbook 11</x:v>
      </x:c>
      <x:c r="AA180" s="192" t="str">
        <x:v>CTA_LMFT_WB11_17_Question_Bank_v1.0.docx</x:v>
      </x:c>
      <x:c r="AB180" s="192" t="str">
        <x:v>1.0</x:v>
      </x:c>
      <x:c r="AC180" s="193"/>
      <x:c r="AD180" s="193" t="n">
        <x:v>46228</x:v>
      </x:c>
      <x:c r="AE180" s="192" t="str"/>
      <x:c r="AF180" s="194" t="str">
        <x:v>Workbook bank; reserve pool after controlled review</x:v>
      </x:c>
    </x:row>
    <x:row r="181">
      <x:c r="A181" s="191" t="str">
        <x:v>CTA-LMFT-MQB-0180</x:v>
      </x:c>
      <x:c r="B181" s="192" t="str">
        <x:v>LMFT-WB11-QB-Q010</x:v>
      </x:c>
      <x:c r="C181" s="192" t="str">
        <x:v>LMFT</x:v>
      </x:c>
      <x:c r="D181" s="192" t="str">
        <x:v>Workbook Question Bank</x:v>
      </x:c>
      <x:c r="E181" s="192" t="n">
        <x:v>11</x:v>
      </x:c>
      <x:c r="F181" s="192" t="str">
        <x:v>Theory, Groups, Referral, and Interdisciplinary Collaboration</x:v>
      </x:c>
      <x:c r="G181" s="192"/>
      <x:c r="H181" s="192" t="n">
        <x:v>10</x:v>
      </x:c>
      <x:c r="I181" s="192" t="str">
        <x:v>Workbook Bank</x:v>
      </x:c>
      <x:c r="J181" s="192" t="str">
        <x:v>5. Treatment</x:v>
      </x:c>
      <x:c r="K181" s="192" t="str">
        <x:v>Early group-stage facilitation</x:v>
      </x:c>
      <x:c r="L181" s="192" t="str"/>
      <x:c r="M181" s="192" t="str">
        <x:v>Moderate</x:v>
      </x:c>
      <x:c r="N181" s="192" t="str">
        <x:v>Moderate</x:v>
      </x:c>
      <x:c r="O181" s="192" t="str">
        <x:v>Application</x:v>
      </x:c>
      <x:c r="P181" s="192" t="str">
        <x:v>Application</x:v>
      </x:c>
      <x:c r="Q181" s="192" t="n">
        <x:v>4</x:v>
      </x:c>
      <x:c r="R181" s="192" t="str">
        <x:v>B</x:v>
      </x:c>
      <x:c r="S181" s="192" t="str">
        <x:v>Approved</x:v>
      </x:c>
      <x:c r="T181" s="192" t="str">
        <x:v>Active</x:v>
      </x:c>
      <x:c r="U181" s="192" t="n">
        <x:v>1</x:v>
      </x:c>
      <x:c r="V181" s="192" t="str"/>
      <x:c r="W181" s="192" t="str">
        <x:v>No additional flag</x:v>
      </x:c>
      <x:c r="X181" s="192" t="str">
        <x:v>No structural flag</x:v>
      </x:c>
      <x:c r="Y181" s="192" t="str">
        <x:v>Not Yet Reviewed</x:v>
      </x:c>
      <x:c r="Z181" s="192" t="str">
        <x:v>CTA LMFT Workbook 11</x:v>
      </x:c>
      <x:c r="AA181" s="192" t="str">
        <x:v>CTA_LMFT_WB11_17_Question_Bank_v1.0.docx</x:v>
      </x:c>
      <x:c r="AB181" s="192" t="str">
        <x:v>1.0</x:v>
      </x:c>
      <x:c r="AC181" s="193"/>
      <x:c r="AD181" s="193" t="n">
        <x:v>46228</x:v>
      </x:c>
      <x:c r="AE181" s="192" t="str"/>
      <x:c r="AF181" s="194" t="str">
        <x:v>Workbook bank; reserve pool after controlled review</x:v>
      </x:c>
    </x:row>
    <x:row r="182">
      <x:c r="A182" s="191" t="str">
        <x:v>CTA-LMFT-MQB-0181</x:v>
      </x:c>
      <x:c r="B182" s="192" t="str">
        <x:v>LMFT-WB11-QB-Q011</x:v>
      </x:c>
      <x:c r="C182" s="192" t="str">
        <x:v>LMFT</x:v>
      </x:c>
      <x:c r="D182" s="192" t="str">
        <x:v>Workbook Question Bank</x:v>
      </x:c>
      <x:c r="E182" s="192" t="n">
        <x:v>11</x:v>
      </x:c>
      <x:c r="F182" s="192" t="str">
        <x:v>Theory, Groups, Referral, and Interdisciplinary Collaboration</x:v>
      </x:c>
      <x:c r="G182" s="192"/>
      <x:c r="H182" s="192" t="n">
        <x:v>11</x:v>
      </x:c>
      <x:c r="I182" s="192" t="str">
        <x:v>Workbook Bank</x:v>
      </x:c>
      <x:c r="J182" s="192" t="str">
        <x:v>5. Treatment</x:v>
      </x:c>
      <x:c r="K182" s="192" t="str">
        <x:v>Managing monopolizing behavior in group</x:v>
      </x:c>
      <x:c r="L182" s="192" t="str"/>
      <x:c r="M182" s="192" t="str">
        <x:v>Moderate</x:v>
      </x:c>
      <x:c r="N182" s="192" t="str">
        <x:v>Moderate</x:v>
      </x:c>
      <x:c r="O182" s="192" t="str">
        <x:v>Scenario-Based</x:v>
      </x:c>
      <x:c r="P182" s="192" t="str">
        <x:v>Scenario-Based</x:v>
      </x:c>
      <x:c r="Q182" s="192" t="n">
        <x:v>4</x:v>
      </x:c>
      <x:c r="R182" s="192" t="str">
        <x:v>C</x:v>
      </x:c>
      <x:c r="S182" s="192" t="str">
        <x:v>Approved</x:v>
      </x:c>
      <x:c r="T182" s="192" t="str">
        <x:v>Active</x:v>
      </x:c>
      <x:c r="U182" s="192" t="n">
        <x:v>1</x:v>
      </x:c>
      <x:c r="V182" s="192" t="str"/>
      <x:c r="W182" s="192" t="str">
        <x:v>No additional flag</x:v>
      </x:c>
      <x:c r="X182" s="192" t="str">
        <x:v>No structural flag</x:v>
      </x:c>
      <x:c r="Y182" s="192" t="str">
        <x:v>Not Yet Reviewed</x:v>
      </x:c>
      <x:c r="Z182" s="192" t="str">
        <x:v>CTA LMFT Workbook 11</x:v>
      </x:c>
      <x:c r="AA182" s="192" t="str">
        <x:v>CTA_LMFT_WB11_17_Question_Bank_v1.0.docx</x:v>
      </x:c>
      <x:c r="AB182" s="192" t="str">
        <x:v>1.0</x:v>
      </x:c>
      <x:c r="AC182" s="193"/>
      <x:c r="AD182" s="193" t="n">
        <x:v>46228</x:v>
      </x:c>
      <x:c r="AE182" s="192" t="str"/>
      <x:c r="AF182" s="194" t="str">
        <x:v>Workbook bank; reserve pool after controlled review</x:v>
      </x:c>
    </x:row>
    <x:row r="183">
      <x:c r="A183" s="191" t="str">
        <x:v>CTA-LMFT-MQB-0182</x:v>
      </x:c>
      <x:c r="B183" s="192" t="str">
        <x:v>LMFT-WB11-QB-Q012</x:v>
      </x:c>
      <x:c r="C183" s="192" t="str">
        <x:v>LMFT</x:v>
      </x:c>
      <x:c r="D183" s="192" t="str">
        <x:v>Workbook Question Bank</x:v>
      </x:c>
      <x:c r="E183" s="192" t="n">
        <x:v>11</x:v>
      </x:c>
      <x:c r="F183" s="192" t="str">
        <x:v>Theory, Groups, Referral, and Interdisciplinary Collaboration</x:v>
      </x:c>
      <x:c r="G183" s="192"/>
      <x:c r="H183" s="192" t="n">
        <x:v>12</x:v>
      </x:c>
      <x:c r="I183" s="192" t="str">
        <x:v>Workbook Bank</x:v>
      </x:c>
      <x:c r="J183" s="192" t="str">
        <x:v>5. Treatment</x:v>
      </x:c>
      <x:c r="K183" s="192" t="str">
        <x:v>Medication concern and specialty coordination</x:v>
      </x:c>
      <x:c r="L183" s="192" t="str"/>
      <x:c r="M183" s="192" t="str">
        <x:v>Moderate</x:v>
      </x:c>
      <x:c r="N183" s="192" t="str">
        <x:v>Moderate</x:v>
      </x:c>
      <x:c r="O183" s="192" t="str">
        <x:v>Scenario-Based</x:v>
      </x:c>
      <x:c r="P183" s="192" t="str">
        <x:v>Scenario-Based</x:v>
      </x:c>
      <x:c r="Q183" s="192" t="n">
        <x:v>4</x:v>
      </x:c>
      <x:c r="R183" s="192" t="str">
        <x:v>D</x:v>
      </x:c>
      <x:c r="S183" s="192" t="str">
        <x:v>Approved</x:v>
      </x:c>
      <x:c r="T183" s="192" t="str">
        <x:v>Active</x:v>
      </x:c>
      <x:c r="U183" s="192" t="n">
        <x:v>1</x:v>
      </x:c>
      <x:c r="V183" s="192" t="str"/>
      <x:c r="W183" s="192" t="str">
        <x:v>No additional flag</x:v>
      </x:c>
      <x:c r="X183" s="192" t="str">
        <x:v>No structural flag</x:v>
      </x:c>
      <x:c r="Y183" s="192" t="str">
        <x:v>Not Yet Reviewed</x:v>
      </x:c>
      <x:c r="Z183" s="192" t="str">
        <x:v>CTA LMFT Workbook 11</x:v>
      </x:c>
      <x:c r="AA183" s="192" t="str">
        <x:v>CTA_LMFT_WB11_17_Question_Bank_v1.0.docx</x:v>
      </x:c>
      <x:c r="AB183" s="192" t="str">
        <x:v>1.0</x:v>
      </x:c>
      <x:c r="AC183" s="193"/>
      <x:c r="AD183" s="193" t="n">
        <x:v>46228</x:v>
      </x:c>
      <x:c r="AE183" s="192" t="str"/>
      <x:c r="AF183" s="194" t="str">
        <x:v>Workbook bank; reserve pool after controlled review</x:v>
      </x:c>
    </x:row>
    <x:row r="184">
      <x:c r="A184" s="191" t="str">
        <x:v>CTA-LMFT-MQB-0183</x:v>
      </x:c>
      <x:c r="B184" s="192" t="str">
        <x:v>LMFT-WB11-QB-Q013</x:v>
      </x:c>
      <x:c r="C184" s="192" t="str">
        <x:v>LMFT</x:v>
      </x:c>
      <x:c r="D184" s="192" t="str">
        <x:v>Workbook Question Bank</x:v>
      </x:c>
      <x:c r="E184" s="192" t="n">
        <x:v>11</x:v>
      </x:c>
      <x:c r="F184" s="192" t="str">
        <x:v>Theory, Groups, Referral, and Interdisciplinary Collaboration</x:v>
      </x:c>
      <x:c r="G184" s="192"/>
      <x:c r="H184" s="192" t="n">
        <x:v>13</x:v>
      </x:c>
      <x:c r="I184" s="192" t="str">
        <x:v>Workbook Bank</x:v>
      </x:c>
      <x:c r="J184" s="192" t="str">
        <x:v>5. Treatment</x:v>
      </x:c>
      <x:c r="K184" s="192" t="str">
        <x:v>Structural and safety formulation</x:v>
      </x:c>
      <x:c r="L184" s="192" t="str"/>
      <x:c r="M184" s="192" t="str">
        <x:v>Difficult</x:v>
      </x:c>
      <x:c r="N184" s="192" t="str">
        <x:v>Difficult</x:v>
      </x:c>
      <x:c r="O184" s="192" t="str">
        <x:v>Integrated Clinical Reasoning</x:v>
      </x:c>
      <x:c r="P184" s="192" t="str">
        <x:v>Integrated Clinical Reasoning</x:v>
      </x:c>
      <x:c r="Q184" s="192" t="n">
        <x:v>4</x:v>
      </x:c>
      <x:c r="R184" s="192" t="str">
        <x:v>A</x:v>
      </x:c>
      <x:c r="S184" s="192" t="str">
        <x:v>Approved</x:v>
      </x:c>
      <x:c r="T184" s="192" t="str">
        <x:v>Active</x:v>
      </x:c>
      <x:c r="U184" s="192" t="n">
        <x:v>1</x:v>
      </x:c>
      <x:c r="V184" s="192" t="str"/>
      <x:c r="W184" s="192" t="str">
        <x:v>No additional flag</x:v>
      </x:c>
      <x:c r="X184" s="192" t="str">
        <x:v>No structural flag</x:v>
      </x:c>
      <x:c r="Y184" s="192" t="str">
        <x:v>Not Yet Reviewed</x:v>
      </x:c>
      <x:c r="Z184" s="192" t="str">
        <x:v>CTA LMFT Workbook 11</x:v>
      </x:c>
      <x:c r="AA184" s="192" t="str">
        <x:v>CTA_LMFT_WB11_17_Question_Bank_v1.0.docx</x:v>
      </x:c>
      <x:c r="AB184" s="192" t="str">
        <x:v>1.0</x:v>
      </x:c>
      <x:c r="AC184" s="193"/>
      <x:c r="AD184" s="193" t="n">
        <x:v>46228</x:v>
      </x:c>
      <x:c r="AE184" s="192" t="str"/>
      <x:c r="AF184" s="194" t="str">
        <x:v>Workbook bank; reserve pool after controlled review</x:v>
      </x:c>
    </x:row>
    <x:row r="185">
      <x:c r="A185" s="191" t="str">
        <x:v>CTA-LMFT-MQB-0184</x:v>
      </x:c>
      <x:c r="B185" s="192" t="str">
        <x:v>LMFT-WB11-QB-Q014</x:v>
      </x:c>
      <x:c r="C185" s="192" t="str">
        <x:v>LMFT</x:v>
      </x:c>
      <x:c r="D185" s="192" t="str">
        <x:v>Workbook Question Bank</x:v>
      </x:c>
      <x:c r="E185" s="192" t="n">
        <x:v>11</x:v>
      </x:c>
      <x:c r="F185" s="192" t="str">
        <x:v>Theory, Groups, Referral, and Interdisciplinary Collaboration</x:v>
      </x:c>
      <x:c r="G185" s="192"/>
      <x:c r="H185" s="192" t="n">
        <x:v>14</x:v>
      </x:c>
      <x:c r="I185" s="192" t="str">
        <x:v>Workbook Bank</x:v>
      </x:c>
      <x:c r="J185" s="192" t="str">
        <x:v>5. Treatment</x:v>
      </x:c>
      <x:c r="K185" s="192" t="str">
        <x:v>Group readiness and level of care</x:v>
      </x:c>
      <x:c r="L185" s="192" t="str"/>
      <x:c r="M185" s="192" t="str">
        <x:v>Difficult</x:v>
      </x:c>
      <x:c r="N185" s="192" t="str">
        <x:v>Difficult</x:v>
      </x:c>
      <x:c r="O185" s="192" t="str">
        <x:v>Integrated Clinical Reasoning</x:v>
      </x:c>
      <x:c r="P185" s="192" t="str">
        <x:v>Integrated Clinical Reasoning</x:v>
      </x:c>
      <x:c r="Q185" s="192" t="n">
        <x:v>4</x:v>
      </x:c>
      <x:c r="R185" s="192" t="str">
        <x:v>B</x:v>
      </x:c>
      <x:c r="S185" s="192" t="str">
        <x:v>Approved</x:v>
      </x:c>
      <x:c r="T185" s="192" t="str">
        <x:v>Active</x:v>
      </x:c>
      <x:c r="U185" s="192" t="n">
        <x:v>1</x:v>
      </x:c>
      <x:c r="V185" s="192" t="str"/>
      <x:c r="W185" s="192" t="str">
        <x:v>No additional flag</x:v>
      </x:c>
      <x:c r="X185" s="192" t="str">
        <x:v>No structural flag</x:v>
      </x:c>
      <x:c r="Y185" s="192" t="str">
        <x:v>Not Yet Reviewed</x:v>
      </x:c>
      <x:c r="Z185" s="192" t="str">
        <x:v>CTA LMFT Workbook 11</x:v>
      </x:c>
      <x:c r="AA185" s="192" t="str">
        <x:v>CTA_LMFT_WB11_17_Question_Bank_v1.0.docx</x:v>
      </x:c>
      <x:c r="AB185" s="192" t="str">
        <x:v>1.0</x:v>
      </x:c>
      <x:c r="AC185" s="193"/>
      <x:c r="AD185" s="193" t="n">
        <x:v>46228</x:v>
      </x:c>
      <x:c r="AE185" s="192" t="str"/>
      <x:c r="AF185" s="194" t="str">
        <x:v>Workbook bank; reserve pool after controlled review</x:v>
      </x:c>
    </x:row>
    <x:row r="186">
      <x:c r="A186" s="191" t="str">
        <x:v>CTA-LMFT-MQB-0185</x:v>
      </x:c>
      <x:c r="B186" s="192" t="str">
        <x:v>LMFT-WB11-QB-Q015</x:v>
      </x:c>
      <x:c r="C186" s="192" t="str">
        <x:v>LMFT</x:v>
      </x:c>
      <x:c r="D186" s="192" t="str">
        <x:v>Workbook Question Bank</x:v>
      </x:c>
      <x:c r="E186" s="192" t="n">
        <x:v>11</x:v>
      </x:c>
      <x:c r="F186" s="192" t="str">
        <x:v>Theory, Groups, Referral, and Interdisciplinary Collaboration</x:v>
      </x:c>
      <x:c r="G186" s="192"/>
      <x:c r="H186" s="192" t="n">
        <x:v>15</x:v>
      </x:c>
      <x:c r="I186" s="192" t="str">
        <x:v>Workbook Bank</x:v>
      </x:c>
      <x:c r="J186" s="192" t="str">
        <x:v>5. Treatment</x:v>
      </x:c>
      <x:c r="K186" s="192" t="str">
        <x:v>School collaboration and role clarity</x:v>
      </x:c>
      <x:c r="L186" s="192" t="str"/>
      <x:c r="M186" s="192" t="str">
        <x:v>Difficult</x:v>
      </x:c>
      <x:c r="N186" s="192" t="str">
        <x:v>Difficult</x:v>
      </x:c>
      <x:c r="O186" s="192" t="str">
        <x:v>Integrated Clinical Reasoning</x:v>
      </x:c>
      <x:c r="P186" s="192" t="str">
        <x:v>Integrated Clinical Reasoning</x:v>
      </x:c>
      <x:c r="Q186" s="192" t="n">
        <x:v>4</x:v>
      </x:c>
      <x:c r="R186" s="192" t="str">
        <x:v>C</x:v>
      </x:c>
      <x:c r="S186" s="192" t="str">
        <x:v>Approved</x:v>
      </x:c>
      <x:c r="T186" s="192" t="str">
        <x:v>Active</x:v>
      </x:c>
      <x:c r="U186" s="192" t="n">
        <x:v>1</x:v>
      </x:c>
      <x:c r="V186" s="192" t="str"/>
      <x:c r="W186" s="192" t="str">
        <x:v>No additional flag</x:v>
      </x:c>
      <x:c r="X186" s="192" t="str">
        <x:v>No structural flag</x:v>
      </x:c>
      <x:c r="Y186" s="192" t="str">
        <x:v>Not Yet Reviewed</x:v>
      </x:c>
      <x:c r="Z186" s="192" t="str">
        <x:v>CTA LMFT Workbook 11</x:v>
      </x:c>
      <x:c r="AA186" s="192" t="str">
        <x:v>CTA_LMFT_WB11_17_Question_Bank_v1.0.docx</x:v>
      </x:c>
      <x:c r="AB186" s="192" t="str">
        <x:v>1.0</x:v>
      </x:c>
      <x:c r="AC186" s="193"/>
      <x:c r="AD186" s="193" t="n">
        <x:v>46228</x:v>
      </x:c>
      <x:c r="AE186" s="192" t="str"/>
      <x:c r="AF186" s="194" t="str">
        <x:v>Workbook bank; reserve pool after controlled review</x:v>
      </x:c>
    </x:row>
    <x:row r="187">
      <x:c r="A187" s="191" t="str">
        <x:v>CTA-LMFT-MQB-0186</x:v>
      </x:c>
      <x:c r="B187" s="192" t="str">
        <x:v>LMFT-WB11-QB-Q016</x:v>
      </x:c>
      <x:c r="C187" s="192" t="str">
        <x:v>LMFT</x:v>
      </x:c>
      <x:c r="D187" s="192" t="str">
        <x:v>Workbook Question Bank</x:v>
      </x:c>
      <x:c r="E187" s="192" t="n">
        <x:v>11</x:v>
      </x:c>
      <x:c r="F187" s="192" t="str">
        <x:v>Theory, Groups, Referral, and Interdisciplinary Collaboration</x:v>
      </x:c>
      <x:c r="G187" s="192"/>
      <x:c r="H187" s="192" t="n">
        <x:v>16</x:v>
      </x:c>
      <x:c r="I187" s="192" t="str">
        <x:v>Workbook Bank</x:v>
      </x:c>
      <x:c r="J187" s="192" t="str">
        <x:v>5. Treatment</x:v>
      </x:c>
      <x:c r="K187" s="192" t="str">
        <x:v>Revision after poor treatment response</x:v>
      </x:c>
      <x:c r="L187" s="192" t="str"/>
      <x:c r="M187" s="192" t="str">
        <x:v>Difficult</x:v>
      </x:c>
      <x:c r="N187" s="192" t="str">
        <x:v>Difficult</x:v>
      </x:c>
      <x:c r="O187" s="192" t="str">
        <x:v>Integrated Clinical Reasoning</x:v>
      </x:c>
      <x:c r="P187" s="192" t="str">
        <x:v>Integrated Clinical Reasoning</x:v>
      </x:c>
      <x:c r="Q187" s="192" t="n">
        <x:v>4</x:v>
      </x:c>
      <x:c r="R187" s="192" t="str">
        <x:v>D</x:v>
      </x:c>
      <x:c r="S187" s="192" t="str">
        <x:v>Approved</x:v>
      </x:c>
      <x:c r="T187" s="192" t="str">
        <x:v>Active</x:v>
      </x:c>
      <x:c r="U187" s="192" t="n">
        <x:v>1</x:v>
      </x:c>
      <x:c r="V187" s="192" t="str"/>
      <x:c r="W187" s="192" t="str">
        <x:v>No additional flag</x:v>
      </x:c>
      <x:c r="X187" s="192" t="str">
        <x:v>No structural flag</x:v>
      </x:c>
      <x:c r="Y187" s="192" t="str">
        <x:v>Not Yet Reviewed</x:v>
      </x:c>
      <x:c r="Z187" s="192" t="str">
        <x:v>CTA LMFT Workbook 11</x:v>
      </x:c>
      <x:c r="AA187" s="192" t="str">
        <x:v>CTA_LMFT_WB11_17_Question_Bank_v1.0.docx</x:v>
      </x:c>
      <x:c r="AB187" s="192" t="str">
        <x:v>1.0</x:v>
      </x:c>
      <x:c r="AC187" s="193"/>
      <x:c r="AD187" s="193" t="n">
        <x:v>46228</x:v>
      </x:c>
      <x:c r="AE187" s="192" t="str"/>
      <x:c r="AF187" s="194" t="str">
        <x:v>Workbook bank; reserve pool after controlled review</x:v>
      </x:c>
    </x:row>
    <x:row r="188">
      <x:c r="A188" s="191" t="str">
        <x:v>CTA-LMFT-MQB-0187</x:v>
      </x:c>
      <x:c r="B188" s="192" t="str">
        <x:v>LMFT-WB11-QB-Q017</x:v>
      </x:c>
      <x:c r="C188" s="192" t="str">
        <x:v>LMFT</x:v>
      </x:c>
      <x:c r="D188" s="192" t="str">
        <x:v>Workbook Question Bank</x:v>
      </x:c>
      <x:c r="E188" s="192" t="n">
        <x:v>11</x:v>
      </x:c>
      <x:c r="F188" s="192" t="str">
        <x:v>Theory, Groups, Referral, and Interdisciplinary Collaboration</x:v>
      </x:c>
      <x:c r="G188" s="192"/>
      <x:c r="H188" s="192" t="n">
        <x:v>17</x:v>
      </x:c>
      <x:c r="I188" s="192" t="str">
        <x:v>Workbook Bank</x:v>
      </x:c>
      <x:c r="J188" s="192" t="str">
        <x:v>5. Treatment</x:v>
      </x:c>
      <x:c r="K188" s="192" t="str">
        <x:v>Independent judgment after consultation</x:v>
      </x:c>
      <x:c r="L188" s="192" t="str"/>
      <x:c r="M188" s="192" t="str">
        <x:v>Difficult</x:v>
      </x:c>
      <x:c r="N188" s="192" t="str">
        <x:v>Difficult</x:v>
      </x:c>
      <x:c r="O188" s="192" t="str">
        <x:v>Integrated Clinical Reasoning</x:v>
      </x:c>
      <x:c r="P188" s="192" t="str">
        <x:v>Integrated Clinical Reasoning</x:v>
      </x:c>
      <x:c r="Q188" s="192" t="n">
        <x:v>4</x:v>
      </x:c>
      <x:c r="R188" s="192" t="str">
        <x:v>A</x:v>
      </x:c>
      <x:c r="S188" s="192" t="str">
        <x:v>Approved</x:v>
      </x:c>
      <x:c r="T188" s="192" t="str">
        <x:v>Active</x:v>
      </x:c>
      <x:c r="U188" s="192" t="n">
        <x:v>1</x:v>
      </x:c>
      <x:c r="V188" s="192" t="str"/>
      <x:c r="W188" s="192" t="str">
        <x:v>No additional flag</x:v>
      </x:c>
      <x:c r="X188" s="192" t="str">
        <x:v>No structural flag</x:v>
      </x:c>
      <x:c r="Y188" s="192" t="str">
        <x:v>Not Yet Reviewed</x:v>
      </x:c>
      <x:c r="Z188" s="192" t="str">
        <x:v>CTA LMFT Workbook 11</x:v>
      </x:c>
      <x:c r="AA188" s="192" t="str">
        <x:v>CTA_LMFT_WB11_17_Question_Bank_v1.0.docx</x:v>
      </x:c>
      <x:c r="AB188" s="192" t="str">
        <x:v>1.0</x:v>
      </x:c>
      <x:c r="AC188" s="193"/>
      <x:c r="AD188" s="193" t="n">
        <x:v>46228</x:v>
      </x:c>
      <x:c r="AE188" s="192" t="str"/>
      <x:c r="AF188" s="194" t="str">
        <x:v>Workbook bank; reserve pool after controlled review</x:v>
      </x:c>
    </x:row>
    <x:row r="189">
      <x:c r="A189" s="191" t="str">
        <x:v>CTA-LMFT-MQB-0188</x:v>
      </x:c>
      <x:c r="B189" s="192" t="str">
        <x:v>LMFT-WB12-QB-Q001</x:v>
      </x:c>
      <x:c r="C189" s="192" t="str">
        <x:v>LMFT</x:v>
      </x:c>
      <x:c r="D189" s="192" t="str">
        <x:v>Workbook Question Bank</x:v>
      </x:c>
      <x:c r="E189" s="192" t="n">
        <x:v>12</x:v>
      </x:c>
      <x:c r="F189" s="192" t="str">
        <x:v>California Legal, Ethical, and Professional Practice</x:v>
      </x:c>
      <x:c r="G189" s="192"/>
      <x:c r="H189" s="192" t="n">
        <x:v>1</x:v>
      </x:c>
      <x:c r="I189" s="192" t="str">
        <x:v>Workbook Bank</x:v>
      </x:c>
      <x:c r="J189" s="192" t="str">
        <x:v>6. Managing Legal and Ethical Obligations within the Therapeutic Relationship</x:v>
      </x:c>
      <x:c r="K189" s="192" t="str">
        <x:v>Controlling authority and professional judgment</x:v>
      </x:c>
      <x:c r="L189" s="192" t="str"/>
      <x:c r="M189" s="192" t="str">
        <x:v>Easy</x:v>
      </x:c>
      <x:c r="N189" s="192" t="str">
        <x:v>Easy</x:v>
      </x:c>
      <x:c r="O189" s="192" t="str">
        <x:v>Knowledge &amp; Recall</x:v>
      </x:c>
      <x:c r="P189" s="192" t="str">
        <x:v>Knowledge &amp; Recall</x:v>
      </x:c>
      <x:c r="Q189" s="192" t="n">
        <x:v>4</x:v>
      </x:c>
      <x:c r="R189" s="192" t="str">
        <x:v>A</x:v>
      </x:c>
      <x:c r="S189" s="192" t="str">
        <x:v>Approved</x:v>
      </x:c>
      <x:c r="T189" s="192" t="str">
        <x:v>Active</x:v>
      </x:c>
      <x:c r="U189" s="192" t="n">
        <x:v>1</x:v>
      </x:c>
      <x:c r="V189" s="192" t="str"/>
      <x:c r="W189" s="192" t="str">
        <x:v>No additional flag</x:v>
      </x:c>
      <x:c r="X189" s="192" t="str">
        <x:v>No structural flag</x:v>
      </x:c>
      <x:c r="Y189" s="192" t="str">
        <x:v>Not Yet Reviewed</x:v>
      </x:c>
      <x:c r="Z189" s="192" t="str">
        <x:v>CTA LMFT Workbook 12</x:v>
      </x:c>
      <x:c r="AA189" s="192" t="str">
        <x:v>CTA_LMFT_WB12_17_Question_Bank_v1.0.docx</x:v>
      </x:c>
      <x:c r="AB189" s="192" t="str">
        <x:v>1.0</x:v>
      </x:c>
      <x:c r="AC189" s="193"/>
      <x:c r="AD189" s="193" t="n">
        <x:v>46228</x:v>
      </x:c>
      <x:c r="AE189" s="192" t="str"/>
      <x:c r="AF189" s="194" t="str">
        <x:v>Workbook bank; reserve pool after controlled review</x:v>
      </x:c>
    </x:row>
    <x:row r="190">
      <x:c r="A190" s="191" t="str">
        <x:v>CTA-LMFT-MQB-0189</x:v>
      </x:c>
      <x:c r="B190" s="192" t="str">
        <x:v>LMFT-WB12-QB-Q002</x:v>
      </x:c>
      <x:c r="C190" s="192" t="str">
        <x:v>LMFT</x:v>
      </x:c>
      <x:c r="D190" s="192" t="str">
        <x:v>Workbook Question Bank</x:v>
      </x:c>
      <x:c r="E190" s="192" t="n">
        <x:v>12</x:v>
      </x:c>
      <x:c r="F190" s="192" t="str">
        <x:v>California Legal, Ethical, and Professional Practice</x:v>
      </x:c>
      <x:c r="G190" s="192"/>
      <x:c r="H190" s="192" t="n">
        <x:v>2</x:v>
      </x:c>
      <x:c r="I190" s="192" t="str">
        <x:v>Workbook Bank</x:v>
      </x:c>
      <x:c r="J190" s="192" t="str">
        <x:v>6. Managing Legal and Ethical Obligations within the Therapeutic Relationship</x:v>
      </x:c>
      <x:c r="K190" s="192" t="str">
        <x:v>Ongoing informed consent</x:v>
      </x:c>
      <x:c r="L190" s="192" t="str"/>
      <x:c r="M190" s="192" t="str">
        <x:v>Easy</x:v>
      </x:c>
      <x:c r="N190" s="192" t="str">
        <x:v>Easy</x:v>
      </x:c>
      <x:c r="O190" s="192" t="str">
        <x:v>Knowledge &amp; Recall</x:v>
      </x:c>
      <x:c r="P190" s="192" t="str">
        <x:v>Knowledge &amp; Recall</x:v>
      </x:c>
      <x:c r="Q190" s="192" t="n">
        <x:v>4</x:v>
      </x:c>
      <x:c r="R190" s="192" t="str">
        <x:v>B</x:v>
      </x:c>
      <x:c r="S190" s="192" t="str">
        <x:v>Approved</x:v>
      </x:c>
      <x:c r="T190" s="192" t="str">
        <x:v>Active</x:v>
      </x:c>
      <x:c r="U190" s="192" t="n">
        <x:v>1</x:v>
      </x:c>
      <x:c r="V190" s="192" t="str"/>
      <x:c r="W190" s="192" t="str">
        <x:v>No additional flag</x:v>
      </x:c>
      <x:c r="X190" s="192" t="str">
        <x:v>No structural flag</x:v>
      </x:c>
      <x:c r="Y190" s="192" t="str">
        <x:v>Not Yet Reviewed</x:v>
      </x:c>
      <x:c r="Z190" s="192" t="str">
        <x:v>CTA LMFT Workbook 12</x:v>
      </x:c>
      <x:c r="AA190" s="192" t="str">
        <x:v>CTA_LMFT_WB12_17_Question_Bank_v1.0.docx</x:v>
      </x:c>
      <x:c r="AB190" s="192" t="str">
        <x:v>1.0</x:v>
      </x:c>
      <x:c r="AC190" s="193"/>
      <x:c r="AD190" s="193" t="n">
        <x:v>46228</x:v>
      </x:c>
      <x:c r="AE190" s="192" t="str"/>
      <x:c r="AF190" s="194" t="str">
        <x:v>Workbook bank; reserve pool after controlled review</x:v>
      </x:c>
    </x:row>
    <x:row r="191">
      <x:c r="A191" s="191" t="str">
        <x:v>CTA-LMFT-MQB-0190</x:v>
      </x:c>
      <x:c r="B191" s="192" t="str">
        <x:v>LMFT-WB12-QB-Q003</x:v>
      </x:c>
      <x:c r="C191" s="192" t="str">
        <x:v>LMFT</x:v>
      </x:c>
      <x:c r="D191" s="192" t="str">
        <x:v>Workbook Question Bank</x:v>
      </x:c>
      <x:c r="E191" s="192" t="n">
        <x:v>12</x:v>
      </x:c>
      <x:c r="F191" s="192" t="str">
        <x:v>California Legal, Ethical, and Professional Practice</x:v>
      </x:c>
      <x:c r="G191" s="192"/>
      <x:c r="H191" s="192" t="n">
        <x:v>3</x:v>
      </x:c>
      <x:c r="I191" s="192" t="str">
        <x:v>Workbook Bank</x:v>
      </x:c>
      <x:c r="J191" s="192" t="str">
        <x:v>6. Managing Legal and Ethical Obligations within the Therapeutic Relationship</x:v>
      </x:c>
      <x:c r="K191" s="192" t="str">
        <x:v>Client status in relational treatment</x:v>
      </x:c>
      <x:c r="L191" s="192" t="str"/>
      <x:c r="M191" s="192" t="str">
        <x:v>Easy</x:v>
      </x:c>
      <x:c r="N191" s="192" t="str">
        <x:v>Easy</x:v>
      </x:c>
      <x:c r="O191" s="192" t="str">
        <x:v>Application</x:v>
      </x:c>
      <x:c r="P191" s="192" t="str">
        <x:v>Application</x:v>
      </x:c>
      <x:c r="Q191" s="192" t="n">
        <x:v>4</x:v>
      </x:c>
      <x:c r="R191" s="192" t="str">
        <x:v>C</x:v>
      </x:c>
      <x:c r="S191" s="192" t="str">
        <x:v>Approved</x:v>
      </x:c>
      <x:c r="T191" s="192" t="str">
        <x:v>Active</x:v>
      </x:c>
      <x:c r="U191" s="192" t="n">
        <x:v>1</x:v>
      </x:c>
      <x:c r="V191" s="192" t="str"/>
      <x:c r="W191" s="192" t="str">
        <x:v>No additional flag</x:v>
      </x:c>
      <x:c r="X191" s="192" t="str">
        <x:v>No structural flag</x:v>
      </x:c>
      <x:c r="Y191" s="192" t="str">
        <x:v>Not Yet Reviewed</x:v>
      </x:c>
      <x:c r="Z191" s="192" t="str">
        <x:v>CTA LMFT Workbook 12</x:v>
      </x:c>
      <x:c r="AA191" s="192" t="str">
        <x:v>CTA_LMFT_WB12_17_Question_Bank_v1.0.docx</x:v>
      </x:c>
      <x:c r="AB191" s="192" t="str">
        <x:v>1.0</x:v>
      </x:c>
      <x:c r="AC191" s="193"/>
      <x:c r="AD191" s="193" t="n">
        <x:v>46228</x:v>
      </x:c>
      <x:c r="AE191" s="192" t="str"/>
      <x:c r="AF191" s="194" t="str">
        <x:v>Workbook bank; reserve pool after controlled review</x:v>
      </x:c>
    </x:row>
    <x:row r="192">
      <x:c r="A192" s="191" t="str">
        <x:v>CTA-LMFT-MQB-0191</x:v>
      </x:c>
      <x:c r="B192" s="192" t="str">
        <x:v>LMFT-WB12-QB-Q004</x:v>
      </x:c>
      <x:c r="C192" s="192" t="str">
        <x:v>LMFT</x:v>
      </x:c>
      <x:c r="D192" s="192" t="str">
        <x:v>Workbook Question Bank</x:v>
      </x:c>
      <x:c r="E192" s="192" t="n">
        <x:v>12</x:v>
      </x:c>
      <x:c r="F192" s="192" t="str">
        <x:v>California Legal, Ethical, and Professional Practice</x:v>
      </x:c>
      <x:c r="G192" s="192"/>
      <x:c r="H192" s="192" t="n">
        <x:v>4</x:v>
      </x:c>
      <x:c r="I192" s="192" t="str">
        <x:v>Workbook Bank</x:v>
      </x:c>
      <x:c r="J192" s="192" t="str">
        <x:v>6. Managing Legal and Ethical Obligations within the Therapeutic Relationship</x:v>
      </x:c>
      <x:c r="K192" s="192" t="str">
        <x:v>Record amendment integrity</x:v>
      </x:c>
      <x:c r="L192" s="192" t="str"/>
      <x:c r="M192" s="192" t="str">
        <x:v>Easy</x:v>
      </x:c>
      <x:c r="N192" s="192" t="str">
        <x:v>Easy</x:v>
      </x:c>
      <x:c r="O192" s="192" t="str">
        <x:v>Knowledge &amp; Recall</x:v>
      </x:c>
      <x:c r="P192" s="192" t="str">
        <x:v>Knowledge &amp; Recall</x:v>
      </x:c>
      <x:c r="Q192" s="192" t="n">
        <x:v>4</x:v>
      </x:c>
      <x:c r="R192" s="192" t="str">
        <x:v>D</x:v>
      </x:c>
      <x:c r="S192" s="192" t="str">
        <x:v>Approved</x:v>
      </x:c>
      <x:c r="T192" s="192" t="str">
        <x:v>Active</x:v>
      </x:c>
      <x:c r="U192" s="192" t="n">
        <x:v>1</x:v>
      </x:c>
      <x:c r="V192" s="192" t="str"/>
      <x:c r="W192" s="192" t="str">
        <x:v>Review Candidate</x:v>
      </x:c>
      <x:c r="X192" s="192" t="str">
        <x:v>No structural flag</x:v>
      </x:c>
      <x:c r="Y192" s="192" t="str">
        <x:v>Not Yet Reviewed</x:v>
      </x:c>
      <x:c r="Z192" s="192" t="str">
        <x:v>CTA LMFT Workbook 12</x:v>
      </x:c>
      <x:c r="AA192" s="192" t="str">
        <x:v>CTA_LMFT_WB12_17_Question_Bank_v1.0.docx</x:v>
      </x:c>
      <x:c r="AB192" s="192" t="str">
        <x:v>1.0</x:v>
      </x:c>
      <x:c r="AC192" s="193"/>
      <x:c r="AD192" s="193" t="n">
        <x:v>46228</x:v>
      </x:c>
      <x:c r="AE192" s="192" t="str"/>
      <x:c r="AF192" s="194" t="str">
        <x:v>Workbook bank; reserve pool after controlled review</x:v>
      </x:c>
    </x:row>
    <x:row r="193">
      <x:c r="A193" s="191" t="str">
        <x:v>CTA-LMFT-MQB-0192</x:v>
      </x:c>
      <x:c r="B193" s="192" t="str">
        <x:v>LMFT-WB12-QB-Q005</x:v>
      </x:c>
      <x:c r="C193" s="192" t="str">
        <x:v>LMFT</x:v>
      </x:c>
      <x:c r="D193" s="192" t="str">
        <x:v>Workbook Question Bank</x:v>
      </x:c>
      <x:c r="E193" s="192" t="n">
        <x:v>12</x:v>
      </x:c>
      <x:c r="F193" s="192" t="str">
        <x:v>California Legal, Ethical, and Professional Practice</x:v>
      </x:c>
      <x:c r="G193" s="192"/>
      <x:c r="H193" s="192" t="n">
        <x:v>5</x:v>
      </x:c>
      <x:c r="I193" s="192" t="str">
        <x:v>Workbook Bank</x:v>
      </x:c>
      <x:c r="J193" s="192" t="str">
        <x:v>6. Managing Legal and Ethical Obligations within the Therapeutic Relationship</x:v>
      </x:c>
      <x:c r="K193" s="192" t="str">
        <x:v>Consultation and retained responsibility</x:v>
      </x:c>
      <x:c r="L193" s="192" t="str"/>
      <x:c r="M193" s="192" t="str">
        <x:v>Easy</x:v>
      </x:c>
      <x:c r="N193" s="192" t="str">
        <x:v>Easy</x:v>
      </x:c>
      <x:c r="O193" s="192" t="str">
        <x:v>Application</x:v>
      </x:c>
      <x:c r="P193" s="192" t="str">
        <x:v>Application</x:v>
      </x:c>
      <x:c r="Q193" s="192" t="n">
        <x:v>4</x:v>
      </x:c>
      <x:c r="R193" s="192" t="str">
        <x:v>A</x:v>
      </x:c>
      <x:c r="S193" s="192" t="str">
        <x:v>Approved</x:v>
      </x:c>
      <x:c r="T193" s="192" t="str">
        <x:v>Active</x:v>
      </x:c>
      <x:c r="U193" s="192" t="n">
        <x:v>1</x:v>
      </x:c>
      <x:c r="V193" s="192" t="str"/>
      <x:c r="W193" s="192" t="str">
        <x:v>No additional flag</x:v>
      </x:c>
      <x:c r="X193" s="192" t="str">
        <x:v>No structural flag</x:v>
      </x:c>
      <x:c r="Y193" s="192" t="str">
        <x:v>Not Yet Reviewed</x:v>
      </x:c>
      <x:c r="Z193" s="192" t="str">
        <x:v>CTA LMFT Workbook 12</x:v>
      </x:c>
      <x:c r="AA193" s="192" t="str">
        <x:v>CTA_LMFT_WB12_17_Question_Bank_v1.0.docx</x:v>
      </x:c>
      <x:c r="AB193" s="192" t="str">
        <x:v>1.0</x:v>
      </x:c>
      <x:c r="AC193" s="193"/>
      <x:c r="AD193" s="193" t="n">
        <x:v>46228</x:v>
      </x:c>
      <x:c r="AE193" s="192" t="str"/>
      <x:c r="AF193" s="194" t="str">
        <x:v>Workbook bank; reserve pool after controlled review</x:v>
      </x:c>
    </x:row>
    <x:row r="194">
      <x:c r="A194" s="191" t="str">
        <x:v>CTA-LMFT-MQB-0193</x:v>
      </x:c>
      <x:c r="B194" s="192" t="str">
        <x:v>LMFT-WB12-QB-Q006</x:v>
      </x:c>
      <x:c r="C194" s="192" t="str">
        <x:v>LMFT</x:v>
      </x:c>
      <x:c r="D194" s="192" t="str">
        <x:v>Workbook Question Bank</x:v>
      </x:c>
      <x:c r="E194" s="192" t="n">
        <x:v>12</x:v>
      </x:c>
      <x:c r="F194" s="192" t="str">
        <x:v>California Legal, Ethical, and Professional Practice</x:v>
      </x:c>
      <x:c r="G194" s="192"/>
      <x:c r="H194" s="192" t="n">
        <x:v>6</x:v>
      </x:c>
      <x:c r="I194" s="192" t="str">
        <x:v>Workbook Bank</x:v>
      </x:c>
      <x:c r="J194" s="192" t="str">
        <x:v>6. Managing Legal and Ethical Obligations within the Therapeutic Relationship</x:v>
      </x:c>
      <x:c r="K194" s="192" t="str">
        <x:v>Telehealth location and emergency capacity</x:v>
      </x:c>
      <x:c r="L194" s="192" t="str"/>
      <x:c r="M194" s="192" t="str">
        <x:v>Moderate</x:v>
      </x:c>
      <x:c r="N194" s="192" t="str">
        <x:v>Moderate</x:v>
      </x:c>
      <x:c r="O194" s="192" t="str">
        <x:v>Scenario-Based</x:v>
      </x:c>
      <x:c r="P194" s="192" t="str">
        <x:v>Scenario-Based</x:v>
      </x:c>
      <x:c r="Q194" s="192" t="n">
        <x:v>4</x:v>
      </x:c>
      <x:c r="R194" s="192" t="str">
        <x:v>B</x:v>
      </x:c>
      <x:c r="S194" s="192" t="str">
        <x:v>Approved</x:v>
      </x:c>
      <x:c r="T194" s="192" t="str">
        <x:v>Active</x:v>
      </x:c>
      <x:c r="U194" s="192" t="n">
        <x:v>1</x:v>
      </x:c>
      <x:c r="V194" s="192" t="str"/>
      <x:c r="W194" s="192" t="str">
        <x:v>Review Candidate</x:v>
      </x:c>
      <x:c r="X194" s="192" t="str">
        <x:v>No structural flag</x:v>
      </x:c>
      <x:c r="Y194" s="192" t="str">
        <x:v>Not Yet Reviewed</x:v>
      </x:c>
      <x:c r="Z194" s="192" t="str">
        <x:v>CTA LMFT Workbook 12</x:v>
      </x:c>
      <x:c r="AA194" s="192" t="str">
        <x:v>CTA_LMFT_WB12_17_Question_Bank_v1.0.docx</x:v>
      </x:c>
      <x:c r="AB194" s="192" t="str">
        <x:v>1.0</x:v>
      </x:c>
      <x:c r="AC194" s="193"/>
      <x:c r="AD194" s="193" t="n">
        <x:v>46228</x:v>
      </x:c>
      <x:c r="AE194" s="192" t="str"/>
      <x:c r="AF194" s="194" t="str">
        <x:v>Workbook bank; reserve pool after controlled review</x:v>
      </x:c>
    </x:row>
    <x:row r="195">
      <x:c r="A195" s="191" t="str">
        <x:v>CTA-LMFT-MQB-0194</x:v>
      </x:c>
      <x:c r="B195" s="192" t="str">
        <x:v>LMFT-WB12-QB-Q007</x:v>
      </x:c>
      <x:c r="C195" s="192" t="str">
        <x:v>LMFT</x:v>
      </x:c>
      <x:c r="D195" s="192" t="str">
        <x:v>Workbook Question Bank</x:v>
      </x:c>
      <x:c r="E195" s="192" t="n">
        <x:v>12</x:v>
      </x:c>
      <x:c r="F195" s="192" t="str">
        <x:v>California Legal, Ethical, and Professional Practice</x:v>
      </x:c>
      <x:c r="G195" s="192"/>
      <x:c r="H195" s="192" t="n">
        <x:v>7</x:v>
      </x:c>
      <x:c r="I195" s="192" t="str">
        <x:v>Workbook Bank</x:v>
      </x:c>
      <x:c r="J195" s="192" t="str">
        <x:v>6. Managing Legal and Ethical Obligations within the Therapeutic Relationship</x:v>
      </x:c>
      <x:c r="K195" s="192" t="str">
        <x:v>Electronic communication and privacy</x:v>
      </x:c>
      <x:c r="L195" s="192" t="str"/>
      <x:c r="M195" s="192" t="str">
        <x:v>Moderate</x:v>
      </x:c>
      <x:c r="N195" s="192" t="str">
        <x:v>Moderate</x:v>
      </x:c>
      <x:c r="O195" s="192" t="str">
        <x:v>Application</x:v>
      </x:c>
      <x:c r="P195" s="192" t="str">
        <x:v>Application</x:v>
      </x:c>
      <x:c r="Q195" s="192" t="n">
        <x:v>4</x:v>
      </x:c>
      <x:c r="R195" s="192" t="str">
        <x:v>C</x:v>
      </x:c>
      <x:c r="S195" s="192" t="str">
        <x:v>Approved</x:v>
      </x:c>
      <x:c r="T195" s="192" t="str">
        <x:v>Active</x:v>
      </x:c>
      <x:c r="U195" s="192" t="n">
        <x:v>1</x:v>
      </x:c>
      <x:c r="V195" s="192" t="str"/>
      <x:c r="W195" s="192" t="str">
        <x:v>Review Candidate</x:v>
      </x:c>
      <x:c r="X195" s="192" t="str">
        <x:v>No structural flag</x:v>
      </x:c>
      <x:c r="Y195" s="192" t="str">
        <x:v>Not Yet Reviewed</x:v>
      </x:c>
      <x:c r="Z195" s="192" t="str">
        <x:v>CTA LMFT Workbook 12</x:v>
      </x:c>
      <x:c r="AA195" s="192" t="str">
        <x:v>CTA_LMFT_WB12_17_Question_Bank_v1.0.docx</x:v>
      </x:c>
      <x:c r="AB195" s="192" t="str">
        <x:v>1.0</x:v>
      </x:c>
      <x:c r="AC195" s="193"/>
      <x:c r="AD195" s="193" t="n">
        <x:v>46228</x:v>
      </x:c>
      <x:c r="AE195" s="192" t="str"/>
      <x:c r="AF195" s="194" t="str">
        <x:v>Workbook bank; reserve pool after controlled review</x:v>
      </x:c>
    </x:row>
    <x:row r="196">
      <x:c r="A196" s="191" t="str">
        <x:v>CTA-LMFT-MQB-0195</x:v>
      </x:c>
      <x:c r="B196" s="192" t="str">
        <x:v>LMFT-WB12-QB-Q008</x:v>
      </x:c>
      <x:c r="C196" s="192" t="str">
        <x:v>LMFT</x:v>
      </x:c>
      <x:c r="D196" s="192" t="str">
        <x:v>Workbook Question Bank</x:v>
      </x:c>
      <x:c r="E196" s="192" t="n">
        <x:v>12</x:v>
      </x:c>
      <x:c r="F196" s="192" t="str">
        <x:v>California Legal, Ethical, and Professional Practice</x:v>
      </x:c>
      <x:c r="G196" s="192"/>
      <x:c r="H196" s="192" t="n">
        <x:v>8</x:v>
      </x:c>
      <x:c r="I196" s="192" t="str">
        <x:v>Workbook Bank</x:v>
      </x:c>
      <x:c r="J196" s="192" t="str">
        <x:v>6. Managing Legal and Ethical Obligations within the Therapeutic Relationship</x:v>
      </x:c>
      <x:c r="K196" s="192" t="str">
        <x:v>Countertransference and objectivity</x:v>
      </x:c>
      <x:c r="L196" s="192" t="str"/>
      <x:c r="M196" s="192" t="str">
        <x:v>Moderate</x:v>
      </x:c>
      <x:c r="N196" s="192" t="str">
        <x:v>Moderate</x:v>
      </x:c>
      <x:c r="O196" s="192" t="str">
        <x:v>Scenario-Based</x:v>
      </x:c>
      <x:c r="P196" s="192" t="str">
        <x:v>Scenario-Based</x:v>
      </x:c>
      <x:c r="Q196" s="192" t="n">
        <x:v>4</x:v>
      </x:c>
      <x:c r="R196" s="192" t="str">
        <x:v>D</x:v>
      </x:c>
      <x:c r="S196" s="192" t="str">
        <x:v>Approved</x:v>
      </x:c>
      <x:c r="T196" s="192" t="str">
        <x:v>Active</x:v>
      </x:c>
      <x:c r="U196" s="192" t="n">
        <x:v>1</x:v>
      </x:c>
      <x:c r="V196" s="192" t="str"/>
      <x:c r="W196" s="192" t="str">
        <x:v>No additional flag</x:v>
      </x:c>
      <x:c r="X196" s="192" t="str">
        <x:v>No structural flag</x:v>
      </x:c>
      <x:c r="Y196" s="192" t="str">
        <x:v>Not Yet Reviewed</x:v>
      </x:c>
      <x:c r="Z196" s="192" t="str">
        <x:v>CTA LMFT Workbook 12</x:v>
      </x:c>
      <x:c r="AA196" s="192" t="str">
        <x:v>CTA_LMFT_WB12_17_Question_Bank_v1.0.docx</x:v>
      </x:c>
      <x:c r="AB196" s="192" t="str">
        <x:v>1.0</x:v>
      </x:c>
      <x:c r="AC196" s="193"/>
      <x:c r="AD196" s="193" t="n">
        <x:v>46228</x:v>
      </x:c>
      <x:c r="AE196" s="192" t="str"/>
      <x:c r="AF196" s="194" t="str">
        <x:v>Workbook bank; reserve pool after controlled review</x:v>
      </x:c>
    </x:row>
    <x:row r="197">
      <x:c r="A197" s="191" t="str">
        <x:v>CTA-LMFT-MQB-0196</x:v>
      </x:c>
      <x:c r="B197" s="192" t="str">
        <x:v>LMFT-WB12-QB-Q009</x:v>
      </x:c>
      <x:c r="C197" s="192" t="str">
        <x:v>LMFT</x:v>
      </x:c>
      <x:c r="D197" s="192" t="str">
        <x:v>Workbook Question Bank</x:v>
      </x:c>
      <x:c r="E197" s="192" t="n">
        <x:v>12</x:v>
      </x:c>
      <x:c r="F197" s="192" t="str">
        <x:v>California Legal, Ethical, and Professional Practice</x:v>
      </x:c>
      <x:c r="G197" s="192"/>
      <x:c r="H197" s="192" t="n">
        <x:v>9</x:v>
      </x:c>
      <x:c r="I197" s="192" t="str">
        <x:v>Workbook Bank</x:v>
      </x:c>
      <x:c r="J197" s="192" t="str">
        <x:v>6. Managing Legal and Ethical Obligations within the Therapeutic Relationship</x:v>
      </x:c>
      <x:c r="K197" s="192" t="str">
        <x:v>Payer request and minimum disclosure</x:v>
      </x:c>
      <x:c r="L197" s="192" t="str"/>
      <x:c r="M197" s="192" t="str">
        <x:v>Moderate</x:v>
      </x:c>
      <x:c r="N197" s="192" t="str">
        <x:v>Moderate</x:v>
      </x:c>
      <x:c r="O197" s="192" t="str">
        <x:v>Scenario-Based</x:v>
      </x:c>
      <x:c r="P197" s="192" t="str">
        <x:v>Scenario-Based</x:v>
      </x:c>
      <x:c r="Q197" s="192" t="n">
        <x:v>4</x:v>
      </x:c>
      <x:c r="R197" s="192" t="str">
        <x:v>A</x:v>
      </x:c>
      <x:c r="S197" s="192" t="str">
        <x:v>Approved</x:v>
      </x:c>
      <x:c r="T197" s="192" t="str">
        <x:v>Active</x:v>
      </x:c>
      <x:c r="U197" s="192" t="n">
        <x:v>1</x:v>
      </x:c>
      <x:c r="V197" s="192" t="str"/>
      <x:c r="W197" s="192" t="str">
        <x:v>No additional flag</x:v>
      </x:c>
      <x:c r="X197" s="192" t="str">
        <x:v>No structural flag</x:v>
      </x:c>
      <x:c r="Y197" s="192" t="str">
        <x:v>Not Yet Reviewed</x:v>
      </x:c>
      <x:c r="Z197" s="192" t="str">
        <x:v>CTA LMFT Workbook 12</x:v>
      </x:c>
      <x:c r="AA197" s="192" t="str">
        <x:v>CTA_LMFT_WB12_17_Question_Bank_v1.0.docx</x:v>
      </x:c>
      <x:c r="AB197" s="192" t="str">
        <x:v>1.0</x:v>
      </x:c>
      <x:c r="AC197" s="193"/>
      <x:c r="AD197" s="193" t="n">
        <x:v>46228</x:v>
      </x:c>
      <x:c r="AE197" s="192" t="str"/>
      <x:c r="AF197" s="194" t="str">
        <x:v>Workbook bank; reserve pool after controlled review</x:v>
      </x:c>
    </x:row>
    <x:row r="198">
      <x:c r="A198" s="191" t="str">
        <x:v>CTA-LMFT-MQB-0197</x:v>
      </x:c>
      <x:c r="B198" s="192" t="str">
        <x:v>LMFT-WB12-QB-Q010</x:v>
      </x:c>
      <x:c r="C198" s="192" t="str">
        <x:v>LMFT</x:v>
      </x:c>
      <x:c r="D198" s="192" t="str">
        <x:v>Workbook Question Bank</x:v>
      </x:c>
      <x:c r="E198" s="192" t="n">
        <x:v>12</x:v>
      </x:c>
      <x:c r="F198" s="192" t="str">
        <x:v>California Legal, Ethical, and Professional Practice</x:v>
      </x:c>
      <x:c r="G198" s="192"/>
      <x:c r="H198" s="192" t="n">
        <x:v>10</x:v>
      </x:c>
      <x:c r="I198" s="192" t="str">
        <x:v>Workbook Bank</x:v>
      </x:c>
      <x:c r="J198" s="192" t="str">
        <x:v>6. Managing Legal and Ethical Obligations within the Therapeutic Relationship</x:v>
      </x:c>
      <x:c r="K198" s="192" t="str">
        <x:v>Individual contacts during couple treatment</x:v>
      </x:c>
      <x:c r="L198" s="192" t="str"/>
      <x:c r="M198" s="192" t="str">
        <x:v>Moderate</x:v>
      </x:c>
      <x:c r="N198" s="192" t="str">
        <x:v>Moderate</x:v>
      </x:c>
      <x:c r="O198" s="192" t="str">
        <x:v>Application</x:v>
      </x:c>
      <x:c r="P198" s="192" t="str">
        <x:v>Application</x:v>
      </x:c>
      <x:c r="Q198" s="192" t="n">
        <x:v>4</x:v>
      </x:c>
      <x:c r="R198" s="192" t="str">
        <x:v>B</x:v>
      </x:c>
      <x:c r="S198" s="192" t="str">
        <x:v>Approved</x:v>
      </x:c>
      <x:c r="T198" s="192" t="str">
        <x:v>Active</x:v>
      </x:c>
      <x:c r="U198" s="192" t="n">
        <x:v>1</x:v>
      </x:c>
      <x:c r="V198" s="192" t="str"/>
      <x:c r="W198" s="192" t="str">
        <x:v>No additional flag</x:v>
      </x:c>
      <x:c r="X198" s="192" t="str">
        <x:v>No structural flag</x:v>
      </x:c>
      <x:c r="Y198" s="192" t="str">
        <x:v>Not Yet Reviewed</x:v>
      </x:c>
      <x:c r="Z198" s="192" t="str">
        <x:v>CTA LMFT Workbook 12</x:v>
      </x:c>
      <x:c r="AA198" s="192" t="str">
        <x:v>CTA_LMFT_WB12_17_Question_Bank_v1.0.docx</x:v>
      </x:c>
      <x:c r="AB198" s="192" t="str">
        <x:v>1.0</x:v>
      </x:c>
      <x:c r="AC198" s="193"/>
      <x:c r="AD198" s="193" t="n">
        <x:v>46228</x:v>
      </x:c>
      <x:c r="AE198" s="192" t="str"/>
      <x:c r="AF198" s="194" t="str">
        <x:v>Workbook bank; reserve pool after controlled review</x:v>
      </x:c>
    </x:row>
    <x:row r="199">
      <x:c r="A199" s="191" t="str">
        <x:v>CTA-LMFT-MQB-0198</x:v>
      </x:c>
      <x:c r="B199" s="192" t="str">
        <x:v>LMFT-WB12-QB-Q011</x:v>
      </x:c>
      <x:c r="C199" s="192" t="str">
        <x:v>LMFT</x:v>
      </x:c>
      <x:c r="D199" s="192" t="str">
        <x:v>Workbook Question Bank</x:v>
      </x:c>
      <x:c r="E199" s="192" t="n">
        <x:v>12</x:v>
      </x:c>
      <x:c r="F199" s="192" t="str">
        <x:v>California Legal, Ethical, and Professional Practice</x:v>
      </x:c>
      <x:c r="G199" s="192"/>
      <x:c r="H199" s="192" t="n">
        <x:v>11</x:v>
      </x:c>
      <x:c r="I199" s="192" t="str">
        <x:v>Workbook Bank</x:v>
      </x:c>
      <x:c r="J199" s="192" t="str">
        <x:v>6. Managing Legal and Ethical Obligations within the Therapeutic Relationship</x:v>
      </x:c>
      <x:c r="K199" s="192" t="str">
        <x:v>Nonpayment and continuity of care</x:v>
      </x:c>
      <x:c r="L199" s="192" t="str"/>
      <x:c r="M199" s="192" t="str">
        <x:v>Moderate</x:v>
      </x:c>
      <x:c r="N199" s="192" t="str">
        <x:v>Moderate</x:v>
      </x:c>
      <x:c r="O199" s="192" t="str">
        <x:v>Scenario-Based</x:v>
      </x:c>
      <x:c r="P199" s="192" t="str">
        <x:v>Scenario-Based</x:v>
      </x:c>
      <x:c r="Q199" s="192" t="n">
        <x:v>4</x:v>
      </x:c>
      <x:c r="R199" s="192" t="str">
        <x:v>C</x:v>
      </x:c>
      <x:c r="S199" s="192" t="str">
        <x:v>Approved</x:v>
      </x:c>
      <x:c r="T199" s="192" t="str">
        <x:v>Active</x:v>
      </x:c>
      <x:c r="U199" s="192" t="n">
        <x:v>1</x:v>
      </x:c>
      <x:c r="V199" s="192" t="str"/>
      <x:c r="W199" s="192" t="str">
        <x:v>No additional flag</x:v>
      </x:c>
      <x:c r="X199" s="192" t="str">
        <x:v>No structural flag</x:v>
      </x:c>
      <x:c r="Y199" s="192" t="str">
        <x:v>Not Yet Reviewed</x:v>
      </x:c>
      <x:c r="Z199" s="192" t="str">
        <x:v>CTA LMFT Workbook 12</x:v>
      </x:c>
      <x:c r="AA199" s="192" t="str">
        <x:v>CTA_LMFT_WB12_17_Question_Bank_v1.0.docx</x:v>
      </x:c>
      <x:c r="AB199" s="192" t="str">
        <x:v>1.0</x:v>
      </x:c>
      <x:c r="AC199" s="193"/>
      <x:c r="AD199" s="193" t="n">
        <x:v>46228</x:v>
      </x:c>
      <x:c r="AE199" s="192" t="str"/>
      <x:c r="AF199" s="194" t="str">
        <x:v>Workbook bank; reserve pool after controlled review</x:v>
      </x:c>
    </x:row>
    <x:row r="200">
      <x:c r="A200" s="191" t="str">
        <x:v>CTA-LMFT-MQB-0199</x:v>
      </x:c>
      <x:c r="B200" s="192" t="str">
        <x:v>LMFT-WB12-QB-Q012</x:v>
      </x:c>
      <x:c r="C200" s="192" t="str">
        <x:v>LMFT</x:v>
      </x:c>
      <x:c r="D200" s="192" t="str">
        <x:v>Workbook Question Bank</x:v>
      </x:c>
      <x:c r="E200" s="192" t="n">
        <x:v>12</x:v>
      </x:c>
      <x:c r="F200" s="192" t="str">
        <x:v>California Legal, Ethical, and Professional Practice</x:v>
      </x:c>
      <x:c r="G200" s="192"/>
      <x:c r="H200" s="192" t="n">
        <x:v>12</x:v>
      </x:c>
      <x:c r="I200" s="192" t="str">
        <x:v>Workbook Bank</x:v>
      </x:c>
      <x:c r="J200" s="192" t="str">
        <x:v>6. Managing Legal and Ethical Obligations within the Therapeutic Relationship</x:v>
      </x:c>
      <x:c r="K200" s="192" t="str">
        <x:v>Legal demand and privilege analysis</x:v>
      </x:c>
      <x:c r="L200" s="192" t="str"/>
      <x:c r="M200" s="192" t="str">
        <x:v>Moderate</x:v>
      </x:c>
      <x:c r="N200" s="192" t="str">
        <x:v>Moderate</x:v>
      </x:c>
      <x:c r="O200" s="192" t="str">
        <x:v>Scenario-Based</x:v>
      </x:c>
      <x:c r="P200" s="192" t="str">
        <x:v>Scenario-Based</x:v>
      </x:c>
      <x:c r="Q200" s="192" t="n">
        <x:v>4</x:v>
      </x:c>
      <x:c r="R200" s="192" t="str">
        <x:v>D</x:v>
      </x:c>
      <x:c r="S200" s="192" t="str">
        <x:v>Approved</x:v>
      </x:c>
      <x:c r="T200" s="192" t="str">
        <x:v>Active</x:v>
      </x:c>
      <x:c r="U200" s="192" t="n">
        <x:v>1</x:v>
      </x:c>
      <x:c r="V200" s="192" t="str"/>
      <x:c r="W200" s="192" t="str">
        <x:v>Review Candidate</x:v>
      </x:c>
      <x:c r="X200" s="192" t="str">
        <x:v>No structural flag</x:v>
      </x:c>
      <x:c r="Y200" s="192" t="str">
        <x:v>Not Yet Reviewed</x:v>
      </x:c>
      <x:c r="Z200" s="192" t="str">
        <x:v>CTA LMFT Workbook 12</x:v>
      </x:c>
      <x:c r="AA200" s="192" t="str">
        <x:v>CTA_LMFT_WB12_17_Question_Bank_v1.0.docx</x:v>
      </x:c>
      <x:c r="AB200" s="192" t="str">
        <x:v>1.0</x:v>
      </x:c>
      <x:c r="AC200" s="193"/>
      <x:c r="AD200" s="193" t="n">
        <x:v>46228</x:v>
      </x:c>
      <x:c r="AE200" s="192" t="str"/>
      <x:c r="AF200" s="194" t="str">
        <x:v>Workbook bank; reserve pool after controlled review</x:v>
      </x:c>
    </x:row>
    <x:row r="201">
      <x:c r="A201" s="191" t="str">
        <x:v>CTA-LMFT-MQB-0200</x:v>
      </x:c>
      <x:c r="B201" s="192" t="str">
        <x:v>LMFT-WB12-QB-Q013</x:v>
      </x:c>
      <x:c r="C201" s="192" t="str">
        <x:v>LMFT</x:v>
      </x:c>
      <x:c r="D201" s="192" t="str">
        <x:v>Workbook Question Bank</x:v>
      </x:c>
      <x:c r="E201" s="192" t="n">
        <x:v>12</x:v>
      </x:c>
      <x:c r="F201" s="192" t="str">
        <x:v>California Legal, Ethical, and Professional Practice</x:v>
      </x:c>
      <x:c r="G201" s="192"/>
      <x:c r="H201" s="192" t="n">
        <x:v>13</x:v>
      </x:c>
      <x:c r="I201" s="192" t="str">
        <x:v>Workbook Bank</x:v>
      </x:c>
      <x:c r="J201" s="192" t="str">
        <x:v>6. Managing Legal and Ethical Obligations within the Therapeutic Relationship</x:v>
      </x:c>
      <x:c r="K201" s="192" t="str">
        <x:v>Relational record after separation</x:v>
      </x:c>
      <x:c r="L201" s="192" t="str"/>
      <x:c r="M201" s="192" t="str">
        <x:v>Difficult</x:v>
      </x:c>
      <x:c r="N201" s="192" t="str">
        <x:v>Difficult</x:v>
      </x:c>
      <x:c r="O201" s="192" t="str">
        <x:v>Integrated Clinical Reasoning</x:v>
      </x:c>
      <x:c r="P201" s="192" t="str">
        <x:v>Integrated Clinical Reasoning</x:v>
      </x:c>
      <x:c r="Q201" s="192" t="n">
        <x:v>4</x:v>
      </x:c>
      <x:c r="R201" s="192" t="str">
        <x:v>A</x:v>
      </x:c>
      <x:c r="S201" s="192" t="str">
        <x:v>Approved</x:v>
      </x:c>
      <x:c r="T201" s="192" t="str">
        <x:v>Active</x:v>
      </x:c>
      <x:c r="U201" s="192" t="n">
        <x:v>1</x:v>
      </x:c>
      <x:c r="V201" s="192" t="str"/>
      <x:c r="W201" s="192" t="str">
        <x:v>No additional flag</x:v>
      </x:c>
      <x:c r="X201" s="192" t="str">
        <x:v>No structural flag</x:v>
      </x:c>
      <x:c r="Y201" s="192" t="str">
        <x:v>Not Yet Reviewed</x:v>
      </x:c>
      <x:c r="Z201" s="192" t="str">
        <x:v>CTA LMFT Workbook 12</x:v>
      </x:c>
      <x:c r="AA201" s="192" t="str">
        <x:v>CTA_LMFT_WB12_17_Question_Bank_v1.0.docx</x:v>
      </x:c>
      <x:c r="AB201" s="192" t="str">
        <x:v>1.0</x:v>
      </x:c>
      <x:c r="AC201" s="193"/>
      <x:c r="AD201" s="193" t="n">
        <x:v>46228</x:v>
      </x:c>
      <x:c r="AE201" s="192" t="str"/>
      <x:c r="AF201" s="194" t="str">
        <x:v>Workbook bank; reserve pool after controlled review</x:v>
      </x:c>
    </x:row>
    <x:row r="202">
      <x:c r="A202" s="191" t="str">
        <x:v>CTA-LMFT-MQB-0201</x:v>
      </x:c>
      <x:c r="B202" s="192" t="str">
        <x:v>LMFT-WB12-QB-Q014</x:v>
      </x:c>
      <x:c r="C202" s="192" t="str">
        <x:v>LMFT</x:v>
      </x:c>
      <x:c r="D202" s="192" t="str">
        <x:v>Workbook Question Bank</x:v>
      </x:c>
      <x:c r="E202" s="192" t="n">
        <x:v>12</x:v>
      </x:c>
      <x:c r="F202" s="192" t="str">
        <x:v>California Legal, Ethical, and Professional Practice</x:v>
      </x:c>
      <x:c r="G202" s="192"/>
      <x:c r="H202" s="192" t="n">
        <x:v>14</x:v>
      </x:c>
      <x:c r="I202" s="192" t="str">
        <x:v>Workbook Bank</x:v>
      </x:c>
      <x:c r="J202" s="192" t="str">
        <x:v>6. Managing Legal and Ethical Obligations within the Therapeutic Relationship</x:v>
      </x:c>
      <x:c r="K202" s="192" t="str">
        <x:v>Emerging technology and informed participation</x:v>
      </x:c>
      <x:c r="L202" s="192" t="str"/>
      <x:c r="M202" s="192" t="str">
        <x:v>Difficult</x:v>
      </x:c>
      <x:c r="N202" s="192" t="str">
        <x:v>Difficult</x:v>
      </x:c>
      <x:c r="O202" s="192" t="str">
        <x:v>Integrated Clinical Reasoning</x:v>
      </x:c>
      <x:c r="P202" s="192" t="str">
        <x:v>Integrated Clinical Reasoning</x:v>
      </x:c>
      <x:c r="Q202" s="192" t="n">
        <x:v>4</x:v>
      </x:c>
      <x:c r="R202" s="192" t="str">
        <x:v>B</x:v>
      </x:c>
      <x:c r="S202" s="192" t="str">
        <x:v>Approved</x:v>
      </x:c>
      <x:c r="T202" s="192" t="str">
        <x:v>Active</x:v>
      </x:c>
      <x:c r="U202" s="192" t="n">
        <x:v>1</x:v>
      </x:c>
      <x:c r="V202" s="192" t="str"/>
      <x:c r="W202" s="192" t="str">
        <x:v>No additional flag</x:v>
      </x:c>
      <x:c r="X202" s="192" t="str">
        <x:v>No structural flag</x:v>
      </x:c>
      <x:c r="Y202" s="192" t="str">
        <x:v>Not Yet Reviewed</x:v>
      </x:c>
      <x:c r="Z202" s="192" t="str">
        <x:v>CTA LMFT Workbook 12</x:v>
      </x:c>
      <x:c r="AA202" s="192" t="str">
        <x:v>CTA_LMFT_WB12_17_Question_Bank_v1.0.docx</x:v>
      </x:c>
      <x:c r="AB202" s="192" t="str">
        <x:v>1.0</x:v>
      </x:c>
      <x:c r="AC202" s="193"/>
      <x:c r="AD202" s="193" t="n">
        <x:v>46228</x:v>
      </x:c>
      <x:c r="AE202" s="192" t="str"/>
      <x:c r="AF202" s="194" t="str">
        <x:v>Workbook bank; reserve pool after controlled review</x:v>
      </x:c>
    </x:row>
    <x:row r="203">
      <x:c r="A203" s="191" t="str">
        <x:v>CTA-LMFT-MQB-0202</x:v>
      </x:c>
      <x:c r="B203" s="192" t="str">
        <x:v>LMFT-WB12-QB-Q015</x:v>
      </x:c>
      <x:c r="C203" s="192" t="str">
        <x:v>LMFT</x:v>
      </x:c>
      <x:c r="D203" s="192" t="str">
        <x:v>Workbook Question Bank</x:v>
      </x:c>
      <x:c r="E203" s="192" t="n">
        <x:v>12</x:v>
      </x:c>
      <x:c r="F203" s="192" t="str">
        <x:v>California Legal, Ethical, and Professional Practice</x:v>
      </x:c>
      <x:c r="G203" s="192"/>
      <x:c r="H203" s="192" t="n">
        <x:v>15</x:v>
      </x:c>
      <x:c r="I203" s="192" t="str">
        <x:v>Workbook Bank</x:v>
      </x:c>
      <x:c r="J203" s="192" t="str">
        <x:v>6. Managing Legal and Ethical Obligations within the Therapeutic Relationship</x:v>
      </x:c>
      <x:c r="K203" s="192" t="str">
        <x:v>Impairment, high-risk care, and coverage</x:v>
      </x:c>
      <x:c r="L203" s="192" t="str"/>
      <x:c r="M203" s="192" t="str">
        <x:v>Difficult</x:v>
      </x:c>
      <x:c r="N203" s="192" t="str">
        <x:v>Difficult</x:v>
      </x:c>
      <x:c r="O203" s="192" t="str">
        <x:v>Integrated Clinical Reasoning</x:v>
      </x:c>
      <x:c r="P203" s="192" t="str">
        <x:v>Integrated Clinical Reasoning</x:v>
      </x:c>
      <x:c r="Q203" s="192" t="n">
        <x:v>4</x:v>
      </x:c>
      <x:c r="R203" s="192" t="str">
        <x:v>C</x:v>
      </x:c>
      <x:c r="S203" s="192" t="str">
        <x:v>Approved</x:v>
      </x:c>
      <x:c r="T203" s="192" t="str">
        <x:v>Active</x:v>
      </x:c>
      <x:c r="U203" s="192" t="n">
        <x:v>1</x:v>
      </x:c>
      <x:c r="V203" s="192" t="str"/>
      <x:c r="W203" s="192" t="str">
        <x:v>No additional flag</x:v>
      </x:c>
      <x:c r="X203" s="192" t="str">
        <x:v>No structural flag</x:v>
      </x:c>
      <x:c r="Y203" s="192" t="str">
        <x:v>Not Yet Reviewed</x:v>
      </x:c>
      <x:c r="Z203" s="192" t="str">
        <x:v>CTA LMFT Workbook 12</x:v>
      </x:c>
      <x:c r="AA203" s="192" t="str">
        <x:v>CTA_LMFT_WB12_17_Question_Bank_v1.0.docx</x:v>
      </x:c>
      <x:c r="AB203" s="192" t="str">
        <x:v>1.0</x:v>
      </x:c>
      <x:c r="AC203" s="193"/>
      <x:c r="AD203" s="193" t="n">
        <x:v>46228</x:v>
      </x:c>
      <x:c r="AE203" s="192" t="str"/>
      <x:c r="AF203" s="194" t="str">
        <x:v>Workbook bank; reserve pool after controlled review</x:v>
      </x:c>
    </x:row>
    <x:row r="204">
      <x:c r="A204" s="191" t="str">
        <x:v>CTA-LMFT-MQB-0203</x:v>
      </x:c>
      <x:c r="B204" s="192" t="str">
        <x:v>LMFT-WB12-QB-Q016</x:v>
      </x:c>
      <x:c r="C204" s="192" t="str">
        <x:v>LMFT</x:v>
      </x:c>
      <x:c r="D204" s="192" t="str">
        <x:v>Workbook Question Bank</x:v>
      </x:c>
      <x:c r="E204" s="192" t="n">
        <x:v>12</x:v>
      </x:c>
      <x:c r="F204" s="192" t="str">
        <x:v>California Legal, Ethical, and Professional Practice</x:v>
      </x:c>
      <x:c r="G204" s="192"/>
      <x:c r="H204" s="192" t="n">
        <x:v>16</x:v>
      </x:c>
      <x:c r="I204" s="192" t="str">
        <x:v>Workbook Bank</x:v>
      </x:c>
      <x:c r="J204" s="192" t="str">
        <x:v>6. Managing Legal and Ethical Obligations within the Therapeutic Relationship</x:v>
      </x:c>
      <x:c r="K204" s="192" t="str">
        <x:v>Therapeutic and forensic role conflict</x:v>
      </x:c>
      <x:c r="L204" s="192" t="str"/>
      <x:c r="M204" s="192" t="str">
        <x:v>Difficult</x:v>
      </x:c>
      <x:c r="N204" s="192" t="str">
        <x:v>Difficult</x:v>
      </x:c>
      <x:c r="O204" s="192" t="str">
        <x:v>Integrated Clinical Reasoning</x:v>
      </x:c>
      <x:c r="P204" s="192" t="str">
        <x:v>Integrated Clinical Reasoning</x:v>
      </x:c>
      <x:c r="Q204" s="192" t="n">
        <x:v>4</x:v>
      </x:c>
      <x:c r="R204" s="192" t="str">
        <x:v>D</x:v>
      </x:c>
      <x:c r="S204" s="192" t="str">
        <x:v>Approved</x:v>
      </x:c>
      <x:c r="T204" s="192" t="str">
        <x:v>Active</x:v>
      </x:c>
      <x:c r="U204" s="192" t="n">
        <x:v>1</x:v>
      </x:c>
      <x:c r="V204" s="192" t="str"/>
      <x:c r="W204" s="192" t="str">
        <x:v>No additional flag</x:v>
      </x:c>
      <x:c r="X204" s="192" t="str">
        <x:v>No structural flag</x:v>
      </x:c>
      <x:c r="Y204" s="192" t="str">
        <x:v>Not Yet Reviewed</x:v>
      </x:c>
      <x:c r="Z204" s="192" t="str">
        <x:v>CTA LMFT Workbook 12</x:v>
      </x:c>
      <x:c r="AA204" s="192" t="str">
        <x:v>CTA_LMFT_WB12_17_Question_Bank_v1.0.docx</x:v>
      </x:c>
      <x:c r="AB204" s="192" t="str">
        <x:v>1.0</x:v>
      </x:c>
      <x:c r="AC204" s="193"/>
      <x:c r="AD204" s="193" t="n">
        <x:v>46228</x:v>
      </x:c>
      <x:c r="AE204" s="192" t="str"/>
      <x:c r="AF204" s="194" t="str">
        <x:v>Workbook bank; reserve pool after controlled review</x:v>
      </x:c>
    </x:row>
    <x:row r="205">
      <x:c r="A205" s="191" t="str">
        <x:v>CTA-LMFT-MQB-0204</x:v>
      </x:c>
      <x:c r="B205" s="192" t="str">
        <x:v>LMFT-WB12-QB-Q017</x:v>
      </x:c>
      <x:c r="C205" s="192" t="str">
        <x:v>LMFT</x:v>
      </x:c>
      <x:c r="D205" s="192" t="str">
        <x:v>Workbook Question Bank</x:v>
      </x:c>
      <x:c r="E205" s="192" t="n">
        <x:v>12</x:v>
      </x:c>
      <x:c r="F205" s="192" t="str">
        <x:v>California Legal, Ethical, and Professional Practice</x:v>
      </x:c>
      <x:c r="G205" s="192"/>
      <x:c r="H205" s="192" t="n">
        <x:v>17</x:v>
      </x:c>
      <x:c r="I205" s="192" t="str">
        <x:v>Workbook Bank</x:v>
      </x:c>
      <x:c r="J205" s="192" t="str">
        <x:v>6. Managing Legal and Ethical Obligations within the Therapeutic Relationship</x:v>
      </x:c>
      <x:c r="K205" s="192" t="str">
        <x:v>Boundary overlap and continuity in a small community</x:v>
      </x:c>
      <x:c r="L205" s="192" t="str"/>
      <x:c r="M205" s="192" t="str">
        <x:v>Difficult</x:v>
      </x:c>
      <x:c r="N205" s="192" t="str">
        <x:v>Difficult</x:v>
      </x:c>
      <x:c r="O205" s="192" t="str">
        <x:v>Integrated Clinical Reasoning</x:v>
      </x:c>
      <x:c r="P205" s="192" t="str">
        <x:v>Integrated Clinical Reasoning</x:v>
      </x:c>
      <x:c r="Q205" s="192" t="n">
        <x:v>4</x:v>
      </x:c>
      <x:c r="R205" s="192" t="str">
        <x:v>A</x:v>
      </x:c>
      <x:c r="S205" s="192" t="str">
        <x:v>Approved</x:v>
      </x:c>
      <x:c r="T205" s="192" t="str">
        <x:v>Active</x:v>
      </x:c>
      <x:c r="U205" s="192" t="n">
        <x:v>1</x:v>
      </x:c>
      <x:c r="V205" s="192" t="str"/>
      <x:c r="W205" s="192" t="str">
        <x:v>No additional flag</x:v>
      </x:c>
      <x:c r="X205" s="192" t="str">
        <x:v>No structural flag</x:v>
      </x:c>
      <x:c r="Y205" s="192" t="str">
        <x:v>Not Yet Reviewed</x:v>
      </x:c>
      <x:c r="Z205" s="192" t="str">
        <x:v>CTA LMFT Workbook 12</x:v>
      </x:c>
      <x:c r="AA205" s="192" t="str">
        <x:v>CTA_LMFT_WB12_17_Question_Bank_v1.0.docx</x:v>
      </x:c>
      <x:c r="AB205" s="192" t="str">
        <x:v>1.0</x:v>
      </x:c>
      <x:c r="AC205" s="193"/>
      <x:c r="AD205" s="193" t="n">
        <x:v>46228</x:v>
      </x:c>
      <x:c r="AE205" s="192" t="str"/>
      <x:c r="AF205" s="194" t="str">
        <x:v>Workbook bank; reserve pool after controlled review</x:v>
      </x:c>
    </x:row>
    <x:row r="206">
      <x:c r="A206" s="191" t="str">
        <x:v>CTA-LMFT-MQB-0205</x:v>
      </x:c>
      <x:c r="B206" s="192" t="str">
        <x:v>LMFT-MQB-FA-CR-005</x:v>
      </x:c>
      <x:c r="C206" s="192" t="str">
        <x:v>LMFT</x:v>
      </x:c>
      <x:c r="D206" s="192" t="str">
        <x:v>Comprehensive Simulation</x:v>
      </x:c>
      <x:c r="E206" s="192"/>
      <x:c r="F206" s="192"/>
      <x:c r="G206" s="192" t="str">
        <x:v>Form A</x:v>
      </x:c>
      <x:c r="H206" s="192" t="n">
        <x:v>1</x:v>
      </x:c>
      <x:c r="I206" s="192" t="str">
        <x:v>Scored-Style</x:v>
      </x:c>
      <x:c r="J206" s="192" t="str">
        <x:v>3. Managing Crisis Situations</x:v>
      </x:c>
      <x:c r="K206" s="192" t="str">
        <x:v>Domestic violence response</x:v>
      </x:c>
      <x:c r="L206" s="192" t="str"/>
      <x:c r="M206" s="192" t="str">
        <x:v>Moderate</x:v>
      </x:c>
      <x:c r="N206" s="192" t="str">
        <x:v>Moderate</x:v>
      </x:c>
      <x:c r="O206" s="192" t="str">
        <x:v>Application</x:v>
      </x:c>
      <x:c r="P206" s="192" t="str">
        <x:v>Application</x:v>
      </x:c>
      <x:c r="Q206" s="192" t="n">
        <x:v>4</x:v>
      </x:c>
      <x:c r="R206" s="192" t="str">
        <x:v>D</x:v>
      </x:c>
      <x:c r="S206" s="192" t="str">
        <x:v>Approved</x:v>
      </x:c>
      <x:c r="T206" s="192" t="str">
        <x:v>Active</x:v>
      </x:c>
      <x:c r="U206" s="192" t="n">
        <x:v>1</x:v>
      </x:c>
      <x:c r="V206" s="192" t="str">
        <x:v>LMFT-ALT-064</x:v>
      </x:c>
      <x:c r="W206" s="192" t="str">
        <x:v>No additional flag</x:v>
      </x:c>
      <x:c r="X206" s="192" t="str">
        <x:v>No structural flag</x:v>
      </x:c>
      <x:c r="Y206" s="192" t="str">
        <x:v>Not Yet Reviewed</x:v>
      </x:c>
      <x:c r="Z206" s="192" t="str">
        <x:v>CTA LMFT WB6; Pearson VUE LMFT Outline Area 3</x:v>
      </x:c>
      <x:c r="AA206" s="192" t="str">
        <x:v>CTA_LMFT_Comprehensive_Simulation_Form_A_Answer_Key_and_Detailed_Rationales_v1.0.docx</x:v>
      </x:c>
      <x:c r="AB206" s="192" t="str">
        <x:v>1.0</x:v>
      </x:c>
      <x:c r="AC206" s="193"/>
      <x:c r="AD206" s="193" t="n">
        <x:v>46228</x:v>
      </x:c>
      <x:c r="AE206" s="192" t="str">
        <x:v>Approved for Form A</x:v>
      </x:c>
      <x:c r="AF206" s="194" t="str">
        <x:v>Form A only; paired alternate retained on the other comprehensive form</x:v>
      </x:c>
    </x:row>
    <x:row r="207">
      <x:c r="A207" s="191" t="str">
        <x:v>CTA-LMFT-MQB-0206</x:v>
      </x:c>
      <x:c r="B207" s="192" t="str">
        <x:v>LMFT-MQB-FA-CP-009</x:v>
      </x:c>
      <x:c r="C207" s="192" t="str">
        <x:v>LMFT</x:v>
      </x:c>
      <x:c r="D207" s="192" t="str">
        <x:v>Comprehensive Simulation</x:v>
      </x:c>
      <x:c r="E207" s="192"/>
      <x:c r="F207" s="192"/>
      <x:c r="G207" s="192" t="str">
        <x:v>Form A</x:v>
      </x:c>
      <x:c r="H207" s="192" t="n">
        <x:v>2</x:v>
      </x:c>
      <x:c r="I207" s="192" t="str">
        <x:v>Pretest-Style</x:v>
      </x:c>
      <x:c r="J207" s="192" t="str">
        <x:v>4. Case Conceptualization and Planning</x:v>
      </x:c>
      <x:c r="K207" s="192" t="str">
        <x:v>Level of care</x:v>
      </x:c>
      <x:c r="L207" s="192" t="str"/>
      <x:c r="M207" s="192" t="str">
        <x:v>Difficult</x:v>
      </x:c>
      <x:c r="N207" s="192" t="str">
        <x:v>Difficult</x:v>
      </x:c>
      <x:c r="O207" s="192" t="str">
        <x:v>Application</x:v>
      </x:c>
      <x:c r="P207" s="192" t="str">
        <x:v>Application</x:v>
      </x:c>
      <x:c r="Q207" s="192" t="n">
        <x:v>4</x:v>
      </x:c>
      <x:c r="R207" s="192" t="str">
        <x:v>D</x:v>
      </x:c>
      <x:c r="S207" s="192" t="str">
        <x:v>Approved</x:v>
      </x:c>
      <x:c r="T207" s="192" t="str">
        <x:v>Active</x:v>
      </x:c>
      <x:c r="U207" s="192" t="n">
        <x:v>1</x:v>
      </x:c>
      <x:c r="V207" s="192" t="str">
        <x:v>LMFT-ALT-050</x:v>
      </x:c>
      <x:c r="W207" s="192" t="str">
        <x:v>No additional flag</x:v>
      </x:c>
      <x:c r="X207" s="192" t="str">
        <x:v>No structural flag</x:v>
      </x:c>
      <x:c r="Y207" s="192" t="str">
        <x:v>Not Yet Reviewed</x:v>
      </x:c>
      <x:c r="Z207" s="192" t="str">
        <x:v>CTA LMFT WB6; CTA LMFT WB7; Pearson VUE LMFT Outline Area 4</x:v>
      </x:c>
      <x:c r="AA207" s="192" t="str">
        <x:v>CTA_LMFT_Comprehensive_Simulation_Form_A_Answer_Key_and_Detailed_Rationales_v1.0.docx</x:v>
      </x:c>
      <x:c r="AB207" s="192" t="str">
        <x:v>1.0</x:v>
      </x:c>
      <x:c r="AC207" s="193"/>
      <x:c r="AD207" s="193" t="n">
        <x:v>46228</x:v>
      </x:c>
      <x:c r="AE207" s="192" t="str">
        <x:v>Approved for Form A</x:v>
      </x:c>
      <x:c r="AF207" s="194" t="str">
        <x:v>Form A only; paired alternate retained on the other comprehensive form</x:v>
      </x:c>
    </x:row>
    <x:row r="208">
      <x:c r="A208" s="191" t="str">
        <x:v>CTA-LMFT-MQB-0207</x:v>
      </x:c>
      <x:c r="B208" s="192" t="str">
        <x:v>LMFT-MQB-FA-DI-001</x:v>
      </x:c>
      <x:c r="C208" s="192" t="str">
        <x:v>LMFT</x:v>
      </x:c>
      <x:c r="D208" s="192" t="str">
        <x:v>Comprehensive Simulation</x:v>
      </x:c>
      <x:c r="E208" s="192"/>
      <x:c r="F208" s="192"/>
      <x:c r="G208" s="192" t="str">
        <x:v>Form A</x:v>
      </x:c>
      <x:c r="H208" s="192" t="n">
        <x:v>3</x:v>
      </x:c>
      <x:c r="I208" s="192" t="str">
        <x:v>Pretest-Style</x:v>
      </x:c>
      <x:c r="J208" s="192" t="str">
        <x:v>2. Developing a Diagnostic Impression</x:v>
      </x:c>
      <x:c r="K208" s="192" t="str">
        <x:v>Provisional diagnosis</x:v>
      </x:c>
      <x:c r="L208" s="192" t="str"/>
      <x:c r="M208" s="192" t="str">
        <x:v>Easy</x:v>
      </x:c>
      <x:c r="N208" s="192" t="str">
        <x:v>Easy</x:v>
      </x:c>
      <x:c r="O208" s="192" t="str">
        <x:v>Direct recognition</x:v>
      </x:c>
      <x:c r="P208" s="192" t="str">
        <x:v>Knowledge &amp; Recall</x:v>
      </x:c>
      <x:c r="Q208" s="192" t="n">
        <x:v>4</x:v>
      </x:c>
      <x:c r="R208" s="192" t="str">
        <x:v>B</x:v>
      </x:c>
      <x:c r="S208" s="192" t="str">
        <x:v>Approved</x:v>
      </x:c>
      <x:c r="T208" s="192" t="str">
        <x:v>Active</x:v>
      </x:c>
      <x:c r="U208" s="192" t="n">
        <x:v>1</x:v>
      </x:c>
      <x:c r="V208" s="192" t="str">
        <x:v>LMFT-ALT-076</x:v>
      </x:c>
      <x:c r="W208" s="192" t="str">
        <x:v>Review Candidate</x:v>
      </x:c>
      <x:c r="X208" s="192" t="str">
        <x:v>No structural flag</x:v>
      </x:c>
      <x:c r="Y208" s="192" t="str">
        <x:v>Not Yet Reviewed</x:v>
      </x:c>
      <x:c r="Z208" s="192" t="str">
        <x:v>CTA LMFT WB5; Pearson VUE LMFT Outline Area 2</x:v>
      </x:c>
      <x:c r="AA208" s="192" t="str">
        <x:v>CTA_LMFT_Comprehensive_Simulation_Form_A_Answer_Key_and_Detailed_Rationales_v1.0.docx</x:v>
      </x:c>
      <x:c r="AB208" s="192" t="str">
        <x:v>1.0</x:v>
      </x:c>
      <x:c r="AC208" s="193"/>
      <x:c r="AD208" s="193" t="n">
        <x:v>46228</x:v>
      </x:c>
      <x:c r="AE208" s="192" t="str">
        <x:v>Approved for Form A</x:v>
      </x:c>
      <x:c r="AF208" s="194" t="str">
        <x:v>Form A only; paired alternate retained on the other comprehensive form</x:v>
      </x:c>
    </x:row>
    <x:row r="209">
      <x:c r="A209" s="191" t="str">
        <x:v>CTA-LMFT-MQB-0208</x:v>
      </x:c>
      <x:c r="B209" s="192" t="str">
        <x:v>LMFT-MQB-FA-CE-028</x:v>
      </x:c>
      <x:c r="C209" s="192" t="str">
        <x:v>LMFT</x:v>
      </x:c>
      <x:c r="D209" s="192" t="str">
        <x:v>Comprehensive Simulation</x:v>
      </x:c>
      <x:c r="E209" s="192"/>
      <x:c r="F209" s="192"/>
      <x:c r="G209" s="192" t="str">
        <x:v>Form A</x:v>
      </x:c>
      <x:c r="H209" s="192" t="n">
        <x:v>4</x:v>
      </x:c>
      <x:c r="I209" s="192" t="str">
        <x:v>Scored-Style</x:v>
      </x:c>
      <x:c r="J209" s="192" t="str">
        <x:v>1. Clinical Evaluation</x:v>
      </x:c>
      <x:c r="K209" s="192" t="str">
        <x:v>Possible mania or stimulant effect</x:v>
      </x:c>
      <x:c r="L209" s="192" t="str"/>
      <x:c r="M209" s="192" t="str">
        <x:v>Moderate</x:v>
      </x:c>
      <x:c r="N209" s="192" t="str">
        <x:v>Moderate</x:v>
      </x:c>
      <x:c r="O209" s="192" t="str">
        <x:v>Scenario-based sequencing</x:v>
      </x:c>
      <x:c r="P209" s="192" t="str">
        <x:v>Scenario-Based</x:v>
      </x:c>
      <x:c r="Q209" s="192" t="n">
        <x:v>4</x:v>
      </x:c>
      <x:c r="R209" s="192" t="str">
        <x:v>C</x:v>
      </x:c>
      <x:c r="S209" s="192" t="str">
        <x:v>Approved</x:v>
      </x:c>
      <x:c r="T209" s="192" t="str">
        <x:v>Active</x:v>
      </x:c>
      <x:c r="U209" s="192" t="n">
        <x:v>1</x:v>
      </x:c>
      <x:c r="V209" s="192" t="str">
        <x:v>LMFT-ALT-028</x:v>
      </x:c>
      <x:c r="W209" s="192" t="str">
        <x:v>No additional flag</x:v>
      </x:c>
      <x:c r="X209" s="192" t="str">
        <x:v>No structural flag</x:v>
      </x:c>
      <x:c r="Y209" s="192" t="str">
        <x:v>Not Yet Reviewed</x:v>
      </x:c>
      <x:c r="Z209" s="192" t="str">
        <x:v>CTA LMFT WB2; CTA LMFT WB5; Pearson VUE LMFT Outline Area 1</x:v>
      </x:c>
      <x:c r="AA209" s="192" t="str">
        <x:v>CTA_LMFT_Comprehensive_Simulation_Form_A_Answer_Key_and_Detailed_Rationales_v1.0.docx</x:v>
      </x:c>
      <x:c r="AB209" s="192" t="str">
        <x:v>1.0</x:v>
      </x:c>
      <x:c r="AC209" s="193"/>
      <x:c r="AD209" s="193" t="n">
        <x:v>46228</x:v>
      </x:c>
      <x:c r="AE209" s="192" t="str">
        <x:v>Approved for Form A</x:v>
      </x:c>
      <x:c r="AF209" s="194" t="str">
        <x:v>Form A only; paired alternate retained on the other comprehensive form</x:v>
      </x:c>
    </x:row>
    <x:row r="210">
      <x:c r="A210" s="191" t="str">
        <x:v>CTA-LMFT-MQB-0209</x:v>
      </x:c>
      <x:c r="B210" s="192" t="str">
        <x:v>LMFT-MQB-FA-CE-014</x:v>
      </x:c>
      <x:c r="C210" s="192" t="str">
        <x:v>LMFT</x:v>
      </x:c>
      <x:c r="D210" s="192" t="str">
        <x:v>Comprehensive Simulation</x:v>
      </x:c>
      <x:c r="E210" s="192"/>
      <x:c r="F210" s="192"/>
      <x:c r="G210" s="192" t="str">
        <x:v>Form A</x:v>
      </x:c>
      <x:c r="H210" s="192" t="n">
        <x:v>5</x:v>
      </x:c>
      <x:c r="I210" s="192" t="str">
        <x:v>Scored-Style</x:v>
      </x:c>
      <x:c r="J210" s="192" t="str">
        <x:v>1. Clinical Evaluation</x:v>
      </x:c>
      <x:c r="K210" s="192" t="str">
        <x:v>Standardized measure use</x:v>
      </x:c>
      <x:c r="L210" s="192" t="str"/>
      <x:c r="M210" s="192" t="str">
        <x:v>Moderate</x:v>
      </x:c>
      <x:c r="N210" s="192" t="str">
        <x:v>Moderate</x:v>
      </x:c>
      <x:c r="O210" s="192" t="str">
        <x:v>Application</x:v>
      </x:c>
      <x:c r="P210" s="192" t="str">
        <x:v>Application</x:v>
      </x:c>
      <x:c r="Q210" s="192" t="n">
        <x:v>4</x:v>
      </x:c>
      <x:c r="R210" s="192" t="str">
        <x:v>D</x:v>
      </x:c>
      <x:c r="S210" s="192" t="str">
        <x:v>Approved</x:v>
      </x:c>
      <x:c r="T210" s="192" t="str">
        <x:v>Active</x:v>
      </x:c>
      <x:c r="U210" s="192" t="n">
        <x:v>1</x:v>
      </x:c>
      <x:c r="V210" s="192" t="str">
        <x:v>LMFT-ALT-014</x:v>
      </x:c>
      <x:c r="W210" s="192" t="str">
        <x:v>No additional flag</x:v>
      </x:c>
      <x:c r="X210" s="192" t="str">
        <x:v>No structural flag</x:v>
      </x:c>
      <x:c r="Y210" s="192" t="str">
        <x:v>Not Yet Reviewed</x:v>
      </x:c>
      <x:c r="Z210" s="192" t="str">
        <x:v>CTA LMFT WB4; Pearson VUE LMFT Outline Area 1</x:v>
      </x:c>
      <x:c r="AA210" s="192" t="str">
        <x:v>CTA_LMFT_Comprehensive_Simulation_Form_A_Answer_Key_and_Detailed_Rationales_v1.0.docx</x:v>
      </x:c>
      <x:c r="AB210" s="192" t="str">
        <x:v>1.0</x:v>
      </x:c>
      <x:c r="AC210" s="193"/>
      <x:c r="AD210" s="193" t="n">
        <x:v>46228</x:v>
      </x:c>
      <x:c r="AE210" s="192" t="str">
        <x:v>Approved for Form A</x:v>
      </x:c>
      <x:c r="AF210" s="194" t="str">
        <x:v>Form A only; paired alternate retained on the other comprehensive form</x:v>
      </x:c>
    </x:row>
    <x:row r="211">
      <x:c r="A211" s="191" t="str">
        <x:v>CTA-LMFT-MQB-0210</x:v>
      </x:c>
      <x:c r="B211" s="192" t="str">
        <x:v>LMFT-MQB-FA-TX-003</x:v>
      </x:c>
      <x:c r="C211" s="192" t="str">
        <x:v>LMFT</x:v>
      </x:c>
      <x:c r="D211" s="192" t="str">
        <x:v>Comprehensive Simulation</x:v>
      </x:c>
      <x:c r="E211" s="192"/>
      <x:c r="F211" s="192"/>
      <x:c r="G211" s="192" t="str">
        <x:v>Form A</x:v>
      </x:c>
      <x:c r="H211" s="192" t="n">
        <x:v>6</x:v>
      </x:c>
      <x:c r="I211" s="192" t="str">
        <x:v>Pretest-Style</x:v>
      </x:c>
      <x:c r="J211" s="192" t="str">
        <x:v>5. Treatment</x:v>
      </x:c>
      <x:c r="K211" s="192" t="str">
        <x:v>Group stage</x:v>
      </x:c>
      <x:c r="L211" s="192" t="str"/>
      <x:c r="M211" s="192" t="str">
        <x:v>Moderate</x:v>
      </x:c>
      <x:c r="N211" s="192" t="str">
        <x:v>Moderate</x:v>
      </x:c>
      <x:c r="O211" s="192" t="str">
        <x:v>Direct recognition</x:v>
      </x:c>
      <x:c r="P211" s="192" t="str">
        <x:v>Knowledge &amp; Recall</x:v>
      </x:c>
      <x:c r="Q211" s="192" t="n">
        <x:v>4</x:v>
      </x:c>
      <x:c r="R211" s="192" t="str">
        <x:v>A</x:v>
      </x:c>
      <x:c r="S211" s="192" t="str">
        <x:v>Approved</x:v>
      </x:c>
      <x:c r="T211" s="192" t="str">
        <x:v>Active</x:v>
      </x:c>
      <x:c r="U211" s="192" t="n">
        <x:v>1</x:v>
      </x:c>
      <x:c r="V211" s="192" t="str">
        <x:v>LMFT-ALT-110</x:v>
      </x:c>
      <x:c r="W211" s="192" t="str">
        <x:v>No additional flag</x:v>
      </x:c>
      <x:c r="X211" s="192" t="str">
        <x:v>No structural flag</x:v>
      </x:c>
      <x:c r="Y211" s="192" t="str">
        <x:v>Not Yet Reviewed</x:v>
      </x:c>
      <x:c r="Z211" s="192" t="str">
        <x:v>CTA LMFT WB8; CTA LMFT WB11; Pearson VUE LMFT Outline Area 5</x:v>
      </x:c>
      <x:c r="AA211" s="192" t="str">
        <x:v>CTA_LMFT_Comprehensive_Simulation_Form_A_Answer_Key_and_Detailed_Rationales_v1.0.docx</x:v>
      </x:c>
      <x:c r="AB211" s="192" t="str">
        <x:v>1.0</x:v>
      </x:c>
      <x:c r="AC211" s="193"/>
      <x:c r="AD211" s="193" t="n">
        <x:v>46228</x:v>
      </x:c>
      <x:c r="AE211" s="192" t="str">
        <x:v>Approved for Form A</x:v>
      </x:c>
      <x:c r="AF211" s="194" t="str">
        <x:v>Form A only; paired alternate retained on the other comprehensive form</x:v>
      </x:c>
    </x:row>
    <x:row r="212">
      <x:c r="A212" s="191" t="str">
        <x:v>CTA-LMFT-MQB-0211</x:v>
      </x:c>
      <x:c r="B212" s="192" t="str">
        <x:v>LMFT-MQB-FA-CR-008</x:v>
      </x:c>
      <x:c r="C212" s="192" t="str">
        <x:v>LMFT</x:v>
      </x:c>
      <x:c r="D212" s="192" t="str">
        <x:v>Comprehensive Simulation</x:v>
      </x:c>
      <x:c r="E212" s="192"/>
      <x:c r="F212" s="192"/>
      <x:c r="G212" s="192" t="str">
        <x:v>Form A</x:v>
      </x:c>
      <x:c r="H212" s="192" t="n">
        <x:v>7</x:v>
      </x:c>
      <x:c r="I212" s="192" t="str">
        <x:v>Scored-Style</x:v>
      </x:c>
      <x:c r="J212" s="192" t="str">
        <x:v>3. Managing Crisis Situations</x:v>
      </x:c>
      <x:c r="K212" s="192" t="str">
        <x:v>Threat to identifiable person</x:v>
      </x:c>
      <x:c r="L212" s="192" t="str"/>
      <x:c r="M212" s="192" t="str">
        <x:v>Moderate</x:v>
      </x:c>
      <x:c r="N212" s="192" t="str">
        <x:v>Moderate</x:v>
      </x:c>
      <x:c r="O212" s="192" t="str">
        <x:v>Scenario-based sequencing</x:v>
      </x:c>
      <x:c r="P212" s="192" t="str">
        <x:v>Scenario-Based</x:v>
      </x:c>
      <x:c r="Q212" s="192" t="n">
        <x:v>4</x:v>
      </x:c>
      <x:c r="R212" s="192" t="str">
        <x:v>A</x:v>
      </x:c>
      <x:c r="S212" s="192" t="str">
        <x:v>Approved</x:v>
      </x:c>
      <x:c r="T212" s="192" t="str">
        <x:v>Active</x:v>
      </x:c>
      <x:c r="U212" s="192" t="n">
        <x:v>1</x:v>
      </x:c>
      <x:c r="V212" s="192" t="str">
        <x:v>LMFT-ALT-067</x:v>
      </x:c>
      <x:c r="W212" s="192" t="str">
        <x:v>No additional flag</x:v>
      </x:c>
      <x:c r="X212" s="192" t="str">
        <x:v>No structural flag</x:v>
      </x:c>
      <x:c r="Y212" s="192" t="str">
        <x:v>Not Yet Reviewed</x:v>
      </x:c>
      <x:c r="Z212" s="192" t="str">
        <x:v>CTA LMFT WB6; Pearson VUE LMFT Outline Area 3</x:v>
      </x:c>
      <x:c r="AA212" s="192" t="str">
        <x:v>CTA_LMFT_Comprehensive_Simulation_Form_A_Answer_Key_and_Detailed_Rationales_v1.0.docx</x:v>
      </x:c>
      <x:c r="AB212" s="192" t="str">
        <x:v>1.0</x:v>
      </x:c>
      <x:c r="AC212" s="193"/>
      <x:c r="AD212" s="193" t="n">
        <x:v>46228</x:v>
      </x:c>
      <x:c r="AE212" s="192" t="str">
        <x:v>Approved for Form A</x:v>
      </x:c>
      <x:c r="AF212" s="194" t="str">
        <x:v>Form A only; paired alternate retained on the other comprehensive form</x:v>
      </x:c>
    </x:row>
    <x:row r="213">
      <x:c r="A213" s="191" t="str">
        <x:v>CTA-LMFT-MQB-0212</x:v>
      </x:c>
      <x:c r="B213" s="192" t="str">
        <x:v>LMFT-MQB-FA-CE-002</x:v>
      </x:c>
      <x:c r="C213" s="192" t="str">
        <x:v>LMFT</x:v>
      </x:c>
      <x:c r="D213" s="192" t="str">
        <x:v>Comprehensive Simulation</x:v>
      </x:c>
      <x:c r="E213" s="192"/>
      <x:c r="F213" s="192"/>
      <x:c r="G213" s="192" t="str">
        <x:v>Form A</x:v>
      </x:c>
      <x:c r="H213" s="192" t="n">
        <x:v>8</x:v>
      </x:c>
      <x:c r="I213" s="192" t="str">
        <x:v>Scored-Style</x:v>
      </x:c>
      <x:c r="J213" s="192" t="str">
        <x:v>1. Clinical Evaluation</x:v>
      </x:c>
      <x:c r="K213" s="192" t="str">
        <x:v>Mental status examination</x:v>
      </x:c>
      <x:c r="L213" s="192" t="str"/>
      <x:c r="M213" s="192" t="str">
        <x:v>Easy</x:v>
      </x:c>
      <x:c r="N213" s="192" t="str">
        <x:v>Easy</x:v>
      </x:c>
      <x:c r="O213" s="192" t="str">
        <x:v>Direct recognition</x:v>
      </x:c>
      <x:c r="P213" s="192" t="str">
        <x:v>Knowledge &amp; Recall</x:v>
      </x:c>
      <x:c r="Q213" s="192" t="n">
        <x:v>4</x:v>
      </x:c>
      <x:c r="R213" s="192" t="str">
        <x:v>D</x:v>
      </x:c>
      <x:c r="S213" s="192" t="str">
        <x:v>Approved</x:v>
      </x:c>
      <x:c r="T213" s="192" t="str">
        <x:v>Active</x:v>
      </x:c>
      <x:c r="U213" s="192" t="n">
        <x:v>1</x:v>
      </x:c>
      <x:c r="V213" s="192" t="str">
        <x:v>LMFT-ALT-002</x:v>
      </x:c>
      <x:c r="W213" s="192" t="str">
        <x:v>No additional flag</x:v>
      </x:c>
      <x:c r="X213" s="192" t="str">
        <x:v>No structural flag</x:v>
      </x:c>
      <x:c r="Y213" s="192" t="str">
        <x:v>Not Yet Reviewed</x:v>
      </x:c>
      <x:c r="Z213" s="192" t="str">
        <x:v>CTA LMFT WB2; Pearson VUE LMFT Outline Area 1</x:v>
      </x:c>
      <x:c r="AA213" s="192" t="str">
        <x:v>CTA_LMFT_Comprehensive_Simulation_Form_A_Answer_Key_and_Detailed_Rationales_v1.0.docx</x:v>
      </x:c>
      <x:c r="AB213" s="192" t="str">
        <x:v>1.0</x:v>
      </x:c>
      <x:c r="AC213" s="193"/>
      <x:c r="AD213" s="193" t="n">
        <x:v>46228</x:v>
      </x:c>
      <x:c r="AE213" s="192" t="str">
        <x:v>Approved for Form A</x:v>
      </x:c>
      <x:c r="AF213" s="194" t="str">
        <x:v>Form A only; paired alternate retained on the other comprehensive form</x:v>
      </x:c>
    </x:row>
    <x:row r="214">
      <x:c r="A214" s="191" t="str">
        <x:v>CTA-LMFT-MQB-0213</x:v>
      </x:c>
      <x:c r="B214" s="192" t="str">
        <x:v>LMFT-MQB-FA-CE-020</x:v>
      </x:c>
      <x:c r="C214" s="192" t="str">
        <x:v>LMFT</x:v>
      </x:c>
      <x:c r="D214" s="192" t="str">
        <x:v>Comprehensive Simulation</x:v>
      </x:c>
      <x:c r="E214" s="192"/>
      <x:c r="F214" s="192"/>
      <x:c r="G214" s="192" t="str">
        <x:v>Form A</x:v>
      </x:c>
      <x:c r="H214" s="192" t="n">
        <x:v>9</x:v>
      </x:c>
      <x:c r="I214" s="192" t="str">
        <x:v>Pretest-Style</x:v>
      </x:c>
      <x:c r="J214" s="192" t="str">
        <x:v>1. Clinical Evaluation</x:v>
      </x:c>
      <x:c r="K214" s="192" t="str">
        <x:v>Medical rule-out urgency</x:v>
      </x:c>
      <x:c r="L214" s="192" t="str"/>
      <x:c r="M214" s="192" t="str">
        <x:v>Difficult</x:v>
      </x:c>
      <x:c r="N214" s="192" t="str">
        <x:v>Difficult</x:v>
      </x:c>
      <x:c r="O214" s="192" t="str">
        <x:v>Application</x:v>
      </x:c>
      <x:c r="P214" s="192" t="str">
        <x:v>Application</x:v>
      </x:c>
      <x:c r="Q214" s="192" t="n">
        <x:v>4</x:v>
      </x:c>
      <x:c r="R214" s="192" t="str">
        <x:v>B</x:v>
      </x:c>
      <x:c r="S214" s="192" t="str">
        <x:v>Approved</x:v>
      </x:c>
      <x:c r="T214" s="192" t="str">
        <x:v>Active</x:v>
      </x:c>
      <x:c r="U214" s="192" t="n">
        <x:v>1</x:v>
      </x:c>
      <x:c r="V214" s="192" t="str">
        <x:v>LMFT-ALT-020</x:v>
      </x:c>
      <x:c r="W214" s="192" t="str">
        <x:v>No additional flag</x:v>
      </x:c>
      <x:c r="X214" s="192" t="str">
        <x:v>No structural flag</x:v>
      </x:c>
      <x:c r="Y214" s="192" t="str">
        <x:v>Not Yet Reviewed</x:v>
      </x:c>
      <x:c r="Z214" s="192" t="str">
        <x:v>CTA LMFT WB2; CTA LMFT WB5; Pearson VUE LMFT Outline Area 1</x:v>
      </x:c>
      <x:c r="AA214" s="192" t="str">
        <x:v>CTA_LMFT_Comprehensive_Simulation_Form_A_Answer_Key_and_Detailed_Rationales_v1.0.docx</x:v>
      </x:c>
      <x:c r="AB214" s="192" t="str">
        <x:v>1.0</x:v>
      </x:c>
      <x:c r="AC214" s="193"/>
      <x:c r="AD214" s="193" t="n">
        <x:v>46228</x:v>
      </x:c>
      <x:c r="AE214" s="192" t="str">
        <x:v>Approved for Form A</x:v>
      </x:c>
      <x:c r="AF214" s="194" t="str">
        <x:v>Form A only; paired alternate retained on the other comprehensive form</x:v>
      </x:c>
    </x:row>
    <x:row r="215">
      <x:c r="A215" s="191" t="str">
        <x:v>CTA-LMFT-MQB-0214</x:v>
      </x:c>
      <x:c r="B215" s="192" t="str">
        <x:v>LMFT-MQB-FA-LE-011</x:v>
      </x:c>
      <x:c r="C215" s="192" t="str">
        <x:v>LMFT</x:v>
      </x:c>
      <x:c r="D215" s="192" t="str">
        <x:v>Comprehensive Simulation</x:v>
      </x:c>
      <x:c r="E215" s="192"/>
      <x:c r="F215" s="192"/>
      <x:c r="G215" s="192" t="str">
        <x:v>Form A</x:v>
      </x:c>
      <x:c r="H215" s="192" t="n">
        <x:v>10</x:v>
      </x:c>
      <x:c r="I215" s="192" t="str">
        <x:v>Scored-Style</x:v>
      </x:c>
      <x:c r="J215" s="192" t="str">
        <x:v>6. Managing Legal and Ethical Obligations within the Therapeutic Relationship</x:v>
      </x:c>
      <x:c r="K215" s="192" t="str">
        <x:v>Telehealth jurisdiction</x:v>
      </x:c>
      <x:c r="L215" s="192" t="str"/>
      <x:c r="M215" s="192" t="str">
        <x:v>Moderate</x:v>
      </x:c>
      <x:c r="N215" s="192" t="str">
        <x:v>Moderate</x:v>
      </x:c>
      <x:c r="O215" s="192" t="str">
        <x:v>Scenario-based sequencing</x:v>
      </x:c>
      <x:c r="P215" s="192" t="str">
        <x:v>Scenario-Based</x:v>
      </x:c>
      <x:c r="Q215" s="192" t="n">
        <x:v>4</x:v>
      </x:c>
      <x:c r="R215" s="192" t="str">
        <x:v>D</x:v>
      </x:c>
      <x:c r="S215" s="192" t="str">
        <x:v>Approved</x:v>
      </x:c>
      <x:c r="T215" s="192" t="str">
        <x:v>Active</x:v>
      </x:c>
      <x:c r="U215" s="192" t="n">
        <x:v>1</x:v>
      </x:c>
      <x:c r="V215" s="192" t="str">
        <x:v>LMFT-ALT-103</x:v>
      </x:c>
      <x:c r="W215" s="192" t="str">
        <x:v>Review Candidate</x:v>
      </x:c>
      <x:c r="X215" s="192" t="str">
        <x:v>No structural flag</x:v>
      </x:c>
      <x:c r="Y215" s="192" t="str">
        <x:v>Not Yet Reviewed</x:v>
      </x:c>
      <x:c r="Z215" s="192" t="str">
        <x:v>CTA LMFT WB12; Pearson VUE LMFT Outline Area 6</x:v>
      </x:c>
      <x:c r="AA215" s="192" t="str">
        <x:v>CTA_LMFT_Comprehensive_Simulation_Form_A_Answer_Key_and_Detailed_Rationales_v1.0.docx</x:v>
      </x:c>
      <x:c r="AB215" s="192" t="str">
        <x:v>1.0</x:v>
      </x:c>
      <x:c r="AC215" s="193"/>
      <x:c r="AD215" s="193" t="n">
        <x:v>46228</x:v>
      </x:c>
      <x:c r="AE215" s="192" t="str">
        <x:v>Approved for Form A</x:v>
      </x:c>
      <x:c r="AF215" s="194" t="str">
        <x:v>Form A only; paired alternate retained on the other comprehensive form</x:v>
      </x:c>
    </x:row>
    <x:row r="216">
      <x:c r="A216" s="191" t="str">
        <x:v>CTA-LMFT-MQB-0215</x:v>
      </x:c>
      <x:c r="B216" s="192" t="str">
        <x:v>LMFT-MQB-FA-TX-034</x:v>
      </x:c>
      <x:c r="C216" s="192" t="str">
        <x:v>LMFT</x:v>
      </x:c>
      <x:c r="D216" s="192" t="str">
        <x:v>Comprehensive Simulation</x:v>
      </x:c>
      <x:c r="E216" s="192"/>
      <x:c r="F216" s="192"/>
      <x:c r="G216" s="192" t="str">
        <x:v>Form A</x:v>
      </x:c>
      <x:c r="H216" s="192" t="n">
        <x:v>11</x:v>
      </x:c>
      <x:c r="I216" s="192" t="str">
        <x:v>Scored-Style</x:v>
      </x:c>
      <x:c r="J216" s="192" t="str">
        <x:v>5. Treatment</x:v>
      </x:c>
      <x:c r="K216" s="192" t="str">
        <x:v>High-risk group member</x:v>
      </x:c>
      <x:c r="L216" s="192" t="str"/>
      <x:c r="M216" s="192" t="str">
        <x:v>Difficult</x:v>
      </x:c>
      <x:c r="N216" s="192" t="str">
        <x:v>Difficult</x:v>
      </x:c>
      <x:c r="O216" s="192" t="str">
        <x:v>Scenario-based sequencing</x:v>
      </x:c>
      <x:c r="P216" s="192" t="str">
        <x:v>Scenario-Based</x:v>
      </x:c>
      <x:c r="Q216" s="192" t="n">
        <x:v>4</x:v>
      </x:c>
      <x:c r="R216" s="192" t="str">
        <x:v>C</x:v>
      </x:c>
      <x:c r="S216" s="192" t="str">
        <x:v>Approved</x:v>
      </x:c>
      <x:c r="T216" s="192" t="str">
        <x:v>Active</x:v>
      </x:c>
      <x:c r="U216" s="192" t="n">
        <x:v>1</x:v>
      </x:c>
      <x:c r="V216" s="192" t="str">
        <x:v>LMFT-ALT-141</x:v>
      </x:c>
      <x:c r="W216" s="192" t="str">
        <x:v>No additional flag</x:v>
      </x:c>
      <x:c r="X216" s="192" t="str">
        <x:v>No structural flag</x:v>
      </x:c>
      <x:c r="Y216" s="192" t="str">
        <x:v>Not Yet Reviewed</x:v>
      </x:c>
      <x:c r="Z216" s="192" t="str">
        <x:v>CTA LMFT WB6; CTA LMFT WB11; Pearson VUE LMFT Outline Area 5</x:v>
      </x:c>
      <x:c r="AA216" s="192" t="str">
        <x:v>CTA_LMFT_Comprehensive_Simulation_Form_A_Answer_Key_and_Detailed_Rationales_v1.0.docx</x:v>
      </x:c>
      <x:c r="AB216" s="192" t="str">
        <x:v>1.0</x:v>
      </x:c>
      <x:c r="AC216" s="193"/>
      <x:c r="AD216" s="193" t="n">
        <x:v>46228</x:v>
      </x:c>
      <x:c r="AE216" s="192" t="str">
        <x:v>Approved for Form A</x:v>
      </x:c>
      <x:c r="AF216" s="194" t="str">
        <x:v>Form A only; paired alternate retained on the other comprehensive form</x:v>
      </x:c>
    </x:row>
    <x:row r="217">
      <x:c r="A217" s="191" t="str">
        <x:v>CTA-LMFT-MQB-0216</x:v>
      </x:c>
      <x:c r="B217" s="192" t="str">
        <x:v>LMFT-MQB-FA-LE-012</x:v>
      </x:c>
      <x:c r="C217" s="192" t="str">
        <x:v>LMFT</x:v>
      </x:c>
      <x:c r="D217" s="192" t="str">
        <x:v>Comprehensive Simulation</x:v>
      </x:c>
      <x:c r="E217" s="192"/>
      <x:c r="F217" s="192"/>
      <x:c r="G217" s="192" t="str">
        <x:v>Form A</x:v>
      </x:c>
      <x:c r="H217" s="192" t="n">
        <x:v>12</x:v>
      </x:c>
      <x:c r="I217" s="192" t="str">
        <x:v>Scored-Style</x:v>
      </x:c>
      <x:c r="J217" s="192" t="str">
        <x:v>6. Managing Legal and Ethical Obligations within the Therapeutic Relationship</x:v>
      </x:c>
      <x:c r="K217" s="192" t="str">
        <x:v>Third-party payer request</x:v>
      </x:c>
      <x:c r="L217" s="192" t="str"/>
      <x:c r="M217" s="192" t="str">
        <x:v>Difficult</x:v>
      </x:c>
      <x:c r="N217" s="192" t="str">
        <x:v>Difficult</x:v>
      </x:c>
      <x:c r="O217" s="192" t="str">
        <x:v>Scenario-based sequencing</x:v>
      </x:c>
      <x:c r="P217" s="192" t="str">
        <x:v>Scenario-Based</x:v>
      </x:c>
      <x:c r="Q217" s="192" t="n">
        <x:v>4</x:v>
      </x:c>
      <x:c r="R217" s="192" t="str">
        <x:v>C</x:v>
      </x:c>
      <x:c r="S217" s="192" t="str">
        <x:v>Approved</x:v>
      </x:c>
      <x:c r="T217" s="192" t="str">
        <x:v>Active</x:v>
      </x:c>
      <x:c r="U217" s="192" t="n">
        <x:v>1</x:v>
      </x:c>
      <x:c r="V217" s="192" t="str">
        <x:v>LMFT-ALT-104</x:v>
      </x:c>
      <x:c r="W217" s="192" t="str">
        <x:v>No additional flag</x:v>
      </x:c>
      <x:c r="X217" s="192" t="str">
        <x:v>No structural flag</x:v>
      </x:c>
      <x:c r="Y217" s="192" t="str">
        <x:v>Not Yet Reviewed</x:v>
      </x:c>
      <x:c r="Z217" s="192" t="str">
        <x:v>CTA LMFT WB12; Pearson VUE LMFT Outline Area 6</x:v>
      </x:c>
      <x:c r="AA217" s="192" t="str">
        <x:v>CTA_LMFT_Comprehensive_Simulation_Form_A_Answer_Key_and_Detailed_Rationales_v1.0.docx</x:v>
      </x:c>
      <x:c r="AB217" s="192" t="str">
        <x:v>1.0</x:v>
      </x:c>
      <x:c r="AC217" s="193"/>
      <x:c r="AD217" s="193" t="n">
        <x:v>46228</x:v>
      </x:c>
      <x:c r="AE217" s="192" t="str">
        <x:v>Approved for Form A</x:v>
      </x:c>
      <x:c r="AF217" s="194" t="str">
        <x:v>Form A only; paired alternate retained on the other comprehensive form</x:v>
      </x:c>
    </x:row>
    <x:row r="218">
      <x:c r="A218" s="191" t="str">
        <x:v>CTA-LMFT-MQB-0217</x:v>
      </x:c>
      <x:c r="B218" s="192" t="str">
        <x:v>LMFT-MQB-FA-CR-012</x:v>
      </x:c>
      <x:c r="C218" s="192" t="str">
        <x:v>LMFT</x:v>
      </x:c>
      <x:c r="D218" s="192" t="str">
        <x:v>Comprehensive Simulation</x:v>
      </x:c>
      <x:c r="E218" s="192"/>
      <x:c r="F218" s="192"/>
      <x:c r="G218" s="192" t="str">
        <x:v>Form A</x:v>
      </x:c>
      <x:c r="H218" s="192" t="n">
        <x:v>13</x:v>
      </x:c>
      <x:c r="I218" s="192" t="str">
        <x:v>Scored-Style</x:v>
      </x:c>
      <x:c r="J218" s="192" t="str">
        <x:v>3. Managing Crisis Situations</x:v>
      </x:c>
      <x:c r="K218" s="192" t="str">
        <x:v>Sexual assault disclosure</x:v>
      </x:c>
      <x:c r="L218" s="192" t="str"/>
      <x:c r="M218" s="192" t="str">
        <x:v>Difficult</x:v>
      </x:c>
      <x:c r="N218" s="192" t="str">
        <x:v>Difficult</x:v>
      </x:c>
      <x:c r="O218" s="192" t="str">
        <x:v>Scenario-based sequencing</x:v>
      </x:c>
      <x:c r="P218" s="192" t="str">
        <x:v>Scenario-Based</x:v>
      </x:c>
      <x:c r="Q218" s="192" t="n">
        <x:v>4</x:v>
      </x:c>
      <x:c r="R218" s="192" t="str">
        <x:v>A</x:v>
      </x:c>
      <x:c r="S218" s="192" t="str">
        <x:v>Approved</x:v>
      </x:c>
      <x:c r="T218" s="192" t="str">
        <x:v>Active</x:v>
      </x:c>
      <x:c r="U218" s="192" t="n">
        <x:v>1</x:v>
      </x:c>
      <x:c r="V218" s="192" t="str">
        <x:v>LMFT-ALT-071</x:v>
      </x:c>
      <x:c r="W218" s="192" t="str">
        <x:v>No additional flag</x:v>
      </x:c>
      <x:c r="X218" s="192" t="str">
        <x:v>No structural flag</x:v>
      </x:c>
      <x:c r="Y218" s="192" t="str">
        <x:v>Not Yet Reviewed</x:v>
      </x:c>
      <x:c r="Z218" s="192" t="str">
        <x:v>CTA LMFT WB6; Pearson VUE LMFT Outline Area 3</x:v>
      </x:c>
      <x:c r="AA218" s="192" t="str">
        <x:v>CTA_LMFT_Comprehensive_Simulation_Form_A_Answer_Key_and_Detailed_Rationales_v1.0.docx</x:v>
      </x:c>
      <x:c r="AB218" s="192" t="str">
        <x:v>1.0</x:v>
      </x:c>
      <x:c r="AC218" s="193"/>
      <x:c r="AD218" s="193" t="n">
        <x:v>46228</x:v>
      </x:c>
      <x:c r="AE218" s="192" t="str">
        <x:v>Approved for Form A</x:v>
      </x:c>
      <x:c r="AF218" s="194" t="str">
        <x:v>Form A only; paired alternate retained on the other comprehensive form</x:v>
      </x:c>
    </x:row>
    <x:row r="219">
      <x:c r="A219" s="191" t="str">
        <x:v>CTA-LMFT-MQB-0218</x:v>
      </x:c>
      <x:c r="B219" s="192" t="str">
        <x:v>LMFT-MQB-FA-LE-003</x:v>
      </x:c>
      <x:c r="C219" s="192" t="str">
        <x:v>LMFT</x:v>
      </x:c>
      <x:c r="D219" s="192" t="str">
        <x:v>Comprehensive Simulation</x:v>
      </x:c>
      <x:c r="E219" s="192"/>
      <x:c r="F219" s="192"/>
      <x:c r="G219" s="192" t="str">
        <x:v>Form A</x:v>
      </x:c>
      <x:c r="H219" s="192" t="n">
        <x:v>14</x:v>
      </x:c>
      <x:c r="I219" s="192" t="str">
        <x:v>Scored-Style</x:v>
      </x:c>
      <x:c r="J219" s="192" t="str">
        <x:v>6. Managing Legal and Ethical Obligations within the Therapeutic Relationship</x:v>
      </x:c>
      <x:c r="K219" s="192" t="str">
        <x:v>Record correction</x:v>
      </x:c>
      <x:c r="L219" s="192" t="str"/>
      <x:c r="M219" s="192" t="str">
        <x:v>Easy</x:v>
      </x:c>
      <x:c r="N219" s="192" t="str">
        <x:v>Easy</x:v>
      </x:c>
      <x:c r="O219" s="192" t="str">
        <x:v>Application</x:v>
      </x:c>
      <x:c r="P219" s="192" t="str">
        <x:v>Application</x:v>
      </x:c>
      <x:c r="Q219" s="192" t="n">
        <x:v>4</x:v>
      </x:c>
      <x:c r="R219" s="192" t="str">
        <x:v>D</x:v>
      </x:c>
      <x:c r="S219" s="192" t="str">
        <x:v>Approved</x:v>
      </x:c>
      <x:c r="T219" s="192" t="str">
        <x:v>Active</x:v>
      </x:c>
      <x:c r="U219" s="192" t="n">
        <x:v>1</x:v>
      </x:c>
      <x:c r="V219" s="192" t="str">
        <x:v>LMFT-ALT-095</x:v>
      </x:c>
      <x:c r="W219" s="192" t="str">
        <x:v>Review Candidate</x:v>
      </x:c>
      <x:c r="X219" s="192" t="str">
        <x:v>No structural flag</x:v>
      </x:c>
      <x:c r="Y219" s="192" t="str">
        <x:v>Not Yet Reviewed</x:v>
      </x:c>
      <x:c r="Z219" s="192" t="str">
        <x:v>CTA LMFT WB12; Pearson VUE LMFT Outline Area 6</x:v>
      </x:c>
      <x:c r="AA219" s="192" t="str">
        <x:v>CTA_LMFT_Comprehensive_Simulation_Form_A_Answer_Key_and_Detailed_Rationales_v1.0.docx</x:v>
      </x:c>
      <x:c r="AB219" s="192" t="str">
        <x:v>1.0</x:v>
      </x:c>
      <x:c r="AC219" s="193"/>
      <x:c r="AD219" s="193" t="n">
        <x:v>46228</x:v>
      </x:c>
      <x:c r="AE219" s="192" t="str">
        <x:v>Approved for Form A</x:v>
      </x:c>
      <x:c r="AF219" s="194" t="str">
        <x:v>Form A only; paired alternate retained on the other comprehensive form</x:v>
      </x:c>
    </x:row>
    <x:row r="220">
      <x:c r="A220" s="191" t="str">
        <x:v>CTA-LMFT-MQB-0219</x:v>
      </x:c>
      <x:c r="B220" s="192" t="str">
        <x:v>LMFT-MQB-FA-CE-037</x:v>
      </x:c>
      <x:c r="C220" s="192" t="str">
        <x:v>LMFT</x:v>
      </x:c>
      <x:c r="D220" s="192" t="str">
        <x:v>Comprehensive Simulation</x:v>
      </x:c>
      <x:c r="E220" s="192"/>
      <x:c r="F220" s="192"/>
      <x:c r="G220" s="192" t="str">
        <x:v>Form A</x:v>
      </x:c>
      <x:c r="H220" s="192" t="n">
        <x:v>15</x:v>
      </x:c>
      <x:c r="I220" s="192" t="str">
        <x:v>Pretest-Style</x:v>
      </x:c>
      <x:c r="J220" s="192" t="str">
        <x:v>1. Clinical Evaluation</x:v>
      </x:c>
      <x:c r="K220" s="192" t="str">
        <x:v>Integrated intake prioritization</x:v>
      </x:c>
      <x:c r="L220" s="192" t="str"/>
      <x:c r="M220" s="192" t="str">
        <x:v>Moderate</x:v>
      </x:c>
      <x:c r="N220" s="192" t="str">
        <x:v>Moderate</x:v>
      </x:c>
      <x:c r="O220" s="192" t="str">
        <x:v>Integrated reasoning</x:v>
      </x:c>
      <x:c r="P220" s="192" t="str">
        <x:v>Integrated Clinical Reasoning</x:v>
      </x:c>
      <x:c r="Q220" s="192" t="n">
        <x:v>4</x:v>
      </x:c>
      <x:c r="R220" s="192" t="str">
        <x:v>A</x:v>
      </x:c>
      <x:c r="S220" s="192" t="str">
        <x:v>Approved</x:v>
      </x:c>
      <x:c r="T220" s="192" t="str">
        <x:v>Active</x:v>
      </x:c>
      <x:c r="U220" s="192" t="n">
        <x:v>1</x:v>
      </x:c>
      <x:c r="V220" s="192" t="str">
        <x:v>LMFT-ALT-037</x:v>
      </x:c>
      <x:c r="W220" s="192" t="str">
        <x:v>No additional flag</x:v>
      </x:c>
      <x:c r="X220" s="192" t="str">
        <x:v>No structural flag</x:v>
      </x:c>
      <x:c r="Y220" s="192" t="str">
        <x:v>Not Yet Reviewed</x:v>
      </x:c>
      <x:c r="Z220" s="192" t="str">
        <x:v>CTA LMFT WB2; CTA LMFT WB5; CTA LMFT WB6; Pearson VUE LMFT Outline Area 1</x:v>
      </x:c>
      <x:c r="AA220" s="192" t="str">
        <x:v>CTA_LMFT_Comprehensive_Simulation_Form_A_Answer_Key_and_Detailed_Rationales_v1.0.docx</x:v>
      </x:c>
      <x:c r="AB220" s="192" t="str">
        <x:v>1.0</x:v>
      </x:c>
      <x:c r="AC220" s="193"/>
      <x:c r="AD220" s="193" t="n">
        <x:v>46228</x:v>
      </x:c>
      <x:c r="AE220" s="192" t="str">
        <x:v>Approved for Form A</x:v>
      </x:c>
      <x:c r="AF220" s="194" t="str">
        <x:v>Form A only; paired alternate retained on the other comprehensive form</x:v>
      </x:c>
    </x:row>
    <x:row r="221">
      <x:c r="A221" s="191" t="str">
        <x:v>CTA-LMFT-MQB-0220</x:v>
      </x:c>
      <x:c r="B221" s="192" t="str">
        <x:v>LMFT-MQB-FA-TX-008</x:v>
      </x:c>
      <x:c r="C221" s="192" t="str">
        <x:v>LMFT</x:v>
      </x:c>
      <x:c r="D221" s="192" t="str">
        <x:v>Comprehensive Simulation</x:v>
      </x:c>
      <x:c r="E221" s="192"/>
      <x:c r="F221" s="192"/>
      <x:c r="G221" s="192" t="str">
        <x:v>Form A</x:v>
      </x:c>
      <x:c r="H221" s="192" t="n">
        <x:v>16</x:v>
      </x:c>
      <x:c r="I221" s="192" t="str">
        <x:v>Scored-Style</x:v>
      </x:c>
      <x:c r="J221" s="192" t="str">
        <x:v>5. Treatment</x:v>
      </x:c>
      <x:c r="K221" s="192" t="str">
        <x:v>Solution-focused exception</x:v>
      </x:c>
      <x:c r="L221" s="192" t="str"/>
      <x:c r="M221" s="192" t="str">
        <x:v>Easy</x:v>
      </x:c>
      <x:c r="N221" s="192" t="str">
        <x:v>Easy</x:v>
      </x:c>
      <x:c r="O221" s="192" t="str">
        <x:v>Application</x:v>
      </x:c>
      <x:c r="P221" s="192" t="str">
        <x:v>Application</x:v>
      </x:c>
      <x:c r="Q221" s="192" t="n">
        <x:v>4</x:v>
      </x:c>
      <x:c r="R221" s="192" t="str">
        <x:v>D</x:v>
      </x:c>
      <x:c r="S221" s="192" t="str">
        <x:v>Approved</x:v>
      </x:c>
      <x:c r="T221" s="192" t="str">
        <x:v>Active</x:v>
      </x:c>
      <x:c r="U221" s="192" t="n">
        <x:v>1</x:v>
      </x:c>
      <x:c r="V221" s="192" t="str">
        <x:v>LMFT-ALT-115</x:v>
      </x:c>
      <x:c r="W221" s="192" t="str">
        <x:v>No additional flag</x:v>
      </x:c>
      <x:c r="X221" s="192" t="str">
        <x:v>No structural flag</x:v>
      </x:c>
      <x:c r="Y221" s="192" t="str">
        <x:v>Not Yet Reviewed</x:v>
      </x:c>
      <x:c r="Z221" s="192" t="str">
        <x:v>CTA LMFT WB11; Pearson VUE LMFT Outline Area 5</x:v>
      </x:c>
      <x:c r="AA221" s="192" t="str">
        <x:v>CTA_LMFT_Comprehensive_Simulation_Form_A_Answer_Key_and_Detailed_Rationales_v1.0.docx</x:v>
      </x:c>
      <x:c r="AB221" s="192" t="str">
        <x:v>1.0</x:v>
      </x:c>
      <x:c r="AC221" s="193"/>
      <x:c r="AD221" s="193" t="n">
        <x:v>46228</x:v>
      </x:c>
      <x:c r="AE221" s="192" t="str">
        <x:v>Approved for Form A</x:v>
      </x:c>
      <x:c r="AF221" s="194" t="str">
        <x:v>Form A only; paired alternate retained on the other comprehensive form</x:v>
      </x:c>
    </x:row>
    <x:row r="222">
      <x:c r="A222" s="191" t="str">
        <x:v>CTA-LMFT-MQB-0221</x:v>
      </x:c>
      <x:c r="B222" s="192" t="str">
        <x:v>LMFT-MQB-FA-DI-007</x:v>
      </x:c>
      <x:c r="C222" s="192" t="str">
        <x:v>LMFT</x:v>
      </x:c>
      <x:c r="D222" s="192" t="str">
        <x:v>Comprehensive Simulation</x:v>
      </x:c>
      <x:c r="E222" s="192"/>
      <x:c r="F222" s="192"/>
      <x:c r="G222" s="192" t="str">
        <x:v>Form A</x:v>
      </x:c>
      <x:c r="H222" s="192" t="n">
        <x:v>17</x:v>
      </x:c>
      <x:c r="I222" s="192" t="str">
        <x:v>Scored-Style</x:v>
      </x:c>
      <x:c r="J222" s="192" t="str">
        <x:v>2. Developing a Diagnostic Impression</x:v>
      </x:c>
      <x:c r="K222" s="192" t="str">
        <x:v>Bipolar versus unipolar depression</x:v>
      </x:c>
      <x:c r="L222" s="192" t="str"/>
      <x:c r="M222" s="192" t="str">
        <x:v>Moderate</x:v>
      </x:c>
      <x:c r="N222" s="192" t="str">
        <x:v>Moderate</x:v>
      </x:c>
      <x:c r="O222" s="192" t="str">
        <x:v>Application</x:v>
      </x:c>
      <x:c r="P222" s="192" t="str">
        <x:v>Application</x:v>
      </x:c>
      <x:c r="Q222" s="192" t="n">
        <x:v>4</x:v>
      </x:c>
      <x:c r="R222" s="192" t="str">
        <x:v>B</x:v>
      </x:c>
      <x:c r="S222" s="192" t="str">
        <x:v>Approved</x:v>
      </x:c>
      <x:c r="T222" s="192" t="str">
        <x:v>Active</x:v>
      </x:c>
      <x:c r="U222" s="192" t="n">
        <x:v>1</x:v>
      </x:c>
      <x:c r="V222" s="192" t="str">
        <x:v>LMFT-ALT-082</x:v>
      </x:c>
      <x:c r="W222" s="192" t="str">
        <x:v>No additional flag</x:v>
      </x:c>
      <x:c r="X222" s="192" t="str">
        <x:v>No structural flag</x:v>
      </x:c>
      <x:c r="Y222" s="192" t="str">
        <x:v>Not Yet Reviewed</x:v>
      </x:c>
      <x:c r="Z222" s="192" t="str">
        <x:v>CTA LMFT WB5; Pearson VUE LMFT Outline Area 2</x:v>
      </x:c>
      <x:c r="AA222" s="192" t="str">
        <x:v>CTA_LMFT_Comprehensive_Simulation_Form_A_Answer_Key_and_Detailed_Rationales_v1.0.docx</x:v>
      </x:c>
      <x:c r="AB222" s="192" t="str">
        <x:v>1.0</x:v>
      </x:c>
      <x:c r="AC222" s="193"/>
      <x:c r="AD222" s="193" t="n">
        <x:v>46228</x:v>
      </x:c>
      <x:c r="AE222" s="192" t="str">
        <x:v>Approved for Form A</x:v>
      </x:c>
      <x:c r="AF222" s="194" t="str">
        <x:v>Form A only; paired alternate retained on the other comprehensive form</x:v>
      </x:c>
    </x:row>
    <x:row r="223">
      <x:c r="A223" s="191" t="str">
        <x:v>CTA-LMFT-MQB-0222</x:v>
      </x:c>
      <x:c r="B223" s="192" t="str">
        <x:v>LMFT-MQB-FA-CE-024</x:v>
      </x:c>
      <x:c r="C223" s="192" t="str">
        <x:v>LMFT</x:v>
      </x:c>
      <x:c r="D223" s="192" t="str">
        <x:v>Comprehensive Simulation</x:v>
      </x:c>
      <x:c r="E223" s="192"/>
      <x:c r="F223" s="192"/>
      <x:c r="G223" s="192" t="str">
        <x:v>Form A</x:v>
      </x:c>
      <x:c r="H223" s="192" t="n">
        <x:v>18</x:v>
      </x:c>
      <x:c r="I223" s="192" t="str">
        <x:v>Scored-Style</x:v>
      </x:c>
      <x:c r="J223" s="192" t="str">
        <x:v>1. Clinical Evaluation</x:v>
      </x:c>
      <x:c r="K223" s="192" t="str">
        <x:v>Possible intoxication at intake</x:v>
      </x:c>
      <x:c r="L223" s="192" t="str"/>
      <x:c r="M223" s="192" t="str">
        <x:v>Moderate</x:v>
      </x:c>
      <x:c r="N223" s="192" t="str">
        <x:v>Moderate</x:v>
      </x:c>
      <x:c r="O223" s="192" t="str">
        <x:v>Scenario-based sequencing</x:v>
      </x:c>
      <x:c r="P223" s="192" t="str">
        <x:v>Scenario-Based</x:v>
      </x:c>
      <x:c r="Q223" s="192" t="n">
        <x:v>4</x:v>
      </x:c>
      <x:c r="R223" s="192" t="str">
        <x:v>D</x:v>
      </x:c>
      <x:c r="S223" s="192" t="str">
        <x:v>Approved</x:v>
      </x:c>
      <x:c r="T223" s="192" t="str">
        <x:v>Active</x:v>
      </x:c>
      <x:c r="U223" s="192" t="n">
        <x:v>1</x:v>
      </x:c>
      <x:c r="V223" s="192" t="str">
        <x:v>LMFT-ALT-024</x:v>
      </x:c>
      <x:c r="W223" s="192" t="str">
        <x:v>No additional flag</x:v>
      </x:c>
      <x:c r="X223" s="192" t="str">
        <x:v>No structural flag</x:v>
      </x:c>
      <x:c r="Y223" s="192" t="str">
        <x:v>Not Yet Reviewed</x:v>
      </x:c>
      <x:c r="Z223" s="192" t="str">
        <x:v>CTA LMFT WB2; CTA LMFT WB6; Pearson VUE LMFT Outline Area 1</x:v>
      </x:c>
      <x:c r="AA223" s="192" t="str">
        <x:v>CTA_LMFT_Comprehensive_Simulation_Form_A_Answer_Key_and_Detailed_Rationales_v1.0.docx</x:v>
      </x:c>
      <x:c r="AB223" s="192" t="str">
        <x:v>1.0</x:v>
      </x:c>
      <x:c r="AC223" s="193"/>
      <x:c r="AD223" s="193" t="n">
        <x:v>46228</x:v>
      </x:c>
      <x:c r="AE223" s="192" t="str">
        <x:v>Approved for Form A</x:v>
      </x:c>
      <x:c r="AF223" s="194" t="str">
        <x:v>Form A only; paired alternate retained on the other comprehensive form</x:v>
      </x:c>
    </x:row>
    <x:row r="224">
      <x:c r="A224" s="191" t="str">
        <x:v>CTA-LMFT-MQB-0223</x:v>
      </x:c>
      <x:c r="B224" s="192" t="str">
        <x:v>LMFT-MQB-FA-TX-040</x:v>
      </x:c>
      <x:c r="C224" s="192" t="str">
        <x:v>LMFT</x:v>
      </x:c>
      <x:c r="D224" s="192" t="str">
        <x:v>Comprehensive Simulation</x:v>
      </x:c>
      <x:c r="E224" s="192"/>
      <x:c r="F224" s="192"/>
      <x:c r="G224" s="192" t="str">
        <x:v>Form A</x:v>
      </x:c>
      <x:c r="H224" s="192" t="n">
        <x:v>19</x:v>
      </x:c>
      <x:c r="I224" s="192" t="str">
        <x:v>Scored-Style</x:v>
      </x:c>
      <x:c r="J224" s="192" t="str">
        <x:v>5. Treatment</x:v>
      </x:c>
      <x:c r="K224" s="192" t="str">
        <x:v>Integrated attachment and trauma pacing</x:v>
      </x:c>
      <x:c r="L224" s="192" t="str"/>
      <x:c r="M224" s="192" t="str">
        <x:v>Difficult</x:v>
      </x:c>
      <x:c r="N224" s="192" t="str">
        <x:v>Difficult</x:v>
      </x:c>
      <x:c r="O224" s="192" t="str">
        <x:v>Integrated reasoning</x:v>
      </x:c>
      <x:c r="P224" s="192" t="str">
        <x:v>Integrated Clinical Reasoning</x:v>
      </x:c>
      <x:c r="Q224" s="192" t="n">
        <x:v>4</x:v>
      </x:c>
      <x:c r="R224" s="192" t="str">
        <x:v>A</x:v>
      </x:c>
      <x:c r="S224" s="192" t="str">
        <x:v>Approved</x:v>
      </x:c>
      <x:c r="T224" s="192" t="str">
        <x:v>Active</x:v>
      </x:c>
      <x:c r="U224" s="192" t="n">
        <x:v>1</x:v>
      </x:c>
      <x:c r="V224" s="192" t="str">
        <x:v>LMFT-ALT-147</x:v>
      </x:c>
      <x:c r="W224" s="192" t="str">
        <x:v>No additional flag</x:v>
      </x:c>
      <x:c r="X224" s="192" t="str">
        <x:v>No structural flag</x:v>
      </x:c>
      <x:c r="Y224" s="192" t="str">
        <x:v>Not Yet Reviewed</x:v>
      </x:c>
      <x:c r="Z224" s="192" t="str">
        <x:v>CTA LMFT WB8; CTA LMFT WB9; Pearson VUE LMFT Outline Area 5</x:v>
      </x:c>
      <x:c r="AA224" s="192" t="str">
        <x:v>CTA_LMFT_Comprehensive_Simulation_Form_A_Answer_Key_and_Detailed_Rationales_v1.0.docx</x:v>
      </x:c>
      <x:c r="AB224" s="192" t="str">
        <x:v>1.0</x:v>
      </x:c>
      <x:c r="AC224" s="193"/>
      <x:c r="AD224" s="193" t="n">
        <x:v>46228</x:v>
      </x:c>
      <x:c r="AE224" s="192" t="str">
        <x:v>Approved for Form A</x:v>
      </x:c>
      <x:c r="AF224" s="194" t="str">
        <x:v>Form A only; paired alternate retained on the other comprehensive form</x:v>
      </x:c>
    </x:row>
    <x:row r="225">
      <x:c r="A225" s="191" t="str">
        <x:v>CTA-LMFT-MQB-0224</x:v>
      </x:c>
      <x:c r="B225" s="192" t="str">
        <x:v>LMFT-MQB-FA-TX-014</x:v>
      </x:c>
      <x:c r="C225" s="192" t="str">
        <x:v>LMFT</x:v>
      </x:c>
      <x:c r="D225" s="192" t="str">
        <x:v>Comprehensive Simulation</x:v>
      </x:c>
      <x:c r="E225" s="192"/>
      <x:c r="F225" s="192"/>
      <x:c r="G225" s="192" t="str">
        <x:v>Form A</x:v>
      </x:c>
      <x:c r="H225" s="192" t="n">
        <x:v>20</x:v>
      </x:c>
      <x:c r="I225" s="192" t="str">
        <x:v>Scored-Style</x:v>
      </x:c>
      <x:c r="J225" s="192" t="str">
        <x:v>5. Treatment</x:v>
      </x:c>
      <x:c r="K225" s="192" t="str">
        <x:v>Bowen differentiation</x:v>
      </x:c>
      <x:c r="L225" s="192" t="str"/>
      <x:c r="M225" s="192" t="str">
        <x:v>Moderate</x:v>
      </x:c>
      <x:c r="N225" s="192" t="str">
        <x:v>Moderate</x:v>
      </x:c>
      <x:c r="O225" s="192" t="str">
        <x:v>Application</x:v>
      </x:c>
      <x:c r="P225" s="192" t="str">
        <x:v>Application</x:v>
      </x:c>
      <x:c r="Q225" s="192" t="n">
        <x:v>4</x:v>
      </x:c>
      <x:c r="R225" s="192" t="str">
        <x:v>B</x:v>
      </x:c>
      <x:c r="S225" s="192" t="str">
        <x:v>Approved</x:v>
      </x:c>
      <x:c r="T225" s="192" t="str">
        <x:v>Active</x:v>
      </x:c>
      <x:c r="U225" s="192" t="n">
        <x:v>1</x:v>
      </x:c>
      <x:c r="V225" s="192" t="str">
        <x:v>LMFT-ALT-121</x:v>
      </x:c>
      <x:c r="W225" s="192" t="str">
        <x:v>No additional flag</x:v>
      </x:c>
      <x:c r="X225" s="192" t="str">
        <x:v>No structural flag</x:v>
      </x:c>
      <x:c r="Y225" s="192" t="str">
        <x:v>Not Yet Reviewed</x:v>
      </x:c>
      <x:c r="Z225" s="192" t="str">
        <x:v>CTA LMFT WB11; Pearson VUE LMFT Outline Area 5</x:v>
      </x:c>
      <x:c r="AA225" s="192" t="str">
        <x:v>CTA_LMFT_Comprehensive_Simulation_Form_A_Answer_Key_and_Detailed_Rationales_v1.0.docx</x:v>
      </x:c>
      <x:c r="AB225" s="192" t="str">
        <x:v>1.0</x:v>
      </x:c>
      <x:c r="AC225" s="193"/>
      <x:c r="AD225" s="193" t="n">
        <x:v>46228</x:v>
      </x:c>
      <x:c r="AE225" s="192" t="str">
        <x:v>Approved for Form A</x:v>
      </x:c>
      <x:c r="AF225" s="194" t="str">
        <x:v>Form A only; paired alternate retained on the other comprehensive form</x:v>
      </x:c>
    </x:row>
    <x:row r="226">
      <x:c r="A226" s="191" t="str">
        <x:v>CTA-LMFT-MQB-0225</x:v>
      </x:c>
      <x:c r="B226" s="192" t="str">
        <x:v>LMFT-MQB-FA-CR-002</x:v>
      </x:c>
      <x:c r="C226" s="192" t="str">
        <x:v>LMFT</x:v>
      </x:c>
      <x:c r="D226" s="192" t="str">
        <x:v>Comprehensive Simulation</x:v>
      </x:c>
      <x:c r="E226" s="192"/>
      <x:c r="F226" s="192"/>
      <x:c r="G226" s="192" t="str">
        <x:v>Form A</x:v>
      </x:c>
      <x:c r="H226" s="192" t="n">
        <x:v>21</x:v>
      </x:c>
      <x:c r="I226" s="192" t="str">
        <x:v>Scored-Style</x:v>
      </x:c>
      <x:c r="J226" s="192" t="str">
        <x:v>3. Managing Crisis Situations</x:v>
      </x:c>
      <x:c r="K226" s="192" t="str">
        <x:v>Safety planning</x:v>
      </x:c>
      <x:c r="L226" s="192" t="str"/>
      <x:c r="M226" s="192" t="str">
        <x:v>Easy</x:v>
      </x:c>
      <x:c r="N226" s="192" t="str">
        <x:v>Easy</x:v>
      </x:c>
      <x:c r="O226" s="192" t="str">
        <x:v>Application</x:v>
      </x:c>
      <x:c r="P226" s="192" t="str">
        <x:v>Application</x:v>
      </x:c>
      <x:c r="Q226" s="192" t="n">
        <x:v>4</x:v>
      </x:c>
      <x:c r="R226" s="192" t="str">
        <x:v>B</x:v>
      </x:c>
      <x:c r="S226" s="192" t="str">
        <x:v>Approved</x:v>
      </x:c>
      <x:c r="T226" s="192" t="str">
        <x:v>Active</x:v>
      </x:c>
      <x:c r="U226" s="192" t="n">
        <x:v>1</x:v>
      </x:c>
      <x:c r="V226" s="192" t="str">
        <x:v>LMFT-ALT-061</x:v>
      </x:c>
      <x:c r="W226" s="192" t="str">
        <x:v>No additional flag</x:v>
      </x:c>
      <x:c r="X226" s="192" t="str">
        <x:v>No structural flag</x:v>
      </x:c>
      <x:c r="Y226" s="192" t="str">
        <x:v>Not Yet Reviewed</x:v>
      </x:c>
      <x:c r="Z226" s="192" t="str">
        <x:v>CTA LMFT WB6; Pearson VUE LMFT Outline Area 3</x:v>
      </x:c>
      <x:c r="AA226" s="192" t="str">
        <x:v>CTA_LMFT_Comprehensive_Simulation_Form_A_Answer_Key_and_Detailed_Rationales_v1.0.docx</x:v>
      </x:c>
      <x:c r="AB226" s="192" t="str">
        <x:v>1.0</x:v>
      </x:c>
      <x:c r="AC226" s="193"/>
      <x:c r="AD226" s="193" t="n">
        <x:v>46228</x:v>
      </x:c>
      <x:c r="AE226" s="192" t="str">
        <x:v>Approved for Form A</x:v>
      </x:c>
      <x:c r="AF226" s="194" t="str">
        <x:v>Form A only; paired alternate retained on the other comprehensive form</x:v>
      </x:c>
    </x:row>
    <x:row r="227">
      <x:c r="A227" s="191" t="str">
        <x:v>CTA-LMFT-MQB-0226</x:v>
      </x:c>
      <x:c r="B227" s="192" t="str">
        <x:v>LMFT-MQB-FA-CR-016</x:v>
      </x:c>
      <x:c r="C227" s="192" t="str">
        <x:v>LMFT</x:v>
      </x:c>
      <x:c r="D227" s="192" t="str">
        <x:v>Comprehensive Simulation</x:v>
      </x:c>
      <x:c r="E227" s="192"/>
      <x:c r="F227" s="192"/>
      <x:c r="G227" s="192" t="str">
        <x:v>Form A</x:v>
      </x:c>
      <x:c r="H227" s="192" t="n">
        <x:v>22</x:v>
      </x:c>
      <x:c r="I227" s="192" t="str">
        <x:v>Scored-Style</x:v>
      </x:c>
      <x:c r="J227" s="192" t="str">
        <x:v>3. Managing Crisis Situations</x:v>
      </x:c>
      <x:c r="K227" s="192" t="str">
        <x:v>Disaster, medication, and family system</x:v>
      </x:c>
      <x:c r="L227" s="192" t="str"/>
      <x:c r="M227" s="192" t="str">
        <x:v>Difficult</x:v>
      </x:c>
      <x:c r="N227" s="192" t="str">
        <x:v>Difficult</x:v>
      </x:c>
      <x:c r="O227" s="192" t="str">
        <x:v>Integrated reasoning</x:v>
      </x:c>
      <x:c r="P227" s="192" t="str">
        <x:v>Integrated Clinical Reasoning</x:v>
      </x:c>
      <x:c r="Q227" s="192" t="n">
        <x:v>4</x:v>
      </x:c>
      <x:c r="R227" s="192" t="str">
        <x:v>B</x:v>
      </x:c>
      <x:c r="S227" s="192" t="str">
        <x:v>Approved</x:v>
      </x:c>
      <x:c r="T227" s="192" t="str">
        <x:v>Active</x:v>
      </x:c>
      <x:c r="U227" s="192" t="n">
        <x:v>1</x:v>
      </x:c>
      <x:c r="V227" s="192" t="str">
        <x:v>LMFT-ALT-075</x:v>
      </x:c>
      <x:c r="W227" s="192" t="str">
        <x:v>No additional flag</x:v>
      </x:c>
      <x:c r="X227" s="192" t="str">
        <x:v>No structural flag</x:v>
      </x:c>
      <x:c r="Y227" s="192" t="str">
        <x:v>Not Yet Reviewed</x:v>
      </x:c>
      <x:c r="Z227" s="192" t="str">
        <x:v>CTA LMFT WB6; CTA LMFT WB10; Pearson VUE LMFT Outline Area 3</x:v>
      </x:c>
      <x:c r="AA227" s="192" t="str">
        <x:v>CTA_LMFT_Comprehensive_Simulation_Form_A_Answer_Key_and_Detailed_Rationales_v1.0.docx</x:v>
      </x:c>
      <x:c r="AB227" s="192" t="str">
        <x:v>1.0</x:v>
      </x:c>
      <x:c r="AC227" s="193"/>
      <x:c r="AD227" s="193" t="n">
        <x:v>46228</x:v>
      </x:c>
      <x:c r="AE227" s="192" t="str">
        <x:v>Approved for Form A</x:v>
      </x:c>
      <x:c r="AF227" s="194" t="str">
        <x:v>Form A only; paired alternate retained on the other comprehensive form</x:v>
      </x:c>
    </x:row>
    <x:row r="228">
      <x:c r="A228" s="191" t="str">
        <x:v>CTA-LMFT-MQB-0227</x:v>
      </x:c>
      <x:c r="B228" s="192" t="str">
        <x:v>LMFT-MQB-FA-CE-009</x:v>
      </x:c>
      <x:c r="C228" s="192" t="str">
        <x:v>LMFT</x:v>
      </x:c>
      <x:c r="D228" s="192" t="str">
        <x:v>Comprehensive Simulation</x:v>
      </x:c>
      <x:c r="E228" s="192"/>
      <x:c r="F228" s="192"/>
      <x:c r="G228" s="192" t="str">
        <x:v>Form A</x:v>
      </x:c>
      <x:c r="H228" s="192" t="n">
        <x:v>23</x:v>
      </x:c>
      <x:c r="I228" s="192" t="str">
        <x:v>Scored-Style</x:v>
      </x:c>
      <x:c r="J228" s="192" t="str">
        <x:v>1. Clinical Evaluation</x:v>
      </x:c>
      <x:c r="K228" s="192" t="str">
        <x:v>Medication assessment</x:v>
      </x:c>
      <x:c r="L228" s="192" t="str"/>
      <x:c r="M228" s="192" t="str">
        <x:v>Easy</x:v>
      </x:c>
      <x:c r="N228" s="192" t="str">
        <x:v>Easy</x:v>
      </x:c>
      <x:c r="O228" s="192" t="str">
        <x:v>Application</x:v>
      </x:c>
      <x:c r="P228" s="192" t="str">
        <x:v>Application</x:v>
      </x:c>
      <x:c r="Q228" s="192" t="n">
        <x:v>4</x:v>
      </x:c>
      <x:c r="R228" s="192" t="str">
        <x:v>C</x:v>
      </x:c>
      <x:c r="S228" s="192" t="str">
        <x:v>Approved</x:v>
      </x:c>
      <x:c r="T228" s="192" t="str">
        <x:v>Active</x:v>
      </x:c>
      <x:c r="U228" s="192" t="n">
        <x:v>1</x:v>
      </x:c>
      <x:c r="V228" s="192" t="str">
        <x:v>LMFT-ALT-009</x:v>
      </x:c>
      <x:c r="W228" s="192" t="str">
        <x:v>Review Candidate</x:v>
      </x:c>
      <x:c r="X228" s="192" t="str">
        <x:v>No structural flag</x:v>
      </x:c>
      <x:c r="Y228" s="192" t="str">
        <x:v>Not Yet Reviewed</x:v>
      </x:c>
      <x:c r="Z228" s="192" t="str">
        <x:v>CTA LMFT WB2; Pearson VUE LMFT Outline Area 1</x:v>
      </x:c>
      <x:c r="AA228" s="192" t="str">
        <x:v>CTA_LMFT_Comprehensive_Simulation_Form_A_Answer_Key_and_Detailed_Rationales_v1.0.docx</x:v>
      </x:c>
      <x:c r="AB228" s="192" t="str">
        <x:v>1.0</x:v>
      </x:c>
      <x:c r="AC228" s="193"/>
      <x:c r="AD228" s="193" t="n">
        <x:v>46228</x:v>
      </x:c>
      <x:c r="AE228" s="192" t="str">
        <x:v>Approved for Form A</x:v>
      </x:c>
      <x:c r="AF228" s="194" t="str">
        <x:v>Form A only; paired alternate retained on the other comprehensive form</x:v>
      </x:c>
    </x:row>
    <x:row r="229">
      <x:c r="A229" s="191" t="str">
        <x:v>CTA-LMFT-MQB-0228</x:v>
      </x:c>
      <x:c r="B229" s="192" t="str">
        <x:v>LMFT-MQB-FA-CP-011</x:v>
      </x:c>
      <x:c r="C229" s="192" t="str">
        <x:v>LMFT</x:v>
      </x:c>
      <x:c r="D229" s="192" t="str">
        <x:v>Comprehensive Simulation</x:v>
      </x:c>
      <x:c r="E229" s="192"/>
      <x:c r="F229" s="192"/>
      <x:c r="G229" s="192" t="str">
        <x:v>Form A</x:v>
      </x:c>
      <x:c r="H229" s="192" t="n">
        <x:v>24</x:v>
      </x:c>
      <x:c r="I229" s="192" t="str">
        <x:v>Scored-Style</x:v>
      </x:c>
      <x:c r="J229" s="192" t="str">
        <x:v>4. Case Conceptualization and Planning</x:v>
      </x:c>
      <x:c r="K229" s="192" t="str">
        <x:v>No progress after initial treatment</x:v>
      </x:c>
      <x:c r="L229" s="192" t="str"/>
      <x:c r="M229" s="192" t="str">
        <x:v>Moderate</x:v>
      </x:c>
      <x:c r="N229" s="192" t="str">
        <x:v>Moderate</x:v>
      </x:c>
      <x:c r="O229" s="192" t="str">
        <x:v>Scenario-based sequencing</x:v>
      </x:c>
      <x:c r="P229" s="192" t="str">
        <x:v>Scenario-Based</x:v>
      </x:c>
      <x:c r="Q229" s="192" t="n">
        <x:v>4</x:v>
      </x:c>
      <x:c r="R229" s="192" t="str">
        <x:v>A</x:v>
      </x:c>
      <x:c r="S229" s="192" t="str">
        <x:v>Approved</x:v>
      </x:c>
      <x:c r="T229" s="192" t="str">
        <x:v>Active</x:v>
      </x:c>
      <x:c r="U229" s="192" t="n">
        <x:v>1</x:v>
      </x:c>
      <x:c r="V229" s="192" t="str">
        <x:v>LMFT-ALT-052</x:v>
      </x:c>
      <x:c r="W229" s="192" t="str">
        <x:v>No additional flag</x:v>
      </x:c>
      <x:c r="X229" s="192" t="str">
        <x:v>No structural flag</x:v>
      </x:c>
      <x:c r="Y229" s="192" t="str">
        <x:v>Not Yet Reviewed</x:v>
      </x:c>
      <x:c r="Z229" s="192" t="str">
        <x:v>CTA LMFT WB7; Pearson VUE LMFT Outline Area 4</x:v>
      </x:c>
      <x:c r="AA229" s="192" t="str">
        <x:v>CTA_LMFT_Comprehensive_Simulation_Form_A_Answer_Key_and_Detailed_Rationales_v1.0.docx</x:v>
      </x:c>
      <x:c r="AB229" s="192" t="str">
        <x:v>1.0</x:v>
      </x:c>
      <x:c r="AC229" s="193"/>
      <x:c r="AD229" s="193" t="n">
        <x:v>46228</x:v>
      </x:c>
      <x:c r="AE229" s="192" t="str">
        <x:v>Approved for Form A</x:v>
      </x:c>
      <x:c r="AF229" s="194" t="str">
        <x:v>Form A only; paired alternate retained on the other comprehensive form</x:v>
      </x:c>
    </x:row>
    <x:row r="230">
      <x:c r="A230" s="191" t="str">
        <x:v>CTA-LMFT-MQB-0229</x:v>
      </x:c>
      <x:c r="B230" s="192" t="str">
        <x:v>LMFT-MQB-FA-TX-015</x:v>
      </x:c>
      <x:c r="C230" s="192" t="str">
        <x:v>LMFT</x:v>
      </x:c>
      <x:c r="D230" s="192" t="str">
        <x:v>Comprehensive Simulation</x:v>
      </x:c>
      <x:c r="E230" s="192"/>
      <x:c r="F230" s="192"/>
      <x:c r="G230" s="192" t="str">
        <x:v>Form A</x:v>
      </x:c>
      <x:c r="H230" s="192" t="n">
        <x:v>25</x:v>
      </x:c>
      <x:c r="I230" s="192" t="str">
        <x:v>Scored-Style</x:v>
      </x:c>
      <x:c r="J230" s="192" t="str">
        <x:v>5. Treatment</x:v>
      </x:c>
      <x:c r="K230" s="192" t="str">
        <x:v>Cognitive restructuring</x:v>
      </x:c>
      <x:c r="L230" s="192" t="str"/>
      <x:c r="M230" s="192" t="str">
        <x:v>Moderate</x:v>
      </x:c>
      <x:c r="N230" s="192" t="str">
        <x:v>Moderate</x:v>
      </x:c>
      <x:c r="O230" s="192" t="str">
        <x:v>Application</x:v>
      </x:c>
      <x:c r="P230" s="192" t="str">
        <x:v>Application</x:v>
      </x:c>
      <x:c r="Q230" s="192" t="n">
        <x:v>4</x:v>
      </x:c>
      <x:c r="R230" s="192" t="str">
        <x:v>A</x:v>
      </x:c>
      <x:c r="S230" s="192" t="str">
        <x:v>Approved</x:v>
      </x:c>
      <x:c r="T230" s="192" t="str">
        <x:v>Active</x:v>
      </x:c>
      <x:c r="U230" s="192" t="n">
        <x:v>1</x:v>
      </x:c>
      <x:c r="V230" s="192" t="str">
        <x:v>LMFT-ALT-122</x:v>
      </x:c>
      <x:c r="W230" s="192" t="str">
        <x:v>No additional flag</x:v>
      </x:c>
      <x:c r="X230" s="192" t="str">
        <x:v>No structural flag</x:v>
      </x:c>
      <x:c r="Y230" s="192" t="str">
        <x:v>Not Yet Reviewed</x:v>
      </x:c>
      <x:c r="Z230" s="192" t="str">
        <x:v>CTA LMFT WB9; CTA LMFT WB11; Pearson VUE LMFT Outline Area 5</x:v>
      </x:c>
      <x:c r="AA230" s="192" t="str">
        <x:v>CTA_LMFT_Comprehensive_Simulation_Form_A_Answer_Key_and_Detailed_Rationales_v1.0.docx</x:v>
      </x:c>
      <x:c r="AB230" s="192" t="str">
        <x:v>1.0</x:v>
      </x:c>
      <x:c r="AC230" s="193"/>
      <x:c r="AD230" s="193" t="n">
        <x:v>46228</x:v>
      </x:c>
      <x:c r="AE230" s="192" t="str">
        <x:v>Approved for Form A</x:v>
      </x:c>
      <x:c r="AF230" s="194" t="str">
        <x:v>Form A only; paired alternate retained on the other comprehensive form</x:v>
      </x:c>
    </x:row>
    <x:row r="231">
      <x:c r="A231" s="191" t="str">
        <x:v>CTA-LMFT-MQB-0230</x:v>
      </x:c>
      <x:c r="B231" s="192" t="str">
        <x:v>LMFT-MQB-FA-CE-034</x:v>
      </x:c>
      <x:c r="C231" s="192" t="str">
        <x:v>LMFT</x:v>
      </x:c>
      <x:c r="D231" s="192" t="str">
        <x:v>Comprehensive Simulation</x:v>
      </x:c>
      <x:c r="E231" s="192"/>
      <x:c r="F231" s="192"/>
      <x:c r="G231" s="192" t="str">
        <x:v>Form A</x:v>
      </x:c>
      <x:c r="H231" s="192" t="n">
        <x:v>26</x:v>
      </x:c>
      <x:c r="I231" s="192" t="str">
        <x:v>Scored-Style</x:v>
      </x:c>
      <x:c r="J231" s="192" t="str">
        <x:v>1. Clinical Evaluation</x:v>
      </x:c>
      <x:c r="K231" s="192" t="str">
        <x:v>Medical and trauma overlap</x:v>
      </x:c>
      <x:c r="L231" s="192" t="str"/>
      <x:c r="M231" s="192" t="str">
        <x:v>Difficult</x:v>
      </x:c>
      <x:c r="N231" s="192" t="str">
        <x:v>Difficult</x:v>
      </x:c>
      <x:c r="O231" s="192" t="str">
        <x:v>Scenario-based sequencing</x:v>
      </x:c>
      <x:c r="P231" s="192" t="str">
        <x:v>Scenario-Based</x:v>
      </x:c>
      <x:c r="Q231" s="192" t="n">
        <x:v>4</x:v>
      </x:c>
      <x:c r="R231" s="192" t="str">
        <x:v>A</x:v>
      </x:c>
      <x:c r="S231" s="192" t="str">
        <x:v>Approved</x:v>
      </x:c>
      <x:c r="T231" s="192" t="str">
        <x:v>Active</x:v>
      </x:c>
      <x:c r="U231" s="192" t="n">
        <x:v>1</x:v>
      </x:c>
      <x:c r="V231" s="192" t="str">
        <x:v>LMFT-ALT-034</x:v>
      </x:c>
      <x:c r="W231" s="192" t="str">
        <x:v>No additional flag</x:v>
      </x:c>
      <x:c r="X231" s="192" t="str">
        <x:v>No structural flag</x:v>
      </x:c>
      <x:c r="Y231" s="192" t="str">
        <x:v>Not Yet Reviewed</x:v>
      </x:c>
      <x:c r="Z231" s="192" t="str">
        <x:v>CTA LMFT WB2; CTA LMFT WB5; Pearson VUE LMFT Outline Area 1</x:v>
      </x:c>
      <x:c r="AA231" s="192" t="str">
        <x:v>CTA_LMFT_Comprehensive_Simulation_Form_A_Answer_Key_and_Detailed_Rationales_v1.0.docx</x:v>
      </x:c>
      <x:c r="AB231" s="192" t="str">
        <x:v>1.0</x:v>
      </x:c>
      <x:c r="AC231" s="193"/>
      <x:c r="AD231" s="193" t="n">
        <x:v>46228</x:v>
      </x:c>
      <x:c r="AE231" s="192" t="str">
        <x:v>Approved for Form A</x:v>
      </x:c>
      <x:c r="AF231" s="194" t="str">
        <x:v>Form A only; paired alternate retained on the other comprehensive form</x:v>
      </x:c>
    </x:row>
    <x:row r="232">
      <x:c r="A232" s="191" t="str">
        <x:v>CTA-LMFT-MQB-0231</x:v>
      </x:c>
      <x:c r="B232" s="192" t="str">
        <x:v>LMFT-MQB-FA-TX-013</x:v>
      </x:c>
      <x:c r="C232" s="192" t="str">
        <x:v>LMFT</x:v>
      </x:c>
      <x:c r="D232" s="192" t="str">
        <x:v>Comprehensive Simulation</x:v>
      </x:c>
      <x:c r="E232" s="192"/>
      <x:c r="F232" s="192"/>
      <x:c r="G232" s="192" t="str">
        <x:v>Form A</x:v>
      </x:c>
      <x:c r="H232" s="192" t="n">
        <x:v>27</x:v>
      </x:c>
      <x:c r="I232" s="192" t="str">
        <x:v>Scored-Style</x:v>
      </x:c>
      <x:c r="J232" s="192" t="str">
        <x:v>5. Treatment</x:v>
      </x:c>
      <x:c r="K232" s="192" t="str">
        <x:v>Structural boundary work</x:v>
      </x:c>
      <x:c r="L232" s="192" t="str"/>
      <x:c r="M232" s="192" t="str">
        <x:v>Moderate</x:v>
      </x:c>
      <x:c r="N232" s="192" t="str">
        <x:v>Moderate</x:v>
      </x:c>
      <x:c r="O232" s="192" t="str">
        <x:v>Application</x:v>
      </x:c>
      <x:c r="P232" s="192" t="str">
        <x:v>Application</x:v>
      </x:c>
      <x:c r="Q232" s="192" t="n">
        <x:v>4</x:v>
      </x:c>
      <x:c r="R232" s="192" t="str">
        <x:v>C</x:v>
      </x:c>
      <x:c r="S232" s="192" t="str">
        <x:v>Approved</x:v>
      </x:c>
      <x:c r="T232" s="192" t="str">
        <x:v>Active</x:v>
      </x:c>
      <x:c r="U232" s="192" t="n">
        <x:v>1</x:v>
      </x:c>
      <x:c r="V232" s="192" t="str">
        <x:v>LMFT-ALT-120</x:v>
      </x:c>
      <x:c r="W232" s="192" t="str">
        <x:v>No additional flag</x:v>
      </x:c>
      <x:c r="X232" s="192" t="str">
        <x:v>No structural flag</x:v>
      </x:c>
      <x:c r="Y232" s="192" t="str">
        <x:v>Not Yet Reviewed</x:v>
      </x:c>
      <x:c r="Z232" s="192" t="str">
        <x:v>CTA LMFT WB8; CTA LMFT WB11; Pearson VUE LMFT Outline Area 5</x:v>
      </x:c>
      <x:c r="AA232" s="192" t="str">
        <x:v>CTA_LMFT_Comprehensive_Simulation_Form_A_Answer_Key_and_Detailed_Rationales_v1.0.docx</x:v>
      </x:c>
      <x:c r="AB232" s="192" t="str">
        <x:v>1.0</x:v>
      </x:c>
      <x:c r="AC232" s="193"/>
      <x:c r="AD232" s="193" t="n">
        <x:v>46228</x:v>
      </x:c>
      <x:c r="AE232" s="192" t="str">
        <x:v>Approved for Form A</x:v>
      </x:c>
      <x:c r="AF232" s="194" t="str">
        <x:v>Form A only; paired alternate retained on the other comprehensive form</x:v>
      </x:c>
    </x:row>
    <x:row r="233">
      <x:c r="A233" s="191" t="str">
        <x:v>CTA-LMFT-MQB-0232</x:v>
      </x:c>
      <x:c r="B233" s="192" t="str">
        <x:v>LMFT-MQB-FA-LE-002</x:v>
      </x:c>
      <x:c r="C233" s="192" t="str">
        <x:v>LMFT</x:v>
      </x:c>
      <x:c r="D233" s="192" t="str">
        <x:v>Comprehensive Simulation</x:v>
      </x:c>
      <x:c r="E233" s="192"/>
      <x:c r="F233" s="192"/>
      <x:c r="G233" s="192" t="str">
        <x:v>Form A</x:v>
      </x:c>
      <x:c r="H233" s="192" t="n">
        <x:v>28</x:v>
      </x:c>
      <x:c r="I233" s="192" t="str">
        <x:v>Scored-Style</x:v>
      </x:c>
      <x:c r="J233" s="192" t="str">
        <x:v>6. Managing Legal and Ethical Obligations within the Therapeutic Relationship</x:v>
      </x:c>
      <x:c r="K233" s="192" t="str">
        <x:v>Minimum necessary disclosure</x:v>
      </x:c>
      <x:c r="L233" s="192" t="str"/>
      <x:c r="M233" s="192" t="str">
        <x:v>Moderate</x:v>
      </x:c>
      <x:c r="N233" s="192" t="str">
        <x:v>Moderate</x:v>
      </x:c>
      <x:c r="O233" s="192" t="str">
        <x:v>Direct recognition</x:v>
      </x:c>
      <x:c r="P233" s="192" t="str">
        <x:v>Knowledge &amp; Recall</x:v>
      </x:c>
      <x:c r="Q233" s="192" t="n">
        <x:v>4</x:v>
      </x:c>
      <x:c r="R233" s="192" t="str">
        <x:v>C</x:v>
      </x:c>
      <x:c r="S233" s="192" t="str">
        <x:v>Approved</x:v>
      </x:c>
      <x:c r="T233" s="192" t="str">
        <x:v>Active</x:v>
      </x:c>
      <x:c r="U233" s="192" t="n">
        <x:v>1</x:v>
      </x:c>
      <x:c r="V233" s="192" t="str">
        <x:v>LMFT-ALT-094</x:v>
      </x:c>
      <x:c r="W233" s="192" t="str">
        <x:v>No additional flag</x:v>
      </x:c>
      <x:c r="X233" s="192" t="str">
        <x:v>No structural flag</x:v>
      </x:c>
      <x:c r="Y233" s="192" t="str">
        <x:v>Not Yet Reviewed</x:v>
      </x:c>
      <x:c r="Z233" s="192" t="str">
        <x:v>CTA LMFT WB12; Pearson VUE LMFT Outline Area 6</x:v>
      </x:c>
      <x:c r="AA233" s="192" t="str">
        <x:v>CTA_LMFT_Comprehensive_Simulation_Form_A_Answer_Key_and_Detailed_Rationales_v1.0.docx</x:v>
      </x:c>
      <x:c r="AB233" s="192" t="str">
        <x:v>1.0</x:v>
      </x:c>
      <x:c r="AC233" s="193"/>
      <x:c r="AD233" s="193" t="n">
        <x:v>46228</x:v>
      </x:c>
      <x:c r="AE233" s="192" t="str">
        <x:v>Approved for Form A</x:v>
      </x:c>
      <x:c r="AF233" s="194" t="str">
        <x:v>Form A only; paired alternate retained on the other comprehensive form</x:v>
      </x:c>
    </x:row>
    <x:row r="234">
      <x:c r="A234" s="191" t="str">
        <x:v>CTA-LMFT-MQB-0233</x:v>
      </x:c>
      <x:c r="B234" s="192" t="str">
        <x:v>LMFT-MQB-FA-TX-020</x:v>
      </x:c>
      <x:c r="C234" s="192" t="str">
        <x:v>LMFT</x:v>
      </x:c>
      <x:c r="D234" s="192" t="str">
        <x:v>Comprehensive Simulation</x:v>
      </x:c>
      <x:c r="E234" s="192"/>
      <x:c r="F234" s="192"/>
      <x:c r="G234" s="192" t="str">
        <x:v>Form A</x:v>
      </x:c>
      <x:c r="H234" s="192" t="n">
        <x:v>29</x:v>
      </x:c>
      <x:c r="I234" s="192" t="str">
        <x:v>Scored-Style</x:v>
      </x:c>
      <x:c r="J234" s="192" t="str">
        <x:v>5. Treatment</x:v>
      </x:c>
      <x:c r="K234" s="192" t="str">
        <x:v>Caregiver burden</x:v>
      </x:c>
      <x:c r="L234" s="192" t="str"/>
      <x:c r="M234" s="192" t="str">
        <x:v>Moderate</x:v>
      </x:c>
      <x:c r="N234" s="192" t="str">
        <x:v>Moderate</x:v>
      </x:c>
      <x:c r="O234" s="192" t="str">
        <x:v>Application</x:v>
      </x:c>
      <x:c r="P234" s="192" t="str">
        <x:v>Application</x:v>
      </x:c>
      <x:c r="Q234" s="192" t="n">
        <x:v>4</x:v>
      </x:c>
      <x:c r="R234" s="192" t="str">
        <x:v>B</x:v>
      </x:c>
      <x:c r="S234" s="192" t="str">
        <x:v>Approved</x:v>
      </x:c>
      <x:c r="T234" s="192" t="str">
        <x:v>Active</x:v>
      </x:c>
      <x:c r="U234" s="192" t="n">
        <x:v>1</x:v>
      </x:c>
      <x:c r="V234" s="192" t="str">
        <x:v>LMFT-ALT-127</x:v>
      </x:c>
      <x:c r="W234" s="192" t="str">
        <x:v>No additional flag</x:v>
      </x:c>
      <x:c r="X234" s="192" t="str">
        <x:v>No structural flag</x:v>
      </x:c>
      <x:c r="Y234" s="192" t="str">
        <x:v>Not Yet Reviewed</x:v>
      </x:c>
      <x:c r="Z234" s="192" t="str">
        <x:v>CTA LMFT WB9; CTA LMFT WB10; Pearson VUE LMFT Outline Area 5</x:v>
      </x:c>
      <x:c r="AA234" s="192" t="str">
        <x:v>CTA_LMFT_Comprehensive_Simulation_Form_A_Answer_Key_and_Detailed_Rationales_v1.0.docx</x:v>
      </x:c>
      <x:c r="AB234" s="192" t="str">
        <x:v>1.0</x:v>
      </x:c>
      <x:c r="AC234" s="193"/>
      <x:c r="AD234" s="193" t="n">
        <x:v>46228</x:v>
      </x:c>
      <x:c r="AE234" s="192" t="str">
        <x:v>Approved for Form A</x:v>
      </x:c>
      <x:c r="AF234" s="194" t="str">
        <x:v>Form A only; paired alternate retained on the other comprehensive form</x:v>
      </x:c>
    </x:row>
    <x:row r="235">
      <x:c r="A235" s="191" t="str">
        <x:v>CTA-LMFT-MQB-0234</x:v>
      </x:c>
      <x:c r="B235" s="192" t="str">
        <x:v>LMFT-MQB-FA-DI-005</x:v>
      </x:c>
      <x:c r="C235" s="192" t="str">
        <x:v>LMFT</x:v>
      </x:c>
      <x:c r="D235" s="192" t="str">
        <x:v>Comprehensive Simulation</x:v>
      </x:c>
      <x:c r="E235" s="192"/>
      <x:c r="F235" s="192"/>
      <x:c r="G235" s="192" t="str">
        <x:v>Form A</x:v>
      </x:c>
      <x:c r="H235" s="192" t="n">
        <x:v>30</x:v>
      </x:c>
      <x:c r="I235" s="192" t="str">
        <x:v>Scored-Style</x:v>
      </x:c>
      <x:c r="J235" s="192" t="str">
        <x:v>2. Developing a Diagnostic Impression</x:v>
      </x:c>
      <x:c r="K235" s="192" t="str">
        <x:v>Adjustment-related presentation</x:v>
      </x:c>
      <x:c r="L235" s="192" t="str"/>
      <x:c r="M235" s="192" t="str">
        <x:v>Easy</x:v>
      </x:c>
      <x:c r="N235" s="192" t="str">
        <x:v>Easy</x:v>
      </x:c>
      <x:c r="O235" s="192" t="str">
        <x:v>Application</x:v>
      </x:c>
      <x:c r="P235" s="192" t="str">
        <x:v>Application</x:v>
      </x:c>
      <x:c r="Q235" s="192" t="n">
        <x:v>4</x:v>
      </x:c>
      <x:c r="R235" s="192" t="str">
        <x:v>D</x:v>
      </x:c>
      <x:c r="S235" s="192" t="str">
        <x:v>Approved</x:v>
      </x:c>
      <x:c r="T235" s="192" t="str">
        <x:v>Active</x:v>
      </x:c>
      <x:c r="U235" s="192" t="n">
        <x:v>1</x:v>
      </x:c>
      <x:c r="V235" s="192" t="str">
        <x:v>LMFT-ALT-080</x:v>
      </x:c>
      <x:c r="W235" s="192" t="str">
        <x:v>No additional flag</x:v>
      </x:c>
      <x:c r="X235" s="192" t="str">
        <x:v>No structural flag</x:v>
      </x:c>
      <x:c r="Y235" s="192" t="str">
        <x:v>Not Yet Reviewed</x:v>
      </x:c>
      <x:c r="Z235" s="192" t="str">
        <x:v>CTA LMFT WB5; Pearson VUE LMFT Outline Area 2</x:v>
      </x:c>
      <x:c r="AA235" s="192" t="str">
        <x:v>CTA_LMFT_Comprehensive_Simulation_Form_A_Answer_Key_and_Detailed_Rationales_v1.0.docx</x:v>
      </x:c>
      <x:c r="AB235" s="192" t="str">
        <x:v>1.0</x:v>
      </x:c>
      <x:c r="AC235" s="193"/>
      <x:c r="AD235" s="193" t="n">
        <x:v>46228</x:v>
      </x:c>
      <x:c r="AE235" s="192" t="str">
        <x:v>Approved for Form A</x:v>
      </x:c>
      <x:c r="AF235" s="194" t="str">
        <x:v>Form A only; paired alternate retained on the other comprehensive form</x:v>
      </x:c>
    </x:row>
    <x:row r="236">
      <x:c r="A236" s="191" t="str">
        <x:v>CTA-LMFT-MQB-0235</x:v>
      </x:c>
      <x:c r="B236" s="192" t="str">
        <x:v>LMFT-MQB-FA-TX-041</x:v>
      </x:c>
      <x:c r="C236" s="192" t="str">
        <x:v>LMFT</x:v>
      </x:c>
      <x:c r="D236" s="192" t="str">
        <x:v>Comprehensive Simulation</x:v>
      </x:c>
      <x:c r="E236" s="192"/>
      <x:c r="F236" s="192"/>
      <x:c r="G236" s="192" t="str">
        <x:v>Form A</x:v>
      </x:c>
      <x:c r="H236" s="192" t="n">
        <x:v>31</x:v>
      </x:c>
      <x:c r="I236" s="192" t="str">
        <x:v>Scored-Style</x:v>
      </x:c>
      <x:c r="J236" s="192" t="str">
        <x:v>5. Treatment</x:v>
      </x:c>
      <x:c r="K236" s="192" t="str">
        <x:v>Integrated neurodiversity and couple treatment</x:v>
      </x:c>
      <x:c r="L236" s="192" t="str"/>
      <x:c r="M236" s="192" t="str">
        <x:v>Difficult</x:v>
      </x:c>
      <x:c r="N236" s="192" t="str">
        <x:v>Difficult</x:v>
      </x:c>
      <x:c r="O236" s="192" t="str">
        <x:v>Integrated reasoning</x:v>
      </x:c>
      <x:c r="P236" s="192" t="str">
        <x:v>Integrated Clinical Reasoning</x:v>
      </x:c>
      <x:c r="Q236" s="192" t="n">
        <x:v>4</x:v>
      </x:c>
      <x:c r="R236" s="192" t="str">
        <x:v>C</x:v>
      </x:c>
      <x:c r="S236" s="192" t="str">
        <x:v>Approved</x:v>
      </x:c>
      <x:c r="T236" s="192" t="str">
        <x:v>Active</x:v>
      </x:c>
      <x:c r="U236" s="192" t="n">
        <x:v>1</x:v>
      </x:c>
      <x:c r="V236" s="192" t="str">
        <x:v>LMFT-ALT-148</x:v>
      </x:c>
      <x:c r="W236" s="192" t="str">
        <x:v>No additional flag</x:v>
      </x:c>
      <x:c r="X236" s="192" t="str">
        <x:v>No structural flag</x:v>
      </x:c>
      <x:c r="Y236" s="192" t="str">
        <x:v>Not Yet Reviewed</x:v>
      </x:c>
      <x:c r="Z236" s="192" t="str">
        <x:v>CTA LMFT WB8; CTA LMFT WB10; Pearson VUE LMFT Outline Area 5</x:v>
      </x:c>
      <x:c r="AA236" s="192" t="str">
        <x:v>CTA_LMFT_Comprehensive_Simulation_Form_A_Answer_Key_and_Detailed_Rationales_v1.0.docx</x:v>
      </x:c>
      <x:c r="AB236" s="192" t="str">
        <x:v>1.0</x:v>
      </x:c>
      <x:c r="AC236" s="193"/>
      <x:c r="AD236" s="193" t="n">
        <x:v>46228</x:v>
      </x:c>
      <x:c r="AE236" s="192" t="str">
        <x:v>Approved for Form A</x:v>
      </x:c>
      <x:c r="AF236" s="194" t="str">
        <x:v>Form A only; paired alternate retained on the other comprehensive form</x:v>
      </x:c>
    </x:row>
    <x:row r="237">
      <x:c r="A237" s="191" t="str">
        <x:v>CTA-LMFT-MQB-0236</x:v>
      </x:c>
      <x:c r="B237" s="192" t="str">
        <x:v>LMFT-MQB-FA-CP-013</x:v>
      </x:c>
      <x:c r="C237" s="192" t="str">
        <x:v>LMFT</x:v>
      </x:c>
      <x:c r="D237" s="192" t="str">
        <x:v>Comprehensive Simulation</x:v>
      </x:c>
      <x:c r="E237" s="192"/>
      <x:c r="F237" s="192"/>
      <x:c r="G237" s="192" t="str">
        <x:v>Form A</x:v>
      </x:c>
      <x:c r="H237" s="192" t="n">
        <x:v>32</x:v>
      </x:c>
      <x:c r="I237" s="192" t="str">
        <x:v>Scored-Style</x:v>
      </x:c>
      <x:c r="J237" s="192" t="str">
        <x:v>4. Case Conceptualization and Planning</x:v>
      </x:c>
      <x:c r="K237" s="192" t="str">
        <x:v>Termination planning</x:v>
      </x:c>
      <x:c r="L237" s="192" t="str"/>
      <x:c r="M237" s="192" t="str">
        <x:v>Moderate</x:v>
      </x:c>
      <x:c r="N237" s="192" t="str">
        <x:v>Moderate</x:v>
      </x:c>
      <x:c r="O237" s="192" t="str">
        <x:v>Scenario-based sequencing</x:v>
      </x:c>
      <x:c r="P237" s="192" t="str">
        <x:v>Scenario-Based</x:v>
      </x:c>
      <x:c r="Q237" s="192" t="n">
        <x:v>4</x:v>
      </x:c>
      <x:c r="R237" s="192" t="str">
        <x:v>A</x:v>
      </x:c>
      <x:c r="S237" s="192" t="str">
        <x:v>Approved</x:v>
      </x:c>
      <x:c r="T237" s="192" t="str">
        <x:v>Active</x:v>
      </x:c>
      <x:c r="U237" s="192" t="n">
        <x:v>1</x:v>
      </x:c>
      <x:c r="V237" s="192" t="str">
        <x:v>LMFT-ALT-054</x:v>
      </x:c>
      <x:c r="W237" s="192" t="str">
        <x:v>No additional flag</x:v>
      </x:c>
      <x:c r="X237" s="192" t="str">
        <x:v>No structural flag</x:v>
      </x:c>
      <x:c r="Y237" s="192" t="str">
        <x:v>Not Yet Reviewed</x:v>
      </x:c>
      <x:c r="Z237" s="192" t="str">
        <x:v>CTA LMFT WB7; Pearson VUE LMFT Outline Area 4</x:v>
      </x:c>
      <x:c r="AA237" s="192" t="str">
        <x:v>CTA_LMFT_Comprehensive_Simulation_Form_A_Answer_Key_and_Detailed_Rationales_v1.0.docx</x:v>
      </x:c>
      <x:c r="AB237" s="192" t="str">
        <x:v>1.0</x:v>
      </x:c>
      <x:c r="AC237" s="193"/>
      <x:c r="AD237" s="193" t="n">
        <x:v>46228</x:v>
      </x:c>
      <x:c r="AE237" s="192" t="str">
        <x:v>Approved for Form A</x:v>
      </x:c>
      <x:c r="AF237" s="194" t="str">
        <x:v>Form A only; paired alternate retained on the other comprehensive form</x:v>
      </x:c>
    </x:row>
    <x:row r="238">
      <x:c r="A238" s="191" t="str">
        <x:v>CTA-LMFT-MQB-0237</x:v>
      </x:c>
      <x:c r="B238" s="192" t="str">
        <x:v>LMFT-MQB-FA-LE-015</x:v>
      </x:c>
      <x:c r="C238" s="192" t="str">
        <x:v>LMFT</x:v>
      </x:c>
      <x:c r="D238" s="192" t="str">
        <x:v>Comprehensive Simulation</x:v>
      </x:c>
      <x:c r="E238" s="192"/>
      <x:c r="F238" s="192"/>
      <x:c r="G238" s="192" t="str">
        <x:v>Form A</x:v>
      </x:c>
      <x:c r="H238" s="192" t="n">
        <x:v>33</x:v>
      </x:c>
      <x:c r="I238" s="192" t="str">
        <x:v>Scored-Style</x:v>
      </x:c>
      <x:c r="J238" s="192" t="str">
        <x:v>6. Managing Legal and Ethical Obligations within the Therapeutic Relationship</x:v>
      </x:c>
      <x:c r="K238" s="192" t="str">
        <x:v>Court-involved relational treatment</x:v>
      </x:c>
      <x:c r="L238" s="192" t="str"/>
      <x:c r="M238" s="192" t="str">
        <x:v>Difficult</x:v>
      </x:c>
      <x:c r="N238" s="192" t="str">
        <x:v>Difficult</x:v>
      </x:c>
      <x:c r="O238" s="192" t="str">
        <x:v>Integrated reasoning</x:v>
      </x:c>
      <x:c r="P238" s="192" t="str">
        <x:v>Integrated Clinical Reasoning</x:v>
      </x:c>
      <x:c r="Q238" s="192" t="n">
        <x:v>4</x:v>
      </x:c>
      <x:c r="R238" s="192" t="str">
        <x:v>A</x:v>
      </x:c>
      <x:c r="S238" s="192" t="str">
        <x:v>Approved</x:v>
      </x:c>
      <x:c r="T238" s="192" t="str">
        <x:v>Active</x:v>
      </x:c>
      <x:c r="U238" s="192" t="n">
        <x:v>1</x:v>
      </x:c>
      <x:c r="V238" s="192" t="str">
        <x:v>LMFT-ALT-107</x:v>
      </x:c>
      <x:c r="W238" s="192" t="str">
        <x:v>No additional flag</x:v>
      </x:c>
      <x:c r="X238" s="192" t="str">
        <x:v>No structural flag</x:v>
      </x:c>
      <x:c r="Y238" s="192" t="str">
        <x:v>Not Yet Reviewed</x:v>
      </x:c>
      <x:c r="Z238" s="192" t="str">
        <x:v>CTA LMFT WB12; Pearson VUE LMFT Outline Area 6</x:v>
      </x:c>
      <x:c r="AA238" s="192" t="str">
        <x:v>CTA_LMFT_Comprehensive_Simulation_Form_A_Answer_Key_and_Detailed_Rationales_v1.0.docx</x:v>
      </x:c>
      <x:c r="AB238" s="192" t="str">
        <x:v>1.0</x:v>
      </x:c>
      <x:c r="AC238" s="193"/>
      <x:c r="AD238" s="193" t="n">
        <x:v>46228</x:v>
      </x:c>
      <x:c r="AE238" s="192" t="str">
        <x:v>Approved for Form A</x:v>
      </x:c>
      <x:c r="AF238" s="194" t="str">
        <x:v>Form A only; paired alternate retained on the other comprehensive form</x:v>
      </x:c>
    </x:row>
    <x:row r="239">
      <x:c r="A239" s="191" t="str">
        <x:v>CTA-LMFT-MQB-0238</x:v>
      </x:c>
      <x:c r="B239" s="192" t="str">
        <x:v>LMFT-MQB-FA-TX-029</x:v>
      </x:c>
      <x:c r="C239" s="192" t="str">
        <x:v>LMFT</x:v>
      </x:c>
      <x:c r="D239" s="192" t="str">
        <x:v>Comprehensive Simulation</x:v>
      </x:c>
      <x:c r="E239" s="192"/>
      <x:c r="F239" s="192"/>
      <x:c r="G239" s="192" t="str">
        <x:v>Form A</x:v>
      </x:c>
      <x:c r="H239" s="192" t="n">
        <x:v>34</x:v>
      </x:c>
      <x:c r="I239" s="192" t="str">
        <x:v>Scored-Style</x:v>
      </x:c>
      <x:c r="J239" s="192" t="str">
        <x:v>5. Treatment</x:v>
      </x:c>
      <x:c r="K239" s="192" t="str">
        <x:v>Group conflict</x:v>
      </x:c>
      <x:c r="L239" s="192" t="str"/>
      <x:c r="M239" s="192" t="str">
        <x:v>Moderate</x:v>
      </x:c>
      <x:c r="N239" s="192" t="str">
        <x:v>Moderate</x:v>
      </x:c>
      <x:c r="O239" s="192" t="str">
        <x:v>Scenario-based sequencing</x:v>
      </x:c>
      <x:c r="P239" s="192" t="str">
        <x:v>Scenario-Based</x:v>
      </x:c>
      <x:c r="Q239" s="192" t="n">
        <x:v>4</x:v>
      </x:c>
      <x:c r="R239" s="192" t="str">
        <x:v>B</x:v>
      </x:c>
      <x:c r="S239" s="192" t="str">
        <x:v>Approved</x:v>
      </x:c>
      <x:c r="T239" s="192" t="str">
        <x:v>Active</x:v>
      </x:c>
      <x:c r="U239" s="192" t="n">
        <x:v>1</x:v>
      </x:c>
      <x:c r="V239" s="192" t="str">
        <x:v>LMFT-ALT-136</x:v>
      </x:c>
      <x:c r="W239" s="192" t="str">
        <x:v>No additional flag</x:v>
      </x:c>
      <x:c r="X239" s="192" t="str">
        <x:v>No structural flag</x:v>
      </x:c>
      <x:c r="Y239" s="192" t="str">
        <x:v>Not Yet Reviewed</x:v>
      </x:c>
      <x:c r="Z239" s="192" t="str">
        <x:v>CTA LMFT WB11; Pearson VUE LMFT Outline Area 5</x:v>
      </x:c>
      <x:c r="AA239" s="192" t="str">
        <x:v>CTA_LMFT_Comprehensive_Simulation_Form_A_Answer_Key_and_Detailed_Rationales_v1.0.docx</x:v>
      </x:c>
      <x:c r="AB239" s="192" t="str">
        <x:v>1.0</x:v>
      </x:c>
      <x:c r="AC239" s="193"/>
      <x:c r="AD239" s="193" t="n">
        <x:v>46228</x:v>
      </x:c>
      <x:c r="AE239" s="192" t="str">
        <x:v>Approved for Form A</x:v>
      </x:c>
      <x:c r="AF239" s="194" t="str">
        <x:v>Form A only; paired alternate retained on the other comprehensive form</x:v>
      </x:c>
    </x:row>
    <x:row r="240">
      <x:c r="A240" s="191" t="str">
        <x:v>CTA-LMFT-MQB-0239</x:v>
      </x:c>
      <x:c r="B240" s="192" t="str">
        <x:v>LMFT-MQB-FA-DI-009</x:v>
      </x:c>
      <x:c r="C240" s="192" t="str">
        <x:v>LMFT</x:v>
      </x:c>
      <x:c r="D240" s="192" t="str">
        <x:v>Comprehensive Simulation</x:v>
      </x:c>
      <x:c r="E240" s="192"/>
      <x:c r="F240" s="192"/>
      <x:c r="G240" s="192" t="str">
        <x:v>Form A</x:v>
      </x:c>
      <x:c r="H240" s="192" t="n">
        <x:v>35</x:v>
      </x:c>
      <x:c r="I240" s="192" t="str">
        <x:v>Scored-Style</x:v>
      </x:c>
      <x:c r="J240" s="192" t="str">
        <x:v>2. Developing a Diagnostic Impression</x:v>
      </x:c>
      <x:c r="K240" s="192" t="str">
        <x:v>Trauma versus panic</x:v>
      </x:c>
      <x:c r="L240" s="192" t="str"/>
      <x:c r="M240" s="192" t="str">
        <x:v>Moderate</x:v>
      </x:c>
      <x:c r="N240" s="192" t="str">
        <x:v>Moderate</x:v>
      </x:c>
      <x:c r="O240" s="192" t="str">
        <x:v>Application</x:v>
      </x:c>
      <x:c r="P240" s="192" t="str">
        <x:v>Application</x:v>
      </x:c>
      <x:c r="Q240" s="192" t="n">
        <x:v>4</x:v>
      </x:c>
      <x:c r="R240" s="192" t="str">
        <x:v>A</x:v>
      </x:c>
      <x:c r="S240" s="192" t="str">
        <x:v>Approved</x:v>
      </x:c>
      <x:c r="T240" s="192" t="str">
        <x:v>Active</x:v>
      </x:c>
      <x:c r="U240" s="192" t="n">
        <x:v>1</x:v>
      </x:c>
      <x:c r="V240" s="192" t="str">
        <x:v>LMFT-ALT-084</x:v>
      </x:c>
      <x:c r="W240" s="192" t="str">
        <x:v>No additional flag</x:v>
      </x:c>
      <x:c r="X240" s="192" t="str">
        <x:v>No structural flag</x:v>
      </x:c>
      <x:c r="Y240" s="192" t="str">
        <x:v>Not Yet Reviewed</x:v>
      </x:c>
      <x:c r="Z240" s="192" t="str">
        <x:v>CTA LMFT WB5; Pearson VUE LMFT Outline Area 2</x:v>
      </x:c>
      <x:c r="AA240" s="192" t="str">
        <x:v>CTA_LMFT_Comprehensive_Simulation_Form_A_Answer_Key_and_Detailed_Rationales_v1.0.docx</x:v>
      </x:c>
      <x:c r="AB240" s="192" t="str">
        <x:v>1.0</x:v>
      </x:c>
      <x:c r="AC240" s="193"/>
      <x:c r="AD240" s="193" t="n">
        <x:v>46228</x:v>
      </x:c>
      <x:c r="AE240" s="192" t="str">
        <x:v>Approved for Form A</x:v>
      </x:c>
      <x:c r="AF240" s="194" t="str">
        <x:v>Form A only; paired alternate retained on the other comprehensive form</x:v>
      </x:c>
    </x:row>
    <x:row r="241">
      <x:c r="A241" s="191" t="str">
        <x:v>CTA-LMFT-MQB-0240</x:v>
      </x:c>
      <x:c r="B241" s="192" t="str">
        <x:v>LMFT-MQB-FA-TX-032</x:v>
      </x:c>
      <x:c r="C241" s="192" t="str">
        <x:v>LMFT</x:v>
      </x:c>
      <x:c r="D241" s="192" t="str">
        <x:v>Comprehensive Simulation</x:v>
      </x:c>
      <x:c r="E241" s="192"/>
      <x:c r="F241" s="192"/>
      <x:c r="G241" s="192" t="str">
        <x:v>Form A</x:v>
      </x:c>
      <x:c r="H241" s="192" t="n">
        <x:v>36</x:v>
      </x:c>
      <x:c r="I241" s="192" t="str">
        <x:v>Scored-Style</x:v>
      </x:c>
      <x:c r="J241" s="192" t="str">
        <x:v>5. Treatment</x:v>
      </x:c>
      <x:c r="K241" s="192" t="str">
        <x:v>Treatment nonresponse and diagnosis</x:v>
      </x:c>
      <x:c r="L241" s="192" t="str"/>
      <x:c r="M241" s="192" t="str">
        <x:v>Difficult</x:v>
      </x:c>
      <x:c r="N241" s="192" t="str">
        <x:v>Difficult</x:v>
      </x:c>
      <x:c r="O241" s="192" t="str">
        <x:v>Scenario-based sequencing</x:v>
      </x:c>
      <x:c r="P241" s="192" t="str">
        <x:v>Scenario-Based</x:v>
      </x:c>
      <x:c r="Q241" s="192" t="n">
        <x:v>4</x:v>
      </x:c>
      <x:c r="R241" s="192" t="str">
        <x:v>C</x:v>
      </x:c>
      <x:c r="S241" s="192" t="str">
        <x:v>Approved</x:v>
      </x:c>
      <x:c r="T241" s="192" t="str">
        <x:v>Active</x:v>
      </x:c>
      <x:c r="U241" s="192" t="n">
        <x:v>1</x:v>
      </x:c>
      <x:c r="V241" s="192" t="str">
        <x:v>LMFT-ALT-139</x:v>
      </x:c>
      <x:c r="W241" s="192" t="str">
        <x:v>No additional flag</x:v>
      </x:c>
      <x:c r="X241" s="192" t="str">
        <x:v>No structural flag</x:v>
      </x:c>
      <x:c r="Y241" s="192" t="str">
        <x:v>Not Yet Reviewed</x:v>
      </x:c>
      <x:c r="Z241" s="192" t="str">
        <x:v>CTA LMFT WB5; CTA LMFT WB7; CTA LMFT WB9; Pearson VUE LMFT Outline Area 5</x:v>
      </x:c>
      <x:c r="AA241" s="192" t="str">
        <x:v>CTA_LMFT_Comprehensive_Simulation_Form_A_Answer_Key_and_Detailed_Rationales_v1.0.docx</x:v>
      </x:c>
      <x:c r="AB241" s="192" t="str">
        <x:v>1.0</x:v>
      </x:c>
      <x:c r="AC241" s="193"/>
      <x:c r="AD241" s="193" t="n">
        <x:v>46228</x:v>
      </x:c>
      <x:c r="AE241" s="192" t="str">
        <x:v>Approved for Form A</x:v>
      </x:c>
      <x:c r="AF241" s="194" t="str">
        <x:v>Form A only; paired alternate retained on the other comprehensive form</x:v>
      </x:c>
    </x:row>
    <x:row r="242">
      <x:c r="A242" s="191" t="str">
        <x:v>CTA-LMFT-MQB-0241</x:v>
      </x:c>
      <x:c r="B242" s="192" t="str">
        <x:v>LMFT-MQB-FA-CE-029</x:v>
      </x:c>
      <x:c r="C242" s="192" t="str">
        <x:v>LMFT</x:v>
      </x:c>
      <x:c r="D242" s="192" t="str">
        <x:v>Comprehensive Simulation</x:v>
      </x:c>
      <x:c r="E242" s="192"/>
      <x:c r="F242" s="192"/>
      <x:c r="G242" s="192" t="str">
        <x:v>Form A</x:v>
      </x:c>
      <x:c r="H242" s="192" t="n">
        <x:v>37</x:v>
      </x:c>
      <x:c r="I242" s="192" t="str">
        <x:v>Scored-Style</x:v>
      </x:c>
      <x:c r="J242" s="192" t="str">
        <x:v>1. Clinical Evaluation</x:v>
      </x:c>
      <x:c r="K242" s="192" t="str">
        <x:v>Intimate partner violence screening</x:v>
      </x:c>
      <x:c r="L242" s="192" t="str"/>
      <x:c r="M242" s="192" t="str">
        <x:v>Moderate</x:v>
      </x:c>
      <x:c r="N242" s="192" t="str">
        <x:v>Moderate</x:v>
      </x:c>
      <x:c r="O242" s="192" t="str">
        <x:v>Scenario-based sequencing</x:v>
      </x:c>
      <x:c r="P242" s="192" t="str">
        <x:v>Scenario-Based</x:v>
      </x:c>
      <x:c r="Q242" s="192" t="n">
        <x:v>4</x:v>
      </x:c>
      <x:c r="R242" s="192" t="str">
        <x:v>D</x:v>
      </x:c>
      <x:c r="S242" s="192" t="str">
        <x:v>Approved</x:v>
      </x:c>
      <x:c r="T242" s="192" t="str">
        <x:v>Active</x:v>
      </x:c>
      <x:c r="U242" s="192" t="n">
        <x:v>1</x:v>
      </x:c>
      <x:c r="V242" s="192" t="str">
        <x:v>LMFT-ALT-029</x:v>
      </x:c>
      <x:c r="W242" s="192" t="str">
        <x:v>No additional flag</x:v>
      </x:c>
      <x:c r="X242" s="192" t="str">
        <x:v>No structural flag</x:v>
      </x:c>
      <x:c r="Y242" s="192" t="str">
        <x:v>Not Yet Reviewed</x:v>
      </x:c>
      <x:c r="Z242" s="192" t="str">
        <x:v>CTA LMFT WB4; CTA LMFT WB6; Pearson VUE LMFT Outline Area 1</x:v>
      </x:c>
      <x:c r="AA242" s="192" t="str">
        <x:v>CTA_LMFT_Comprehensive_Simulation_Form_A_Answer_Key_and_Detailed_Rationales_v1.0.docx</x:v>
      </x:c>
      <x:c r="AB242" s="192" t="str">
        <x:v>1.0</x:v>
      </x:c>
      <x:c r="AC242" s="193"/>
      <x:c r="AD242" s="193" t="n">
        <x:v>46228</x:v>
      </x:c>
      <x:c r="AE242" s="192" t="str">
        <x:v>Approved for Form A</x:v>
      </x:c>
      <x:c r="AF242" s="194" t="str">
        <x:v>Form A only; paired alternate retained on the other comprehensive form</x:v>
      </x:c>
    </x:row>
    <x:row r="243">
      <x:c r="A243" s="191" t="str">
        <x:v>CTA-LMFT-MQB-0242</x:v>
      </x:c>
      <x:c r="B243" s="192" t="str">
        <x:v>LMFT-MQB-FA-LE-013</x:v>
      </x:c>
      <x:c r="C243" s="192" t="str">
        <x:v>LMFT</x:v>
      </x:c>
      <x:c r="D243" s="192" t="str">
        <x:v>Comprehensive Simulation</x:v>
      </x:c>
      <x:c r="E243" s="192"/>
      <x:c r="F243" s="192"/>
      <x:c r="G243" s="192" t="str">
        <x:v>Form A</x:v>
      </x:c>
      <x:c r="H243" s="192" t="n">
        <x:v>38</x:v>
      </x:c>
      <x:c r="I243" s="192" t="str">
        <x:v>Scored-Style</x:v>
      </x:c>
      <x:c r="J243" s="192" t="str">
        <x:v>6. Managing Legal and Ethical Obligations within the Therapeutic Relationship</x:v>
      </x:c>
      <x:c r="K243" s="192" t="str">
        <x:v>Abrupt practice closure</x:v>
      </x:c>
      <x:c r="L243" s="192" t="str"/>
      <x:c r="M243" s="192" t="str">
        <x:v>Difficult</x:v>
      </x:c>
      <x:c r="N243" s="192" t="str">
        <x:v>Difficult</x:v>
      </x:c>
      <x:c r="O243" s="192" t="str">
        <x:v>Scenario-based sequencing</x:v>
      </x:c>
      <x:c r="P243" s="192" t="str">
        <x:v>Scenario-Based</x:v>
      </x:c>
      <x:c r="Q243" s="192" t="n">
        <x:v>4</x:v>
      </x:c>
      <x:c r="R243" s="192" t="str">
        <x:v>A</x:v>
      </x:c>
      <x:c r="S243" s="192" t="str">
        <x:v>Approved</x:v>
      </x:c>
      <x:c r="T243" s="192" t="str">
        <x:v>Active</x:v>
      </x:c>
      <x:c r="U243" s="192" t="n">
        <x:v>1</x:v>
      </x:c>
      <x:c r="V243" s="192" t="str">
        <x:v>LMFT-ALT-105</x:v>
      </x:c>
      <x:c r="W243" s="192" t="str">
        <x:v>No additional flag</x:v>
      </x:c>
      <x:c r="X243" s="192" t="str">
        <x:v>No structural flag</x:v>
      </x:c>
      <x:c r="Y243" s="192" t="str">
        <x:v>Not Yet Reviewed</x:v>
      </x:c>
      <x:c r="Z243" s="192" t="str">
        <x:v>CTA LMFT WB12; Pearson VUE LMFT Outline Area 6</x:v>
      </x:c>
      <x:c r="AA243" s="192" t="str">
        <x:v>CTA_LMFT_Comprehensive_Simulation_Form_A_Answer_Key_and_Detailed_Rationales_v1.0.docx</x:v>
      </x:c>
      <x:c r="AB243" s="192" t="str">
        <x:v>1.0</x:v>
      </x:c>
      <x:c r="AC243" s="193"/>
      <x:c r="AD243" s="193" t="n">
        <x:v>46228</x:v>
      </x:c>
      <x:c r="AE243" s="192" t="str">
        <x:v>Approved for Form A</x:v>
      </x:c>
      <x:c r="AF243" s="194" t="str">
        <x:v>Form A only; paired alternate retained on the other comprehensive form</x:v>
      </x:c>
    </x:row>
    <x:row r="244">
      <x:c r="A244" s="191" t="str">
        <x:v>CTA-LMFT-MQB-0243</x:v>
      </x:c>
      <x:c r="B244" s="192" t="str">
        <x:v>LMFT-MQB-FA-TX-036</x:v>
      </x:c>
      <x:c r="C244" s="192" t="str">
        <x:v>LMFT</x:v>
      </x:c>
      <x:c r="D244" s="192" t="str">
        <x:v>Comprehensive Simulation</x:v>
      </x:c>
      <x:c r="E244" s="192"/>
      <x:c r="F244" s="192"/>
      <x:c r="G244" s="192" t="str">
        <x:v>Form A</x:v>
      </x:c>
      <x:c r="H244" s="192" t="n">
        <x:v>39</x:v>
      </x:c>
      <x:c r="I244" s="192" t="str">
        <x:v>Scored-Style</x:v>
      </x:c>
      <x:c r="J244" s="192" t="str">
        <x:v>5. Treatment</x:v>
      </x:c>
      <x:c r="K244" s="192" t="str">
        <x:v>Transfer of care</x:v>
      </x:c>
      <x:c r="L244" s="192" t="str"/>
      <x:c r="M244" s="192" t="str">
        <x:v>Difficult</x:v>
      </x:c>
      <x:c r="N244" s="192" t="str">
        <x:v>Difficult</x:v>
      </x:c>
      <x:c r="O244" s="192" t="str">
        <x:v>Scenario-based sequencing</x:v>
      </x:c>
      <x:c r="P244" s="192" t="str">
        <x:v>Scenario-Based</x:v>
      </x:c>
      <x:c r="Q244" s="192" t="n">
        <x:v>4</x:v>
      </x:c>
      <x:c r="R244" s="192" t="str">
        <x:v>B</x:v>
      </x:c>
      <x:c r="S244" s="192" t="str">
        <x:v>Approved</x:v>
      </x:c>
      <x:c r="T244" s="192" t="str">
        <x:v>Active</x:v>
      </x:c>
      <x:c r="U244" s="192" t="n">
        <x:v>1</x:v>
      </x:c>
      <x:c r="V244" s="192" t="str">
        <x:v>LMFT-ALT-143</x:v>
      </x:c>
      <x:c r="W244" s="192" t="str">
        <x:v>No additional flag</x:v>
      </x:c>
      <x:c r="X244" s="192" t="str">
        <x:v>No structural flag</x:v>
      </x:c>
      <x:c r="Y244" s="192" t="str">
        <x:v>Not Yet Reviewed</x:v>
      </x:c>
      <x:c r="Z244" s="192" t="str">
        <x:v>CTA LMFT WB11; CTA LMFT WB12; Pearson VUE LMFT Outline Area 5</x:v>
      </x:c>
      <x:c r="AA244" s="192" t="str">
        <x:v>CTA_LMFT_Comprehensive_Simulation_Form_A_Answer_Key_and_Detailed_Rationales_v1.0.docx</x:v>
      </x:c>
      <x:c r="AB244" s="192" t="str">
        <x:v>1.0</x:v>
      </x:c>
      <x:c r="AC244" s="193"/>
      <x:c r="AD244" s="193" t="n">
        <x:v>46228</x:v>
      </x:c>
      <x:c r="AE244" s="192" t="str">
        <x:v>Approved for Form A</x:v>
      </x:c>
      <x:c r="AF244" s="194" t="str">
        <x:v>Form A only; paired alternate retained on the other comprehensive form</x:v>
      </x:c>
    </x:row>
    <x:row r="245">
      <x:c r="A245" s="191" t="str">
        <x:v>CTA-LMFT-MQB-0244</x:v>
      </x:c>
      <x:c r="B245" s="192" t="str">
        <x:v>LMFT-MQB-FA-DI-006</x:v>
      </x:c>
      <x:c r="C245" s="192" t="str">
        <x:v>LMFT</x:v>
      </x:c>
      <x:c r="D245" s="192" t="str">
        <x:v>Comprehensive Simulation</x:v>
      </x:c>
      <x:c r="E245" s="192"/>
      <x:c r="F245" s="192"/>
      <x:c r="G245" s="192" t="str">
        <x:v>Form A</x:v>
      </x:c>
      <x:c r="H245" s="192" t="n">
        <x:v>40</x:v>
      </x:c>
      <x:c r="I245" s="192" t="str">
        <x:v>Scored-Style</x:v>
      </x:c>
      <x:c r="J245" s="192" t="str">
        <x:v>2. Developing a Diagnostic Impression</x:v>
      </x:c>
      <x:c r="K245" s="192" t="str">
        <x:v>Substance-induced symptoms</x:v>
      </x:c>
      <x:c r="L245" s="192" t="str"/>
      <x:c r="M245" s="192" t="str">
        <x:v>Easy</x:v>
      </x:c>
      <x:c r="N245" s="192" t="str">
        <x:v>Easy</x:v>
      </x:c>
      <x:c r="O245" s="192" t="str">
        <x:v>Application</x:v>
      </x:c>
      <x:c r="P245" s="192" t="str">
        <x:v>Application</x:v>
      </x:c>
      <x:c r="Q245" s="192" t="n">
        <x:v>4</x:v>
      </x:c>
      <x:c r="R245" s="192" t="str">
        <x:v>B</x:v>
      </x:c>
      <x:c r="S245" s="192" t="str">
        <x:v>Approved</x:v>
      </x:c>
      <x:c r="T245" s="192" t="str">
        <x:v>Active</x:v>
      </x:c>
      <x:c r="U245" s="192" t="n">
        <x:v>1</x:v>
      </x:c>
      <x:c r="V245" s="192" t="str">
        <x:v>LMFT-ALT-081</x:v>
      </x:c>
      <x:c r="W245" s="192" t="str">
        <x:v>No additional flag</x:v>
      </x:c>
      <x:c r="X245" s="192" t="str">
        <x:v>No structural flag</x:v>
      </x:c>
      <x:c r="Y245" s="192" t="str">
        <x:v>Not Yet Reviewed</x:v>
      </x:c>
      <x:c r="Z245" s="192" t="str">
        <x:v>CTA LMFT WB5; Pearson VUE LMFT Outline Area 2</x:v>
      </x:c>
      <x:c r="AA245" s="192" t="str">
        <x:v>CTA_LMFT_Comprehensive_Simulation_Form_A_Answer_Key_and_Detailed_Rationales_v1.0.docx</x:v>
      </x:c>
      <x:c r="AB245" s="192" t="str">
        <x:v>1.0</x:v>
      </x:c>
      <x:c r="AC245" s="193"/>
      <x:c r="AD245" s="193" t="n">
        <x:v>46228</x:v>
      </x:c>
      <x:c r="AE245" s="192" t="str">
        <x:v>Approved for Form A</x:v>
      </x:c>
      <x:c r="AF245" s="194" t="str">
        <x:v>Form A only; paired alternate retained on the other comprehensive form</x:v>
      </x:c>
    </x:row>
    <x:row r="246">
      <x:c r="A246" s="191" t="str">
        <x:v>CTA-LMFT-MQB-0245</x:v>
      </x:c>
      <x:c r="B246" s="192" t="str">
        <x:v>LMFT-MQB-FA-LE-010</x:v>
      </x:c>
      <x:c r="C246" s="192" t="str">
        <x:v>LMFT</x:v>
      </x:c>
      <x:c r="D246" s="192" t="str">
        <x:v>Comprehensive Simulation</x:v>
      </x:c>
      <x:c r="E246" s="192"/>
      <x:c r="F246" s="192"/>
      <x:c r="G246" s="192" t="str">
        <x:v>Form A</x:v>
      </x:c>
      <x:c r="H246" s="192" t="n">
        <x:v>41</x:v>
      </x:c>
      <x:c r="I246" s="192" t="str">
        <x:v>Scored-Style</x:v>
      </x:c>
      <x:c r="J246" s="192" t="str">
        <x:v>6. Managing Legal and Ethical Obligations within the Therapeutic Relationship</x:v>
      </x:c>
      <x:c r="K246" s="192" t="str">
        <x:v>Countertransference</x:v>
      </x:c>
      <x:c r="L246" s="192" t="str"/>
      <x:c r="M246" s="192" t="str">
        <x:v>Moderate</x:v>
      </x:c>
      <x:c r="N246" s="192" t="str">
        <x:v>Moderate</x:v>
      </x:c>
      <x:c r="O246" s="192" t="str">
        <x:v>Scenario-based sequencing</x:v>
      </x:c>
      <x:c r="P246" s="192" t="str">
        <x:v>Scenario-Based</x:v>
      </x:c>
      <x:c r="Q246" s="192" t="n">
        <x:v>4</x:v>
      </x:c>
      <x:c r="R246" s="192" t="str">
        <x:v>D</x:v>
      </x:c>
      <x:c r="S246" s="192" t="str">
        <x:v>Approved</x:v>
      </x:c>
      <x:c r="T246" s="192" t="str">
        <x:v>Active</x:v>
      </x:c>
      <x:c r="U246" s="192" t="n">
        <x:v>1</x:v>
      </x:c>
      <x:c r="V246" s="192" t="str">
        <x:v>LMFT-ALT-102</x:v>
      </x:c>
      <x:c r="W246" s="192" t="str">
        <x:v>No additional flag</x:v>
      </x:c>
      <x:c r="X246" s="192" t="str">
        <x:v>No structural flag</x:v>
      </x:c>
      <x:c r="Y246" s="192" t="str">
        <x:v>Not Yet Reviewed</x:v>
      </x:c>
      <x:c r="Z246" s="192" t="str">
        <x:v>CTA LMFT WB12; Pearson VUE LMFT Outline Area 6</x:v>
      </x:c>
      <x:c r="AA246" s="192" t="str">
        <x:v>CTA_LMFT_Comprehensive_Simulation_Form_A_Answer_Key_and_Detailed_Rationales_v1.0.docx</x:v>
      </x:c>
      <x:c r="AB246" s="192" t="str">
        <x:v>1.0</x:v>
      </x:c>
      <x:c r="AC246" s="193"/>
      <x:c r="AD246" s="193" t="n">
        <x:v>46228</x:v>
      </x:c>
      <x:c r="AE246" s="192" t="str">
        <x:v>Approved for Form A</x:v>
      </x:c>
      <x:c r="AF246" s="194" t="str">
        <x:v>Form A only; paired alternate retained on the other comprehensive form</x:v>
      </x:c>
    </x:row>
    <x:row r="247">
      <x:c r="A247" s="191" t="str">
        <x:v>CTA-LMFT-MQB-0246</x:v>
      </x:c>
      <x:c r="B247" s="192" t="str">
        <x:v>LMFT-MQB-FA-CE-027</x:v>
      </x:c>
      <x:c r="C247" s="192" t="str">
        <x:v>LMFT</x:v>
      </x:c>
      <x:c r="D247" s="192" t="str">
        <x:v>Comprehensive Simulation</x:v>
      </x:c>
      <x:c r="E247" s="192"/>
      <x:c r="F247" s="192"/>
      <x:c r="G247" s="192" t="str">
        <x:v>Form A</x:v>
      </x:c>
      <x:c r="H247" s="192" t="n">
        <x:v>42</x:v>
      </x:c>
      <x:c r="I247" s="192" t="str">
        <x:v>Scored-Style</x:v>
      </x:c>
      <x:c r="J247" s="192" t="str">
        <x:v>1. Clinical Evaluation</x:v>
      </x:c>
      <x:c r="K247" s="192" t="str">
        <x:v>Telehealth environmental assessment</x:v>
      </x:c>
      <x:c r="L247" s="192" t="str"/>
      <x:c r="M247" s="192" t="str">
        <x:v>Moderate</x:v>
      </x:c>
      <x:c r="N247" s="192" t="str">
        <x:v>Moderate</x:v>
      </x:c>
      <x:c r="O247" s="192" t="str">
        <x:v>Scenario-based sequencing</x:v>
      </x:c>
      <x:c r="P247" s="192" t="str">
        <x:v>Scenario-Based</x:v>
      </x:c>
      <x:c r="Q247" s="192" t="n">
        <x:v>4</x:v>
      </x:c>
      <x:c r="R247" s="192" t="str">
        <x:v>B</x:v>
      </x:c>
      <x:c r="S247" s="192" t="str">
        <x:v>Approved</x:v>
      </x:c>
      <x:c r="T247" s="192" t="str">
        <x:v>Active</x:v>
      </x:c>
      <x:c r="U247" s="192" t="n">
        <x:v>1</x:v>
      </x:c>
      <x:c r="V247" s="192" t="str">
        <x:v>LMFT-ALT-027</x:v>
      </x:c>
      <x:c r="W247" s="192" t="str">
        <x:v>No additional flag</x:v>
      </x:c>
      <x:c r="X247" s="192" t="str">
        <x:v>No structural flag</x:v>
      </x:c>
      <x:c r="Y247" s="192" t="str">
        <x:v>Not Yet Reviewed</x:v>
      </x:c>
      <x:c r="Z247" s="192" t="str">
        <x:v>CTA LMFT WB2; CTA LMFT WB12; Pearson VUE LMFT Outline Area 1</x:v>
      </x:c>
      <x:c r="AA247" s="192" t="str">
        <x:v>CTA_LMFT_Comprehensive_Simulation_Form_A_Answer_Key_and_Detailed_Rationales_v1.0.docx</x:v>
      </x:c>
      <x:c r="AB247" s="192" t="str">
        <x:v>1.0</x:v>
      </x:c>
      <x:c r="AC247" s="193"/>
      <x:c r="AD247" s="193" t="n">
        <x:v>46228</x:v>
      </x:c>
      <x:c r="AE247" s="192" t="str">
        <x:v>Approved for Form A</x:v>
      </x:c>
      <x:c r="AF247" s="194" t="str">
        <x:v>Form A only; paired alternate retained on the other comprehensive form</x:v>
      </x:c>
    </x:row>
    <x:row r="248">
      <x:c r="A248" s="191" t="str">
        <x:v>CTA-LMFT-MQB-0247</x:v>
      </x:c>
      <x:c r="B248" s="192" t="str">
        <x:v>LMFT-MQB-FA-CE-019</x:v>
      </x:c>
      <x:c r="C248" s="192" t="str">
        <x:v>LMFT</x:v>
      </x:c>
      <x:c r="D248" s="192" t="str">
        <x:v>Comprehensive Simulation</x:v>
      </x:c>
      <x:c r="E248" s="192"/>
      <x:c r="F248" s="192"/>
      <x:c r="G248" s="192" t="str">
        <x:v>Form A</x:v>
      </x:c>
      <x:c r="H248" s="192" t="n">
        <x:v>43</x:v>
      </x:c>
      <x:c r="I248" s="192" t="str">
        <x:v>Scored-Style</x:v>
      </x:c>
      <x:c r="J248" s="192" t="str">
        <x:v>1. Clinical Evaluation</x:v>
      </x:c>
      <x:c r="K248" s="192" t="str">
        <x:v>Family interaction sequence</x:v>
      </x:c>
      <x:c r="L248" s="192" t="str"/>
      <x:c r="M248" s="192" t="str">
        <x:v>Moderate</x:v>
      </x:c>
      <x:c r="N248" s="192" t="str">
        <x:v>Moderate</x:v>
      </x:c>
      <x:c r="O248" s="192" t="str">
        <x:v>Application</x:v>
      </x:c>
      <x:c r="P248" s="192" t="str">
        <x:v>Application</x:v>
      </x:c>
      <x:c r="Q248" s="192" t="n">
        <x:v>4</x:v>
      </x:c>
      <x:c r="R248" s="192" t="str">
        <x:v>D</x:v>
      </x:c>
      <x:c r="S248" s="192" t="str">
        <x:v>Approved</x:v>
      </x:c>
      <x:c r="T248" s="192" t="str">
        <x:v>Active</x:v>
      </x:c>
      <x:c r="U248" s="192" t="n">
        <x:v>1</x:v>
      </x:c>
      <x:c r="V248" s="192" t="str">
        <x:v>LMFT-ALT-019</x:v>
      </x:c>
      <x:c r="W248" s="192" t="str">
        <x:v>No additional flag</x:v>
      </x:c>
      <x:c r="X248" s="192" t="str">
        <x:v>No structural flag</x:v>
      </x:c>
      <x:c r="Y248" s="192" t="str">
        <x:v>Not Yet Reviewed</x:v>
      </x:c>
      <x:c r="Z248" s="192" t="str">
        <x:v>CTA LMFT WB4; Pearson VUE LMFT Outline Area 1</x:v>
      </x:c>
      <x:c r="AA248" s="192" t="str">
        <x:v>CTA_LMFT_Comprehensive_Simulation_Form_A_Answer_Key_and_Detailed_Rationales_v1.0.docx</x:v>
      </x:c>
      <x:c r="AB248" s="192" t="str">
        <x:v>1.0</x:v>
      </x:c>
      <x:c r="AC248" s="193"/>
      <x:c r="AD248" s="193" t="n">
        <x:v>46228</x:v>
      </x:c>
      <x:c r="AE248" s="192" t="str">
        <x:v>Approved for Form A</x:v>
      </x:c>
      <x:c r="AF248" s="194" t="str">
        <x:v>Form A only; paired alternate retained on the other comprehensive form</x:v>
      </x:c>
    </x:row>
    <x:row r="249">
      <x:c r="A249" s="191" t="str">
        <x:v>CTA-LMFT-MQB-0248</x:v>
      </x:c>
      <x:c r="B249" s="192" t="str">
        <x:v>LMFT-MQB-FA-CP-015</x:v>
      </x:c>
      <x:c r="C249" s="192" t="str">
        <x:v>LMFT</x:v>
      </x:c>
      <x:c r="D249" s="192" t="str">
        <x:v>Comprehensive Simulation</x:v>
      </x:c>
      <x:c r="E249" s="192"/>
      <x:c r="F249" s="192"/>
      <x:c r="G249" s="192" t="str">
        <x:v>Form A</x:v>
      </x:c>
      <x:c r="H249" s="192" t="n">
        <x:v>44</x:v>
      </x:c>
      <x:c r="I249" s="192" t="str">
        <x:v>Scored-Style</x:v>
      </x:c>
      <x:c r="J249" s="192" t="str">
        <x:v>4. Case Conceptualization and Planning</x:v>
      </x:c>
      <x:c r="K249" s="192" t="str">
        <x:v>Plan under uncertain diagnosis</x:v>
      </x:c>
      <x:c r="L249" s="192" t="str"/>
      <x:c r="M249" s="192" t="str">
        <x:v>Difficult</x:v>
      </x:c>
      <x:c r="N249" s="192" t="str">
        <x:v>Difficult</x:v>
      </x:c>
      <x:c r="O249" s="192" t="str">
        <x:v>Scenario-based sequencing</x:v>
      </x:c>
      <x:c r="P249" s="192" t="str">
        <x:v>Scenario-Based</x:v>
      </x:c>
      <x:c r="Q249" s="192" t="n">
        <x:v>4</x:v>
      </x:c>
      <x:c r="R249" s="192" t="str">
        <x:v>B</x:v>
      </x:c>
      <x:c r="S249" s="192" t="str">
        <x:v>Approved</x:v>
      </x:c>
      <x:c r="T249" s="192" t="str">
        <x:v>Active</x:v>
      </x:c>
      <x:c r="U249" s="192" t="n">
        <x:v>1</x:v>
      </x:c>
      <x:c r="V249" s="192" t="str">
        <x:v>LMFT-ALT-056</x:v>
      </x:c>
      <x:c r="W249" s="192" t="str">
        <x:v>No additional flag</x:v>
      </x:c>
      <x:c r="X249" s="192" t="str">
        <x:v>No structural flag</x:v>
      </x:c>
      <x:c r="Y249" s="192" t="str">
        <x:v>Not Yet Reviewed</x:v>
      </x:c>
      <x:c r="Z249" s="192" t="str">
        <x:v>CTA LMFT WB5; CTA LMFT WB7; Pearson VUE LMFT Outline Area 4</x:v>
      </x:c>
      <x:c r="AA249" s="192" t="str">
        <x:v>CTA_LMFT_Comprehensive_Simulation_Form_A_Answer_Key_and_Detailed_Rationales_v1.0.docx</x:v>
      </x:c>
      <x:c r="AB249" s="192" t="str">
        <x:v>1.0</x:v>
      </x:c>
      <x:c r="AC249" s="193"/>
      <x:c r="AD249" s="193" t="n">
        <x:v>46228</x:v>
      </x:c>
      <x:c r="AE249" s="192" t="str">
        <x:v>Approved for Form A</x:v>
      </x:c>
      <x:c r="AF249" s="194" t="str">
        <x:v>Form A only; paired alternate retained on the other comprehensive form</x:v>
      </x:c>
    </x:row>
    <x:row r="250">
      <x:c r="A250" s="191" t="str">
        <x:v>CTA-LMFT-MQB-0249</x:v>
      </x:c>
      <x:c r="B250" s="192" t="str">
        <x:v>LMFT-MQB-FA-CR-007</x:v>
      </x:c>
      <x:c r="C250" s="192" t="str">
        <x:v>LMFT</x:v>
      </x:c>
      <x:c r="D250" s="192" t="str">
        <x:v>Comprehensive Simulation</x:v>
      </x:c>
      <x:c r="E250" s="192"/>
      <x:c r="F250" s="192"/>
      <x:c r="G250" s="192" t="str">
        <x:v>Form A</x:v>
      </x:c>
      <x:c r="H250" s="192" t="n">
        <x:v>45</x:v>
      </x:c>
      <x:c r="I250" s="192" t="str">
        <x:v>Pretest-Style</x:v>
      </x:c>
      <x:c r="J250" s="192" t="str">
        <x:v>3. Managing Crisis Situations</x:v>
      </x:c>
      <x:c r="K250" s="192" t="str">
        <x:v>Telehealth imminent risk</x:v>
      </x:c>
      <x:c r="L250" s="192" t="str"/>
      <x:c r="M250" s="192" t="str">
        <x:v>Moderate</x:v>
      </x:c>
      <x:c r="N250" s="192" t="str">
        <x:v>Moderate</x:v>
      </x:c>
      <x:c r="O250" s="192" t="str">
        <x:v>Scenario-based sequencing</x:v>
      </x:c>
      <x:c r="P250" s="192" t="str">
        <x:v>Scenario-Based</x:v>
      </x:c>
      <x:c r="Q250" s="192" t="n">
        <x:v>4</x:v>
      </x:c>
      <x:c r="R250" s="192" t="str">
        <x:v>C</x:v>
      </x:c>
      <x:c r="S250" s="192" t="str">
        <x:v>Approved</x:v>
      </x:c>
      <x:c r="T250" s="192" t="str">
        <x:v>Active</x:v>
      </x:c>
      <x:c r="U250" s="192" t="n">
        <x:v>1</x:v>
      </x:c>
      <x:c r="V250" s="192" t="str">
        <x:v>LMFT-ALT-066</x:v>
      </x:c>
      <x:c r="W250" s="192" t="str">
        <x:v>No additional flag</x:v>
      </x:c>
      <x:c r="X250" s="192" t="str">
        <x:v>No structural flag</x:v>
      </x:c>
      <x:c r="Y250" s="192" t="str">
        <x:v>Not Yet Reviewed</x:v>
      </x:c>
      <x:c r="Z250" s="192" t="str">
        <x:v>CTA LMFT WB6; CTA LMFT WB12; Pearson VUE LMFT Outline Area 3</x:v>
      </x:c>
      <x:c r="AA250" s="192" t="str">
        <x:v>CTA_LMFT_Comprehensive_Simulation_Form_A_Answer_Key_and_Detailed_Rationales_v1.0.docx</x:v>
      </x:c>
      <x:c r="AB250" s="192" t="str">
        <x:v>1.0</x:v>
      </x:c>
      <x:c r="AC250" s="193"/>
      <x:c r="AD250" s="193" t="n">
        <x:v>46228</x:v>
      </x:c>
      <x:c r="AE250" s="192" t="str">
        <x:v>Approved for Form A</x:v>
      </x:c>
      <x:c r="AF250" s="194" t="str">
        <x:v>Form A only; paired alternate retained on the other comprehensive form</x:v>
      </x:c>
    </x:row>
    <x:row r="251">
      <x:c r="A251" s="191" t="str">
        <x:v>CTA-LMFT-MQB-0250</x:v>
      </x:c>
      <x:c r="B251" s="192" t="str">
        <x:v>LMFT-MQB-FA-CE-041</x:v>
      </x:c>
      <x:c r="C251" s="192" t="str">
        <x:v>LMFT</x:v>
      </x:c>
      <x:c r="D251" s="192" t="str">
        <x:v>Comprehensive Simulation</x:v>
      </x:c>
      <x:c r="E251" s="192"/>
      <x:c r="F251" s="192"/>
      <x:c r="G251" s="192" t="str">
        <x:v>Form A</x:v>
      </x:c>
      <x:c r="H251" s="192" t="n">
        <x:v>46</x:v>
      </x:c>
      <x:c r="I251" s="192" t="str">
        <x:v>Scored-Style</x:v>
      </x:c>
      <x:c r="J251" s="192" t="str">
        <x:v>1. Clinical Evaluation</x:v>
      </x:c>
      <x:c r="K251" s="192" t="str">
        <x:v>High-conflict separation assessment</x:v>
      </x:c>
      <x:c r="L251" s="192" t="str"/>
      <x:c r="M251" s="192" t="str">
        <x:v>Difficult</x:v>
      </x:c>
      <x:c r="N251" s="192" t="str">
        <x:v>Difficult</x:v>
      </x:c>
      <x:c r="O251" s="192" t="str">
        <x:v>Integrated reasoning</x:v>
      </x:c>
      <x:c r="P251" s="192" t="str">
        <x:v>Integrated Clinical Reasoning</x:v>
      </x:c>
      <x:c r="Q251" s="192" t="n">
        <x:v>4</x:v>
      </x:c>
      <x:c r="R251" s="192" t="str">
        <x:v>A</x:v>
      </x:c>
      <x:c r="S251" s="192" t="str">
        <x:v>Approved</x:v>
      </x:c>
      <x:c r="T251" s="192" t="str">
        <x:v>Active</x:v>
      </x:c>
      <x:c r="U251" s="192" t="n">
        <x:v>1</x:v>
      </x:c>
      <x:c r="V251" s="192" t="str">
        <x:v>LMFT-ALT-041</x:v>
      </x:c>
      <x:c r="W251" s="192" t="str">
        <x:v>No additional flag</x:v>
      </x:c>
      <x:c r="X251" s="192" t="str">
        <x:v>No structural flag</x:v>
      </x:c>
      <x:c r="Y251" s="192" t="str">
        <x:v>Not Yet Reviewed</x:v>
      </x:c>
      <x:c r="Z251" s="192" t="str">
        <x:v>CTA LMFT WB2; CTA LMFT WB12; Pearson VUE LMFT Outline Area 1</x:v>
      </x:c>
      <x:c r="AA251" s="192" t="str">
        <x:v>CTA_LMFT_Comprehensive_Simulation_Form_A_Answer_Key_and_Detailed_Rationales_v1.0.docx</x:v>
      </x:c>
      <x:c r="AB251" s="192" t="str">
        <x:v>1.0</x:v>
      </x:c>
      <x:c r="AC251" s="193"/>
      <x:c r="AD251" s="193" t="n">
        <x:v>46228</x:v>
      </x:c>
      <x:c r="AE251" s="192" t="str">
        <x:v>Approved for Form A</x:v>
      </x:c>
      <x:c r="AF251" s="194" t="str">
        <x:v>Form A only; paired alternate retained on the other comprehensive form</x:v>
      </x:c>
    </x:row>
    <x:row r="252">
      <x:c r="A252" s="191" t="str">
        <x:v>CTA-LMFT-MQB-0251</x:v>
      </x:c>
      <x:c r="B252" s="192" t="str">
        <x:v>LMFT-MQB-FA-CP-012</x:v>
      </x:c>
      <x:c r="C252" s="192" t="str">
        <x:v>LMFT</x:v>
      </x:c>
      <x:c r="D252" s="192" t="str">
        <x:v>Comprehensive Simulation</x:v>
      </x:c>
      <x:c r="E252" s="192"/>
      <x:c r="F252" s="192"/>
      <x:c r="G252" s="192" t="str">
        <x:v>Form A</x:v>
      </x:c>
      <x:c r="H252" s="192" t="n">
        <x:v>47</x:v>
      </x:c>
      <x:c r="I252" s="192" t="str">
        <x:v>Scored-Style</x:v>
      </x:c>
      <x:c r="J252" s="192" t="str">
        <x:v>4. Case Conceptualization and Planning</x:v>
      </x:c>
      <x:c r="K252" s="192" t="str">
        <x:v>Parent-child goal conflict</x:v>
      </x:c>
      <x:c r="L252" s="192" t="str"/>
      <x:c r="M252" s="192" t="str">
        <x:v>Moderate</x:v>
      </x:c>
      <x:c r="N252" s="192" t="str">
        <x:v>Moderate</x:v>
      </x:c>
      <x:c r="O252" s="192" t="str">
        <x:v>Scenario-based sequencing</x:v>
      </x:c>
      <x:c r="P252" s="192" t="str">
        <x:v>Scenario-Based</x:v>
      </x:c>
      <x:c r="Q252" s="192" t="n">
        <x:v>4</x:v>
      </x:c>
      <x:c r="R252" s="192" t="str">
        <x:v>D</x:v>
      </x:c>
      <x:c r="S252" s="192" t="str">
        <x:v>Approved</x:v>
      </x:c>
      <x:c r="T252" s="192" t="str">
        <x:v>Active</x:v>
      </x:c>
      <x:c r="U252" s="192" t="n">
        <x:v>1</x:v>
      </x:c>
      <x:c r="V252" s="192" t="str">
        <x:v>LMFT-ALT-053</x:v>
      </x:c>
      <x:c r="W252" s="192" t="str">
        <x:v>No additional flag</x:v>
      </x:c>
      <x:c r="X252" s="192" t="str">
        <x:v>No structural flag</x:v>
      </x:c>
      <x:c r="Y252" s="192" t="str">
        <x:v>Not Yet Reviewed</x:v>
      </x:c>
      <x:c r="Z252" s="192" t="str">
        <x:v>CTA LMFT WB7; Pearson VUE LMFT Outline Area 4</x:v>
      </x:c>
      <x:c r="AA252" s="192" t="str">
        <x:v>CTA_LMFT_Comprehensive_Simulation_Form_A_Answer_Key_and_Detailed_Rationales_v1.0.docx</x:v>
      </x:c>
      <x:c r="AB252" s="192" t="str">
        <x:v>1.0</x:v>
      </x:c>
      <x:c r="AC252" s="193"/>
      <x:c r="AD252" s="193" t="n">
        <x:v>46228</x:v>
      </x:c>
      <x:c r="AE252" s="192" t="str">
        <x:v>Approved for Form A</x:v>
      </x:c>
      <x:c r="AF252" s="194" t="str">
        <x:v>Form A only; paired alternate retained on the other comprehensive form</x:v>
      </x:c>
    </x:row>
    <x:row r="253">
      <x:c r="A253" s="191" t="str">
        <x:v>CTA-LMFT-MQB-0252</x:v>
      </x:c>
      <x:c r="B253" s="192" t="str">
        <x:v>LMFT-MQB-FA-CE-021</x:v>
      </x:c>
      <x:c r="C253" s="192" t="str">
        <x:v>LMFT</x:v>
      </x:c>
      <x:c r="D253" s="192" t="str">
        <x:v>Comprehensive Simulation</x:v>
      </x:c>
      <x:c r="E253" s="192"/>
      <x:c r="F253" s="192"/>
      <x:c r="G253" s="192" t="str">
        <x:v>Form A</x:v>
      </x:c>
      <x:c r="H253" s="192" t="n">
        <x:v>48</x:v>
      </x:c>
      <x:c r="I253" s="192" t="str">
        <x:v>Pretest-Style</x:v>
      </x:c>
      <x:c r="J253" s="192" t="str">
        <x:v>1. Clinical Evaluation</x:v>
      </x:c>
      <x:c r="K253" s="192" t="str">
        <x:v>Complex identity formulation</x:v>
      </x:c>
      <x:c r="L253" s="192" t="str"/>
      <x:c r="M253" s="192" t="str">
        <x:v>Difficult</x:v>
      </x:c>
      <x:c r="N253" s="192" t="str">
        <x:v>Difficult</x:v>
      </x:c>
      <x:c r="O253" s="192" t="str">
        <x:v>Application</x:v>
      </x:c>
      <x:c r="P253" s="192" t="str">
        <x:v>Application</x:v>
      </x:c>
      <x:c r="Q253" s="192" t="n">
        <x:v>4</x:v>
      </x:c>
      <x:c r="R253" s="192" t="str">
        <x:v>A</x:v>
      </x:c>
      <x:c r="S253" s="192" t="str">
        <x:v>Approved</x:v>
      </x:c>
      <x:c r="T253" s="192" t="str">
        <x:v>Active</x:v>
      </x:c>
      <x:c r="U253" s="192" t="n">
        <x:v>1</x:v>
      </x:c>
      <x:c r="V253" s="192" t="str">
        <x:v>LMFT-ALT-021</x:v>
      </x:c>
      <x:c r="W253" s="192" t="str">
        <x:v>Review Candidate</x:v>
      </x:c>
      <x:c r="X253" s="192" t="str">
        <x:v>No structural flag</x:v>
      </x:c>
      <x:c r="Y253" s="192" t="str">
        <x:v>Not Yet Reviewed</x:v>
      </x:c>
      <x:c r="Z253" s="192" t="str">
        <x:v>CTA LMFT WB3; CTA LMFT WB10; Pearson VUE LMFT Outline Area 1</x:v>
      </x:c>
      <x:c r="AA253" s="192" t="str">
        <x:v>CTA_LMFT_Comprehensive_Simulation_Form_A_Answer_Key_and_Detailed_Rationales_v1.0.docx</x:v>
      </x:c>
      <x:c r="AB253" s="192" t="str">
        <x:v>1.0</x:v>
      </x:c>
      <x:c r="AC253" s="193"/>
      <x:c r="AD253" s="193" t="n">
        <x:v>46228</x:v>
      </x:c>
      <x:c r="AE253" s="192" t="str">
        <x:v>Approved for Form A</x:v>
      </x:c>
      <x:c r="AF253" s="194" t="str">
        <x:v>Form A only; paired alternate retained on the other comprehensive form</x:v>
      </x:c>
    </x:row>
    <x:row r="254">
      <x:c r="A254" s="191" t="str">
        <x:v>CTA-LMFT-MQB-0253</x:v>
      </x:c>
      <x:c r="B254" s="192" t="str">
        <x:v>LMFT-MQB-FA-LE-006</x:v>
      </x:c>
      <x:c r="C254" s="192" t="str">
        <x:v>LMFT</x:v>
      </x:c>
      <x:c r="D254" s="192" t="str">
        <x:v>Comprehensive Simulation</x:v>
      </x:c>
      <x:c r="E254" s="192"/>
      <x:c r="F254" s="192"/>
      <x:c r="G254" s="192" t="str">
        <x:v>Form A</x:v>
      </x:c>
      <x:c r="H254" s="192" t="n">
        <x:v>49</x:v>
      </x:c>
      <x:c r="I254" s="192" t="str">
        <x:v>Scored-Style</x:v>
      </x:c>
      <x:c r="J254" s="192" t="str">
        <x:v>6. Managing Legal and Ethical Obligations within the Therapeutic Relationship</x:v>
      </x:c>
      <x:c r="K254" s="192" t="str">
        <x:v>Electronic communication</x:v>
      </x:c>
      <x:c r="L254" s="192" t="str"/>
      <x:c r="M254" s="192" t="str">
        <x:v>Moderate</x:v>
      </x:c>
      <x:c r="N254" s="192" t="str">
        <x:v>Moderate</x:v>
      </x:c>
      <x:c r="O254" s="192" t="str">
        <x:v>Application</x:v>
      </x:c>
      <x:c r="P254" s="192" t="str">
        <x:v>Application</x:v>
      </x:c>
      <x:c r="Q254" s="192" t="n">
        <x:v>4</x:v>
      </x:c>
      <x:c r="R254" s="192" t="str">
        <x:v>C</x:v>
      </x:c>
      <x:c r="S254" s="192" t="str">
        <x:v>Approved</x:v>
      </x:c>
      <x:c r="T254" s="192" t="str">
        <x:v>Active</x:v>
      </x:c>
      <x:c r="U254" s="192" t="n">
        <x:v>1</x:v>
      </x:c>
      <x:c r="V254" s="192" t="str">
        <x:v>LMFT-ALT-098</x:v>
      </x:c>
      <x:c r="W254" s="192" t="str">
        <x:v>Review Candidate</x:v>
      </x:c>
      <x:c r="X254" s="192" t="str">
        <x:v>No structural flag</x:v>
      </x:c>
      <x:c r="Y254" s="192" t="str">
        <x:v>Not Yet Reviewed</x:v>
      </x:c>
      <x:c r="Z254" s="192" t="str">
        <x:v>CTA LMFT WB12; Pearson VUE LMFT Outline Area 6</x:v>
      </x:c>
      <x:c r="AA254" s="192" t="str">
        <x:v>CTA_LMFT_Comprehensive_Simulation_Form_A_Answer_Key_and_Detailed_Rationales_v1.0.docx</x:v>
      </x:c>
      <x:c r="AB254" s="192" t="str">
        <x:v>1.0</x:v>
      </x:c>
      <x:c r="AC254" s="193"/>
      <x:c r="AD254" s="193" t="n">
        <x:v>46228</x:v>
      </x:c>
      <x:c r="AE254" s="192" t="str">
        <x:v>Approved for Form A</x:v>
      </x:c>
      <x:c r="AF254" s="194" t="str">
        <x:v>Form A only; paired alternate retained on the other comprehensive form</x:v>
      </x:c>
    </x:row>
    <x:row r="255">
      <x:c r="A255" s="191" t="str">
        <x:v>CTA-LMFT-MQB-0254</x:v>
      </x:c>
      <x:c r="B255" s="192" t="str">
        <x:v>LMFT-MQB-FA-CE-031</x:v>
      </x:c>
      <x:c r="C255" s="192" t="str">
        <x:v>LMFT</x:v>
      </x:c>
      <x:c r="D255" s="192" t="str">
        <x:v>Comprehensive Simulation</x:v>
      </x:c>
      <x:c r="E255" s="192"/>
      <x:c r="F255" s="192"/>
      <x:c r="G255" s="192" t="str">
        <x:v>Form A</x:v>
      </x:c>
      <x:c r="H255" s="192" t="n">
        <x:v>50</x:v>
      </x:c>
      <x:c r="I255" s="192" t="str">
        <x:v>Scored-Style</x:v>
      </x:c>
      <x:c r="J255" s="192" t="str">
        <x:v>1. Clinical Evaluation</x:v>
      </x:c>
      <x:c r="K255" s="192" t="str">
        <x:v>Adolescent identity and family conflict</x:v>
      </x:c>
      <x:c r="L255" s="192" t="str"/>
      <x:c r="M255" s="192" t="str">
        <x:v>Moderate</x:v>
      </x:c>
      <x:c r="N255" s="192" t="str">
        <x:v>Moderate</x:v>
      </x:c>
      <x:c r="O255" s="192" t="str">
        <x:v>Scenario-based sequencing</x:v>
      </x:c>
      <x:c r="P255" s="192" t="str">
        <x:v>Scenario-Based</x:v>
      </x:c>
      <x:c r="Q255" s="192" t="n">
        <x:v>4</x:v>
      </x:c>
      <x:c r="R255" s="192" t="str">
        <x:v>C</x:v>
      </x:c>
      <x:c r="S255" s="192" t="str">
        <x:v>Approved</x:v>
      </x:c>
      <x:c r="T255" s="192" t="str">
        <x:v>Active</x:v>
      </x:c>
      <x:c r="U255" s="192" t="n">
        <x:v>1</x:v>
      </x:c>
      <x:c r="V255" s="192" t="str">
        <x:v>LMFT-ALT-031</x:v>
      </x:c>
      <x:c r="W255" s="192" t="str">
        <x:v>Review Candidate</x:v>
      </x:c>
      <x:c r="X255" s="192" t="str">
        <x:v>No structural flag</x:v>
      </x:c>
      <x:c r="Y255" s="192" t="str">
        <x:v>Not Yet Reviewed</x:v>
      </x:c>
      <x:c r="Z255" s="192" t="str">
        <x:v>CTA LMFT WB3; CTA LMFT WB10; Pearson VUE LMFT Outline Area 1</x:v>
      </x:c>
      <x:c r="AA255" s="192" t="str">
        <x:v>CTA_LMFT_Comprehensive_Simulation_Form_A_Answer_Key_and_Detailed_Rationales_v1.0.docx</x:v>
      </x:c>
      <x:c r="AB255" s="192" t="str">
        <x:v>1.0</x:v>
      </x:c>
      <x:c r="AC255" s="193"/>
      <x:c r="AD255" s="193" t="n">
        <x:v>46228</x:v>
      </x:c>
      <x:c r="AE255" s="192" t="str">
        <x:v>Approved for Form A</x:v>
      </x:c>
      <x:c r="AF255" s="194" t="str">
        <x:v>Form A only; paired alternate retained on the other comprehensive form</x:v>
      </x:c>
    </x:row>
    <x:row r="256">
      <x:c r="A256" s="191" t="str">
        <x:v>CTA-LMFT-MQB-0255</x:v>
      </x:c>
      <x:c r="B256" s="192" t="str">
        <x:v>LMFT-MQB-FA-TX-009</x:v>
      </x:c>
      <x:c r="C256" s="192" t="str">
        <x:v>LMFT</x:v>
      </x:c>
      <x:c r="D256" s="192" t="str">
        <x:v>Comprehensive Simulation</x:v>
      </x:c>
      <x:c r="E256" s="192"/>
      <x:c r="F256" s="192"/>
      <x:c r="G256" s="192" t="str">
        <x:v>Form A</x:v>
      </x:c>
      <x:c r="H256" s="192" t="n">
        <x:v>51</x:v>
      </x:c>
      <x:c r="I256" s="192" t="str">
        <x:v>Scored-Style</x:v>
      </x:c>
      <x:c r="J256" s="192" t="str">
        <x:v>5. Treatment</x:v>
      </x:c>
      <x:c r="K256" s="192" t="str">
        <x:v>Narrative externalizing</x:v>
      </x:c>
      <x:c r="L256" s="192" t="str"/>
      <x:c r="M256" s="192" t="str">
        <x:v>Easy</x:v>
      </x:c>
      <x:c r="N256" s="192" t="str">
        <x:v>Easy</x:v>
      </x:c>
      <x:c r="O256" s="192" t="str">
        <x:v>Application</x:v>
      </x:c>
      <x:c r="P256" s="192" t="str">
        <x:v>Application</x:v>
      </x:c>
      <x:c r="Q256" s="192" t="n">
        <x:v>4</x:v>
      </x:c>
      <x:c r="R256" s="192" t="str">
        <x:v>C</x:v>
      </x:c>
      <x:c r="S256" s="192" t="str">
        <x:v>Approved</x:v>
      </x:c>
      <x:c r="T256" s="192" t="str">
        <x:v>Active</x:v>
      </x:c>
      <x:c r="U256" s="192" t="n">
        <x:v>1</x:v>
      </x:c>
      <x:c r="V256" s="192" t="str">
        <x:v>LMFT-ALT-116</x:v>
      </x:c>
      <x:c r="W256" s="192" t="str">
        <x:v>No additional flag</x:v>
      </x:c>
      <x:c r="X256" s="192" t="str">
        <x:v>No structural flag</x:v>
      </x:c>
      <x:c r="Y256" s="192" t="str">
        <x:v>Not Yet Reviewed</x:v>
      </x:c>
      <x:c r="Z256" s="192" t="str">
        <x:v>CTA LMFT WB11; Pearson VUE LMFT Outline Area 5</x:v>
      </x:c>
      <x:c r="AA256" s="192" t="str">
        <x:v>CTA_LMFT_Comprehensive_Simulation_Form_A_Answer_Key_and_Detailed_Rationales_v1.0.docx</x:v>
      </x:c>
      <x:c r="AB256" s="192" t="str">
        <x:v>1.0</x:v>
      </x:c>
      <x:c r="AC256" s="193"/>
      <x:c r="AD256" s="193" t="n">
        <x:v>46228</x:v>
      </x:c>
      <x:c r="AE256" s="192" t="str">
        <x:v>Approved for Form A</x:v>
      </x:c>
      <x:c r="AF256" s="194" t="str">
        <x:v>Form A only; paired alternate retained on the other comprehensive form</x:v>
      </x:c>
    </x:row>
    <x:row r="257">
      <x:c r="A257" s="191" t="str">
        <x:v>CTA-LMFT-MQB-0256</x:v>
      </x:c>
      <x:c r="B257" s="192" t="str">
        <x:v>LMFT-MQB-FA-CR-013</x:v>
      </x:c>
      <x:c r="C257" s="192" t="str">
        <x:v>LMFT</x:v>
      </x:c>
      <x:c r="D257" s="192" t="str">
        <x:v>Comprehensive Simulation</x:v>
      </x:c>
      <x:c r="E257" s="192"/>
      <x:c r="F257" s="192"/>
      <x:c r="G257" s="192" t="str">
        <x:v>Form A</x:v>
      </x:c>
      <x:c r="H257" s="192" t="n">
        <x:v>52</x:v>
      </x:c>
      <x:c r="I257" s="192" t="str">
        <x:v>Scored-Style</x:v>
      </x:c>
      <x:c r="J257" s="192" t="str">
        <x:v>3. Managing Crisis Situations</x:v>
      </x:c>
      <x:c r="K257" s="192" t="str">
        <x:v>Crisis in conjoint treatment</x:v>
      </x:c>
      <x:c r="L257" s="192" t="str"/>
      <x:c r="M257" s="192" t="str">
        <x:v>Difficult</x:v>
      </x:c>
      <x:c r="N257" s="192" t="str">
        <x:v>Difficult</x:v>
      </x:c>
      <x:c r="O257" s="192" t="str">
        <x:v>Scenario-based sequencing</x:v>
      </x:c>
      <x:c r="P257" s="192" t="str">
        <x:v>Scenario-Based</x:v>
      </x:c>
      <x:c r="Q257" s="192" t="n">
        <x:v>4</x:v>
      </x:c>
      <x:c r="R257" s="192" t="str">
        <x:v>D</x:v>
      </x:c>
      <x:c r="S257" s="192" t="str">
        <x:v>Approved</x:v>
      </x:c>
      <x:c r="T257" s="192" t="str">
        <x:v>Active</x:v>
      </x:c>
      <x:c r="U257" s="192" t="n">
        <x:v>1</x:v>
      </x:c>
      <x:c r="V257" s="192" t="str">
        <x:v>LMFT-ALT-072</x:v>
      </x:c>
      <x:c r="W257" s="192" t="str">
        <x:v>No additional flag</x:v>
      </x:c>
      <x:c r="X257" s="192" t="str">
        <x:v>No structural flag</x:v>
      </x:c>
      <x:c r="Y257" s="192" t="str">
        <x:v>Not Yet Reviewed</x:v>
      </x:c>
      <x:c r="Z257" s="192" t="str">
        <x:v>CTA LMFT WB6; Pearson VUE LMFT Outline Area 3</x:v>
      </x:c>
      <x:c r="AA257" s="192" t="str">
        <x:v>CTA_LMFT_Comprehensive_Simulation_Form_A_Answer_Key_and_Detailed_Rationales_v1.0.docx</x:v>
      </x:c>
      <x:c r="AB257" s="192" t="str">
        <x:v>1.0</x:v>
      </x:c>
      <x:c r="AC257" s="193"/>
      <x:c r="AD257" s="193" t="n">
        <x:v>46228</x:v>
      </x:c>
      <x:c r="AE257" s="192" t="str">
        <x:v>Approved for Form A</x:v>
      </x:c>
      <x:c r="AF257" s="194" t="str">
        <x:v>Form A only; paired alternate retained on the other comprehensive form</x:v>
      </x:c>
    </x:row>
    <x:row r="258">
      <x:c r="A258" s="191" t="str">
        <x:v>CTA-LMFT-MQB-0257</x:v>
      </x:c>
      <x:c r="B258" s="192" t="str">
        <x:v>LMFT-MQB-FA-CE-011</x:v>
      </x:c>
      <x:c r="C258" s="192" t="str">
        <x:v>LMFT</x:v>
      </x:c>
      <x:c r="D258" s="192" t="str">
        <x:v>Comprehensive Simulation</x:v>
      </x:c>
      <x:c r="E258" s="192"/>
      <x:c r="F258" s="192"/>
      <x:c r="G258" s="192" t="str">
        <x:v>Form A</x:v>
      </x:c>
      <x:c r="H258" s="192" t="n">
        <x:v>53</x:v>
      </x:c>
      <x:c r="I258" s="192" t="str">
        <x:v>Pretest-Style</x:v>
      </x:c>
      <x:c r="J258" s="192" t="str">
        <x:v>1. Clinical Evaluation</x:v>
      </x:c>
      <x:c r="K258" s="192" t="str">
        <x:v>Substance-use screening</x:v>
      </x:c>
      <x:c r="L258" s="192" t="str"/>
      <x:c r="M258" s="192" t="str">
        <x:v>Moderate</x:v>
      </x:c>
      <x:c r="N258" s="192" t="str">
        <x:v>Moderate</x:v>
      </x:c>
      <x:c r="O258" s="192" t="str">
        <x:v>Application</x:v>
      </x:c>
      <x:c r="P258" s="192" t="str">
        <x:v>Application</x:v>
      </x:c>
      <x:c r="Q258" s="192" t="n">
        <x:v>4</x:v>
      </x:c>
      <x:c r="R258" s="192" t="str">
        <x:v>C</x:v>
      </x:c>
      <x:c r="S258" s="192" t="str">
        <x:v>Approved</x:v>
      </x:c>
      <x:c r="T258" s="192" t="str">
        <x:v>Active</x:v>
      </x:c>
      <x:c r="U258" s="192" t="n">
        <x:v>1</x:v>
      </x:c>
      <x:c r="V258" s="192" t="str">
        <x:v>LMFT-ALT-011</x:v>
      </x:c>
      <x:c r="W258" s="192" t="str">
        <x:v>No additional flag</x:v>
      </x:c>
      <x:c r="X258" s="192" t="str">
        <x:v>No structural flag</x:v>
      </x:c>
      <x:c r="Y258" s="192" t="str">
        <x:v>Not Yet Reviewed</x:v>
      </x:c>
      <x:c r="Z258" s="192" t="str">
        <x:v>CTA LMFT WB2; Pearson VUE LMFT Outline Area 1</x:v>
      </x:c>
      <x:c r="AA258" s="192" t="str">
        <x:v>CTA_LMFT_Comprehensive_Simulation_Form_A_Answer_Key_and_Detailed_Rationales_v1.0.docx</x:v>
      </x:c>
      <x:c r="AB258" s="192" t="str">
        <x:v>1.0</x:v>
      </x:c>
      <x:c r="AC258" s="193"/>
      <x:c r="AD258" s="193" t="n">
        <x:v>46228</x:v>
      </x:c>
      <x:c r="AE258" s="192" t="str">
        <x:v>Approved for Form A</x:v>
      </x:c>
      <x:c r="AF258" s="194" t="str">
        <x:v>Form A only; paired alternate retained on the other comprehensive form</x:v>
      </x:c>
    </x:row>
    <x:row r="259">
      <x:c r="A259" s="191" t="str">
        <x:v>CTA-LMFT-MQB-0258</x:v>
      </x:c>
      <x:c r="B259" s="192" t="str">
        <x:v>LMFT-MQB-FA-TX-030</x:v>
      </x:c>
      <x:c r="C259" s="192" t="str">
        <x:v>LMFT</x:v>
      </x:c>
      <x:c r="D259" s="192" t="str">
        <x:v>Comprehensive Simulation</x:v>
      </x:c>
      <x:c r="E259" s="192"/>
      <x:c r="F259" s="192"/>
      <x:c r="G259" s="192" t="str">
        <x:v>Form A</x:v>
      </x:c>
      <x:c r="H259" s="192" t="n">
        <x:v>54</x:v>
      </x:c>
      <x:c r="I259" s="192" t="str">
        <x:v>Scored-Style</x:v>
      </x:c>
      <x:c r="J259" s="192" t="str">
        <x:v>5. Treatment</x:v>
      </x:c>
      <x:c r="K259" s="192" t="str">
        <x:v>Recovery-oriented treatment</x:v>
      </x:c>
      <x:c r="L259" s="192" t="str"/>
      <x:c r="M259" s="192" t="str">
        <x:v>Moderate</x:v>
      </x:c>
      <x:c r="N259" s="192" t="str">
        <x:v>Moderate</x:v>
      </x:c>
      <x:c r="O259" s="192" t="str">
        <x:v>Scenario-based sequencing</x:v>
      </x:c>
      <x:c r="P259" s="192" t="str">
        <x:v>Scenario-Based</x:v>
      </x:c>
      <x:c r="Q259" s="192" t="n">
        <x:v>4</x:v>
      </x:c>
      <x:c r="R259" s="192" t="str">
        <x:v>B</x:v>
      </x:c>
      <x:c r="S259" s="192" t="str">
        <x:v>Approved</x:v>
      </x:c>
      <x:c r="T259" s="192" t="str">
        <x:v>Active</x:v>
      </x:c>
      <x:c r="U259" s="192" t="n">
        <x:v>1</x:v>
      </x:c>
      <x:c r="V259" s="192" t="str">
        <x:v>LMFT-ALT-137</x:v>
      </x:c>
      <x:c r="W259" s="192" t="str">
        <x:v>No additional flag</x:v>
      </x:c>
      <x:c r="X259" s="192" t="str">
        <x:v>No structural flag</x:v>
      </x:c>
      <x:c r="Y259" s="192" t="str">
        <x:v>Not Yet Reviewed</x:v>
      </x:c>
      <x:c r="Z259" s="192" t="str">
        <x:v>CTA LMFT WB9; CTA LMFT WB11; Pearson VUE LMFT Outline Area 5</x:v>
      </x:c>
      <x:c r="AA259" s="192" t="str">
        <x:v>CTA_LMFT_Comprehensive_Simulation_Form_A_Answer_Key_and_Detailed_Rationales_v1.0.docx</x:v>
      </x:c>
      <x:c r="AB259" s="192" t="str">
        <x:v>1.0</x:v>
      </x:c>
      <x:c r="AC259" s="193"/>
      <x:c r="AD259" s="193" t="n">
        <x:v>46228</x:v>
      </x:c>
      <x:c r="AE259" s="192" t="str">
        <x:v>Approved for Form A</x:v>
      </x:c>
      <x:c r="AF259" s="194" t="str">
        <x:v>Form A only; paired alternate retained on the other comprehensive form</x:v>
      </x:c>
    </x:row>
    <x:row r="260">
      <x:c r="A260" s="191" t="str">
        <x:v>CTA-LMFT-MQB-0259</x:v>
      </x:c>
      <x:c r="B260" s="192" t="str">
        <x:v>LMFT-MQB-FA-LE-004</x:v>
      </x:c>
      <x:c r="C260" s="192" t="str">
        <x:v>LMFT</x:v>
      </x:c>
      <x:c r="D260" s="192" t="str">
        <x:v>Comprehensive Simulation</x:v>
      </x:c>
      <x:c r="E260" s="192"/>
      <x:c r="F260" s="192"/>
      <x:c r="G260" s="192" t="str">
        <x:v>Form A</x:v>
      </x:c>
      <x:c r="H260" s="192" t="n">
        <x:v>55</x:v>
      </x:c>
      <x:c r="I260" s="192" t="str">
        <x:v>Scored-Style</x:v>
      </x:c>
      <x:c r="J260" s="192" t="str">
        <x:v>6. Managing Legal and Ethical Obligations within the Therapeutic Relationship</x:v>
      </x:c>
      <x:c r="K260" s="192" t="str">
        <x:v>Competence and referral</x:v>
      </x:c>
      <x:c r="L260" s="192" t="str"/>
      <x:c r="M260" s="192" t="str">
        <x:v>Easy</x:v>
      </x:c>
      <x:c r="N260" s="192" t="str">
        <x:v>Easy</x:v>
      </x:c>
      <x:c r="O260" s="192" t="str">
        <x:v>Application</x:v>
      </x:c>
      <x:c r="P260" s="192" t="str">
        <x:v>Application</x:v>
      </x:c>
      <x:c r="Q260" s="192" t="n">
        <x:v>4</x:v>
      </x:c>
      <x:c r="R260" s="192" t="str">
        <x:v>A</x:v>
      </x:c>
      <x:c r="S260" s="192" t="str">
        <x:v>Approved</x:v>
      </x:c>
      <x:c r="T260" s="192" t="str">
        <x:v>Active</x:v>
      </x:c>
      <x:c r="U260" s="192" t="n">
        <x:v>1</x:v>
      </x:c>
      <x:c r="V260" s="192" t="str">
        <x:v>LMFT-ALT-096</x:v>
      </x:c>
      <x:c r="W260" s="192" t="str">
        <x:v>No additional flag</x:v>
      </x:c>
      <x:c r="X260" s="192" t="str">
        <x:v>No structural flag</x:v>
      </x:c>
      <x:c r="Y260" s="192" t="str">
        <x:v>Not Yet Reviewed</x:v>
      </x:c>
      <x:c r="Z260" s="192" t="str">
        <x:v>CTA LMFT WB12; Pearson VUE LMFT Outline Area 6</x:v>
      </x:c>
      <x:c r="AA260" s="192" t="str">
        <x:v>CTA_LMFT_Comprehensive_Simulation_Form_A_Answer_Key_and_Detailed_Rationales_v1.0.docx</x:v>
      </x:c>
      <x:c r="AB260" s="192" t="str">
        <x:v>1.0</x:v>
      </x:c>
      <x:c r="AC260" s="193"/>
      <x:c r="AD260" s="193" t="n">
        <x:v>46228</x:v>
      </x:c>
      <x:c r="AE260" s="192" t="str">
        <x:v>Approved for Form A</x:v>
      </x:c>
      <x:c r="AF260" s="194" t="str">
        <x:v>Form A only; paired alternate retained on the other comprehensive form</x:v>
      </x:c>
    </x:row>
    <x:row r="261">
      <x:c r="A261" s="191" t="str">
        <x:v>CTA-LMFT-MQB-0260</x:v>
      </x:c>
      <x:c r="B261" s="192" t="str">
        <x:v>LMFT-MQB-FA-TX-039</x:v>
      </x:c>
      <x:c r="C261" s="192" t="str">
        <x:v>LMFT</x:v>
      </x:c>
      <x:c r="D261" s="192" t="str">
        <x:v>Comprehensive Simulation</x:v>
      </x:c>
      <x:c r="E261" s="192"/>
      <x:c r="F261" s="192"/>
      <x:c r="G261" s="192" t="str">
        <x:v>Form A</x:v>
      </x:c>
      <x:c r="H261" s="192" t="n">
        <x:v>56</x:v>
      </x:c>
      <x:c r="I261" s="192" t="str">
        <x:v>Scored-Style</x:v>
      </x:c>
      <x:c r="J261" s="192" t="str">
        <x:v>5. Treatment</x:v>
      </x:c>
      <x:c r="K261" s="192" t="str">
        <x:v>Integrated culturally responsive CBT</x:v>
      </x:c>
      <x:c r="L261" s="192" t="str"/>
      <x:c r="M261" s="192" t="str">
        <x:v>Moderate</x:v>
      </x:c>
      <x:c r="N261" s="192" t="str">
        <x:v>Moderate</x:v>
      </x:c>
      <x:c r="O261" s="192" t="str">
        <x:v>Integrated reasoning</x:v>
      </x:c>
      <x:c r="P261" s="192" t="str">
        <x:v>Integrated Clinical Reasoning</x:v>
      </x:c>
      <x:c r="Q261" s="192" t="n">
        <x:v>4</x:v>
      </x:c>
      <x:c r="R261" s="192" t="str">
        <x:v>C</x:v>
      </x:c>
      <x:c r="S261" s="192" t="str">
        <x:v>Approved</x:v>
      </x:c>
      <x:c r="T261" s="192" t="str">
        <x:v>Active</x:v>
      </x:c>
      <x:c r="U261" s="192" t="n">
        <x:v>1</x:v>
      </x:c>
      <x:c r="V261" s="192" t="str">
        <x:v>LMFT-ALT-146</x:v>
      </x:c>
      <x:c r="W261" s="192" t="str">
        <x:v>No additional flag</x:v>
      </x:c>
      <x:c r="X261" s="192" t="str">
        <x:v>No structural flag</x:v>
      </x:c>
      <x:c r="Y261" s="192" t="str">
        <x:v>Not Yet Reviewed</x:v>
      </x:c>
      <x:c r="Z261" s="192" t="str">
        <x:v>CTA LMFT WB9; CTA LMFT WB10; Pearson VUE LMFT Outline Area 5</x:v>
      </x:c>
      <x:c r="AA261" s="192" t="str">
        <x:v>CTA_LMFT_Comprehensive_Simulation_Form_A_Answer_Key_and_Detailed_Rationales_v1.0.docx</x:v>
      </x:c>
      <x:c r="AB261" s="192" t="str">
        <x:v>1.0</x:v>
      </x:c>
      <x:c r="AC261" s="193"/>
      <x:c r="AD261" s="193" t="n">
        <x:v>46228</x:v>
      </x:c>
      <x:c r="AE261" s="192" t="str">
        <x:v>Approved for Form A</x:v>
      </x:c>
      <x:c r="AF261" s="194" t="str">
        <x:v>Form A only; paired alternate retained on the other comprehensive form</x:v>
      </x:c>
    </x:row>
    <x:row r="262">
      <x:c r="A262" s="191" t="str">
        <x:v>CTA-LMFT-MQB-0261</x:v>
      </x:c>
      <x:c r="B262" s="192" t="str">
        <x:v>LMFT-MQB-FA-CE-032</x:v>
      </x:c>
      <x:c r="C262" s="192" t="str">
        <x:v>LMFT</x:v>
      </x:c>
      <x:c r="D262" s="192" t="str">
        <x:v>Comprehensive Simulation</x:v>
      </x:c>
      <x:c r="E262" s="192"/>
      <x:c r="F262" s="192"/>
      <x:c r="G262" s="192" t="str">
        <x:v>Form A</x:v>
      </x:c>
      <x:c r="H262" s="192" t="n">
        <x:v>57</x:v>
      </x:c>
      <x:c r="I262" s="192" t="str">
        <x:v>Scored-Style</x:v>
      </x:c>
      <x:c r="J262" s="192" t="str">
        <x:v>1. Clinical Evaluation</x:v>
      </x:c>
      <x:c r="K262" s="192" t="str">
        <x:v>Dissociation versus inattention</x:v>
      </x:c>
      <x:c r="L262" s="192" t="str"/>
      <x:c r="M262" s="192" t="str">
        <x:v>Difficult</x:v>
      </x:c>
      <x:c r="N262" s="192" t="str">
        <x:v>Difficult</x:v>
      </x:c>
      <x:c r="O262" s="192" t="str">
        <x:v>Scenario-based sequencing</x:v>
      </x:c>
      <x:c r="P262" s="192" t="str">
        <x:v>Scenario-Based</x:v>
      </x:c>
      <x:c r="Q262" s="192" t="n">
        <x:v>4</x:v>
      </x:c>
      <x:c r="R262" s="192" t="str">
        <x:v>D</x:v>
      </x:c>
      <x:c r="S262" s="192" t="str">
        <x:v>Approved</x:v>
      </x:c>
      <x:c r="T262" s="192" t="str">
        <x:v>Active</x:v>
      </x:c>
      <x:c r="U262" s="192" t="n">
        <x:v>1</x:v>
      </x:c>
      <x:c r="V262" s="192" t="str">
        <x:v>LMFT-ALT-032</x:v>
      </x:c>
      <x:c r="W262" s="192" t="str">
        <x:v>No additional flag</x:v>
      </x:c>
      <x:c r="X262" s="192" t="str">
        <x:v>No structural flag</x:v>
      </x:c>
      <x:c r="Y262" s="192" t="str">
        <x:v>Not Yet Reviewed</x:v>
      </x:c>
      <x:c r="Z262" s="192" t="str">
        <x:v>CTA LMFT WB4; CTA LMFT WB5; Pearson VUE LMFT Outline Area 1</x:v>
      </x:c>
      <x:c r="AA262" s="192" t="str">
        <x:v>CTA_LMFT_Comprehensive_Simulation_Form_A_Answer_Key_and_Detailed_Rationales_v1.0.docx</x:v>
      </x:c>
      <x:c r="AB262" s="192" t="str">
        <x:v>1.0</x:v>
      </x:c>
      <x:c r="AC262" s="193"/>
      <x:c r="AD262" s="193" t="n">
        <x:v>46228</x:v>
      </x:c>
      <x:c r="AE262" s="192" t="str">
        <x:v>Approved for Form A</x:v>
      </x:c>
      <x:c r="AF262" s="194" t="str">
        <x:v>Form A only; paired alternate retained on the other comprehensive form</x:v>
      </x:c>
    </x:row>
    <x:row r="263">
      <x:c r="A263" s="191" t="str">
        <x:v>CTA-LMFT-MQB-0262</x:v>
      </x:c>
      <x:c r="B263" s="192" t="str">
        <x:v>LMFT-MQB-FA-CR-010</x:v>
      </x:c>
      <x:c r="C263" s="192" t="str">
        <x:v>LMFT</x:v>
      </x:c>
      <x:c r="D263" s="192" t="str">
        <x:v>Comprehensive Simulation</x:v>
      </x:c>
      <x:c r="E263" s="192"/>
      <x:c r="F263" s="192"/>
      <x:c r="G263" s="192" t="str">
        <x:v>Form A</x:v>
      </x:c>
      <x:c r="H263" s="192" t="n">
        <x:v>58</x:v>
      </x:c>
      <x:c r="I263" s="192" t="str">
        <x:v>Scored-Style</x:v>
      </x:c>
      <x:c r="J263" s="192" t="str">
        <x:v>3. Managing Crisis Situations</x:v>
      </x:c>
      <x:c r="K263" s="192" t="str">
        <x:v>Withdrawal emergency</x:v>
      </x:c>
      <x:c r="L263" s="192" t="str"/>
      <x:c r="M263" s="192" t="str">
        <x:v>Moderate</x:v>
      </x:c>
      <x:c r="N263" s="192" t="str">
        <x:v>Moderate</x:v>
      </x:c>
      <x:c r="O263" s="192" t="str">
        <x:v>Scenario-based sequencing</x:v>
      </x:c>
      <x:c r="P263" s="192" t="str">
        <x:v>Scenario-Based</x:v>
      </x:c>
      <x:c r="Q263" s="192" t="n">
        <x:v>4</x:v>
      </x:c>
      <x:c r="R263" s="192" t="str">
        <x:v>A</x:v>
      </x:c>
      <x:c r="S263" s="192" t="str">
        <x:v>Approved</x:v>
      </x:c>
      <x:c r="T263" s="192" t="str">
        <x:v>Active</x:v>
      </x:c>
      <x:c r="U263" s="192" t="n">
        <x:v>1</x:v>
      </x:c>
      <x:c r="V263" s="192" t="str">
        <x:v>LMFT-ALT-069</x:v>
      </x:c>
      <x:c r="W263" s="192" t="str">
        <x:v>No additional flag</x:v>
      </x:c>
      <x:c r="X263" s="192" t="str">
        <x:v>No structural flag</x:v>
      </x:c>
      <x:c r="Y263" s="192" t="str">
        <x:v>Not Yet Reviewed</x:v>
      </x:c>
      <x:c r="Z263" s="192" t="str">
        <x:v>CTA LMFT WB6; Pearson VUE LMFT Outline Area 3</x:v>
      </x:c>
      <x:c r="AA263" s="192" t="str">
        <x:v>CTA_LMFT_Comprehensive_Simulation_Form_A_Answer_Key_and_Detailed_Rationales_v1.0.docx</x:v>
      </x:c>
      <x:c r="AB263" s="192" t="str">
        <x:v>1.0</x:v>
      </x:c>
      <x:c r="AC263" s="193"/>
      <x:c r="AD263" s="193" t="n">
        <x:v>46228</x:v>
      </x:c>
      <x:c r="AE263" s="192" t="str">
        <x:v>Approved for Form A</x:v>
      </x:c>
      <x:c r="AF263" s="194" t="str">
        <x:v>Form A only; paired alternate retained on the other comprehensive form</x:v>
      </x:c>
    </x:row>
    <x:row r="264">
      <x:c r="A264" s="191" t="str">
        <x:v>CTA-LMFT-MQB-0263</x:v>
      </x:c>
      <x:c r="B264" s="192" t="str">
        <x:v>LMFT-MQB-FA-TX-016</x:v>
      </x:c>
      <x:c r="C264" s="192" t="str">
        <x:v>LMFT</x:v>
      </x:c>
      <x:c r="D264" s="192" t="str">
        <x:v>Comprehensive Simulation</x:v>
      </x:c>
      <x:c r="E264" s="192"/>
      <x:c r="F264" s="192"/>
      <x:c r="G264" s="192" t="str">
        <x:v>Form A</x:v>
      </x:c>
      <x:c r="H264" s="192" t="n">
        <x:v>59</x:v>
      </x:c>
      <x:c r="I264" s="192" t="str">
        <x:v>Scored-Style</x:v>
      </x:c>
      <x:c r="J264" s="192" t="str">
        <x:v>5. Treatment</x:v>
      </x:c>
      <x:c r="K264" s="192" t="str">
        <x:v>Exposure pacing</x:v>
      </x:c>
      <x:c r="L264" s="192" t="str"/>
      <x:c r="M264" s="192" t="str">
        <x:v>Moderate</x:v>
      </x:c>
      <x:c r="N264" s="192" t="str">
        <x:v>Moderate</x:v>
      </x:c>
      <x:c r="O264" s="192" t="str">
        <x:v>Application</x:v>
      </x:c>
      <x:c r="P264" s="192" t="str">
        <x:v>Application</x:v>
      </x:c>
      <x:c r="Q264" s="192" t="n">
        <x:v>4</x:v>
      </x:c>
      <x:c r="R264" s="192" t="str">
        <x:v>C</x:v>
      </x:c>
      <x:c r="S264" s="192" t="str">
        <x:v>Approved</x:v>
      </x:c>
      <x:c r="T264" s="192" t="str">
        <x:v>Active</x:v>
      </x:c>
      <x:c r="U264" s="192" t="n">
        <x:v>1</x:v>
      </x:c>
      <x:c r="V264" s="192" t="str">
        <x:v>LMFT-ALT-123</x:v>
      </x:c>
      <x:c r="W264" s="192" t="str">
        <x:v>No additional flag</x:v>
      </x:c>
      <x:c r="X264" s="192" t="str">
        <x:v>No structural flag</x:v>
      </x:c>
      <x:c r="Y264" s="192" t="str">
        <x:v>Not Yet Reviewed</x:v>
      </x:c>
      <x:c r="Z264" s="192" t="str">
        <x:v>CTA LMFT WB9; Pearson VUE LMFT Outline Area 5</x:v>
      </x:c>
      <x:c r="AA264" s="192" t="str">
        <x:v>CTA_LMFT_Comprehensive_Simulation_Form_A_Answer_Key_and_Detailed_Rationales_v1.0.docx</x:v>
      </x:c>
      <x:c r="AB264" s="192" t="str">
        <x:v>1.0</x:v>
      </x:c>
      <x:c r="AC264" s="193"/>
      <x:c r="AD264" s="193" t="n">
        <x:v>46228</x:v>
      </x:c>
      <x:c r="AE264" s="192" t="str">
        <x:v>Approved for Form A</x:v>
      </x:c>
      <x:c r="AF264" s="194" t="str">
        <x:v>Form A only; paired alternate retained on the other comprehensive form</x:v>
      </x:c>
    </x:row>
    <x:row r="265">
      <x:c r="A265" s="191" t="str">
        <x:v>CTA-LMFT-MQB-0264</x:v>
      </x:c>
      <x:c r="B265" s="192" t="str">
        <x:v>LMFT-MQB-FA-CE-003</x:v>
      </x:c>
      <x:c r="C265" s="192" t="str">
        <x:v>LMFT</x:v>
      </x:c>
      <x:c r="D265" s="192" t="str">
        <x:v>Comprehensive Simulation</x:v>
      </x:c>
      <x:c r="E265" s="192"/>
      <x:c r="F265" s="192"/>
      <x:c r="G265" s="192" t="str">
        <x:v>Form A</x:v>
      </x:c>
      <x:c r="H265" s="192" t="n">
        <x:v>60</x:v>
      </x:c>
      <x:c r="I265" s="192" t="str">
        <x:v>Scored-Style</x:v>
      </x:c>
      <x:c r="J265" s="192" t="str">
        <x:v>1. Clinical Evaluation</x:v>
      </x:c>
      <x:c r="K265" s="192" t="str">
        <x:v>Protective factors</x:v>
      </x:c>
      <x:c r="L265" s="192" t="str"/>
      <x:c r="M265" s="192" t="str">
        <x:v>Easy</x:v>
      </x:c>
      <x:c r="N265" s="192" t="str">
        <x:v>Easy</x:v>
      </x:c>
      <x:c r="O265" s="192" t="str">
        <x:v>Direct recognition</x:v>
      </x:c>
      <x:c r="P265" s="192" t="str">
        <x:v>Knowledge &amp; Recall</x:v>
      </x:c>
      <x:c r="Q265" s="192" t="n">
        <x:v>4</x:v>
      </x:c>
      <x:c r="R265" s="192" t="str">
        <x:v>B</x:v>
      </x:c>
      <x:c r="S265" s="192" t="str">
        <x:v>Approved</x:v>
      </x:c>
      <x:c r="T265" s="192" t="str">
        <x:v>Active</x:v>
      </x:c>
      <x:c r="U265" s="192" t="n">
        <x:v>1</x:v>
      </x:c>
      <x:c r="V265" s="192" t="str">
        <x:v>LMFT-ALT-003</x:v>
      </x:c>
      <x:c r="W265" s="192" t="str">
        <x:v>No additional flag</x:v>
      </x:c>
      <x:c r="X265" s="192" t="str">
        <x:v>No structural flag</x:v>
      </x:c>
      <x:c r="Y265" s="192" t="str">
        <x:v>Not Yet Reviewed</x:v>
      </x:c>
      <x:c r="Z265" s="192" t="str">
        <x:v>CTA LMFT WB4; Pearson VUE LMFT Outline Area 1</x:v>
      </x:c>
      <x:c r="AA265" s="192" t="str">
        <x:v>CTA_LMFT_Comprehensive_Simulation_Form_A_Answer_Key_and_Detailed_Rationales_v1.0.docx</x:v>
      </x:c>
      <x:c r="AB265" s="192" t="str">
        <x:v>1.0</x:v>
      </x:c>
      <x:c r="AC265" s="193"/>
      <x:c r="AD265" s="193" t="n">
        <x:v>46228</x:v>
      </x:c>
      <x:c r="AE265" s="192" t="str">
        <x:v>Approved for Form A</x:v>
      </x:c>
      <x:c r="AF265" s="194" t="str">
        <x:v>Form A only; paired alternate retained on the other comprehensive form</x:v>
      </x:c>
    </x:row>
    <x:row r="266">
      <x:c r="A266" s="191" t="str">
        <x:v>CTA-LMFT-MQB-0265</x:v>
      </x:c>
      <x:c r="B266" s="192" t="str">
        <x:v>LMFT-MQB-FA-CR-001</x:v>
      </x:c>
      <x:c r="C266" s="192" t="str">
        <x:v>LMFT</x:v>
      </x:c>
      <x:c r="D266" s="192" t="str">
        <x:v>Comprehensive Simulation</x:v>
      </x:c>
      <x:c r="E266" s="192"/>
      <x:c r="F266" s="192"/>
      <x:c r="G266" s="192" t="str">
        <x:v>Form A</x:v>
      </x:c>
      <x:c r="H266" s="192" t="n">
        <x:v>61</x:v>
      </x:c>
      <x:c r="I266" s="192" t="str">
        <x:v>Scored-Style</x:v>
      </x:c>
      <x:c r="J266" s="192" t="str">
        <x:v>3. Managing Crisis Situations</x:v>
      </x:c>
      <x:c r="K266" s="192" t="str">
        <x:v>Crisis priority</x:v>
      </x:c>
      <x:c r="L266" s="192" t="str"/>
      <x:c r="M266" s="192" t="str">
        <x:v>Easy</x:v>
      </x:c>
      <x:c r="N266" s="192" t="str">
        <x:v>Easy</x:v>
      </x:c>
      <x:c r="O266" s="192" t="str">
        <x:v>Direct recognition</x:v>
      </x:c>
      <x:c r="P266" s="192" t="str">
        <x:v>Knowledge &amp; Recall</x:v>
      </x:c>
      <x:c r="Q266" s="192" t="n">
        <x:v>4</x:v>
      </x:c>
      <x:c r="R266" s="192" t="str">
        <x:v>D</x:v>
      </x:c>
      <x:c r="S266" s="192" t="str">
        <x:v>Approved</x:v>
      </x:c>
      <x:c r="T266" s="192" t="str">
        <x:v>Active</x:v>
      </x:c>
      <x:c r="U266" s="192" t="n">
        <x:v>1</x:v>
      </x:c>
      <x:c r="V266" s="192" t="str">
        <x:v>LMFT-ALT-060</x:v>
      </x:c>
      <x:c r="W266" s="192" t="str">
        <x:v>No additional flag</x:v>
      </x:c>
      <x:c r="X266" s="192" t="str">
        <x:v>No structural flag</x:v>
      </x:c>
      <x:c r="Y266" s="192" t="str">
        <x:v>Not Yet Reviewed</x:v>
      </x:c>
      <x:c r="Z266" s="192" t="str">
        <x:v>CTA LMFT WB6; Pearson VUE LMFT Outline Area 3</x:v>
      </x:c>
      <x:c r="AA266" s="192" t="str">
        <x:v>CTA_LMFT_Comprehensive_Simulation_Form_A_Answer_Key_and_Detailed_Rationales_v1.0.docx</x:v>
      </x:c>
      <x:c r="AB266" s="192" t="str">
        <x:v>1.0</x:v>
      </x:c>
      <x:c r="AC266" s="193"/>
      <x:c r="AD266" s="193" t="n">
        <x:v>46228</x:v>
      </x:c>
      <x:c r="AE266" s="192" t="str">
        <x:v>Approved for Form A</x:v>
      </x:c>
      <x:c r="AF266" s="194" t="str">
        <x:v>Form A only; paired alternate retained on the other comprehensive form</x:v>
      </x:c>
    </x:row>
    <x:row r="267">
      <x:c r="A267" s="191" t="str">
        <x:v>CTA-LMFT-MQB-0266</x:v>
      </x:c>
      <x:c r="B267" s="192" t="str">
        <x:v>LMFT-MQB-FA-CE-005</x:v>
      </x:c>
      <x:c r="C267" s="192" t="str">
        <x:v>LMFT</x:v>
      </x:c>
      <x:c r="D267" s="192" t="str">
        <x:v>Comprehensive Simulation</x:v>
      </x:c>
      <x:c r="E267" s="192"/>
      <x:c r="F267" s="192"/>
      <x:c r="G267" s="192" t="str">
        <x:v>Form A</x:v>
      </x:c>
      <x:c r="H267" s="192" t="n">
        <x:v>62</x:v>
      </x:c>
      <x:c r="I267" s="192" t="str">
        <x:v>Scored-Style</x:v>
      </x:c>
      <x:c r="J267" s="192" t="str">
        <x:v>1. Clinical Evaluation</x:v>
      </x:c>
      <x:c r="K267" s="192" t="str">
        <x:v>Collateral information</x:v>
      </x:c>
      <x:c r="L267" s="192" t="str"/>
      <x:c r="M267" s="192" t="str">
        <x:v>Moderate</x:v>
      </x:c>
      <x:c r="N267" s="192" t="str">
        <x:v>Moderate</x:v>
      </x:c>
      <x:c r="O267" s="192" t="str">
        <x:v>Direct recognition</x:v>
      </x:c>
      <x:c r="P267" s="192" t="str">
        <x:v>Knowledge &amp; Recall</x:v>
      </x:c>
      <x:c r="Q267" s="192" t="n">
        <x:v>4</x:v>
      </x:c>
      <x:c r="R267" s="192" t="str">
        <x:v>B</x:v>
      </x:c>
      <x:c r="S267" s="192" t="str">
        <x:v>Approved</x:v>
      </x:c>
      <x:c r="T267" s="192" t="str">
        <x:v>Active</x:v>
      </x:c>
      <x:c r="U267" s="192" t="n">
        <x:v>1</x:v>
      </x:c>
      <x:c r="V267" s="192" t="str">
        <x:v>LMFT-ALT-005</x:v>
      </x:c>
      <x:c r="W267" s="192" t="str">
        <x:v>No additional flag</x:v>
      </x:c>
      <x:c r="X267" s="192" t="str">
        <x:v>No structural flag</x:v>
      </x:c>
      <x:c r="Y267" s="192" t="str">
        <x:v>Not Yet Reviewed</x:v>
      </x:c>
      <x:c r="Z267" s="192" t="str">
        <x:v>CTA LMFT WB2; Pearson VUE LMFT Outline Area 1</x:v>
      </x:c>
      <x:c r="AA267" s="192" t="str">
        <x:v>CTA_LMFT_Comprehensive_Simulation_Form_A_Answer_Key_and_Detailed_Rationales_v1.0.docx</x:v>
      </x:c>
      <x:c r="AB267" s="192" t="str">
        <x:v>1.0</x:v>
      </x:c>
      <x:c r="AC267" s="193"/>
      <x:c r="AD267" s="193" t="n">
        <x:v>46228</x:v>
      </x:c>
      <x:c r="AE267" s="192" t="str">
        <x:v>Approved for Form A</x:v>
      </x:c>
      <x:c r="AF267" s="194" t="str">
        <x:v>Form A only; paired alternate retained on the other comprehensive form</x:v>
      </x:c>
    </x:row>
    <x:row r="268">
      <x:c r="A268" s="191" t="str">
        <x:v>CTA-LMFT-MQB-0267</x:v>
      </x:c>
      <x:c r="B268" s="192" t="str">
        <x:v>LMFT-MQB-FA-TX-043</x:v>
      </x:c>
      <x:c r="C268" s="192" t="str">
        <x:v>LMFT</x:v>
      </x:c>
      <x:c r="D268" s="192" t="str">
        <x:v>Comprehensive Simulation</x:v>
      </x:c>
      <x:c r="E268" s="192"/>
      <x:c r="F268" s="192"/>
      <x:c r="G268" s="192" t="str">
        <x:v>Form A</x:v>
      </x:c>
      <x:c r="H268" s="192" t="n">
        <x:v>63</x:v>
      </x:c>
      <x:c r="I268" s="192" t="str">
        <x:v>Scored-Style</x:v>
      </x:c>
      <x:c r="J268" s="192" t="str">
        <x:v>5. Treatment</x:v>
      </x:c>
      <x:c r="K268" s="192" t="str">
        <x:v>Integrated end-of-treatment decision</x:v>
      </x:c>
      <x:c r="L268" s="192" t="str"/>
      <x:c r="M268" s="192" t="str">
        <x:v>Difficult</x:v>
      </x:c>
      <x:c r="N268" s="192" t="str">
        <x:v>Difficult</x:v>
      </x:c>
      <x:c r="O268" s="192" t="str">
        <x:v>Integrated reasoning</x:v>
      </x:c>
      <x:c r="P268" s="192" t="str">
        <x:v>Integrated Clinical Reasoning</x:v>
      </x:c>
      <x:c r="Q268" s="192" t="n">
        <x:v>4</x:v>
      </x:c>
      <x:c r="R268" s="192" t="str">
        <x:v>C</x:v>
      </x:c>
      <x:c r="S268" s="192" t="str">
        <x:v>Approved</x:v>
      </x:c>
      <x:c r="T268" s="192" t="str">
        <x:v>Active</x:v>
      </x:c>
      <x:c r="U268" s="192" t="n">
        <x:v>1</x:v>
      </x:c>
      <x:c r="V268" s="192" t="str">
        <x:v>LMFT-ALT-150</x:v>
      </x:c>
      <x:c r="W268" s="192" t="str">
        <x:v>No additional flag</x:v>
      </x:c>
      <x:c r="X268" s="192" t="str">
        <x:v>No structural flag</x:v>
      </x:c>
      <x:c r="Y268" s="192" t="str">
        <x:v>Not Yet Reviewed</x:v>
      </x:c>
      <x:c r="Z268" s="192" t="str">
        <x:v>CTA LMFT WB7; CTA LMFT WB12; Pearson VUE LMFT Outline Area 5</x:v>
      </x:c>
      <x:c r="AA268" s="192" t="str">
        <x:v>CTA_LMFT_Comprehensive_Simulation_Form_A_Answer_Key_and_Detailed_Rationales_v1.0.docx</x:v>
      </x:c>
      <x:c r="AB268" s="192" t="str">
        <x:v>1.0</x:v>
      </x:c>
      <x:c r="AC268" s="193"/>
      <x:c r="AD268" s="193" t="n">
        <x:v>46228</x:v>
      </x:c>
      <x:c r="AE268" s="192" t="str">
        <x:v>Approved for Form A</x:v>
      </x:c>
      <x:c r="AF268" s="194" t="str">
        <x:v>Form A only; paired alternate retained on the other comprehensive form</x:v>
      </x:c>
    </x:row>
    <x:row r="269">
      <x:c r="A269" s="191" t="str">
        <x:v>CTA-LMFT-MQB-0268</x:v>
      </x:c>
      <x:c r="B269" s="192" t="str">
        <x:v>LMFT-MQB-FA-CE-001</x:v>
      </x:c>
      <x:c r="C269" s="192" t="str">
        <x:v>LMFT</x:v>
      </x:c>
      <x:c r="D269" s="192" t="str">
        <x:v>Comprehensive Simulation</x:v>
      </x:c>
      <x:c r="E269" s="192"/>
      <x:c r="F269" s="192"/>
      <x:c r="G269" s="192" t="str">
        <x:v>Form A</x:v>
      </x:c>
      <x:c r="H269" s="192" t="n">
        <x:v>64</x:v>
      </x:c>
      <x:c r="I269" s="192" t="str">
        <x:v>Scored-Style</x:v>
      </x:c>
      <x:c r="J269" s="192" t="str">
        <x:v>1. Clinical Evaluation</x:v>
      </x:c>
      <x:c r="K269" s="192" t="str">
        <x:v>Unit of treatment</x:v>
      </x:c>
      <x:c r="L269" s="192" t="str"/>
      <x:c r="M269" s="192" t="str">
        <x:v>Easy</x:v>
      </x:c>
      <x:c r="N269" s="192" t="str">
        <x:v>Easy</x:v>
      </x:c>
      <x:c r="O269" s="192" t="str">
        <x:v>Direct recognition</x:v>
      </x:c>
      <x:c r="P269" s="192" t="str">
        <x:v>Knowledge &amp; Recall</x:v>
      </x:c>
      <x:c r="Q269" s="192" t="n">
        <x:v>4</x:v>
      </x:c>
      <x:c r="R269" s="192" t="str">
        <x:v>C</x:v>
      </x:c>
      <x:c r="S269" s="192" t="str">
        <x:v>Approved</x:v>
      </x:c>
      <x:c r="T269" s="192" t="str">
        <x:v>Active</x:v>
      </x:c>
      <x:c r="U269" s="192" t="n">
        <x:v>1</x:v>
      </x:c>
      <x:c r="V269" s="192" t="str">
        <x:v>LMFT-ALT-001</x:v>
      </x:c>
      <x:c r="W269" s="192" t="str">
        <x:v>No additional flag</x:v>
      </x:c>
      <x:c r="X269" s="192" t="str">
        <x:v>No structural flag</x:v>
      </x:c>
      <x:c r="Y269" s="192" t="str">
        <x:v>Not Yet Reviewed</x:v>
      </x:c>
      <x:c r="Z269" s="192" t="str">
        <x:v>CTA LMFT WB2; Pearson VUE LMFT Outline Area 1</x:v>
      </x:c>
      <x:c r="AA269" s="192" t="str">
        <x:v>CTA_LMFT_Comprehensive_Simulation_Form_A_Answer_Key_and_Detailed_Rationales_v1.0.docx</x:v>
      </x:c>
      <x:c r="AB269" s="192" t="str">
        <x:v>1.0</x:v>
      </x:c>
      <x:c r="AC269" s="193"/>
      <x:c r="AD269" s="193" t="n">
        <x:v>46228</x:v>
      </x:c>
      <x:c r="AE269" s="192" t="str">
        <x:v>Approved for Form A</x:v>
      </x:c>
      <x:c r="AF269" s="194" t="str">
        <x:v>Form A only; paired alternate retained on the other comprehensive form</x:v>
      </x:c>
    </x:row>
    <x:row r="270">
      <x:c r="A270" s="191" t="str">
        <x:v>CTA-LMFT-MQB-0269</x:v>
      </x:c>
      <x:c r="B270" s="192" t="str">
        <x:v>LMFT-MQB-FA-TX-010</x:v>
      </x:c>
      <x:c r="C270" s="192" t="str">
        <x:v>LMFT</x:v>
      </x:c>
      <x:c r="D270" s="192" t="str">
        <x:v>Comprehensive Simulation</x:v>
      </x:c>
      <x:c r="E270" s="192"/>
      <x:c r="F270" s="192"/>
      <x:c r="G270" s="192" t="str">
        <x:v>Form A</x:v>
      </x:c>
      <x:c r="H270" s="192" t="n">
        <x:v>65</x:v>
      </x:c>
      <x:c r="I270" s="192" t="str">
        <x:v>Scored-Style</x:v>
      </x:c>
      <x:c r="J270" s="192" t="str">
        <x:v>5. Treatment</x:v>
      </x:c>
      <x:c r="K270" s="192" t="str">
        <x:v>Parent coaching</x:v>
      </x:c>
      <x:c r="L270" s="192" t="str"/>
      <x:c r="M270" s="192" t="str">
        <x:v>Easy</x:v>
      </x:c>
      <x:c r="N270" s="192" t="str">
        <x:v>Easy</x:v>
      </x:c>
      <x:c r="O270" s="192" t="str">
        <x:v>Application</x:v>
      </x:c>
      <x:c r="P270" s="192" t="str">
        <x:v>Application</x:v>
      </x:c>
      <x:c r="Q270" s="192" t="n">
        <x:v>4</x:v>
      </x:c>
      <x:c r="R270" s="192" t="str">
        <x:v>D</x:v>
      </x:c>
      <x:c r="S270" s="192" t="str">
        <x:v>Approved</x:v>
      </x:c>
      <x:c r="T270" s="192" t="str">
        <x:v>Active</x:v>
      </x:c>
      <x:c r="U270" s="192" t="n">
        <x:v>1</x:v>
      </x:c>
      <x:c r="V270" s="192" t="str">
        <x:v>LMFT-ALT-117</x:v>
      </x:c>
      <x:c r="W270" s="192" t="str">
        <x:v>No additional flag</x:v>
      </x:c>
      <x:c r="X270" s="192" t="str">
        <x:v>No structural flag</x:v>
      </x:c>
      <x:c r="Y270" s="192" t="str">
        <x:v>Not Yet Reviewed</x:v>
      </x:c>
      <x:c r="Z270" s="192" t="str">
        <x:v>CTA LMFT WB8; CTA LMFT WB9; Pearson VUE LMFT Outline Area 5</x:v>
      </x:c>
      <x:c r="AA270" s="192" t="str">
        <x:v>CTA_LMFT_Comprehensive_Simulation_Form_A_Answer_Key_and_Detailed_Rationales_v1.0.docx</x:v>
      </x:c>
      <x:c r="AB270" s="192" t="str">
        <x:v>1.0</x:v>
      </x:c>
      <x:c r="AC270" s="193"/>
      <x:c r="AD270" s="193" t="n">
        <x:v>46228</x:v>
      </x:c>
      <x:c r="AE270" s="192" t="str">
        <x:v>Approved for Form A</x:v>
      </x:c>
      <x:c r="AF270" s="194" t="str">
        <x:v>Form A only; paired alternate retained on the other comprehensive form</x:v>
      </x:c>
    </x:row>
    <x:row r="271">
      <x:c r="A271" s="191" t="str">
        <x:v>CTA-LMFT-MQB-0270</x:v>
      </x:c>
      <x:c r="B271" s="192" t="str">
        <x:v>LMFT-MQB-FA-CE-010</x:v>
      </x:c>
      <x:c r="C271" s="192" t="str">
        <x:v>LMFT</x:v>
      </x:c>
      <x:c r="D271" s="192" t="str">
        <x:v>Comprehensive Simulation</x:v>
      </x:c>
      <x:c r="E271" s="192"/>
      <x:c r="F271" s="192"/>
      <x:c r="G271" s="192" t="str">
        <x:v>Form A</x:v>
      </x:c>
      <x:c r="H271" s="192" t="n">
        <x:v>66</x:v>
      </x:c>
      <x:c r="I271" s="192" t="str">
        <x:v>Scored-Style</x:v>
      </x:c>
      <x:c r="J271" s="192" t="str">
        <x:v>1. Clinical Evaluation</x:v>
      </x:c>
      <x:c r="K271" s="192" t="str">
        <x:v>Strengths assessment</x:v>
      </x:c>
      <x:c r="L271" s="192" t="str"/>
      <x:c r="M271" s="192" t="str">
        <x:v>Easy</x:v>
      </x:c>
      <x:c r="N271" s="192" t="str">
        <x:v>Easy</x:v>
      </x:c>
      <x:c r="O271" s="192" t="str">
        <x:v>Application</x:v>
      </x:c>
      <x:c r="P271" s="192" t="str">
        <x:v>Application</x:v>
      </x:c>
      <x:c r="Q271" s="192" t="n">
        <x:v>4</x:v>
      </x:c>
      <x:c r="R271" s="192" t="str">
        <x:v>A</x:v>
      </x:c>
      <x:c r="S271" s="192" t="str">
        <x:v>Approved</x:v>
      </x:c>
      <x:c r="T271" s="192" t="str">
        <x:v>Active</x:v>
      </x:c>
      <x:c r="U271" s="192" t="n">
        <x:v>1</x:v>
      </x:c>
      <x:c r="V271" s="192" t="str">
        <x:v>LMFT-ALT-010</x:v>
      </x:c>
      <x:c r="W271" s="192" t="str">
        <x:v>No additional flag</x:v>
      </x:c>
      <x:c r="X271" s="192" t="str">
        <x:v>No structural flag</x:v>
      </x:c>
      <x:c r="Y271" s="192" t="str">
        <x:v>Not Yet Reviewed</x:v>
      </x:c>
      <x:c r="Z271" s="192" t="str">
        <x:v>CTA LMFT WB4; Pearson VUE LMFT Outline Area 1</x:v>
      </x:c>
      <x:c r="AA271" s="192" t="str">
        <x:v>CTA_LMFT_Comprehensive_Simulation_Form_A_Answer_Key_and_Detailed_Rationales_v1.0.docx</x:v>
      </x:c>
      <x:c r="AB271" s="192" t="str">
        <x:v>1.0</x:v>
      </x:c>
      <x:c r="AC271" s="193"/>
      <x:c r="AD271" s="193" t="n">
        <x:v>46228</x:v>
      </x:c>
      <x:c r="AE271" s="192" t="str">
        <x:v>Approved for Form A</x:v>
      </x:c>
      <x:c r="AF271" s="194" t="str">
        <x:v>Form A only; paired alternate retained on the other comprehensive form</x:v>
      </x:c>
    </x:row>
    <x:row r="272">
      <x:c r="A272" s="191" t="str">
        <x:v>CTA-LMFT-MQB-0271</x:v>
      </x:c>
      <x:c r="B272" s="192" t="str">
        <x:v>LMFT-MQB-FA-TX-038</x:v>
      </x:c>
      <x:c r="C272" s="192" t="str">
        <x:v>LMFT</x:v>
      </x:c>
      <x:c r="D272" s="192" t="str">
        <x:v>Comprehensive Simulation</x:v>
      </x:c>
      <x:c r="E272" s="192"/>
      <x:c r="F272" s="192"/>
      <x:c r="G272" s="192" t="str">
        <x:v>Form A</x:v>
      </x:c>
      <x:c r="H272" s="192" t="n">
        <x:v>67</x:v>
      </x:c>
      <x:c r="I272" s="192" t="str">
        <x:v>Scored-Style</x:v>
      </x:c>
      <x:c r="J272" s="192" t="str">
        <x:v>5. Treatment</x:v>
      </x:c>
      <x:c r="K272" s="192" t="str">
        <x:v>Integrated addiction and couple work</x:v>
      </x:c>
      <x:c r="L272" s="192" t="str"/>
      <x:c r="M272" s="192" t="str">
        <x:v>Moderate</x:v>
      </x:c>
      <x:c r="N272" s="192" t="str">
        <x:v>Moderate</x:v>
      </x:c>
      <x:c r="O272" s="192" t="str">
        <x:v>Integrated reasoning</x:v>
      </x:c>
      <x:c r="P272" s="192" t="str">
        <x:v>Integrated Clinical Reasoning</x:v>
      </x:c>
      <x:c r="Q272" s="192" t="n">
        <x:v>4</x:v>
      </x:c>
      <x:c r="R272" s="192" t="str">
        <x:v>A</x:v>
      </x:c>
      <x:c r="S272" s="192" t="str">
        <x:v>Approved</x:v>
      </x:c>
      <x:c r="T272" s="192" t="str">
        <x:v>Active</x:v>
      </x:c>
      <x:c r="U272" s="192" t="n">
        <x:v>1</x:v>
      </x:c>
      <x:c r="V272" s="192" t="str">
        <x:v>LMFT-ALT-145</x:v>
      </x:c>
      <x:c r="W272" s="192" t="str">
        <x:v>No additional flag</x:v>
      </x:c>
      <x:c r="X272" s="192" t="str">
        <x:v>No structural flag</x:v>
      </x:c>
      <x:c r="Y272" s="192" t="str">
        <x:v>Not Yet Reviewed</x:v>
      </x:c>
      <x:c r="Z272" s="192" t="str">
        <x:v>CTA LMFT WB8; CTA LMFT WB9; Pearson VUE LMFT Outline Area 5</x:v>
      </x:c>
      <x:c r="AA272" s="192" t="str">
        <x:v>CTA_LMFT_Comprehensive_Simulation_Form_A_Answer_Key_and_Detailed_Rationales_v1.0.docx</x:v>
      </x:c>
      <x:c r="AB272" s="192" t="str">
        <x:v>1.0</x:v>
      </x:c>
      <x:c r="AC272" s="193"/>
      <x:c r="AD272" s="193" t="n">
        <x:v>46228</x:v>
      </x:c>
      <x:c r="AE272" s="192" t="str">
        <x:v>Approved for Form A</x:v>
      </x:c>
      <x:c r="AF272" s="194" t="str">
        <x:v>Form A only; paired alternate retained on the other comprehensive form</x:v>
      </x:c>
    </x:row>
    <x:row r="273">
      <x:c r="A273" s="191" t="str">
        <x:v>CTA-LMFT-MQB-0272</x:v>
      </x:c>
      <x:c r="B273" s="192" t="str">
        <x:v>LMFT-MQB-FA-CR-011</x:v>
      </x:c>
      <x:c r="C273" s="192" t="str">
        <x:v>LMFT</x:v>
      </x:c>
      <x:c r="D273" s="192" t="str">
        <x:v>Comprehensive Simulation</x:v>
      </x:c>
      <x:c r="E273" s="192"/>
      <x:c r="F273" s="192"/>
      <x:c r="G273" s="192" t="str">
        <x:v>Form A</x:v>
      </x:c>
      <x:c r="H273" s="192" t="n">
        <x:v>68</x:v>
      </x:c>
      <x:c r="I273" s="192" t="str">
        <x:v>Scored-Style</x:v>
      </x:c>
      <x:c r="J273" s="192" t="str">
        <x:v>3. Managing Crisis Situations</x:v>
      </x:c>
      <x:c r="K273" s="192" t="str">
        <x:v>Grave disability and basic needs</x:v>
      </x:c>
      <x:c r="L273" s="192" t="str"/>
      <x:c r="M273" s="192" t="str">
        <x:v>Moderate</x:v>
      </x:c>
      <x:c r="N273" s="192" t="str">
        <x:v>Moderate</x:v>
      </x:c>
      <x:c r="O273" s="192" t="str">
        <x:v>Scenario-based sequencing</x:v>
      </x:c>
      <x:c r="P273" s="192" t="str">
        <x:v>Scenario-Based</x:v>
      </x:c>
      <x:c r="Q273" s="192" t="n">
        <x:v>4</x:v>
      </x:c>
      <x:c r="R273" s="192" t="str">
        <x:v>A</x:v>
      </x:c>
      <x:c r="S273" s="192" t="str">
        <x:v>Approved</x:v>
      </x:c>
      <x:c r="T273" s="192" t="str">
        <x:v>Active</x:v>
      </x:c>
      <x:c r="U273" s="192" t="n">
        <x:v>1</x:v>
      </x:c>
      <x:c r="V273" s="192" t="str">
        <x:v>LMFT-ALT-070</x:v>
      </x:c>
      <x:c r="W273" s="192" t="str">
        <x:v>No additional flag</x:v>
      </x:c>
      <x:c r="X273" s="192" t="str">
        <x:v>No structural flag</x:v>
      </x:c>
      <x:c r="Y273" s="192" t="str">
        <x:v>Not Yet Reviewed</x:v>
      </x:c>
      <x:c r="Z273" s="192" t="str">
        <x:v>CTA LMFT WB6; Pearson VUE LMFT Outline Area 3</x:v>
      </x:c>
      <x:c r="AA273" s="192" t="str">
        <x:v>CTA_LMFT_Comprehensive_Simulation_Form_A_Answer_Key_and_Detailed_Rationales_v1.0.docx</x:v>
      </x:c>
      <x:c r="AB273" s="192" t="str">
        <x:v>1.0</x:v>
      </x:c>
      <x:c r="AC273" s="193"/>
      <x:c r="AD273" s="193" t="n">
        <x:v>46228</x:v>
      </x:c>
      <x:c r="AE273" s="192" t="str">
        <x:v>Approved for Form A</x:v>
      </x:c>
      <x:c r="AF273" s="194" t="str">
        <x:v>Form A only; paired alternate retained on the other comprehensive form</x:v>
      </x:c>
    </x:row>
    <x:row r="274">
      <x:c r="A274" s="191" t="str">
        <x:v>CTA-LMFT-MQB-0273</x:v>
      </x:c>
      <x:c r="B274" s="192" t="str">
        <x:v>LMFT-MQB-FA-CR-004</x:v>
      </x:c>
      <x:c r="C274" s="192" t="str">
        <x:v>LMFT</x:v>
      </x:c>
      <x:c r="D274" s="192" t="str">
        <x:v>Comprehensive Simulation</x:v>
      </x:c>
      <x:c r="E274" s="192"/>
      <x:c r="F274" s="192"/>
      <x:c r="G274" s="192" t="str">
        <x:v>Form A</x:v>
      </x:c>
      <x:c r="H274" s="192" t="n">
        <x:v>69</x:v>
      </x:c>
      <x:c r="I274" s="192" t="str">
        <x:v>Pretest-Style</x:v>
      </x:c>
      <x:c r="J274" s="192" t="str">
        <x:v>3. Managing Crisis Situations</x:v>
      </x:c>
      <x:c r="K274" s="192" t="str">
        <x:v>Means safety</x:v>
      </x:c>
      <x:c r="L274" s="192" t="str"/>
      <x:c r="M274" s="192" t="str">
        <x:v>Moderate</x:v>
      </x:c>
      <x:c r="N274" s="192" t="str">
        <x:v>Moderate</x:v>
      </x:c>
      <x:c r="O274" s="192" t="str">
        <x:v>Application</x:v>
      </x:c>
      <x:c r="P274" s="192" t="str">
        <x:v>Application</x:v>
      </x:c>
      <x:c r="Q274" s="192" t="n">
        <x:v>4</x:v>
      </x:c>
      <x:c r="R274" s="192" t="str">
        <x:v>C</x:v>
      </x:c>
      <x:c r="S274" s="192" t="str">
        <x:v>Approved</x:v>
      </x:c>
      <x:c r="T274" s="192" t="str">
        <x:v>Active</x:v>
      </x:c>
      <x:c r="U274" s="192" t="n">
        <x:v>1</x:v>
      </x:c>
      <x:c r="V274" s="192" t="str">
        <x:v>LMFT-ALT-063</x:v>
      </x:c>
      <x:c r="W274" s="192" t="str">
        <x:v>No additional flag</x:v>
      </x:c>
      <x:c r="X274" s="192" t="str">
        <x:v>No structural flag</x:v>
      </x:c>
      <x:c r="Y274" s="192" t="str">
        <x:v>Not Yet Reviewed</x:v>
      </x:c>
      <x:c r="Z274" s="192" t="str">
        <x:v>CTA LMFT WB6; Pearson VUE LMFT Outline Area 3</x:v>
      </x:c>
      <x:c r="AA274" s="192" t="str">
        <x:v>CTA_LMFT_Comprehensive_Simulation_Form_A_Answer_Key_and_Detailed_Rationales_v1.0.docx</x:v>
      </x:c>
      <x:c r="AB274" s="192" t="str">
        <x:v>1.0</x:v>
      </x:c>
      <x:c r="AC274" s="193"/>
      <x:c r="AD274" s="193" t="n">
        <x:v>46228</x:v>
      </x:c>
      <x:c r="AE274" s="192" t="str">
        <x:v>Approved for Form A</x:v>
      </x:c>
      <x:c r="AF274" s="194" t="str">
        <x:v>Form A only; paired alternate retained on the other comprehensive form</x:v>
      </x:c>
    </x:row>
    <x:row r="275">
      <x:c r="A275" s="191" t="str">
        <x:v>CTA-LMFT-MQB-0274</x:v>
      </x:c>
      <x:c r="B275" s="192" t="str">
        <x:v>LMFT-MQB-FA-DI-014</x:v>
      </x:c>
      <x:c r="C275" s="192" t="str">
        <x:v>LMFT</x:v>
      </x:c>
      <x:c r="D275" s="192" t="str">
        <x:v>Comprehensive Simulation</x:v>
      </x:c>
      <x:c r="E275" s="192"/>
      <x:c r="F275" s="192"/>
      <x:c r="G275" s="192" t="str">
        <x:v>Form A</x:v>
      </x:c>
      <x:c r="H275" s="192" t="n">
        <x:v>70</x:v>
      </x:c>
      <x:c r="I275" s="192" t="str">
        <x:v>Scored-Style</x:v>
      </x:c>
      <x:c r="J275" s="192" t="str">
        <x:v>2. Developing a Diagnostic Impression</x:v>
      </x:c>
      <x:c r="K275" s="192" t="str">
        <x:v>Medication-induced mood change</x:v>
      </x:c>
      <x:c r="L275" s="192" t="str"/>
      <x:c r="M275" s="192" t="str">
        <x:v>Difficult</x:v>
      </x:c>
      <x:c r="N275" s="192" t="str">
        <x:v>Difficult</x:v>
      </x:c>
      <x:c r="O275" s="192" t="str">
        <x:v>Scenario-based sequencing</x:v>
      </x:c>
      <x:c r="P275" s="192" t="str">
        <x:v>Scenario-Based</x:v>
      </x:c>
      <x:c r="Q275" s="192" t="n">
        <x:v>4</x:v>
      </x:c>
      <x:c r="R275" s="192" t="str">
        <x:v>B</x:v>
      </x:c>
      <x:c r="S275" s="192" t="str">
        <x:v>Approved</x:v>
      </x:c>
      <x:c r="T275" s="192" t="str">
        <x:v>Active</x:v>
      </x:c>
      <x:c r="U275" s="192" t="n">
        <x:v>1</x:v>
      </x:c>
      <x:c r="V275" s="192" t="str">
        <x:v>LMFT-ALT-089</x:v>
      </x:c>
      <x:c r="W275" s="192" t="str">
        <x:v>No additional flag</x:v>
      </x:c>
      <x:c r="X275" s="192" t="str">
        <x:v>No structural flag</x:v>
      </x:c>
      <x:c r="Y275" s="192" t="str">
        <x:v>Not Yet Reviewed</x:v>
      </x:c>
      <x:c r="Z275" s="192" t="str">
        <x:v>CTA LMFT WB5; Pearson VUE LMFT Outline Area 2</x:v>
      </x:c>
      <x:c r="AA275" s="192" t="str">
        <x:v>CTA_LMFT_Comprehensive_Simulation_Form_A_Answer_Key_and_Detailed_Rationales_v1.0.docx</x:v>
      </x:c>
      <x:c r="AB275" s="192" t="str">
        <x:v>1.0</x:v>
      </x:c>
      <x:c r="AC275" s="193"/>
      <x:c r="AD275" s="193" t="n">
        <x:v>46228</x:v>
      </x:c>
      <x:c r="AE275" s="192" t="str">
        <x:v>Approved for Form A</x:v>
      </x:c>
      <x:c r="AF275" s="194" t="str">
        <x:v>Form A only; paired alternate retained on the other comprehensive form</x:v>
      </x:c>
    </x:row>
    <x:row r="276">
      <x:c r="A276" s="191" t="str">
        <x:v>CTA-LMFT-MQB-0275</x:v>
      </x:c>
      <x:c r="B276" s="192" t="str">
        <x:v>LMFT-MQB-FA-DI-016</x:v>
      </x:c>
      <x:c r="C276" s="192" t="str">
        <x:v>LMFT</x:v>
      </x:c>
      <x:c r="D276" s="192" t="str">
        <x:v>Comprehensive Simulation</x:v>
      </x:c>
      <x:c r="E276" s="192"/>
      <x:c r="F276" s="192"/>
      <x:c r="G276" s="192" t="str">
        <x:v>Form A</x:v>
      </x:c>
      <x:c r="H276" s="192" t="n">
        <x:v>71</x:v>
      </x:c>
      <x:c r="I276" s="192" t="str">
        <x:v>Scored-Style</x:v>
      </x:c>
      <x:c r="J276" s="192" t="str">
        <x:v>2. Developing a Diagnostic Impression</x:v>
      </x:c>
      <x:c r="K276" s="192" t="str">
        <x:v>Diagnostic and systemic formulation</x:v>
      </x:c>
      <x:c r="L276" s="192" t="str"/>
      <x:c r="M276" s="192" t="str">
        <x:v>Moderate</x:v>
      </x:c>
      <x:c r="N276" s="192" t="str">
        <x:v>Moderate</x:v>
      </x:c>
      <x:c r="O276" s="192" t="str">
        <x:v>Integrated reasoning</x:v>
      </x:c>
      <x:c r="P276" s="192" t="str">
        <x:v>Integrated Clinical Reasoning</x:v>
      </x:c>
      <x:c r="Q276" s="192" t="n">
        <x:v>4</x:v>
      </x:c>
      <x:c r="R276" s="192" t="str">
        <x:v>C</x:v>
      </x:c>
      <x:c r="S276" s="192" t="str">
        <x:v>Approved</x:v>
      </x:c>
      <x:c r="T276" s="192" t="str">
        <x:v>Active</x:v>
      </x:c>
      <x:c r="U276" s="192" t="n">
        <x:v>1</x:v>
      </x:c>
      <x:c r="V276" s="192" t="str">
        <x:v>LMFT-ALT-091</x:v>
      </x:c>
      <x:c r="W276" s="192" t="str">
        <x:v>No additional flag</x:v>
      </x:c>
      <x:c r="X276" s="192" t="str">
        <x:v>No structural flag</x:v>
      </x:c>
      <x:c r="Y276" s="192" t="str">
        <x:v>Not Yet Reviewed</x:v>
      </x:c>
      <x:c r="Z276" s="192" t="str">
        <x:v>CTA LMFT WB5; CTA LMFT WB7; Pearson VUE LMFT Outline Area 2</x:v>
      </x:c>
      <x:c r="AA276" s="192" t="str">
        <x:v>CTA_LMFT_Comprehensive_Simulation_Form_A_Answer_Key_and_Detailed_Rationales_v1.0.docx</x:v>
      </x:c>
      <x:c r="AB276" s="192" t="str">
        <x:v>1.0</x:v>
      </x:c>
      <x:c r="AC276" s="193"/>
      <x:c r="AD276" s="193" t="n">
        <x:v>46228</x:v>
      </x:c>
      <x:c r="AE276" s="192" t="str">
        <x:v>Approved for Form A</x:v>
      </x:c>
      <x:c r="AF276" s="194" t="str">
        <x:v>Form A only; paired alternate retained on the other comprehensive form</x:v>
      </x:c>
    </x:row>
    <x:row r="277">
      <x:c r="A277" s="191" t="str">
        <x:v>CTA-LMFT-MQB-0276</x:v>
      </x:c>
      <x:c r="B277" s="192" t="str">
        <x:v>LMFT-MQB-FA-LE-014</x:v>
      </x:c>
      <x:c r="C277" s="192" t="str">
        <x:v>LMFT</x:v>
      </x:c>
      <x:c r="D277" s="192" t="str">
        <x:v>Comprehensive Simulation</x:v>
      </x:c>
      <x:c r="E277" s="192"/>
      <x:c r="F277" s="192"/>
      <x:c r="G277" s="192" t="str">
        <x:v>Form A</x:v>
      </x:c>
      <x:c r="H277" s="192" t="n">
        <x:v>72</x:v>
      </x:c>
      <x:c r="I277" s="192" t="str">
        <x:v>Pretest-Style</x:v>
      </x:c>
      <x:c r="J277" s="192" t="str">
        <x:v>6. Managing Legal and Ethical Obligations within the Therapeutic Relationship</x:v>
      </x:c>
      <x:c r="K277" s="192" t="str">
        <x:v>Ethics, safety, and minimum disclosure</x:v>
      </x:c>
      <x:c r="L277" s="192" t="str"/>
      <x:c r="M277" s="192" t="str">
        <x:v>Moderate</x:v>
      </x:c>
      <x:c r="N277" s="192" t="str">
        <x:v>Moderate</x:v>
      </x:c>
      <x:c r="O277" s="192" t="str">
        <x:v>Integrated reasoning</x:v>
      </x:c>
      <x:c r="P277" s="192" t="str">
        <x:v>Integrated Clinical Reasoning</x:v>
      </x:c>
      <x:c r="Q277" s="192" t="n">
        <x:v>4</x:v>
      </x:c>
      <x:c r="R277" s="192" t="str">
        <x:v>B</x:v>
      </x:c>
      <x:c r="S277" s="192" t="str">
        <x:v>Approved</x:v>
      </x:c>
      <x:c r="T277" s="192" t="str">
        <x:v>Active</x:v>
      </x:c>
      <x:c r="U277" s="192" t="n">
        <x:v>1</x:v>
      </x:c>
      <x:c r="V277" s="192" t="str">
        <x:v>LMFT-ALT-106</x:v>
      </x:c>
      <x:c r="W277" s="192" t="str">
        <x:v>No additional flag</x:v>
      </x:c>
      <x:c r="X277" s="192" t="str">
        <x:v>No structural flag</x:v>
      </x:c>
      <x:c r="Y277" s="192" t="str">
        <x:v>Not Yet Reviewed</x:v>
      </x:c>
      <x:c r="Z277" s="192" t="str">
        <x:v>CTA LMFT WB6; CTA LMFT WB12; Pearson VUE LMFT Outline Area 6</x:v>
      </x:c>
      <x:c r="AA277" s="192" t="str">
        <x:v>CTA_LMFT_Comprehensive_Simulation_Form_A_Answer_Key_and_Detailed_Rationales_v1.0.docx</x:v>
      </x:c>
      <x:c r="AB277" s="192" t="str">
        <x:v>1.0</x:v>
      </x:c>
      <x:c r="AC277" s="193"/>
      <x:c r="AD277" s="193" t="n">
        <x:v>46228</x:v>
      </x:c>
      <x:c r="AE277" s="192" t="str">
        <x:v>Approved for Form A</x:v>
      </x:c>
      <x:c r="AF277" s="194" t="str">
        <x:v>Form A only; paired alternate retained on the other comprehensive form</x:v>
      </x:c>
    </x:row>
    <x:row r="278">
      <x:c r="A278" s="191" t="str">
        <x:v>CTA-LMFT-MQB-0277</x:v>
      </x:c>
      <x:c r="B278" s="192" t="str">
        <x:v>LMFT-MQB-FA-LE-007</x:v>
      </x:c>
      <x:c r="C278" s="192" t="str">
        <x:v>LMFT</x:v>
      </x:c>
      <x:c r="D278" s="192" t="str">
        <x:v>Comprehensive Simulation</x:v>
      </x:c>
      <x:c r="E278" s="192"/>
      <x:c r="F278" s="192"/>
      <x:c r="G278" s="192" t="str">
        <x:v>Form A</x:v>
      </x:c>
      <x:c r="H278" s="192" t="n">
        <x:v>73</x:v>
      </x:c>
      <x:c r="I278" s="192" t="str">
        <x:v>Pretest-Style</x:v>
      </x:c>
      <x:c r="J278" s="192" t="str">
        <x:v>6. Managing Legal and Ethical Obligations within the Therapeutic Relationship</x:v>
      </x:c>
      <x:c r="K278" s="192" t="str">
        <x:v>Court request</x:v>
      </x:c>
      <x:c r="L278" s="192" t="str"/>
      <x:c r="M278" s="192" t="str">
        <x:v>Difficult</x:v>
      </x:c>
      <x:c r="N278" s="192" t="str">
        <x:v>Difficult</x:v>
      </x:c>
      <x:c r="O278" s="192" t="str">
        <x:v>Application</x:v>
      </x:c>
      <x:c r="P278" s="192" t="str">
        <x:v>Application</x:v>
      </x:c>
      <x:c r="Q278" s="192" t="n">
        <x:v>4</x:v>
      </x:c>
      <x:c r="R278" s="192" t="str">
        <x:v>A</x:v>
      </x:c>
      <x:c r="S278" s="192" t="str">
        <x:v>Approved</x:v>
      </x:c>
      <x:c r="T278" s="192" t="str">
        <x:v>Active</x:v>
      </x:c>
      <x:c r="U278" s="192" t="n">
        <x:v>1</x:v>
      </x:c>
      <x:c r="V278" s="192" t="str">
        <x:v>LMFT-ALT-099</x:v>
      </x:c>
      <x:c r="W278" s="192" t="str">
        <x:v>Review Candidate</x:v>
      </x:c>
      <x:c r="X278" s="192" t="str">
        <x:v>No structural flag</x:v>
      </x:c>
      <x:c r="Y278" s="192" t="str">
        <x:v>Not Yet Reviewed</x:v>
      </x:c>
      <x:c r="Z278" s="192" t="str">
        <x:v>CTA LMFT WB12; Pearson VUE LMFT Outline Area 6</x:v>
      </x:c>
      <x:c r="AA278" s="192" t="str">
        <x:v>CTA_LMFT_Comprehensive_Simulation_Form_A_Answer_Key_and_Detailed_Rationales_v1.0.docx</x:v>
      </x:c>
      <x:c r="AB278" s="192" t="str">
        <x:v>1.0</x:v>
      </x:c>
      <x:c r="AC278" s="193"/>
      <x:c r="AD278" s="193" t="n">
        <x:v>46228</x:v>
      </x:c>
      <x:c r="AE278" s="192" t="str">
        <x:v>Approved for Form A</x:v>
      </x:c>
      <x:c r="AF278" s="194" t="str">
        <x:v>Form A only; paired alternate retained on the other comprehensive form</x:v>
      </x:c>
    </x:row>
    <x:row r="279">
      <x:c r="A279" s="191" t="str">
        <x:v>CTA-LMFT-MQB-0278</x:v>
      </x:c>
      <x:c r="B279" s="192" t="str">
        <x:v>LMFT-MQB-FA-TX-004</x:v>
      </x:c>
      <x:c r="C279" s="192" t="str">
        <x:v>LMFT</x:v>
      </x:c>
      <x:c r="D279" s="192" t="str">
        <x:v>Comprehensive Simulation</x:v>
      </x:c>
      <x:c r="E279" s="192"/>
      <x:c r="F279" s="192"/>
      <x:c r="G279" s="192" t="str">
        <x:v>Form A</x:v>
      </x:c>
      <x:c r="H279" s="192" t="n">
        <x:v>74</x:v>
      </x:c>
      <x:c r="I279" s="192" t="str">
        <x:v>Scored-Style</x:v>
      </x:c>
      <x:c r="J279" s="192" t="str">
        <x:v>5. Treatment</x:v>
      </x:c>
      <x:c r="K279" s="192" t="str">
        <x:v>Termination task</x:v>
      </x:c>
      <x:c r="L279" s="192" t="str"/>
      <x:c r="M279" s="192" t="str">
        <x:v>Moderate</x:v>
      </x:c>
      <x:c r="N279" s="192" t="str">
        <x:v>Moderate</x:v>
      </x:c>
      <x:c r="O279" s="192" t="str">
        <x:v>Direct recognition</x:v>
      </x:c>
      <x:c r="P279" s="192" t="str">
        <x:v>Knowledge &amp; Recall</x:v>
      </x:c>
      <x:c r="Q279" s="192" t="n">
        <x:v>4</x:v>
      </x:c>
      <x:c r="R279" s="192" t="str">
        <x:v>D</x:v>
      </x:c>
      <x:c r="S279" s="192" t="str">
        <x:v>Approved</x:v>
      </x:c>
      <x:c r="T279" s="192" t="str">
        <x:v>Active</x:v>
      </x:c>
      <x:c r="U279" s="192" t="n">
        <x:v>1</x:v>
      </x:c>
      <x:c r="V279" s="192" t="str">
        <x:v>LMFT-ALT-111</x:v>
      </x:c>
      <x:c r="W279" s="192" t="str">
        <x:v>No additional flag</x:v>
      </x:c>
      <x:c r="X279" s="192" t="str">
        <x:v>No structural flag</x:v>
      </x:c>
      <x:c r="Y279" s="192" t="str">
        <x:v>Not Yet Reviewed</x:v>
      </x:c>
      <x:c r="Z279" s="192" t="str">
        <x:v>CTA LMFT WB7; Pearson VUE LMFT Outline Area 5</x:v>
      </x:c>
      <x:c r="AA279" s="192" t="str">
        <x:v>CTA_LMFT_Comprehensive_Simulation_Form_A_Answer_Key_and_Detailed_Rationales_v1.0.docx</x:v>
      </x:c>
      <x:c r="AB279" s="192" t="str">
        <x:v>1.0</x:v>
      </x:c>
      <x:c r="AC279" s="193"/>
      <x:c r="AD279" s="193" t="n">
        <x:v>46228</x:v>
      </x:c>
      <x:c r="AE279" s="192" t="str">
        <x:v>Approved for Form A</x:v>
      </x:c>
      <x:c r="AF279" s="194" t="str">
        <x:v>Form A only; paired alternate retained on the other comprehensive form</x:v>
      </x:c>
    </x:row>
    <x:row r="280">
      <x:c r="A280" s="191" t="str">
        <x:v>CTA-LMFT-MQB-0279</x:v>
      </x:c>
      <x:c r="B280" s="192" t="str">
        <x:v>LMFT-MQB-FA-CE-039</x:v>
      </x:c>
      <x:c r="C280" s="192" t="str">
        <x:v>LMFT</x:v>
      </x:c>
      <x:c r="D280" s="192" t="str">
        <x:v>Comprehensive Simulation</x:v>
      </x:c>
      <x:c r="E280" s="192"/>
      <x:c r="F280" s="192"/>
      <x:c r="G280" s="192" t="str">
        <x:v>Form A</x:v>
      </x:c>
      <x:c r="H280" s="192" t="n">
        <x:v>75</x:v>
      </x:c>
      <x:c r="I280" s="192" t="str">
        <x:v>Scored-Style</x:v>
      </x:c>
      <x:c r="J280" s="192" t="str">
        <x:v>1. Clinical Evaluation</x:v>
      </x:c>
      <x:c r="K280" s="192" t="str">
        <x:v>Trauma, culture, and somatic symptoms</x:v>
      </x:c>
      <x:c r="L280" s="192" t="str"/>
      <x:c r="M280" s="192" t="str">
        <x:v>Difficult</x:v>
      </x:c>
      <x:c r="N280" s="192" t="str">
        <x:v>Difficult</x:v>
      </x:c>
      <x:c r="O280" s="192" t="str">
        <x:v>Integrated reasoning</x:v>
      </x:c>
      <x:c r="P280" s="192" t="str">
        <x:v>Integrated Clinical Reasoning</x:v>
      </x:c>
      <x:c r="Q280" s="192" t="n">
        <x:v>4</x:v>
      </x:c>
      <x:c r="R280" s="192" t="str">
        <x:v>B</x:v>
      </x:c>
      <x:c r="S280" s="192" t="str">
        <x:v>Approved</x:v>
      </x:c>
      <x:c r="T280" s="192" t="str">
        <x:v>Active</x:v>
      </x:c>
      <x:c r="U280" s="192" t="n">
        <x:v>1</x:v>
      </x:c>
      <x:c r="V280" s="192" t="str">
        <x:v>LMFT-ALT-039</x:v>
      </x:c>
      <x:c r="W280" s="192" t="str">
        <x:v>No additional flag</x:v>
      </x:c>
      <x:c r="X280" s="192" t="str">
        <x:v>No structural flag</x:v>
      </x:c>
      <x:c r="Y280" s="192" t="str">
        <x:v>Not Yet Reviewed</x:v>
      </x:c>
      <x:c r="Z280" s="192" t="str">
        <x:v>CTA LMFT WB3; CTA LMFT WB4; CTA LMFT WB5; Pearson VUE LMFT Outline Area 1</x:v>
      </x:c>
      <x:c r="AA280" s="192" t="str">
        <x:v>CTA_LMFT_Comprehensive_Simulation_Form_A_Answer_Key_and_Detailed_Rationales_v1.0.docx</x:v>
      </x:c>
      <x:c r="AB280" s="192" t="str">
        <x:v>1.0</x:v>
      </x:c>
      <x:c r="AC280" s="193"/>
      <x:c r="AD280" s="193" t="n">
        <x:v>46228</x:v>
      </x:c>
      <x:c r="AE280" s="192" t="str">
        <x:v>Approved for Form A</x:v>
      </x:c>
      <x:c r="AF280" s="194" t="str">
        <x:v>Form A only; paired alternate retained on the other comprehensive form</x:v>
      </x:c>
    </x:row>
    <x:row r="281">
      <x:c r="A281" s="191" t="str">
        <x:v>CTA-LMFT-MQB-0280</x:v>
      </x:c>
      <x:c r="B281" s="192" t="str">
        <x:v>LMFT-MQB-FA-CE-036</x:v>
      </x:c>
      <x:c r="C281" s="192" t="str">
        <x:v>LMFT</x:v>
      </x:c>
      <x:c r="D281" s="192" t="str">
        <x:v>Comprehensive Simulation</x:v>
      </x:c>
      <x:c r="E281" s="192"/>
      <x:c r="F281" s="192"/>
      <x:c r="G281" s="192" t="str">
        <x:v>Form A</x:v>
      </x:c>
      <x:c r="H281" s="192" t="n">
        <x:v>76</x:v>
      </x:c>
      <x:c r="I281" s="192" t="str">
        <x:v>Scored-Style</x:v>
      </x:c>
      <x:c r="J281" s="192" t="str">
        <x:v>1. Clinical Evaluation</x:v>
      </x:c>
      <x:c r="K281" s="192" t="str">
        <x:v>Evaluation under cultural and language constraints</x:v>
      </x:c>
      <x:c r="L281" s="192" t="str"/>
      <x:c r="M281" s="192" t="str">
        <x:v>Difficult</x:v>
      </x:c>
      <x:c r="N281" s="192" t="str">
        <x:v>Difficult</x:v>
      </x:c>
      <x:c r="O281" s="192" t="str">
        <x:v>Scenario-based sequencing</x:v>
      </x:c>
      <x:c r="P281" s="192" t="str">
        <x:v>Scenario-Based</x:v>
      </x:c>
      <x:c r="Q281" s="192" t="n">
        <x:v>4</x:v>
      </x:c>
      <x:c r="R281" s="192" t="str">
        <x:v>C</x:v>
      </x:c>
      <x:c r="S281" s="192" t="str">
        <x:v>Approved</x:v>
      </x:c>
      <x:c r="T281" s="192" t="str">
        <x:v>Active</x:v>
      </x:c>
      <x:c r="U281" s="192" t="n">
        <x:v>1</x:v>
      </x:c>
      <x:c r="V281" s="192" t="str">
        <x:v>LMFT-ALT-036</x:v>
      </x:c>
      <x:c r="W281" s="192" t="str">
        <x:v>No additional flag</x:v>
      </x:c>
      <x:c r="X281" s="192" t="str">
        <x:v>No structural flag</x:v>
      </x:c>
      <x:c r="Y281" s="192" t="str">
        <x:v>Not Yet Reviewed</x:v>
      </x:c>
      <x:c r="Z281" s="192" t="str">
        <x:v>CTA LMFT WB3; CTA LMFT WB10; Pearson VUE LMFT Outline Area 1</x:v>
      </x:c>
      <x:c r="AA281" s="192" t="str">
        <x:v>CTA_LMFT_Comprehensive_Simulation_Form_A_Answer_Key_and_Detailed_Rationales_v1.0.docx</x:v>
      </x:c>
      <x:c r="AB281" s="192" t="str">
        <x:v>1.0</x:v>
      </x:c>
      <x:c r="AC281" s="193"/>
      <x:c r="AD281" s="193" t="n">
        <x:v>46228</x:v>
      </x:c>
      <x:c r="AE281" s="192" t="str">
        <x:v>Approved for Form A</x:v>
      </x:c>
      <x:c r="AF281" s="194" t="str">
        <x:v>Form A only; paired alternate retained on the other comprehensive form</x:v>
      </x:c>
    </x:row>
    <x:row r="282">
      <x:c r="A282" s="191" t="str">
        <x:v>CTA-LMFT-MQB-0281</x:v>
      </x:c>
      <x:c r="B282" s="192" t="str">
        <x:v>LMFT-MQB-FA-DI-017</x:v>
      </x:c>
      <x:c r="C282" s="192" t="str">
        <x:v>LMFT</x:v>
      </x:c>
      <x:c r="D282" s="192" t="str">
        <x:v>Comprehensive Simulation</x:v>
      </x:c>
      <x:c r="E282" s="192"/>
      <x:c r="F282" s="192"/>
      <x:c r="G282" s="192" t="str">
        <x:v>Form A</x:v>
      </x:c>
      <x:c r="H282" s="192" t="n">
        <x:v>77</x:v>
      </x:c>
      <x:c r="I282" s="192" t="str">
        <x:v>Scored-Style</x:v>
      </x:c>
      <x:c r="J282" s="192" t="str">
        <x:v>2. Developing a Diagnostic Impression</x:v>
      </x:c>
      <x:c r="K282" s="192" t="str">
        <x:v>Diagnostic uncertainty with safety risk</x:v>
      </x:c>
      <x:c r="L282" s="192" t="str"/>
      <x:c r="M282" s="192" t="str">
        <x:v>Difficult</x:v>
      </x:c>
      <x:c r="N282" s="192" t="str">
        <x:v>Difficult</x:v>
      </x:c>
      <x:c r="O282" s="192" t="str">
        <x:v>Integrated reasoning</x:v>
      </x:c>
      <x:c r="P282" s="192" t="str">
        <x:v>Integrated Clinical Reasoning</x:v>
      </x:c>
      <x:c r="Q282" s="192" t="n">
        <x:v>4</x:v>
      </x:c>
      <x:c r="R282" s="192" t="str">
        <x:v>C</x:v>
      </x:c>
      <x:c r="S282" s="192" t="str">
        <x:v>Approved</x:v>
      </x:c>
      <x:c r="T282" s="192" t="str">
        <x:v>Active</x:v>
      </x:c>
      <x:c r="U282" s="192" t="n">
        <x:v>1</x:v>
      </x:c>
      <x:c r="V282" s="192" t="str">
        <x:v>LMFT-ALT-092</x:v>
      </x:c>
      <x:c r="W282" s="192" t="str">
        <x:v>No additional flag</x:v>
      </x:c>
      <x:c r="X282" s="192" t="str">
        <x:v>No structural flag</x:v>
      </x:c>
      <x:c r="Y282" s="192" t="str">
        <x:v>Not Yet Reviewed</x:v>
      </x:c>
      <x:c r="Z282" s="192" t="str">
        <x:v>CTA LMFT WB5; CTA LMFT WB6; Pearson VUE LMFT Outline Area 2</x:v>
      </x:c>
      <x:c r="AA282" s="192" t="str">
        <x:v>CTA_LMFT_Comprehensive_Simulation_Form_A_Answer_Key_and_Detailed_Rationales_v1.0.docx</x:v>
      </x:c>
      <x:c r="AB282" s="192" t="str">
        <x:v>1.0</x:v>
      </x:c>
      <x:c r="AC282" s="193"/>
      <x:c r="AD282" s="193" t="n">
        <x:v>46228</x:v>
      </x:c>
      <x:c r="AE282" s="192" t="str">
        <x:v>Approved for Form A</x:v>
      </x:c>
      <x:c r="AF282" s="194" t="str">
        <x:v>Form A only; paired alternate retained on the other comprehensive form</x:v>
      </x:c>
    </x:row>
    <x:row r="283">
      <x:c r="A283" s="191" t="str">
        <x:v>CTA-LMFT-MQB-0282</x:v>
      </x:c>
      <x:c r="B283" s="192" t="str">
        <x:v>LMFT-MQB-FA-DI-004</x:v>
      </x:c>
      <x:c r="C283" s="192" t="str">
        <x:v>LMFT</x:v>
      </x:c>
      <x:c r="D283" s="192" t="str">
        <x:v>Comprehensive Simulation</x:v>
      </x:c>
      <x:c r="E283" s="192"/>
      <x:c r="F283" s="192"/>
      <x:c r="G283" s="192" t="str">
        <x:v>Form A</x:v>
      </x:c>
      <x:c r="H283" s="192" t="n">
        <x:v>78</x:v>
      </x:c>
      <x:c r="I283" s="192" t="str">
        <x:v>Scored-Style</x:v>
      </x:c>
      <x:c r="J283" s="192" t="str">
        <x:v>2. Developing a Diagnostic Impression</x:v>
      </x:c>
      <x:c r="K283" s="192" t="str">
        <x:v>Chronology in diagnosis</x:v>
      </x:c>
      <x:c r="L283" s="192" t="str"/>
      <x:c r="M283" s="192" t="str">
        <x:v>Moderate</x:v>
      </x:c>
      <x:c r="N283" s="192" t="str">
        <x:v>Moderate</x:v>
      </x:c>
      <x:c r="O283" s="192" t="str">
        <x:v>Direct recognition</x:v>
      </x:c>
      <x:c r="P283" s="192" t="str">
        <x:v>Knowledge &amp; Recall</x:v>
      </x:c>
      <x:c r="Q283" s="192" t="n">
        <x:v>4</x:v>
      </x:c>
      <x:c r="R283" s="192" t="str">
        <x:v>D</x:v>
      </x:c>
      <x:c r="S283" s="192" t="str">
        <x:v>Approved</x:v>
      </x:c>
      <x:c r="T283" s="192" t="str">
        <x:v>Active</x:v>
      </x:c>
      <x:c r="U283" s="192" t="n">
        <x:v>1</x:v>
      </x:c>
      <x:c r="V283" s="192" t="str">
        <x:v>LMFT-ALT-079</x:v>
      </x:c>
      <x:c r="W283" s="192" t="str">
        <x:v>No additional flag</x:v>
      </x:c>
      <x:c r="X283" s="192" t="str">
        <x:v>No structural flag</x:v>
      </x:c>
      <x:c r="Y283" s="192" t="str">
        <x:v>Not Yet Reviewed</x:v>
      </x:c>
      <x:c r="Z283" s="192" t="str">
        <x:v>CTA LMFT WB5; Pearson VUE LMFT Outline Area 2</x:v>
      </x:c>
      <x:c r="AA283" s="192" t="str">
        <x:v>CTA_LMFT_Comprehensive_Simulation_Form_A_Answer_Key_and_Detailed_Rationales_v1.0.docx</x:v>
      </x:c>
      <x:c r="AB283" s="192" t="str">
        <x:v>1.0</x:v>
      </x:c>
      <x:c r="AC283" s="193"/>
      <x:c r="AD283" s="193" t="n">
        <x:v>46228</x:v>
      </x:c>
      <x:c r="AE283" s="192" t="str">
        <x:v>Approved for Form A</x:v>
      </x:c>
      <x:c r="AF283" s="194" t="str">
        <x:v>Form A only; paired alternate retained on the other comprehensive form</x:v>
      </x:c>
    </x:row>
    <x:row r="284">
      <x:c r="A284" s="191" t="str">
        <x:v>CTA-LMFT-MQB-0283</x:v>
      </x:c>
      <x:c r="B284" s="192" t="str">
        <x:v>LMFT-MQB-FA-TX-002</x:v>
      </x:c>
      <x:c r="C284" s="192" t="str">
        <x:v>LMFT</x:v>
      </x:c>
      <x:c r="D284" s="192" t="str">
        <x:v>Comprehensive Simulation</x:v>
      </x:c>
      <x:c r="E284" s="192"/>
      <x:c r="F284" s="192"/>
      <x:c r="G284" s="192" t="str">
        <x:v>Form A</x:v>
      </x:c>
      <x:c r="H284" s="192" t="n">
        <x:v>79</x:v>
      </x:c>
      <x:c r="I284" s="192" t="str">
        <x:v>Scored-Style</x:v>
      </x:c>
      <x:c r="J284" s="192" t="str">
        <x:v>5. Treatment</x:v>
      </x:c>
      <x:c r="K284" s="192" t="str">
        <x:v>Motivational interviewing</x:v>
      </x:c>
      <x:c r="L284" s="192" t="str"/>
      <x:c r="M284" s="192" t="str">
        <x:v>Easy</x:v>
      </x:c>
      <x:c r="N284" s="192" t="str">
        <x:v>Easy</x:v>
      </x:c>
      <x:c r="O284" s="192" t="str">
        <x:v>Direct recognition</x:v>
      </x:c>
      <x:c r="P284" s="192" t="str">
        <x:v>Knowledge &amp; Recall</x:v>
      </x:c>
      <x:c r="Q284" s="192" t="n">
        <x:v>4</x:v>
      </x:c>
      <x:c r="R284" s="192" t="str">
        <x:v>C</x:v>
      </x:c>
      <x:c r="S284" s="192" t="str">
        <x:v>Approved</x:v>
      </x:c>
      <x:c r="T284" s="192" t="str">
        <x:v>Active</x:v>
      </x:c>
      <x:c r="U284" s="192" t="n">
        <x:v>1</x:v>
      </x:c>
      <x:c r="V284" s="192" t="str">
        <x:v>LMFT-ALT-109</x:v>
      </x:c>
      <x:c r="W284" s="192" t="str">
        <x:v>No additional flag</x:v>
      </x:c>
      <x:c r="X284" s="192" t="str">
        <x:v>No structural flag</x:v>
      </x:c>
      <x:c r="Y284" s="192" t="str">
        <x:v>Not Yet Reviewed</x:v>
      </x:c>
      <x:c r="Z284" s="192" t="str">
        <x:v>CTA LMFT WB9; Pearson VUE LMFT Outline Area 5</x:v>
      </x:c>
      <x:c r="AA284" s="192" t="str">
        <x:v>CTA_LMFT_Comprehensive_Simulation_Form_A_Answer_Key_and_Detailed_Rationales_v1.0.docx</x:v>
      </x:c>
      <x:c r="AB284" s="192" t="str">
        <x:v>1.0</x:v>
      </x:c>
      <x:c r="AC284" s="193"/>
      <x:c r="AD284" s="193" t="n">
        <x:v>46228</x:v>
      </x:c>
      <x:c r="AE284" s="192" t="str">
        <x:v>Approved for Form A</x:v>
      </x:c>
      <x:c r="AF284" s="194" t="str">
        <x:v>Form A only; paired alternate retained on the other comprehensive form</x:v>
      </x:c>
    </x:row>
    <x:row r="285">
      <x:c r="A285" s="191" t="str">
        <x:v>CTA-LMFT-MQB-0284</x:v>
      </x:c>
      <x:c r="B285" s="192" t="str">
        <x:v>LMFT-MQB-FA-CE-035</x:v>
      </x:c>
      <x:c r="C285" s="192" t="str">
        <x:v>LMFT</x:v>
      </x:c>
      <x:c r="D285" s="192" t="str">
        <x:v>Comprehensive Simulation</x:v>
      </x:c>
      <x:c r="E285" s="192"/>
      <x:c r="F285" s="192"/>
      <x:c r="G285" s="192" t="str">
        <x:v>Form A</x:v>
      </x:c>
      <x:c r="H285" s="192" t="n">
        <x:v>80</x:v>
      </x:c>
      <x:c r="I285" s="192" t="str">
        <x:v>Scored-Style</x:v>
      </x:c>
      <x:c r="J285" s="192" t="str">
        <x:v>1. Clinical Evaluation</x:v>
      </x:c>
      <x:c r="K285" s="192" t="str">
        <x:v>Family violence and child functioning</x:v>
      </x:c>
      <x:c r="L285" s="192" t="str"/>
      <x:c r="M285" s="192" t="str">
        <x:v>Difficult</x:v>
      </x:c>
      <x:c r="N285" s="192" t="str">
        <x:v>Difficult</x:v>
      </x:c>
      <x:c r="O285" s="192" t="str">
        <x:v>Scenario-based sequencing</x:v>
      </x:c>
      <x:c r="P285" s="192" t="str">
        <x:v>Scenario-Based</x:v>
      </x:c>
      <x:c r="Q285" s="192" t="n">
        <x:v>4</x:v>
      </x:c>
      <x:c r="R285" s="192" t="str">
        <x:v>C</x:v>
      </x:c>
      <x:c r="S285" s="192" t="str">
        <x:v>Approved</x:v>
      </x:c>
      <x:c r="T285" s="192" t="str">
        <x:v>Active</x:v>
      </x:c>
      <x:c r="U285" s="192" t="n">
        <x:v>1</x:v>
      </x:c>
      <x:c r="V285" s="192" t="str">
        <x:v>LMFT-ALT-035</x:v>
      </x:c>
      <x:c r="W285" s="192" t="str">
        <x:v>No additional flag</x:v>
      </x:c>
      <x:c r="X285" s="192" t="str">
        <x:v>No structural flag</x:v>
      </x:c>
      <x:c r="Y285" s="192" t="str">
        <x:v>Not Yet Reviewed</x:v>
      </x:c>
      <x:c r="Z285" s="192" t="str">
        <x:v>CTA LMFT WB4; CTA LMFT WB6; Pearson VUE LMFT Outline Area 1</x:v>
      </x:c>
      <x:c r="AA285" s="192" t="str">
        <x:v>CTA_LMFT_Comprehensive_Simulation_Form_A_Answer_Key_and_Detailed_Rationales_v1.0.docx</x:v>
      </x:c>
      <x:c r="AB285" s="192" t="str">
        <x:v>1.0</x:v>
      </x:c>
      <x:c r="AC285" s="193"/>
      <x:c r="AD285" s="193" t="n">
        <x:v>46228</x:v>
      </x:c>
      <x:c r="AE285" s="192" t="str">
        <x:v>Approved for Form A</x:v>
      </x:c>
      <x:c r="AF285" s="194" t="str">
        <x:v>Form A only; paired alternate retained on the other comprehensive form</x:v>
      </x:c>
    </x:row>
    <x:row r="286">
      <x:c r="A286" s="191" t="str">
        <x:v>CTA-LMFT-MQB-0285</x:v>
      </x:c>
      <x:c r="B286" s="192" t="str">
        <x:v>LMFT-MQB-FA-TX-006</x:v>
      </x:c>
      <x:c r="C286" s="192" t="str">
        <x:v>LMFT</x:v>
      </x:c>
      <x:c r="D286" s="192" t="str">
        <x:v>Comprehensive Simulation</x:v>
      </x:c>
      <x:c r="E286" s="192"/>
      <x:c r="F286" s="192"/>
      <x:c r="G286" s="192" t="str">
        <x:v>Form A</x:v>
      </x:c>
      <x:c r="H286" s="192" t="n">
        <x:v>81</x:v>
      </x:c>
      <x:c r="I286" s="192" t="str">
        <x:v>Scored-Style</x:v>
      </x:c>
      <x:c r="J286" s="192" t="str">
        <x:v>5. Treatment</x:v>
      </x:c>
      <x:c r="K286" s="192" t="str">
        <x:v>Behavioral activation</x:v>
      </x:c>
      <x:c r="L286" s="192" t="str"/>
      <x:c r="M286" s="192" t="str">
        <x:v>Easy</x:v>
      </x:c>
      <x:c r="N286" s="192" t="str">
        <x:v>Easy</x:v>
      </x:c>
      <x:c r="O286" s="192" t="str">
        <x:v>Application</x:v>
      </x:c>
      <x:c r="P286" s="192" t="str">
        <x:v>Application</x:v>
      </x:c>
      <x:c r="Q286" s="192" t="n">
        <x:v>4</x:v>
      </x:c>
      <x:c r="R286" s="192" t="str">
        <x:v>D</x:v>
      </x:c>
      <x:c r="S286" s="192" t="str">
        <x:v>Approved</x:v>
      </x:c>
      <x:c r="T286" s="192" t="str">
        <x:v>Active</x:v>
      </x:c>
      <x:c r="U286" s="192" t="n">
        <x:v>1</x:v>
      </x:c>
      <x:c r="V286" s="192" t="str">
        <x:v>LMFT-ALT-113</x:v>
      </x:c>
      <x:c r="W286" s="192" t="str">
        <x:v>No additional flag</x:v>
      </x:c>
      <x:c r="X286" s="192" t="str">
        <x:v>No structural flag</x:v>
      </x:c>
      <x:c r="Y286" s="192" t="str">
        <x:v>Not Yet Reviewed</x:v>
      </x:c>
      <x:c r="Z286" s="192" t="str">
        <x:v>CTA LMFT WB9; Pearson VUE LMFT Outline Area 5</x:v>
      </x:c>
      <x:c r="AA286" s="192" t="str">
        <x:v>CTA_LMFT_Comprehensive_Simulation_Form_A_Answer_Key_and_Detailed_Rationales_v1.0.docx</x:v>
      </x:c>
      <x:c r="AB286" s="192" t="str">
        <x:v>1.0</x:v>
      </x:c>
      <x:c r="AC286" s="193"/>
      <x:c r="AD286" s="193" t="n">
        <x:v>46228</x:v>
      </x:c>
      <x:c r="AE286" s="192" t="str">
        <x:v>Approved for Form A</x:v>
      </x:c>
      <x:c r="AF286" s="194" t="str">
        <x:v>Form A only; paired alternate retained on the other comprehensive form</x:v>
      </x:c>
    </x:row>
    <x:row r="287">
      <x:c r="A287" s="191" t="str">
        <x:v>CTA-LMFT-MQB-0286</x:v>
      </x:c>
      <x:c r="B287" s="192" t="str">
        <x:v>LMFT-MQB-FA-CP-018</x:v>
      </x:c>
      <x:c r="C287" s="192" t="str">
        <x:v>LMFT</x:v>
      </x:c>
      <x:c r="D287" s="192" t="str">
        <x:v>Comprehensive Simulation</x:v>
      </x:c>
      <x:c r="E287" s="192"/>
      <x:c r="F287" s="192"/>
      <x:c r="G287" s="192" t="str">
        <x:v>Form A</x:v>
      </x:c>
      <x:c r="H287" s="192" t="n">
        <x:v>82</x:v>
      </x:c>
      <x:c r="I287" s="192" t="str">
        <x:v>Scored-Style</x:v>
      </x:c>
      <x:c r="J287" s="192" t="str">
        <x:v>4. Case Conceptualization and Planning</x:v>
      </x:c>
      <x:c r="K287" s="192" t="str">
        <x:v>Planning with trauma and coercion</x:v>
      </x:c>
      <x:c r="L287" s="192" t="str"/>
      <x:c r="M287" s="192" t="str">
        <x:v>Difficult</x:v>
      </x:c>
      <x:c r="N287" s="192" t="str">
        <x:v>Difficult</x:v>
      </x:c>
      <x:c r="O287" s="192" t="str">
        <x:v>Integrated reasoning</x:v>
      </x:c>
      <x:c r="P287" s="192" t="str">
        <x:v>Integrated Clinical Reasoning</x:v>
      </x:c>
      <x:c r="Q287" s="192" t="n">
        <x:v>4</x:v>
      </x:c>
      <x:c r="R287" s="192" t="str">
        <x:v>B</x:v>
      </x:c>
      <x:c r="S287" s="192" t="str">
        <x:v>Approved</x:v>
      </x:c>
      <x:c r="T287" s="192" t="str">
        <x:v>Active</x:v>
      </x:c>
      <x:c r="U287" s="192" t="n">
        <x:v>1</x:v>
      </x:c>
      <x:c r="V287" s="192" t="str">
        <x:v>LMFT-ALT-059</x:v>
      </x:c>
      <x:c r="W287" s="192" t="str">
        <x:v>No additional flag</x:v>
      </x:c>
      <x:c r="X287" s="192" t="str">
        <x:v>No structural flag</x:v>
      </x:c>
      <x:c r="Y287" s="192" t="str">
        <x:v>Not Yet Reviewed</x:v>
      </x:c>
      <x:c r="Z287" s="192" t="str">
        <x:v>CTA LMFT WB6; CTA LMFT WB7; CTA LMFT WB8; Pearson VUE LMFT Outline Area 4</x:v>
      </x:c>
      <x:c r="AA287" s="192" t="str">
        <x:v>CTA_LMFT_Comprehensive_Simulation_Form_A_Answer_Key_and_Detailed_Rationales_v1.0.docx</x:v>
      </x:c>
      <x:c r="AB287" s="192" t="str">
        <x:v>1.0</x:v>
      </x:c>
      <x:c r="AC287" s="193"/>
      <x:c r="AD287" s="193" t="n">
        <x:v>46228</x:v>
      </x:c>
      <x:c r="AE287" s="192" t="str">
        <x:v>Approved for Form A</x:v>
      </x:c>
      <x:c r="AF287" s="194" t="str">
        <x:v>Form A only; paired alternate retained on the other comprehensive form</x:v>
      </x:c>
    </x:row>
    <x:row r="288">
      <x:c r="A288" s="191" t="str">
        <x:v>CTA-LMFT-MQB-0287</x:v>
      </x:c>
      <x:c r="B288" s="192" t="str">
        <x:v>LMFT-MQB-FA-CE-004</x:v>
      </x:c>
      <x:c r="C288" s="192" t="str">
        <x:v>LMFT</x:v>
      </x:c>
      <x:c r="D288" s="192" t="str">
        <x:v>Comprehensive Simulation</x:v>
      </x:c>
      <x:c r="E288" s="192"/>
      <x:c r="F288" s="192"/>
      <x:c r="G288" s="192" t="str">
        <x:v>Form A</x:v>
      </x:c>
      <x:c r="H288" s="192" t="n">
        <x:v>83</x:v>
      </x:c>
      <x:c r="I288" s="192" t="str">
        <x:v>Pretest-Style</x:v>
      </x:c>
      <x:c r="J288" s="192" t="str">
        <x:v>1. Clinical Evaluation</x:v>
      </x:c>
      <x:c r="K288" s="192" t="str">
        <x:v>Baseline functioning</x:v>
      </x:c>
      <x:c r="L288" s="192" t="str"/>
      <x:c r="M288" s="192" t="str">
        <x:v>Moderate</x:v>
      </x:c>
      <x:c r="N288" s="192" t="str">
        <x:v>Moderate</x:v>
      </x:c>
      <x:c r="O288" s="192" t="str">
        <x:v>Direct recognition</x:v>
      </x:c>
      <x:c r="P288" s="192" t="str">
        <x:v>Knowledge &amp; Recall</x:v>
      </x:c>
      <x:c r="Q288" s="192" t="n">
        <x:v>4</x:v>
      </x:c>
      <x:c r="R288" s="192" t="str">
        <x:v>C</x:v>
      </x:c>
      <x:c r="S288" s="192" t="str">
        <x:v>Approved</x:v>
      </x:c>
      <x:c r="T288" s="192" t="str">
        <x:v>Active</x:v>
      </x:c>
      <x:c r="U288" s="192" t="n">
        <x:v>1</x:v>
      </x:c>
      <x:c r="V288" s="192" t="str">
        <x:v>LMFT-ALT-004</x:v>
      </x:c>
      <x:c r="W288" s="192" t="str">
        <x:v>No additional flag</x:v>
      </x:c>
      <x:c r="X288" s="192" t="str">
        <x:v>No structural flag</x:v>
      </x:c>
      <x:c r="Y288" s="192" t="str">
        <x:v>Not Yet Reviewed</x:v>
      </x:c>
      <x:c r="Z288" s="192" t="str">
        <x:v>CTA LMFT WB2; Pearson VUE LMFT Outline Area 1</x:v>
      </x:c>
      <x:c r="AA288" s="192" t="str">
        <x:v>CTA_LMFT_Comprehensive_Simulation_Form_A_Answer_Key_and_Detailed_Rationales_v1.0.docx</x:v>
      </x:c>
      <x:c r="AB288" s="192" t="str">
        <x:v>1.0</x:v>
      </x:c>
      <x:c r="AC288" s="193"/>
      <x:c r="AD288" s="193" t="n">
        <x:v>46228</x:v>
      </x:c>
      <x:c r="AE288" s="192" t="str">
        <x:v>Approved for Form A</x:v>
      </x:c>
      <x:c r="AF288" s="194" t="str">
        <x:v>Form A only; paired alternate retained on the other comprehensive form</x:v>
      </x:c>
    </x:row>
    <x:row r="289">
      <x:c r="A289" s="191" t="str">
        <x:v>CTA-LMFT-MQB-0288</x:v>
      </x:c>
      <x:c r="B289" s="192" t="str">
        <x:v>LMFT-MQB-FA-TX-025</x:v>
      </x:c>
      <x:c r="C289" s="192" t="str">
        <x:v>LMFT</x:v>
      </x:c>
      <x:c r="D289" s="192" t="str">
        <x:v>Comprehensive Simulation</x:v>
      </x:c>
      <x:c r="E289" s="192"/>
      <x:c r="F289" s="192"/>
      <x:c r="G289" s="192" t="str">
        <x:v>Form A</x:v>
      </x:c>
      <x:c r="H289" s="192" t="n">
        <x:v>84</x:v>
      </x:c>
      <x:c r="I289" s="192" t="str">
        <x:v>Pretest-Style</x:v>
      </x:c>
      <x:c r="J289" s="192" t="str">
        <x:v>5. Treatment</x:v>
      </x:c>
      <x:c r="K289" s="192" t="str">
        <x:v>Early trauma stabilization</x:v>
      </x:c>
      <x:c r="L289" s="192" t="str"/>
      <x:c r="M289" s="192" t="str">
        <x:v>Moderate</x:v>
      </x:c>
      <x:c r="N289" s="192" t="str">
        <x:v>Moderate</x:v>
      </x:c>
      <x:c r="O289" s="192" t="str">
        <x:v>Scenario-based sequencing</x:v>
      </x:c>
      <x:c r="P289" s="192" t="str">
        <x:v>Scenario-Based</x:v>
      </x:c>
      <x:c r="Q289" s="192" t="n">
        <x:v>4</x:v>
      </x:c>
      <x:c r="R289" s="192" t="str">
        <x:v>B</x:v>
      </x:c>
      <x:c r="S289" s="192" t="str">
        <x:v>Approved</x:v>
      </x:c>
      <x:c r="T289" s="192" t="str">
        <x:v>Active</x:v>
      </x:c>
      <x:c r="U289" s="192" t="n">
        <x:v>1</x:v>
      </x:c>
      <x:c r="V289" s="192" t="str">
        <x:v>LMFT-ALT-132</x:v>
      </x:c>
      <x:c r="W289" s="192" t="str">
        <x:v>No additional flag</x:v>
      </x:c>
      <x:c r="X289" s="192" t="str">
        <x:v>No structural flag</x:v>
      </x:c>
      <x:c r="Y289" s="192" t="str">
        <x:v>Not Yet Reviewed</x:v>
      </x:c>
      <x:c r="Z289" s="192" t="str">
        <x:v>CTA LMFT WB9; Pearson VUE LMFT Outline Area 5</x:v>
      </x:c>
      <x:c r="AA289" s="192" t="str">
        <x:v>CTA_LMFT_Comprehensive_Simulation_Form_A_Answer_Key_and_Detailed_Rationales_v1.0.docx</x:v>
      </x:c>
      <x:c r="AB289" s="192" t="str">
        <x:v>1.0</x:v>
      </x:c>
      <x:c r="AC289" s="193"/>
      <x:c r="AD289" s="193" t="n">
        <x:v>46228</x:v>
      </x:c>
      <x:c r="AE289" s="192" t="str">
        <x:v>Approved for Form A</x:v>
      </x:c>
      <x:c r="AF289" s="194" t="str">
        <x:v>Form A only; paired alternate retained on the other comprehensive form</x:v>
      </x:c>
    </x:row>
    <x:row r="290">
      <x:c r="A290" s="191" t="str">
        <x:v>CTA-LMFT-MQB-0289</x:v>
      </x:c>
      <x:c r="B290" s="192" t="str">
        <x:v>LMFT-MQB-FA-DI-015</x:v>
      </x:c>
      <x:c r="C290" s="192" t="str">
        <x:v>LMFT</x:v>
      </x:c>
      <x:c r="D290" s="192" t="str">
        <x:v>Comprehensive Simulation</x:v>
      </x:c>
      <x:c r="E290" s="192"/>
      <x:c r="F290" s="192"/>
      <x:c r="G290" s="192" t="str">
        <x:v>Form A</x:v>
      </x:c>
      <x:c r="H290" s="192" t="n">
        <x:v>85</x:v>
      </x:c>
      <x:c r="I290" s="192" t="str">
        <x:v>Scored-Style</x:v>
      </x:c>
      <x:c r="J290" s="192" t="str">
        <x:v>2. Developing a Diagnostic Impression</x:v>
      </x:c>
      <x:c r="K290" s="192" t="str">
        <x:v>Multiple overlapping syndromes</x:v>
      </x:c>
      <x:c r="L290" s="192" t="str"/>
      <x:c r="M290" s="192" t="str">
        <x:v>Difficult</x:v>
      </x:c>
      <x:c r="N290" s="192" t="str">
        <x:v>Difficult</x:v>
      </x:c>
      <x:c r="O290" s="192" t="str">
        <x:v>Scenario-based sequencing</x:v>
      </x:c>
      <x:c r="P290" s="192" t="str">
        <x:v>Scenario-Based</x:v>
      </x:c>
      <x:c r="Q290" s="192" t="n">
        <x:v>4</x:v>
      </x:c>
      <x:c r="R290" s="192" t="str">
        <x:v>A</x:v>
      </x:c>
      <x:c r="S290" s="192" t="str">
        <x:v>Approved</x:v>
      </x:c>
      <x:c r="T290" s="192" t="str">
        <x:v>Active</x:v>
      </x:c>
      <x:c r="U290" s="192" t="n">
        <x:v>1</x:v>
      </x:c>
      <x:c r="V290" s="192" t="str">
        <x:v>LMFT-ALT-090</x:v>
      </x:c>
      <x:c r="W290" s="192" t="str">
        <x:v>No additional flag</x:v>
      </x:c>
      <x:c r="X290" s="192" t="str">
        <x:v>No structural flag</x:v>
      </x:c>
      <x:c r="Y290" s="192" t="str">
        <x:v>Not Yet Reviewed</x:v>
      </x:c>
      <x:c r="Z290" s="192" t="str">
        <x:v>CTA LMFT WB5; Pearson VUE LMFT Outline Area 2</x:v>
      </x:c>
      <x:c r="AA290" s="192" t="str">
        <x:v>CTA_LMFT_Comprehensive_Simulation_Form_A_Answer_Key_and_Detailed_Rationales_v1.0.docx</x:v>
      </x:c>
      <x:c r="AB290" s="192" t="str">
        <x:v>1.0</x:v>
      </x:c>
      <x:c r="AC290" s="193"/>
      <x:c r="AD290" s="193" t="n">
        <x:v>46228</x:v>
      </x:c>
      <x:c r="AE290" s="192" t="str">
        <x:v>Approved for Form A</x:v>
      </x:c>
      <x:c r="AF290" s="194" t="str">
        <x:v>Form A only; paired alternate retained on the other comprehensive form</x:v>
      </x:c>
    </x:row>
    <x:row r="291">
      <x:c r="A291" s="191" t="str">
        <x:v>CTA-LMFT-MQB-0290</x:v>
      </x:c>
      <x:c r="B291" s="192" t="str">
        <x:v>LMFT-MQB-FA-CP-014</x:v>
      </x:c>
      <x:c r="C291" s="192" t="str">
        <x:v>LMFT</x:v>
      </x:c>
      <x:c r="D291" s="192" t="str">
        <x:v>Comprehensive Simulation</x:v>
      </x:c>
      <x:c r="E291" s="192"/>
      <x:c r="F291" s="192"/>
      <x:c r="G291" s="192" t="str">
        <x:v>Form A</x:v>
      </x:c>
      <x:c r="H291" s="192" t="n">
        <x:v>86</x:v>
      </x:c>
      <x:c r="I291" s="192" t="str">
        <x:v>Scored-Style</x:v>
      </x:c>
      <x:c r="J291" s="192" t="str">
        <x:v>4. Case Conceptualization and Planning</x:v>
      </x:c>
      <x:c r="K291" s="192" t="str">
        <x:v>Group planning and fit</x:v>
      </x:c>
      <x:c r="L291" s="192" t="str"/>
      <x:c r="M291" s="192" t="str">
        <x:v>Moderate</x:v>
      </x:c>
      <x:c r="N291" s="192" t="str">
        <x:v>Moderate</x:v>
      </x:c>
      <x:c r="O291" s="192" t="str">
        <x:v>Scenario-based sequencing</x:v>
      </x:c>
      <x:c r="P291" s="192" t="str">
        <x:v>Scenario-Based</x:v>
      </x:c>
      <x:c r="Q291" s="192" t="n">
        <x:v>4</x:v>
      </x:c>
      <x:c r="R291" s="192" t="str">
        <x:v>A</x:v>
      </x:c>
      <x:c r="S291" s="192" t="str">
        <x:v>Approved</x:v>
      </x:c>
      <x:c r="T291" s="192" t="str">
        <x:v>Active</x:v>
      </x:c>
      <x:c r="U291" s="192" t="n">
        <x:v>1</x:v>
      </x:c>
      <x:c r="V291" s="192" t="str">
        <x:v>LMFT-ALT-055</x:v>
      </x:c>
      <x:c r="W291" s="192" t="str">
        <x:v>No additional flag</x:v>
      </x:c>
      <x:c r="X291" s="192" t="str">
        <x:v>No structural flag</x:v>
      </x:c>
      <x:c r="Y291" s="192" t="str">
        <x:v>Not Yet Reviewed</x:v>
      </x:c>
      <x:c r="Z291" s="192" t="str">
        <x:v>CTA LMFT WB8; CTA LMFT WB11; Pearson VUE LMFT Outline Area 4</x:v>
      </x:c>
      <x:c r="AA291" s="192" t="str">
        <x:v>CTA_LMFT_Comprehensive_Simulation_Form_A_Answer_Key_and_Detailed_Rationales_v1.0.docx</x:v>
      </x:c>
      <x:c r="AB291" s="192" t="str">
        <x:v>1.0</x:v>
      </x:c>
      <x:c r="AC291" s="193"/>
      <x:c r="AD291" s="193" t="n">
        <x:v>46228</x:v>
      </x:c>
      <x:c r="AE291" s="192" t="str">
        <x:v>Approved for Form A</x:v>
      </x:c>
      <x:c r="AF291" s="194" t="str">
        <x:v>Form A only; paired alternate retained on the other comprehensive form</x:v>
      </x:c>
    </x:row>
    <x:row r="292">
      <x:c r="A292" s="191" t="str">
        <x:v>CTA-LMFT-MQB-0291</x:v>
      </x:c>
      <x:c r="B292" s="192" t="str">
        <x:v>LMFT-MQB-FA-CP-005</x:v>
      </x:c>
      <x:c r="C292" s="192" t="str">
        <x:v>LMFT</x:v>
      </x:c>
      <x:c r="D292" s="192" t="str">
        <x:v>Comprehensive Simulation</x:v>
      </x:c>
      <x:c r="E292" s="192"/>
      <x:c r="F292" s="192"/>
      <x:c r="G292" s="192" t="str">
        <x:v>Form A</x:v>
      </x:c>
      <x:c r="H292" s="192" t="n">
        <x:v>87</x:v>
      </x:c>
      <x:c r="I292" s="192" t="str">
        <x:v>Scored-Style</x:v>
      </x:c>
      <x:c r="J292" s="192" t="str">
        <x:v>4. Case Conceptualization and Planning</x:v>
      </x:c>
      <x:c r="K292" s="192" t="str">
        <x:v>Modality selection</x:v>
      </x:c>
      <x:c r="L292" s="192" t="str"/>
      <x:c r="M292" s="192" t="str">
        <x:v>Moderate</x:v>
      </x:c>
      <x:c r="N292" s="192" t="str">
        <x:v>Moderate</x:v>
      </x:c>
      <x:c r="O292" s="192" t="str">
        <x:v>Application</x:v>
      </x:c>
      <x:c r="P292" s="192" t="str">
        <x:v>Application</x:v>
      </x:c>
      <x:c r="Q292" s="192" t="n">
        <x:v>4</x:v>
      </x:c>
      <x:c r="R292" s="192" t="str">
        <x:v>D</x:v>
      </x:c>
      <x:c r="S292" s="192" t="str">
        <x:v>Approved</x:v>
      </x:c>
      <x:c r="T292" s="192" t="str">
        <x:v>Active</x:v>
      </x:c>
      <x:c r="U292" s="192" t="n">
        <x:v>1</x:v>
      </x:c>
      <x:c r="V292" s="192" t="str">
        <x:v>LMFT-ALT-046</x:v>
      </x:c>
      <x:c r="W292" s="192" t="str">
        <x:v>No additional flag</x:v>
      </x:c>
      <x:c r="X292" s="192" t="str">
        <x:v>No structural flag</x:v>
      </x:c>
      <x:c r="Y292" s="192" t="str">
        <x:v>Not Yet Reviewed</x:v>
      </x:c>
      <x:c r="Z292" s="192" t="str">
        <x:v>CTA LMFT WB7; CTA LMFT WB8; Pearson VUE LMFT Outline Area 4</x:v>
      </x:c>
      <x:c r="AA292" s="192" t="str">
        <x:v>CTA_LMFT_Comprehensive_Simulation_Form_A_Answer_Key_and_Detailed_Rationales_v1.0.docx</x:v>
      </x:c>
      <x:c r="AB292" s="192" t="str">
        <x:v>1.0</x:v>
      </x:c>
      <x:c r="AC292" s="193"/>
      <x:c r="AD292" s="193" t="n">
        <x:v>46228</x:v>
      </x:c>
      <x:c r="AE292" s="192" t="str">
        <x:v>Approved for Form A</x:v>
      </x:c>
      <x:c r="AF292" s="194" t="str">
        <x:v>Form A only; paired alternate retained on the other comprehensive form</x:v>
      </x:c>
    </x:row>
    <x:row r="293">
      <x:c r="A293" s="191" t="str">
        <x:v>CTA-LMFT-MQB-0292</x:v>
      </x:c>
      <x:c r="B293" s="192" t="str">
        <x:v>LMFT-MQB-FA-CE-018</x:v>
      </x:c>
      <x:c r="C293" s="192" t="str">
        <x:v>LMFT</x:v>
      </x:c>
      <x:c r="D293" s="192" t="str">
        <x:v>Comprehensive Simulation</x:v>
      </x:c>
      <x:c r="E293" s="192"/>
      <x:c r="F293" s="192"/>
      <x:c r="G293" s="192" t="str">
        <x:v>Form A</x:v>
      </x:c>
      <x:c r="H293" s="192" t="n">
        <x:v>88</x:v>
      </x:c>
      <x:c r="I293" s="192" t="str">
        <x:v>Scored-Style</x:v>
      </x:c>
      <x:c r="J293" s="192" t="str">
        <x:v>1. Clinical Evaluation</x:v>
      </x:c>
      <x:c r="K293" s="192" t="str">
        <x:v>Consultation threshold</x:v>
      </x:c>
      <x:c r="L293" s="192" t="str"/>
      <x:c r="M293" s="192" t="str">
        <x:v>Moderate</x:v>
      </x:c>
      <x:c r="N293" s="192" t="str">
        <x:v>Moderate</x:v>
      </x:c>
      <x:c r="O293" s="192" t="str">
        <x:v>Application</x:v>
      </x:c>
      <x:c r="P293" s="192" t="str">
        <x:v>Application</x:v>
      </x:c>
      <x:c r="Q293" s="192" t="n">
        <x:v>4</x:v>
      </x:c>
      <x:c r="R293" s="192" t="str">
        <x:v>B</x:v>
      </x:c>
      <x:c r="S293" s="192" t="str">
        <x:v>Approved</x:v>
      </x:c>
      <x:c r="T293" s="192" t="str">
        <x:v>Active</x:v>
      </x:c>
      <x:c r="U293" s="192" t="n">
        <x:v>1</x:v>
      </x:c>
      <x:c r="V293" s="192" t="str">
        <x:v>LMFT-ALT-018</x:v>
      </x:c>
      <x:c r="W293" s="192" t="str">
        <x:v>No additional flag</x:v>
      </x:c>
      <x:c r="X293" s="192" t="str">
        <x:v>No structural flag</x:v>
      </x:c>
      <x:c r="Y293" s="192" t="str">
        <x:v>Not Yet Reviewed</x:v>
      </x:c>
      <x:c r="Z293" s="192" t="str">
        <x:v>CTA LMFT WB4; CTA LMFT WB12; Pearson VUE LMFT Outline Area 1</x:v>
      </x:c>
      <x:c r="AA293" s="192" t="str">
        <x:v>CTA_LMFT_Comprehensive_Simulation_Form_A_Answer_Key_and_Detailed_Rationales_v1.0.docx</x:v>
      </x:c>
      <x:c r="AB293" s="192" t="str">
        <x:v>1.0</x:v>
      </x:c>
      <x:c r="AC293" s="193"/>
      <x:c r="AD293" s="193" t="n">
        <x:v>46228</x:v>
      </x:c>
      <x:c r="AE293" s="192" t="str">
        <x:v>Approved for Form A</x:v>
      </x:c>
      <x:c r="AF293" s="194" t="str">
        <x:v>Form A only; paired alternate retained on the other comprehensive form</x:v>
      </x:c>
    </x:row>
    <x:row r="294">
      <x:c r="A294" s="191" t="str">
        <x:v>CTA-LMFT-MQB-0293</x:v>
      </x:c>
      <x:c r="B294" s="192" t="str">
        <x:v>LMFT-MQB-FA-TX-023</x:v>
      </x:c>
      <x:c r="C294" s="192" t="str">
        <x:v>LMFT</x:v>
      </x:c>
      <x:c r="D294" s="192" t="str">
        <x:v>Comprehensive Simulation</x:v>
      </x:c>
      <x:c r="E294" s="192"/>
      <x:c r="F294" s="192"/>
      <x:c r="G294" s="192" t="str">
        <x:v>Form A</x:v>
      </x:c>
      <x:c r="H294" s="192" t="n">
        <x:v>89</x:v>
      </x:c>
      <x:c r="I294" s="192" t="str">
        <x:v>Pretest-Style</x:v>
      </x:c>
      <x:c r="J294" s="192" t="str">
        <x:v>5. Treatment</x:v>
      </x:c>
      <x:c r="K294" s="192" t="str">
        <x:v>Alliance rupture</x:v>
      </x:c>
      <x:c r="L294" s="192" t="str"/>
      <x:c r="M294" s="192" t="str">
        <x:v>Easy</x:v>
      </x:c>
      <x:c r="N294" s="192" t="str">
        <x:v>Easy</x:v>
      </x:c>
      <x:c r="O294" s="192" t="str">
        <x:v>Scenario-based sequencing</x:v>
      </x:c>
      <x:c r="P294" s="192" t="str">
        <x:v>Scenario-Based</x:v>
      </x:c>
      <x:c r="Q294" s="192" t="n">
        <x:v>4</x:v>
      </x:c>
      <x:c r="R294" s="192" t="str">
        <x:v>D</x:v>
      </x:c>
      <x:c r="S294" s="192" t="str">
        <x:v>Approved</x:v>
      </x:c>
      <x:c r="T294" s="192" t="str">
        <x:v>Active</x:v>
      </x:c>
      <x:c r="U294" s="192" t="n">
        <x:v>1</x:v>
      </x:c>
      <x:c r="V294" s="192" t="str">
        <x:v>LMFT-ALT-130</x:v>
      </x:c>
      <x:c r="W294" s="192" t="str">
        <x:v>No additional flag</x:v>
      </x:c>
      <x:c r="X294" s="192" t="str">
        <x:v>No structural flag</x:v>
      </x:c>
      <x:c r="Y294" s="192" t="str">
        <x:v>Not Yet Reviewed</x:v>
      </x:c>
      <x:c r="Z294" s="192" t="str">
        <x:v>CTA LMFT WB2; Pearson VUE LMFT Outline Area 5</x:v>
      </x:c>
      <x:c r="AA294" s="192" t="str">
        <x:v>CTA_LMFT_Comprehensive_Simulation_Form_A_Answer_Key_and_Detailed_Rationales_v1.0.docx</x:v>
      </x:c>
      <x:c r="AB294" s="192" t="str">
        <x:v>1.0</x:v>
      </x:c>
      <x:c r="AC294" s="193"/>
      <x:c r="AD294" s="193" t="n">
        <x:v>46228</x:v>
      </x:c>
      <x:c r="AE294" s="192" t="str">
        <x:v>Approved for Form A</x:v>
      </x:c>
      <x:c r="AF294" s="194" t="str">
        <x:v>Form A only; paired alternate retained on the other comprehensive form</x:v>
      </x:c>
    </x:row>
    <x:row r="295">
      <x:c r="A295" s="191" t="str">
        <x:v>CTA-LMFT-MQB-0294</x:v>
      </x:c>
      <x:c r="B295" s="192" t="str">
        <x:v>LMFT-MQB-FA-CE-033</x:v>
      </x:c>
      <x:c r="C295" s="192" t="str">
        <x:v>LMFT</x:v>
      </x:c>
      <x:c r="D295" s="192" t="str">
        <x:v>Comprehensive Simulation</x:v>
      </x:c>
      <x:c r="E295" s="192"/>
      <x:c r="F295" s="192"/>
      <x:c r="G295" s="192" t="str">
        <x:v>Form A</x:v>
      </x:c>
      <x:c r="H295" s="192" t="n">
        <x:v>90</x:v>
      </x:c>
      <x:c r="I295" s="192" t="str">
        <x:v>Scored-Style</x:v>
      </x:c>
      <x:c r="J295" s="192" t="str">
        <x:v>1. Clinical Evaluation</x:v>
      </x:c>
      <x:c r="K295" s="192" t="str">
        <x:v>Complex family records and alliances</x:v>
      </x:c>
      <x:c r="L295" s="192" t="str"/>
      <x:c r="M295" s="192" t="str">
        <x:v>Difficult</x:v>
      </x:c>
      <x:c r="N295" s="192" t="str">
        <x:v>Difficult</x:v>
      </x:c>
      <x:c r="O295" s="192" t="str">
        <x:v>Scenario-based sequencing</x:v>
      </x:c>
      <x:c r="P295" s="192" t="str">
        <x:v>Scenario-Based</x:v>
      </x:c>
      <x:c r="Q295" s="192" t="n">
        <x:v>4</x:v>
      </x:c>
      <x:c r="R295" s="192" t="str">
        <x:v>B</x:v>
      </x:c>
      <x:c r="S295" s="192" t="str">
        <x:v>Approved</x:v>
      </x:c>
      <x:c r="T295" s="192" t="str">
        <x:v>Active</x:v>
      </x:c>
      <x:c r="U295" s="192" t="n">
        <x:v>1</x:v>
      </x:c>
      <x:c r="V295" s="192" t="str">
        <x:v>LMFT-ALT-033</x:v>
      </x:c>
      <x:c r="W295" s="192" t="str">
        <x:v>No additional flag</x:v>
      </x:c>
      <x:c r="X295" s="192" t="str">
        <x:v>No structural flag</x:v>
      </x:c>
      <x:c r="Y295" s="192" t="str">
        <x:v>Not Yet Reviewed</x:v>
      </x:c>
      <x:c r="Z295" s="192" t="str">
        <x:v>CTA LMFT WB2; CTA LMFT WB12; Pearson VUE LMFT Outline Area 1</x:v>
      </x:c>
      <x:c r="AA295" s="192" t="str">
        <x:v>CTA_LMFT_Comprehensive_Simulation_Form_A_Answer_Key_and_Detailed_Rationales_v1.0.docx</x:v>
      </x:c>
      <x:c r="AB295" s="192" t="str">
        <x:v>1.0</x:v>
      </x:c>
      <x:c r="AC295" s="193"/>
      <x:c r="AD295" s="193" t="n">
        <x:v>46228</x:v>
      </x:c>
      <x:c r="AE295" s="192" t="str">
        <x:v>Approved for Form A</x:v>
      </x:c>
      <x:c r="AF295" s="194" t="str">
        <x:v>Form A only; paired alternate retained on the other comprehensive form</x:v>
      </x:c>
    </x:row>
    <x:row r="296">
      <x:c r="A296" s="191" t="str">
        <x:v>CTA-LMFT-MQB-0295</x:v>
      </x:c>
      <x:c r="B296" s="192" t="str">
        <x:v>LMFT-MQB-FA-TX-021</x:v>
      </x:c>
      <x:c r="C296" s="192" t="str">
        <x:v>LMFT</x:v>
      </x:c>
      <x:c r="D296" s="192" t="str">
        <x:v>Comprehensive Simulation</x:v>
      </x:c>
      <x:c r="E296" s="192"/>
      <x:c r="F296" s="192"/>
      <x:c r="G296" s="192" t="str">
        <x:v>Form A</x:v>
      </x:c>
      <x:c r="H296" s="192" t="n">
        <x:v>91</x:v>
      </x:c>
      <x:c r="I296" s="192" t="str">
        <x:v>Pretest-Style</x:v>
      </x:c>
      <x:c r="J296" s="192" t="str">
        <x:v>5. Treatment</x:v>
      </x:c>
      <x:c r="K296" s="192" t="str">
        <x:v>Treatment of severe eating symptoms</x:v>
      </x:c>
      <x:c r="L296" s="192" t="str"/>
      <x:c r="M296" s="192" t="str">
        <x:v>Difficult</x:v>
      </x:c>
      <x:c r="N296" s="192" t="str">
        <x:v>Difficult</x:v>
      </x:c>
      <x:c r="O296" s="192" t="str">
        <x:v>Application</x:v>
      </x:c>
      <x:c r="P296" s="192" t="str">
        <x:v>Application</x:v>
      </x:c>
      <x:c r="Q296" s="192" t="n">
        <x:v>4</x:v>
      </x:c>
      <x:c r="R296" s="192" t="str">
        <x:v>B</x:v>
      </x:c>
      <x:c r="S296" s="192" t="str">
        <x:v>Approved</x:v>
      </x:c>
      <x:c r="T296" s="192" t="str">
        <x:v>Active</x:v>
      </x:c>
      <x:c r="U296" s="192" t="n">
        <x:v>1</x:v>
      </x:c>
      <x:c r="V296" s="192" t="str">
        <x:v>LMFT-ALT-128</x:v>
      </x:c>
      <x:c r="W296" s="192" t="str">
        <x:v>Review Candidate</x:v>
      </x:c>
      <x:c r="X296" s="192" t="str">
        <x:v>No structural flag</x:v>
      </x:c>
      <x:c r="Y296" s="192" t="str">
        <x:v>Not Yet Reviewed</x:v>
      </x:c>
      <x:c r="Z296" s="192" t="str">
        <x:v>CTA LMFT WB9; Pearson VUE LMFT Outline Area 5</x:v>
      </x:c>
      <x:c r="AA296" s="192" t="str">
        <x:v>CTA_LMFT_Comprehensive_Simulation_Form_A_Answer_Key_and_Detailed_Rationales_v1.0.docx</x:v>
      </x:c>
      <x:c r="AB296" s="192" t="str">
        <x:v>1.0</x:v>
      </x:c>
      <x:c r="AC296" s="193"/>
      <x:c r="AD296" s="193" t="n">
        <x:v>46228</x:v>
      </x:c>
      <x:c r="AE296" s="192" t="str">
        <x:v>Approved for Form A</x:v>
      </x:c>
      <x:c r="AF296" s="194" t="str">
        <x:v>Form A only; paired alternate retained on the other comprehensive form</x:v>
      </x:c>
    </x:row>
    <x:row r="297">
      <x:c r="A297" s="191" t="str">
        <x:v>CTA-LMFT-MQB-0296</x:v>
      </x:c>
      <x:c r="B297" s="192" t="str">
        <x:v>LMFT-MQB-FA-DI-003</x:v>
      </x:c>
      <x:c r="C297" s="192" t="str">
        <x:v>LMFT</x:v>
      </x:c>
      <x:c r="D297" s="192" t="str">
        <x:v>Comprehensive Simulation</x:v>
      </x:c>
      <x:c r="E297" s="192"/>
      <x:c r="F297" s="192"/>
      <x:c r="G297" s="192" t="str">
        <x:v>Form A</x:v>
      </x:c>
      <x:c r="H297" s="192" t="n">
        <x:v>92</x:v>
      </x:c>
      <x:c r="I297" s="192" t="str">
        <x:v>Scored-Style</x:v>
      </x:c>
      <x:c r="J297" s="192" t="str">
        <x:v>2. Developing a Diagnostic Impression</x:v>
      </x:c>
      <x:c r="K297" s="192" t="str">
        <x:v>Other conditions that may be a focus</x:v>
      </x:c>
      <x:c r="L297" s="192" t="str"/>
      <x:c r="M297" s="192" t="str">
        <x:v>Moderate</x:v>
      </x:c>
      <x:c r="N297" s="192" t="str">
        <x:v>Moderate</x:v>
      </x:c>
      <x:c r="O297" s="192" t="str">
        <x:v>Direct recognition</x:v>
      </x:c>
      <x:c r="P297" s="192" t="str">
        <x:v>Knowledge &amp; Recall</x:v>
      </x:c>
      <x:c r="Q297" s="192" t="n">
        <x:v>4</x:v>
      </x:c>
      <x:c r="R297" s="192" t="str">
        <x:v>C</x:v>
      </x:c>
      <x:c r="S297" s="192" t="str">
        <x:v>Approved</x:v>
      </x:c>
      <x:c r="T297" s="192" t="str">
        <x:v>Active</x:v>
      </x:c>
      <x:c r="U297" s="192" t="n">
        <x:v>1</x:v>
      </x:c>
      <x:c r="V297" s="192" t="str">
        <x:v>LMFT-ALT-078</x:v>
      </x:c>
      <x:c r="W297" s="192" t="str">
        <x:v>No additional flag</x:v>
      </x:c>
      <x:c r="X297" s="192" t="str">
        <x:v>No structural flag</x:v>
      </x:c>
      <x:c r="Y297" s="192" t="str">
        <x:v>Not Yet Reviewed</x:v>
      </x:c>
      <x:c r="Z297" s="192" t="str">
        <x:v>CTA LMFT WB5; Pearson VUE LMFT Outline Area 2</x:v>
      </x:c>
      <x:c r="AA297" s="192" t="str">
        <x:v>CTA_LMFT_Comprehensive_Simulation_Form_A_Answer_Key_and_Detailed_Rationales_v1.0.docx</x:v>
      </x:c>
      <x:c r="AB297" s="192" t="str">
        <x:v>1.0</x:v>
      </x:c>
      <x:c r="AC297" s="193"/>
      <x:c r="AD297" s="193" t="n">
        <x:v>46228</x:v>
      </x:c>
      <x:c r="AE297" s="192" t="str">
        <x:v>Approved for Form A</x:v>
      </x:c>
      <x:c r="AF297" s="194" t="str">
        <x:v>Form A only; paired alternate retained on the other comprehensive form</x:v>
      </x:c>
    </x:row>
    <x:row r="298">
      <x:c r="A298" s="191" t="str">
        <x:v>CTA-LMFT-MQB-0297</x:v>
      </x:c>
      <x:c r="B298" s="192" t="str">
        <x:v>LMFT-MQB-FA-CP-010</x:v>
      </x:c>
      <x:c r="C298" s="192" t="str">
        <x:v>LMFT</x:v>
      </x:c>
      <x:c r="D298" s="192" t="str">
        <x:v>Comprehensive Simulation</x:v>
      </x:c>
      <x:c r="E298" s="192"/>
      <x:c r="F298" s="192"/>
      <x:c r="G298" s="192" t="str">
        <x:v>Form A</x:v>
      </x:c>
      <x:c r="H298" s="192" t="n">
        <x:v>93</x:v>
      </x:c>
      <x:c r="I298" s="192" t="str">
        <x:v>Pretest-Style</x:v>
      </x:c>
      <x:c r="J298" s="192" t="str">
        <x:v>4. Case Conceptualization and Planning</x:v>
      </x:c>
      <x:c r="K298" s="192" t="str">
        <x:v>Initial plan after assessment</x:v>
      </x:c>
      <x:c r="L298" s="192" t="str"/>
      <x:c r="M298" s="192" t="str">
        <x:v>Easy</x:v>
      </x:c>
      <x:c r="N298" s="192" t="str">
        <x:v>Easy</x:v>
      </x:c>
      <x:c r="O298" s="192" t="str">
        <x:v>Scenario-based sequencing</x:v>
      </x:c>
      <x:c r="P298" s="192" t="str">
        <x:v>Scenario-Based</x:v>
      </x:c>
      <x:c r="Q298" s="192" t="n">
        <x:v>4</x:v>
      </x:c>
      <x:c r="R298" s="192" t="str">
        <x:v>B</x:v>
      </x:c>
      <x:c r="S298" s="192" t="str">
        <x:v>Approved</x:v>
      </x:c>
      <x:c r="T298" s="192" t="str">
        <x:v>Active</x:v>
      </x:c>
      <x:c r="U298" s="192" t="n">
        <x:v>1</x:v>
      </x:c>
      <x:c r="V298" s="192" t="str">
        <x:v>LMFT-ALT-051</x:v>
      </x:c>
      <x:c r="W298" s="192" t="str">
        <x:v>No additional flag</x:v>
      </x:c>
      <x:c r="X298" s="192" t="str">
        <x:v>No structural flag</x:v>
      </x:c>
      <x:c r="Y298" s="192" t="str">
        <x:v>Not Yet Reviewed</x:v>
      </x:c>
      <x:c r="Z298" s="192" t="str">
        <x:v>CTA LMFT WB7; Pearson VUE LMFT Outline Area 4</x:v>
      </x:c>
      <x:c r="AA298" s="192" t="str">
        <x:v>CTA_LMFT_Comprehensive_Simulation_Form_A_Answer_Key_and_Detailed_Rationales_v1.0.docx</x:v>
      </x:c>
      <x:c r="AB298" s="192" t="str">
        <x:v>1.0</x:v>
      </x:c>
      <x:c r="AC298" s="193"/>
      <x:c r="AD298" s="193" t="n">
        <x:v>46228</x:v>
      </x:c>
      <x:c r="AE298" s="192" t="str">
        <x:v>Approved for Form A</x:v>
      </x:c>
      <x:c r="AF298" s="194" t="str">
        <x:v>Form A only; paired alternate retained on the other comprehensive form</x:v>
      </x:c>
    </x:row>
    <x:row r="299">
      <x:c r="A299" s="191" t="str">
        <x:v>CTA-LMFT-MQB-0298</x:v>
      </x:c>
      <x:c r="B299" s="192" t="str">
        <x:v>LMFT-MQB-FA-CR-003</x:v>
      </x:c>
      <x:c r="C299" s="192" t="str">
        <x:v>LMFT</x:v>
      </x:c>
      <x:c r="D299" s="192" t="str">
        <x:v>Comprehensive Simulation</x:v>
      </x:c>
      <x:c r="E299" s="192"/>
      <x:c r="F299" s="192"/>
      <x:c r="G299" s="192" t="str">
        <x:v>Form A</x:v>
      </x:c>
      <x:c r="H299" s="192" t="n">
        <x:v>94</x:v>
      </x:c>
      <x:c r="I299" s="192" t="str">
        <x:v>Scored-Style</x:v>
      </x:c>
      <x:c r="J299" s="192" t="str">
        <x:v>3. Managing Crisis Situations</x:v>
      </x:c>
      <x:c r="K299" s="192" t="str">
        <x:v>Emergency documentation</x:v>
      </x:c>
      <x:c r="L299" s="192" t="str"/>
      <x:c r="M299" s="192" t="str">
        <x:v>Easy</x:v>
      </x:c>
      <x:c r="N299" s="192" t="str">
        <x:v>Easy</x:v>
      </x:c>
      <x:c r="O299" s="192" t="str">
        <x:v>Application</x:v>
      </x:c>
      <x:c r="P299" s="192" t="str">
        <x:v>Application</x:v>
      </x:c>
      <x:c r="Q299" s="192" t="n">
        <x:v>4</x:v>
      </x:c>
      <x:c r="R299" s="192" t="str">
        <x:v>A</x:v>
      </x:c>
      <x:c r="S299" s="192" t="str">
        <x:v>Approved</x:v>
      </x:c>
      <x:c r="T299" s="192" t="str">
        <x:v>Active</x:v>
      </x:c>
      <x:c r="U299" s="192" t="n">
        <x:v>1</x:v>
      </x:c>
      <x:c r="V299" s="192" t="str">
        <x:v>LMFT-ALT-062</x:v>
      </x:c>
      <x:c r="W299" s="192" t="str">
        <x:v>No additional flag</x:v>
      </x:c>
      <x:c r="X299" s="192" t="str">
        <x:v>No structural flag</x:v>
      </x:c>
      <x:c r="Y299" s="192" t="str">
        <x:v>Not Yet Reviewed</x:v>
      </x:c>
      <x:c r="Z299" s="192" t="str">
        <x:v>CTA LMFT WB6; Pearson VUE LMFT Outline Area 3</x:v>
      </x:c>
      <x:c r="AA299" s="192" t="str">
        <x:v>CTA_LMFT_Comprehensive_Simulation_Form_A_Answer_Key_and_Detailed_Rationales_v1.0.docx</x:v>
      </x:c>
      <x:c r="AB299" s="192" t="str">
        <x:v>1.0</x:v>
      </x:c>
      <x:c r="AC299" s="193"/>
      <x:c r="AD299" s="193" t="n">
        <x:v>46228</x:v>
      </x:c>
      <x:c r="AE299" s="192" t="str">
        <x:v>Approved for Form A</x:v>
      </x:c>
      <x:c r="AF299" s="194" t="str">
        <x:v>Form A only; paired alternate retained on the other comprehensive form</x:v>
      </x:c>
    </x:row>
    <x:row r="300">
      <x:c r="A300" s="191" t="str">
        <x:v>CTA-LMFT-MQB-0299</x:v>
      </x:c>
      <x:c r="B300" s="192" t="str">
        <x:v>LMFT-MQB-FA-TX-022</x:v>
      </x:c>
      <x:c r="C300" s="192" t="str">
        <x:v>LMFT</x:v>
      </x:c>
      <x:c r="D300" s="192" t="str">
        <x:v>Comprehensive Simulation</x:v>
      </x:c>
      <x:c r="E300" s="192"/>
      <x:c r="F300" s="192"/>
      <x:c r="G300" s="192" t="str">
        <x:v>Form A</x:v>
      </x:c>
      <x:c r="H300" s="192" t="n">
        <x:v>95</x:v>
      </x:c>
      <x:c r="I300" s="192" t="str">
        <x:v>Scored-Style</x:v>
      </x:c>
      <x:c r="J300" s="192" t="str">
        <x:v>5. Treatment</x:v>
      </x:c>
      <x:c r="K300" s="192" t="str">
        <x:v>Complex couple treatment fit</x:v>
      </x:c>
      <x:c r="L300" s="192" t="str"/>
      <x:c r="M300" s="192" t="str">
        <x:v>Difficult</x:v>
      </x:c>
      <x:c r="N300" s="192" t="str">
        <x:v>Difficult</x:v>
      </x:c>
      <x:c r="O300" s="192" t="str">
        <x:v>Application</x:v>
      </x:c>
      <x:c r="P300" s="192" t="str">
        <x:v>Application</x:v>
      </x:c>
      <x:c r="Q300" s="192" t="n">
        <x:v>4</x:v>
      </x:c>
      <x:c r="R300" s="192" t="str">
        <x:v>D</x:v>
      </x:c>
      <x:c r="S300" s="192" t="str">
        <x:v>Approved</x:v>
      </x:c>
      <x:c r="T300" s="192" t="str">
        <x:v>Active</x:v>
      </x:c>
      <x:c r="U300" s="192" t="n">
        <x:v>1</x:v>
      </x:c>
      <x:c r="V300" s="192" t="str">
        <x:v>LMFT-ALT-129</x:v>
      </x:c>
      <x:c r="W300" s="192" t="str">
        <x:v>No additional flag</x:v>
      </x:c>
      <x:c r="X300" s="192" t="str">
        <x:v>No structural flag</x:v>
      </x:c>
      <x:c r="Y300" s="192" t="str">
        <x:v>Not Yet Reviewed</x:v>
      </x:c>
      <x:c r="Z300" s="192" t="str">
        <x:v>CTA LMFT WB7; CTA LMFT WB8; CTA LMFT WB9; Pearson VUE LMFT Outline Area 5</x:v>
      </x:c>
      <x:c r="AA300" s="192" t="str">
        <x:v>CTA_LMFT_Comprehensive_Simulation_Form_A_Answer_Key_and_Detailed_Rationales_v1.0.docx</x:v>
      </x:c>
      <x:c r="AB300" s="192" t="str">
        <x:v>1.0</x:v>
      </x:c>
      <x:c r="AC300" s="193"/>
      <x:c r="AD300" s="193" t="n">
        <x:v>46228</x:v>
      </x:c>
      <x:c r="AE300" s="192" t="str">
        <x:v>Approved for Form A</x:v>
      </x:c>
      <x:c r="AF300" s="194" t="str">
        <x:v>Form A only; paired alternate retained on the other comprehensive form</x:v>
      </x:c>
    </x:row>
    <x:row r="301">
      <x:c r="A301" s="191" t="str">
        <x:v>CTA-LMFT-MQB-0300</x:v>
      </x:c>
      <x:c r="B301" s="192" t="str">
        <x:v>LMFT-MQB-FA-TX-005</x:v>
      </x:c>
      <x:c r="C301" s="192" t="str">
        <x:v>LMFT</x:v>
      </x:c>
      <x:c r="D301" s="192" t="str">
        <x:v>Comprehensive Simulation</x:v>
      </x:c>
      <x:c r="E301" s="192"/>
      <x:c r="F301" s="192"/>
      <x:c r="G301" s="192" t="str">
        <x:v>Form A</x:v>
      </x:c>
      <x:c r="H301" s="192" t="n">
        <x:v>96</x:v>
      </x:c>
      <x:c r="I301" s="192" t="str">
        <x:v>Scored-Style</x:v>
      </x:c>
      <x:c r="J301" s="192" t="str">
        <x:v>5. Treatment</x:v>
      </x:c>
      <x:c r="K301" s="192" t="str">
        <x:v>Reflective listening</x:v>
      </x:c>
      <x:c r="L301" s="192" t="str"/>
      <x:c r="M301" s="192" t="str">
        <x:v>Easy</x:v>
      </x:c>
      <x:c r="N301" s="192" t="str">
        <x:v>Easy</x:v>
      </x:c>
      <x:c r="O301" s="192" t="str">
        <x:v>Application</x:v>
      </x:c>
      <x:c r="P301" s="192" t="str">
        <x:v>Application</x:v>
      </x:c>
      <x:c r="Q301" s="192" t="n">
        <x:v>4</x:v>
      </x:c>
      <x:c r="R301" s="192" t="str">
        <x:v>C</x:v>
      </x:c>
      <x:c r="S301" s="192" t="str">
        <x:v>Approved</x:v>
      </x:c>
      <x:c r="T301" s="192" t="str">
        <x:v>Active</x:v>
      </x:c>
      <x:c r="U301" s="192" t="n">
        <x:v>1</x:v>
      </x:c>
      <x:c r="V301" s="192" t="str">
        <x:v>LMFT-ALT-112</x:v>
      </x:c>
      <x:c r="W301" s="192" t="str">
        <x:v>No additional flag</x:v>
      </x:c>
      <x:c r="X301" s="192" t="str">
        <x:v>No structural flag</x:v>
      </x:c>
      <x:c r="Y301" s="192" t="str">
        <x:v>Not Yet Reviewed</x:v>
      </x:c>
      <x:c r="Z301" s="192" t="str">
        <x:v>CTA LMFT WB2; CTA LMFT WB9; Pearson VUE LMFT Outline Area 5</x:v>
      </x:c>
      <x:c r="AA301" s="192" t="str">
        <x:v>CTA_LMFT_Comprehensive_Simulation_Form_A_Answer_Key_and_Detailed_Rationales_v1.0.docx</x:v>
      </x:c>
      <x:c r="AB301" s="192" t="str">
        <x:v>1.0</x:v>
      </x:c>
      <x:c r="AC301" s="193"/>
      <x:c r="AD301" s="193" t="n">
        <x:v>46228</x:v>
      </x:c>
      <x:c r="AE301" s="192" t="str">
        <x:v>Approved for Form A</x:v>
      </x:c>
      <x:c r="AF301" s="194" t="str">
        <x:v>Form A only; paired alternate retained on the other comprehensive form</x:v>
      </x:c>
    </x:row>
    <x:row r="302">
      <x:c r="A302" s="191" t="str">
        <x:v>CTA-LMFT-MQB-0301</x:v>
      </x:c>
      <x:c r="B302" s="192" t="str">
        <x:v>LMFT-MQB-FA-CE-026</x:v>
      </x:c>
      <x:c r="C302" s="192" t="str">
        <x:v>LMFT</x:v>
      </x:c>
      <x:c r="D302" s="192" t="str">
        <x:v>Comprehensive Simulation</x:v>
      </x:c>
      <x:c r="E302" s="192"/>
      <x:c r="F302" s="192"/>
      <x:c r="G302" s="192" t="str">
        <x:v>Form A</x:v>
      </x:c>
      <x:c r="H302" s="192" t="n">
        <x:v>97</x:v>
      </x:c>
      <x:c r="I302" s="192" t="str">
        <x:v>Scored-Style</x:v>
      </x:c>
      <x:c r="J302" s="192" t="str">
        <x:v>1. Clinical Evaluation</x:v>
      </x:c>
      <x:c r="K302" s="192" t="str">
        <x:v>Grief and risk assessment</x:v>
      </x:c>
      <x:c r="L302" s="192" t="str"/>
      <x:c r="M302" s="192" t="str">
        <x:v>Moderate</x:v>
      </x:c>
      <x:c r="N302" s="192" t="str">
        <x:v>Moderate</x:v>
      </x:c>
      <x:c r="O302" s="192" t="str">
        <x:v>Scenario-based sequencing</x:v>
      </x:c>
      <x:c r="P302" s="192" t="str">
        <x:v>Scenario-Based</x:v>
      </x:c>
      <x:c r="Q302" s="192" t="n">
        <x:v>4</x:v>
      </x:c>
      <x:c r="R302" s="192" t="str">
        <x:v>A</x:v>
      </x:c>
      <x:c r="S302" s="192" t="str">
        <x:v>Approved</x:v>
      </x:c>
      <x:c r="T302" s="192" t="str">
        <x:v>Active</x:v>
      </x:c>
      <x:c r="U302" s="192" t="n">
        <x:v>1</x:v>
      </x:c>
      <x:c r="V302" s="192" t="str">
        <x:v>LMFT-ALT-026</x:v>
      </x:c>
      <x:c r="W302" s="192" t="str">
        <x:v>No additional flag</x:v>
      </x:c>
      <x:c r="X302" s="192" t="str">
        <x:v>No structural flag</x:v>
      </x:c>
      <x:c r="Y302" s="192" t="str">
        <x:v>Not Yet Reviewed</x:v>
      </x:c>
      <x:c r="Z302" s="192" t="str">
        <x:v>CTA LMFT WB4; CTA LMFT WB6; Pearson VUE LMFT Outline Area 1</x:v>
      </x:c>
      <x:c r="AA302" s="192" t="str">
        <x:v>CTA_LMFT_Comprehensive_Simulation_Form_A_Answer_Key_and_Detailed_Rationales_v1.0.docx</x:v>
      </x:c>
      <x:c r="AB302" s="192" t="str">
        <x:v>1.0</x:v>
      </x:c>
      <x:c r="AC302" s="193"/>
      <x:c r="AD302" s="193" t="n">
        <x:v>46228</x:v>
      </x:c>
      <x:c r="AE302" s="192" t="str">
        <x:v>Approved for Form A</x:v>
      </x:c>
      <x:c r="AF302" s="194" t="str">
        <x:v>Form A only; paired alternate retained on the other comprehensive form</x:v>
      </x:c>
    </x:row>
    <x:row r="303">
      <x:c r="A303" s="191" t="str">
        <x:v>CTA-LMFT-MQB-0302</x:v>
      </x:c>
      <x:c r="B303" s="192" t="str">
        <x:v>LMFT-MQB-FA-CR-006</x:v>
      </x:c>
      <x:c r="C303" s="192" t="str">
        <x:v>LMFT</x:v>
      </x:c>
      <x:c r="D303" s="192" t="str">
        <x:v>Comprehensive Simulation</x:v>
      </x:c>
      <x:c r="E303" s="192"/>
      <x:c r="F303" s="192"/>
      <x:c r="G303" s="192" t="str">
        <x:v>Form A</x:v>
      </x:c>
      <x:c r="H303" s="192" t="n">
        <x:v>98</x:v>
      </x:c>
      <x:c r="I303" s="192" t="str">
        <x:v>Scored-Style</x:v>
      </x:c>
      <x:c r="J303" s="192" t="str">
        <x:v>3. Managing Crisis Situations</x:v>
      </x:c>
      <x:c r="K303" s="192" t="str">
        <x:v>Direct suicide inquiry</x:v>
      </x:c>
      <x:c r="L303" s="192" t="str"/>
      <x:c r="M303" s="192" t="str">
        <x:v>Easy</x:v>
      </x:c>
      <x:c r="N303" s="192" t="str">
        <x:v>Easy</x:v>
      </x:c>
      <x:c r="O303" s="192" t="str">
        <x:v>Scenario-based sequencing</x:v>
      </x:c>
      <x:c r="P303" s="192" t="str">
        <x:v>Scenario-Based</x:v>
      </x:c>
      <x:c r="Q303" s="192" t="n">
        <x:v>4</x:v>
      </x:c>
      <x:c r="R303" s="192" t="str">
        <x:v>B</x:v>
      </x:c>
      <x:c r="S303" s="192" t="str">
        <x:v>Approved</x:v>
      </x:c>
      <x:c r="T303" s="192" t="str">
        <x:v>Active</x:v>
      </x:c>
      <x:c r="U303" s="192" t="n">
        <x:v>1</x:v>
      </x:c>
      <x:c r="V303" s="192" t="str">
        <x:v>LMFT-ALT-065</x:v>
      </x:c>
      <x:c r="W303" s="192" t="str">
        <x:v>Review Candidate</x:v>
      </x:c>
      <x:c r="X303" s="192" t="str">
        <x:v>No structural flag</x:v>
      </x:c>
      <x:c r="Y303" s="192" t="str">
        <x:v>Not Yet Reviewed</x:v>
      </x:c>
      <x:c r="Z303" s="192" t="str">
        <x:v>CTA LMFT WB6; Pearson VUE LMFT Outline Area 3</x:v>
      </x:c>
      <x:c r="AA303" s="192" t="str">
        <x:v>CTA_LMFT_Comprehensive_Simulation_Form_A_Answer_Key_and_Detailed_Rationales_v1.0.docx</x:v>
      </x:c>
      <x:c r="AB303" s="192" t="str">
        <x:v>1.0</x:v>
      </x:c>
      <x:c r="AC303" s="193"/>
      <x:c r="AD303" s="193" t="n">
        <x:v>46228</x:v>
      </x:c>
      <x:c r="AE303" s="192" t="str">
        <x:v>Approved for Form A</x:v>
      </x:c>
      <x:c r="AF303" s="194" t="str">
        <x:v>Form A only; paired alternate retained on the other comprehensive form</x:v>
      </x:c>
    </x:row>
    <x:row r="304">
      <x:c r="A304" s="191" t="str">
        <x:v>CTA-LMFT-MQB-0303</x:v>
      </x:c>
      <x:c r="B304" s="192" t="str">
        <x:v>LMFT-MQB-FA-LE-009</x:v>
      </x:c>
      <x:c r="C304" s="192" t="str">
        <x:v>LMFT</x:v>
      </x:c>
      <x:c r="D304" s="192" t="str">
        <x:v>Comprehensive Simulation</x:v>
      </x:c>
      <x:c r="E304" s="192"/>
      <x:c r="F304" s="192"/>
      <x:c r="G304" s="192" t="str">
        <x:v>Form A</x:v>
      </x:c>
      <x:c r="H304" s="192" t="n">
        <x:v>99</x:v>
      </x:c>
      <x:c r="I304" s="192" t="str">
        <x:v>Pretest-Style</x:v>
      </x:c>
      <x:c r="J304" s="192" t="str">
        <x:v>6. Managing Legal and Ethical Obligations within the Therapeutic Relationship</x:v>
      </x:c>
      <x:c r="K304" s="192" t="str">
        <x:v>Multiple-client disclosure</x:v>
      </x:c>
      <x:c r="L304" s="192" t="str"/>
      <x:c r="M304" s="192" t="str">
        <x:v>Moderate</x:v>
      </x:c>
      <x:c r="N304" s="192" t="str">
        <x:v>Moderate</x:v>
      </x:c>
      <x:c r="O304" s="192" t="str">
        <x:v>Scenario-based sequencing</x:v>
      </x:c>
      <x:c r="P304" s="192" t="str">
        <x:v>Scenario-Based</x:v>
      </x:c>
      <x:c r="Q304" s="192" t="n">
        <x:v>4</x:v>
      </x:c>
      <x:c r="R304" s="192" t="str">
        <x:v>D</x:v>
      </x:c>
      <x:c r="S304" s="192" t="str">
        <x:v>Approved</x:v>
      </x:c>
      <x:c r="T304" s="192" t="str">
        <x:v>Active</x:v>
      </x:c>
      <x:c r="U304" s="192" t="n">
        <x:v>1</x:v>
      </x:c>
      <x:c r="V304" s="192" t="str">
        <x:v>LMFT-ALT-101</x:v>
      </x:c>
      <x:c r="W304" s="192" t="str">
        <x:v>No additional flag</x:v>
      </x:c>
      <x:c r="X304" s="192" t="str">
        <x:v>No structural flag</x:v>
      </x:c>
      <x:c r="Y304" s="192" t="str">
        <x:v>Not Yet Reviewed</x:v>
      </x:c>
      <x:c r="Z304" s="192" t="str">
        <x:v>CTA LMFT WB12; Pearson VUE LMFT Outline Area 6</x:v>
      </x:c>
      <x:c r="AA304" s="192" t="str">
        <x:v>CTA_LMFT_Comprehensive_Simulation_Form_A_Answer_Key_and_Detailed_Rationales_v1.0.docx</x:v>
      </x:c>
      <x:c r="AB304" s="192" t="str">
        <x:v>1.0</x:v>
      </x:c>
      <x:c r="AC304" s="193"/>
      <x:c r="AD304" s="193" t="n">
        <x:v>46228</x:v>
      </x:c>
      <x:c r="AE304" s="192" t="str">
        <x:v>Approved for Form A</x:v>
      </x:c>
      <x:c r="AF304" s="194" t="str">
        <x:v>Form A only; paired alternate retained on the other comprehensive form</x:v>
      </x:c>
    </x:row>
    <x:row r="305">
      <x:c r="A305" s="191" t="str">
        <x:v>CTA-LMFT-MQB-0304</x:v>
      </x:c>
      <x:c r="B305" s="192" t="str">
        <x:v>LMFT-MQB-FA-TX-035</x:v>
      </x:c>
      <x:c r="C305" s="192" t="str">
        <x:v>LMFT</x:v>
      </x:c>
      <x:c r="D305" s="192" t="str">
        <x:v>Comprehensive Simulation</x:v>
      </x:c>
      <x:c r="E305" s="192"/>
      <x:c r="F305" s="192"/>
      <x:c r="G305" s="192" t="str">
        <x:v>Form A</x:v>
      </x:c>
      <x:c r="H305" s="192" t="n">
        <x:v>100</x:v>
      </x:c>
      <x:c r="I305" s="192" t="str">
        <x:v>Scored-Style</x:v>
      </x:c>
      <x:c r="J305" s="192" t="str">
        <x:v>5. Treatment</x:v>
      </x:c>
      <x:c r="K305" s="192" t="str">
        <x:v>Complex grief and family secrecy</x:v>
      </x:c>
      <x:c r="L305" s="192" t="str"/>
      <x:c r="M305" s="192" t="str">
        <x:v>Difficult</x:v>
      </x:c>
      <x:c r="N305" s="192" t="str">
        <x:v>Difficult</x:v>
      </x:c>
      <x:c r="O305" s="192" t="str">
        <x:v>Scenario-based sequencing</x:v>
      </x:c>
      <x:c r="P305" s="192" t="str">
        <x:v>Scenario-Based</x:v>
      </x:c>
      <x:c r="Q305" s="192" t="n">
        <x:v>4</x:v>
      </x:c>
      <x:c r="R305" s="192" t="str">
        <x:v>B</x:v>
      </x:c>
      <x:c r="S305" s="192" t="str">
        <x:v>Approved</x:v>
      </x:c>
      <x:c r="T305" s="192" t="str">
        <x:v>Active</x:v>
      </x:c>
      <x:c r="U305" s="192" t="n">
        <x:v>1</x:v>
      </x:c>
      <x:c r="V305" s="192" t="str">
        <x:v>LMFT-ALT-142</x:v>
      </x:c>
      <x:c r="W305" s="192" t="str">
        <x:v>No additional flag</x:v>
      </x:c>
      <x:c r="X305" s="192" t="str">
        <x:v>No structural flag</x:v>
      </x:c>
      <x:c r="Y305" s="192" t="str">
        <x:v>Not Yet Reviewed</x:v>
      </x:c>
      <x:c r="Z305" s="192" t="str">
        <x:v>CTA LMFT WB9; CTA LMFT WB10; Pearson VUE LMFT Outline Area 5</x:v>
      </x:c>
      <x:c r="AA305" s="192" t="str">
        <x:v>CTA_LMFT_Comprehensive_Simulation_Form_A_Answer_Key_and_Detailed_Rationales_v1.0.docx</x:v>
      </x:c>
      <x:c r="AB305" s="192" t="str">
        <x:v>1.0</x:v>
      </x:c>
      <x:c r="AC305" s="193"/>
      <x:c r="AD305" s="193" t="n">
        <x:v>46228</x:v>
      </x:c>
      <x:c r="AE305" s="192" t="str">
        <x:v>Approved for Form A</x:v>
      </x:c>
      <x:c r="AF305" s="194" t="str">
        <x:v>Form A only; paired alternate retained on the other comprehensive form</x:v>
      </x:c>
    </x:row>
    <x:row r="306">
      <x:c r="A306" s="191" t="str">
        <x:v>CTA-LMFT-MQB-0305</x:v>
      </x:c>
      <x:c r="B306" s="192" t="str">
        <x:v>LMFT-MQB-FA-CE-038</x:v>
      </x:c>
      <x:c r="C306" s="192" t="str">
        <x:v>LMFT</x:v>
      </x:c>
      <x:c r="D306" s="192" t="str">
        <x:v>Comprehensive Simulation</x:v>
      </x:c>
      <x:c r="E306" s="192"/>
      <x:c r="F306" s="192"/>
      <x:c r="G306" s="192" t="str">
        <x:v>Form A</x:v>
      </x:c>
      <x:c r="H306" s="192" t="n">
        <x:v>101</x:v>
      </x:c>
      <x:c r="I306" s="192" t="str">
        <x:v>Scored-Style</x:v>
      </x:c>
      <x:c r="J306" s="192" t="str">
        <x:v>1. Clinical Evaluation</x:v>
      </x:c>
      <x:c r="K306" s="192" t="str">
        <x:v>Multiple informants and developmental context</x:v>
      </x:c>
      <x:c r="L306" s="192" t="str"/>
      <x:c r="M306" s="192" t="str">
        <x:v>Moderate</x:v>
      </x:c>
      <x:c r="N306" s="192" t="str">
        <x:v>Moderate</x:v>
      </x:c>
      <x:c r="O306" s="192" t="str">
        <x:v>Integrated reasoning</x:v>
      </x:c>
      <x:c r="P306" s="192" t="str">
        <x:v>Integrated Clinical Reasoning</x:v>
      </x:c>
      <x:c r="Q306" s="192" t="n">
        <x:v>4</x:v>
      </x:c>
      <x:c r="R306" s="192" t="str">
        <x:v>D</x:v>
      </x:c>
      <x:c r="S306" s="192" t="str">
        <x:v>Approved</x:v>
      </x:c>
      <x:c r="T306" s="192" t="str">
        <x:v>Active</x:v>
      </x:c>
      <x:c r="U306" s="192" t="n">
        <x:v>1</x:v>
      </x:c>
      <x:c r="V306" s="192" t="str">
        <x:v>LMFT-ALT-038</x:v>
      </x:c>
      <x:c r="W306" s="192" t="str">
        <x:v>No additional flag</x:v>
      </x:c>
      <x:c r="X306" s="192" t="str">
        <x:v>No structural flag</x:v>
      </x:c>
      <x:c r="Y306" s="192" t="str">
        <x:v>Not Yet Reviewed</x:v>
      </x:c>
      <x:c r="Z306" s="192" t="str">
        <x:v>CTA LMFT WB2; CTA LMFT WB3; CTA LMFT WB4; Pearson VUE LMFT Outline Area 1</x:v>
      </x:c>
      <x:c r="AA306" s="192" t="str">
        <x:v>CTA_LMFT_Comprehensive_Simulation_Form_A_Answer_Key_and_Detailed_Rationales_v1.0.docx</x:v>
      </x:c>
      <x:c r="AB306" s="192" t="str">
        <x:v>1.0</x:v>
      </x:c>
      <x:c r="AC306" s="193"/>
      <x:c r="AD306" s="193" t="n">
        <x:v>46228</x:v>
      </x:c>
      <x:c r="AE306" s="192" t="str">
        <x:v>Approved for Form A</x:v>
      </x:c>
      <x:c r="AF306" s="194" t="str">
        <x:v>Form A only; paired alternate retained on the other comprehensive form</x:v>
      </x:c>
    </x:row>
    <x:row r="307">
      <x:c r="A307" s="191" t="str">
        <x:v>CTA-LMFT-MQB-0306</x:v>
      </x:c>
      <x:c r="B307" s="192" t="str">
        <x:v>LMFT-MQB-FA-TX-018</x:v>
      </x:c>
      <x:c r="C307" s="192" t="str">
        <x:v>LMFT</x:v>
      </x:c>
      <x:c r="D307" s="192" t="str">
        <x:v>Comprehensive Simulation</x:v>
      </x:c>
      <x:c r="E307" s="192"/>
      <x:c r="F307" s="192"/>
      <x:c r="G307" s="192" t="str">
        <x:v>Form A</x:v>
      </x:c>
      <x:c r="H307" s="192" t="n">
        <x:v>102</x:v>
      </x:c>
      <x:c r="I307" s="192" t="str">
        <x:v>Scored-Style</x:v>
      </x:c>
      <x:c r="J307" s="192" t="str">
        <x:v>5. Treatment</x:v>
      </x:c>
      <x:c r="K307" s="192" t="str">
        <x:v>Cultural adaptation</x:v>
      </x:c>
      <x:c r="L307" s="192" t="str"/>
      <x:c r="M307" s="192" t="str">
        <x:v>Moderate</x:v>
      </x:c>
      <x:c r="N307" s="192" t="str">
        <x:v>Moderate</x:v>
      </x:c>
      <x:c r="O307" s="192" t="str">
        <x:v>Application</x:v>
      </x:c>
      <x:c r="P307" s="192" t="str">
        <x:v>Application</x:v>
      </x:c>
      <x:c r="Q307" s="192" t="n">
        <x:v>4</x:v>
      </x:c>
      <x:c r="R307" s="192" t="str">
        <x:v>B</x:v>
      </x:c>
      <x:c r="S307" s="192" t="str">
        <x:v>Approved</x:v>
      </x:c>
      <x:c r="T307" s="192" t="str">
        <x:v>Active</x:v>
      </x:c>
      <x:c r="U307" s="192" t="n">
        <x:v>1</x:v>
      </x:c>
      <x:c r="V307" s="192" t="str">
        <x:v>LMFT-ALT-125</x:v>
      </x:c>
      <x:c r="W307" s="192" t="str">
        <x:v>No additional flag</x:v>
      </x:c>
      <x:c r="X307" s="192" t="str">
        <x:v>No structural flag</x:v>
      </x:c>
      <x:c r="Y307" s="192" t="str">
        <x:v>Not Yet Reviewed</x:v>
      </x:c>
      <x:c r="Z307" s="192" t="str">
        <x:v>CTA LMFT WB10; Pearson VUE LMFT Outline Area 5</x:v>
      </x:c>
      <x:c r="AA307" s="192" t="str">
        <x:v>CTA_LMFT_Comprehensive_Simulation_Form_A_Answer_Key_and_Detailed_Rationales_v1.0.docx</x:v>
      </x:c>
      <x:c r="AB307" s="192" t="str">
        <x:v>1.0</x:v>
      </x:c>
      <x:c r="AC307" s="193"/>
      <x:c r="AD307" s="193" t="n">
        <x:v>46228</x:v>
      </x:c>
      <x:c r="AE307" s="192" t="str">
        <x:v>Approved for Form A</x:v>
      </x:c>
      <x:c r="AF307" s="194" t="str">
        <x:v>Form A only; paired alternate retained on the other comprehensive form</x:v>
      </x:c>
    </x:row>
    <x:row r="308">
      <x:c r="A308" s="191" t="str">
        <x:v>CTA-LMFT-MQB-0307</x:v>
      </x:c>
      <x:c r="B308" s="192" t="str">
        <x:v>LMFT-MQB-FA-DI-011</x:v>
      </x:c>
      <x:c r="C308" s="192" t="str">
        <x:v>LMFT</x:v>
      </x:c>
      <x:c r="D308" s="192" t="str">
        <x:v>Comprehensive Simulation</x:v>
      </x:c>
      <x:c r="E308" s="192"/>
      <x:c r="F308" s="192"/>
      <x:c r="G308" s="192" t="str">
        <x:v>Form A</x:v>
      </x:c>
      <x:c r="H308" s="192" t="n">
        <x:v>103</x:v>
      </x:c>
      <x:c r="I308" s="192" t="str">
        <x:v>Pretest-Style</x:v>
      </x:c>
      <x:c r="J308" s="192" t="str">
        <x:v>2. Developing a Diagnostic Impression</x:v>
      </x:c>
      <x:c r="K308" s="192" t="str">
        <x:v>Depression versus grief</x:v>
      </x:c>
      <x:c r="L308" s="192" t="str"/>
      <x:c r="M308" s="192" t="str">
        <x:v>Moderate</x:v>
      </x:c>
      <x:c r="N308" s="192" t="str">
        <x:v>Moderate</x:v>
      </x:c>
      <x:c r="O308" s="192" t="str">
        <x:v>Scenario-based sequencing</x:v>
      </x:c>
      <x:c r="P308" s="192" t="str">
        <x:v>Scenario-Based</x:v>
      </x:c>
      <x:c r="Q308" s="192" t="n">
        <x:v>4</x:v>
      </x:c>
      <x:c r="R308" s="192" t="str">
        <x:v>D</x:v>
      </x:c>
      <x:c r="S308" s="192" t="str">
        <x:v>Approved</x:v>
      </x:c>
      <x:c r="T308" s="192" t="str">
        <x:v>Active</x:v>
      </x:c>
      <x:c r="U308" s="192" t="n">
        <x:v>1</x:v>
      </x:c>
      <x:c r="V308" s="192" t="str">
        <x:v>LMFT-ALT-086</x:v>
      </x:c>
      <x:c r="W308" s="192" t="str">
        <x:v>No additional flag</x:v>
      </x:c>
      <x:c r="X308" s="192" t="str">
        <x:v>No structural flag</x:v>
      </x:c>
      <x:c r="Y308" s="192" t="str">
        <x:v>Not Yet Reviewed</x:v>
      </x:c>
      <x:c r="Z308" s="192" t="str">
        <x:v>CTA LMFT WB5; Pearson VUE LMFT Outline Area 2</x:v>
      </x:c>
      <x:c r="AA308" s="192" t="str">
        <x:v>CTA_LMFT_Comprehensive_Simulation_Form_A_Answer_Key_and_Detailed_Rationales_v1.0.docx</x:v>
      </x:c>
      <x:c r="AB308" s="192" t="str">
        <x:v>1.0</x:v>
      </x:c>
      <x:c r="AC308" s="193"/>
      <x:c r="AD308" s="193" t="n">
        <x:v>46228</x:v>
      </x:c>
      <x:c r="AE308" s="192" t="str">
        <x:v>Approved for Form A</x:v>
      </x:c>
      <x:c r="AF308" s="194" t="str">
        <x:v>Form A only; paired alternate retained on the other comprehensive form</x:v>
      </x:c>
    </x:row>
    <x:row r="309">
      <x:c r="A309" s="191" t="str">
        <x:v>CTA-LMFT-MQB-0308</x:v>
      </x:c>
      <x:c r="B309" s="192" t="str">
        <x:v>LMFT-MQB-FA-TX-001</x:v>
      </x:c>
      <x:c r="C309" s="192" t="str">
        <x:v>LMFT</x:v>
      </x:c>
      <x:c r="D309" s="192" t="str">
        <x:v>Comprehensive Simulation</x:v>
      </x:c>
      <x:c r="E309" s="192"/>
      <x:c r="F309" s="192"/>
      <x:c r="G309" s="192" t="str">
        <x:v>Form A</x:v>
      </x:c>
      <x:c r="H309" s="192" t="n">
        <x:v>104</x:v>
      </x:c>
      <x:c r="I309" s="192" t="str">
        <x:v>Scored-Style</x:v>
      </x:c>
      <x:c r="J309" s="192" t="str">
        <x:v>5. Treatment</x:v>
      </x:c>
      <x:c r="K309" s="192" t="str">
        <x:v>Structural intervention</x:v>
      </x:c>
      <x:c r="L309" s="192" t="str"/>
      <x:c r="M309" s="192" t="str">
        <x:v>Easy</x:v>
      </x:c>
      <x:c r="N309" s="192" t="str">
        <x:v>Easy</x:v>
      </x:c>
      <x:c r="O309" s="192" t="str">
        <x:v>Direct recognition</x:v>
      </x:c>
      <x:c r="P309" s="192" t="str">
        <x:v>Knowledge &amp; Recall</x:v>
      </x:c>
      <x:c r="Q309" s="192" t="n">
        <x:v>4</x:v>
      </x:c>
      <x:c r="R309" s="192" t="str">
        <x:v>A</x:v>
      </x:c>
      <x:c r="S309" s="192" t="str">
        <x:v>Approved</x:v>
      </x:c>
      <x:c r="T309" s="192" t="str">
        <x:v>Active</x:v>
      </x:c>
      <x:c r="U309" s="192" t="n">
        <x:v>1</x:v>
      </x:c>
      <x:c r="V309" s="192" t="str">
        <x:v>LMFT-ALT-108</x:v>
      </x:c>
      <x:c r="W309" s="192" t="str">
        <x:v>No additional flag</x:v>
      </x:c>
      <x:c r="X309" s="192" t="str">
        <x:v>No structural flag</x:v>
      </x:c>
      <x:c r="Y309" s="192" t="str">
        <x:v>Not Yet Reviewed</x:v>
      </x:c>
      <x:c r="Z309" s="192" t="str">
        <x:v>CTA LMFT WB8; CTA LMFT WB11; Pearson VUE LMFT Outline Area 5</x:v>
      </x:c>
      <x:c r="AA309" s="192" t="str">
        <x:v>CTA_LMFT_Comprehensive_Simulation_Form_A_Answer_Key_and_Detailed_Rationales_v1.0.docx</x:v>
      </x:c>
      <x:c r="AB309" s="192" t="str">
        <x:v>1.0</x:v>
      </x:c>
      <x:c r="AC309" s="193"/>
      <x:c r="AD309" s="193" t="n">
        <x:v>46228</x:v>
      </x:c>
      <x:c r="AE309" s="192" t="str">
        <x:v>Approved for Form A</x:v>
      </x:c>
      <x:c r="AF309" s="194" t="str">
        <x:v>Form A only; paired alternate retained on the other comprehensive form</x:v>
      </x:c>
    </x:row>
    <x:row r="310">
      <x:c r="A310" s="191" t="str">
        <x:v>CTA-LMFT-MQB-0309</x:v>
      </x:c>
      <x:c r="B310" s="192" t="str">
        <x:v>LMFT-MQB-FA-CE-006</x:v>
      </x:c>
      <x:c r="C310" s="192" t="str">
        <x:v>LMFT</x:v>
      </x:c>
      <x:c r="D310" s="192" t="str">
        <x:v>Comprehensive Simulation</x:v>
      </x:c>
      <x:c r="E310" s="192"/>
      <x:c r="F310" s="192"/>
      <x:c r="G310" s="192" t="str">
        <x:v>Form A</x:v>
      </x:c>
      <x:c r="H310" s="192" t="n">
        <x:v>105</x:v>
      </x:c>
      <x:c r="I310" s="192" t="str">
        <x:v>Scored-Style</x:v>
      </x:c>
      <x:c r="J310" s="192" t="str">
        <x:v>1. Clinical Evaluation</x:v>
      </x:c>
      <x:c r="K310" s="192" t="str">
        <x:v>Open-ended interviewing</x:v>
      </x:c>
      <x:c r="L310" s="192" t="str"/>
      <x:c r="M310" s="192" t="str">
        <x:v>Easy</x:v>
      </x:c>
      <x:c r="N310" s="192" t="str">
        <x:v>Easy</x:v>
      </x:c>
      <x:c r="O310" s="192" t="str">
        <x:v>Application</x:v>
      </x:c>
      <x:c r="P310" s="192" t="str">
        <x:v>Application</x:v>
      </x:c>
      <x:c r="Q310" s="192" t="n">
        <x:v>4</x:v>
      </x:c>
      <x:c r="R310" s="192" t="str">
        <x:v>C</x:v>
      </x:c>
      <x:c r="S310" s="192" t="str">
        <x:v>Approved</x:v>
      </x:c>
      <x:c r="T310" s="192" t="str">
        <x:v>Active</x:v>
      </x:c>
      <x:c r="U310" s="192" t="n">
        <x:v>1</x:v>
      </x:c>
      <x:c r="V310" s="192" t="str">
        <x:v>LMFT-ALT-006</x:v>
      </x:c>
      <x:c r="W310" s="192" t="str">
        <x:v>No additional flag</x:v>
      </x:c>
      <x:c r="X310" s="192" t="str">
        <x:v>No structural flag</x:v>
      </x:c>
      <x:c r="Y310" s="192" t="str">
        <x:v>Not Yet Reviewed</x:v>
      </x:c>
      <x:c r="Z310" s="192" t="str">
        <x:v>CTA LMFT WB2; Pearson VUE LMFT Outline Area 1</x:v>
      </x:c>
      <x:c r="AA310" s="192" t="str">
        <x:v>CTA_LMFT_Comprehensive_Simulation_Form_A_Answer_Key_and_Detailed_Rationales_v1.0.docx</x:v>
      </x:c>
      <x:c r="AB310" s="192" t="str">
        <x:v>1.0</x:v>
      </x:c>
      <x:c r="AC310" s="193"/>
      <x:c r="AD310" s="193" t="n">
        <x:v>46228</x:v>
      </x:c>
      <x:c r="AE310" s="192" t="str">
        <x:v>Approved for Form A</x:v>
      </x:c>
      <x:c r="AF310" s="194" t="str">
        <x:v>Form A only; paired alternate retained on the other comprehensive form</x:v>
      </x:c>
    </x:row>
    <x:row r="311">
      <x:c r="A311" s="191" t="str">
        <x:v>CTA-LMFT-MQB-0310</x:v>
      </x:c>
      <x:c r="B311" s="192" t="str">
        <x:v>LMFT-MQB-FA-CE-030</x:v>
      </x:c>
      <x:c r="C311" s="192" t="str">
        <x:v>LMFT</x:v>
      </x:c>
      <x:c r="D311" s="192" t="str">
        <x:v>Comprehensive Simulation</x:v>
      </x:c>
      <x:c r="E311" s="192"/>
      <x:c r="F311" s="192"/>
      <x:c r="G311" s="192" t="str">
        <x:v>Form A</x:v>
      </x:c>
      <x:c r="H311" s="192" t="n">
        <x:v>106</x:v>
      </x:c>
      <x:c r="I311" s="192" t="str">
        <x:v>Scored-Style</x:v>
      </x:c>
      <x:c r="J311" s="192" t="str">
        <x:v>1. Clinical Evaluation</x:v>
      </x:c>
      <x:c r="K311" s="192" t="str">
        <x:v>Possible cognitive disorder</x:v>
      </x:c>
      <x:c r="L311" s="192" t="str"/>
      <x:c r="M311" s="192" t="str">
        <x:v>Moderate</x:v>
      </x:c>
      <x:c r="N311" s="192" t="str">
        <x:v>Moderate</x:v>
      </x:c>
      <x:c r="O311" s="192" t="str">
        <x:v>Scenario-based sequencing</x:v>
      </x:c>
      <x:c r="P311" s="192" t="str">
        <x:v>Scenario-Based</x:v>
      </x:c>
      <x:c r="Q311" s="192" t="n">
        <x:v>4</x:v>
      </x:c>
      <x:c r="R311" s="192" t="str">
        <x:v>C</x:v>
      </x:c>
      <x:c r="S311" s="192" t="str">
        <x:v>Approved</x:v>
      </x:c>
      <x:c r="T311" s="192" t="str">
        <x:v>Active</x:v>
      </x:c>
      <x:c r="U311" s="192" t="n">
        <x:v>1</x:v>
      </x:c>
      <x:c r="V311" s="192" t="str">
        <x:v>LMFT-ALT-030</x:v>
      </x:c>
      <x:c r="W311" s="192" t="str">
        <x:v>No additional flag</x:v>
      </x:c>
      <x:c r="X311" s="192" t="str">
        <x:v>No structural flag</x:v>
      </x:c>
      <x:c r="Y311" s="192" t="str">
        <x:v>Not Yet Reviewed</x:v>
      </x:c>
      <x:c r="Z311" s="192" t="str">
        <x:v>CTA LMFT WB2; CTA LMFT WB3; Pearson VUE LMFT Outline Area 1</x:v>
      </x:c>
      <x:c r="AA311" s="192" t="str">
        <x:v>CTA_LMFT_Comprehensive_Simulation_Form_A_Answer_Key_and_Detailed_Rationales_v1.0.docx</x:v>
      </x:c>
      <x:c r="AB311" s="192" t="str">
        <x:v>1.0</x:v>
      </x:c>
      <x:c r="AC311" s="193"/>
      <x:c r="AD311" s="193" t="n">
        <x:v>46228</x:v>
      </x:c>
      <x:c r="AE311" s="192" t="str">
        <x:v>Approved for Form A</x:v>
      </x:c>
      <x:c r="AF311" s="194" t="str">
        <x:v>Form A only; paired alternate retained on the other comprehensive form</x:v>
      </x:c>
    </x:row>
    <x:row r="312">
      <x:c r="A312" s="191" t="str">
        <x:v>CTA-LMFT-MQB-0311</x:v>
      </x:c>
      <x:c r="B312" s="192" t="str">
        <x:v>LMFT-MQB-FA-TX-024</x:v>
      </x:c>
      <x:c r="C312" s="192" t="str">
        <x:v>LMFT</x:v>
      </x:c>
      <x:c r="D312" s="192" t="str">
        <x:v>Comprehensive Simulation</x:v>
      </x:c>
      <x:c r="E312" s="192"/>
      <x:c r="F312" s="192"/>
      <x:c r="G312" s="192" t="str">
        <x:v>Form A</x:v>
      </x:c>
      <x:c r="H312" s="192" t="n">
        <x:v>107</x:v>
      </x:c>
      <x:c r="I312" s="192" t="str">
        <x:v>Pretest-Style</x:v>
      </x:c>
      <x:c r="J312" s="192" t="str">
        <x:v>5. Treatment</x:v>
      </x:c>
      <x:c r="K312" s="192" t="str">
        <x:v>Parent-child escalation</x:v>
      </x:c>
      <x:c r="L312" s="192" t="str"/>
      <x:c r="M312" s="192" t="str">
        <x:v>Easy</x:v>
      </x:c>
      <x:c r="N312" s="192" t="str">
        <x:v>Easy</x:v>
      </x:c>
      <x:c r="O312" s="192" t="str">
        <x:v>Scenario-based sequencing</x:v>
      </x:c>
      <x:c r="P312" s="192" t="str">
        <x:v>Scenario-Based</x:v>
      </x:c>
      <x:c r="Q312" s="192" t="n">
        <x:v>4</x:v>
      </x:c>
      <x:c r="R312" s="192" t="str">
        <x:v>C</x:v>
      </x:c>
      <x:c r="S312" s="192" t="str">
        <x:v>Approved</x:v>
      </x:c>
      <x:c r="T312" s="192" t="str">
        <x:v>Active</x:v>
      </x:c>
      <x:c r="U312" s="192" t="n">
        <x:v>1</x:v>
      </x:c>
      <x:c r="V312" s="192" t="str">
        <x:v>LMFT-ALT-131</x:v>
      </x:c>
      <x:c r="W312" s="192" t="str">
        <x:v>No additional flag</x:v>
      </x:c>
      <x:c r="X312" s="192" t="str">
        <x:v>No structural flag</x:v>
      </x:c>
      <x:c r="Y312" s="192" t="str">
        <x:v>Not Yet Reviewed</x:v>
      </x:c>
      <x:c r="Z312" s="192" t="str">
        <x:v>CTA LMFT WB9; Pearson VUE LMFT Outline Area 5</x:v>
      </x:c>
      <x:c r="AA312" s="192" t="str">
        <x:v>CTA_LMFT_Comprehensive_Simulation_Form_A_Answer_Key_and_Detailed_Rationales_v1.0.docx</x:v>
      </x:c>
      <x:c r="AB312" s="192" t="str">
        <x:v>1.0</x:v>
      </x:c>
      <x:c r="AC312" s="193"/>
      <x:c r="AD312" s="193" t="n">
        <x:v>46228</x:v>
      </x:c>
      <x:c r="AE312" s="192" t="str">
        <x:v>Approved for Form A</x:v>
      </x:c>
      <x:c r="AF312" s="194" t="str">
        <x:v>Form A only; paired alternate retained on the other comprehensive form</x:v>
      </x:c>
    </x:row>
    <x:row r="313">
      <x:c r="A313" s="191" t="str">
        <x:v>CTA-LMFT-MQB-0312</x:v>
      </x:c>
      <x:c r="B313" s="192" t="str">
        <x:v>LMFT-MQB-FA-CP-008</x:v>
      </x:c>
      <x:c r="C313" s="192" t="str">
        <x:v>LMFT</x:v>
      </x:c>
      <x:c r="D313" s="192" t="str">
        <x:v>Comprehensive Simulation</x:v>
      </x:c>
      <x:c r="E313" s="192"/>
      <x:c r="F313" s="192"/>
      <x:c r="G313" s="192" t="str">
        <x:v>Form A</x:v>
      </x:c>
      <x:c r="H313" s="192" t="n">
        <x:v>108</x:v>
      </x:c>
      <x:c r="I313" s="192" t="str">
        <x:v>Scored-Style</x:v>
      </x:c>
      <x:c r="J313" s="192" t="str">
        <x:v>4. Case Conceptualization and Planning</x:v>
      </x:c>
      <x:c r="K313" s="192" t="str">
        <x:v>Third-party constraints</x:v>
      </x:c>
      <x:c r="L313" s="192" t="str"/>
      <x:c r="M313" s="192" t="str">
        <x:v>Moderate</x:v>
      </x:c>
      <x:c r="N313" s="192" t="str">
        <x:v>Moderate</x:v>
      </x:c>
      <x:c r="O313" s="192" t="str">
        <x:v>Application</x:v>
      </x:c>
      <x:c r="P313" s="192" t="str">
        <x:v>Application</x:v>
      </x:c>
      <x:c r="Q313" s="192" t="n">
        <x:v>4</x:v>
      </x:c>
      <x:c r="R313" s="192" t="str">
        <x:v>B</x:v>
      </x:c>
      <x:c r="S313" s="192" t="str">
        <x:v>Approved</x:v>
      </x:c>
      <x:c r="T313" s="192" t="str">
        <x:v>Active</x:v>
      </x:c>
      <x:c r="U313" s="192" t="n">
        <x:v>1</x:v>
      </x:c>
      <x:c r="V313" s="192" t="str">
        <x:v>LMFT-ALT-049</x:v>
      </x:c>
      <x:c r="W313" s="192" t="str">
        <x:v>No additional flag</x:v>
      </x:c>
      <x:c r="X313" s="192" t="str">
        <x:v>No structural flag</x:v>
      </x:c>
      <x:c r="Y313" s="192" t="str">
        <x:v>Not Yet Reviewed</x:v>
      </x:c>
      <x:c r="Z313" s="192" t="str">
        <x:v>CTA LMFT WB7; CTA LMFT WB12; Pearson VUE LMFT Outline Area 4</x:v>
      </x:c>
      <x:c r="AA313" s="192" t="str">
        <x:v>CTA_LMFT_Comprehensive_Simulation_Form_A_Answer_Key_and_Detailed_Rationales_v1.0.docx</x:v>
      </x:c>
      <x:c r="AB313" s="192" t="str">
        <x:v>1.0</x:v>
      </x:c>
      <x:c r="AC313" s="193"/>
      <x:c r="AD313" s="193" t="n">
        <x:v>46228</x:v>
      </x:c>
      <x:c r="AE313" s="192" t="str">
        <x:v>Approved for Form A</x:v>
      </x:c>
      <x:c r="AF313" s="194" t="str">
        <x:v>Form A only; paired alternate retained on the other comprehensive form</x:v>
      </x:c>
    </x:row>
    <x:row r="314">
      <x:c r="A314" s="191" t="str">
        <x:v>CTA-LMFT-MQB-0313</x:v>
      </x:c>
      <x:c r="B314" s="192" t="str">
        <x:v>LMFT-MQB-FA-CE-015</x:v>
      </x:c>
      <x:c r="C314" s="192" t="str">
        <x:v>LMFT</x:v>
      </x:c>
      <x:c r="D314" s="192" t="str">
        <x:v>Comprehensive Simulation</x:v>
      </x:c>
      <x:c r="E314" s="192"/>
      <x:c r="F314" s="192"/>
      <x:c r="G314" s="192" t="str">
        <x:v>Form A</x:v>
      </x:c>
      <x:c r="H314" s="192" t="n">
        <x:v>109</x:v>
      </x:c>
      <x:c r="I314" s="192" t="str">
        <x:v>Scored-Style</x:v>
      </x:c>
      <x:c r="J314" s="192" t="str">
        <x:v>1. Clinical Evaluation</x:v>
      </x:c>
      <x:c r="K314" s="192" t="str">
        <x:v>Collateral discrepancy</x:v>
      </x:c>
      <x:c r="L314" s="192" t="str"/>
      <x:c r="M314" s="192" t="str">
        <x:v>Moderate</x:v>
      </x:c>
      <x:c r="N314" s="192" t="str">
        <x:v>Moderate</x:v>
      </x:c>
      <x:c r="O314" s="192" t="str">
        <x:v>Application</x:v>
      </x:c>
      <x:c r="P314" s="192" t="str">
        <x:v>Application</x:v>
      </x:c>
      <x:c r="Q314" s="192" t="n">
        <x:v>4</x:v>
      </x:c>
      <x:c r="R314" s="192" t="str">
        <x:v>A</x:v>
      </x:c>
      <x:c r="S314" s="192" t="str">
        <x:v>Approved</x:v>
      </x:c>
      <x:c r="T314" s="192" t="str">
        <x:v>Active</x:v>
      </x:c>
      <x:c r="U314" s="192" t="n">
        <x:v>1</x:v>
      </x:c>
      <x:c r="V314" s="192" t="str">
        <x:v>LMFT-ALT-015</x:v>
      </x:c>
      <x:c r="W314" s="192" t="str">
        <x:v>No additional flag</x:v>
      </x:c>
      <x:c r="X314" s="192" t="str">
        <x:v>No structural flag</x:v>
      </x:c>
      <x:c r="Y314" s="192" t="str">
        <x:v>Not Yet Reviewed</x:v>
      </x:c>
      <x:c r="Z314" s="192" t="str">
        <x:v>CTA LMFT WB4; Pearson VUE LMFT Outline Area 1</x:v>
      </x:c>
      <x:c r="AA314" s="192" t="str">
        <x:v>CTA_LMFT_Comprehensive_Simulation_Form_A_Answer_Key_and_Detailed_Rationales_v1.0.docx</x:v>
      </x:c>
      <x:c r="AB314" s="192" t="str">
        <x:v>1.0</x:v>
      </x:c>
      <x:c r="AC314" s="193"/>
      <x:c r="AD314" s="193" t="n">
        <x:v>46228</x:v>
      </x:c>
      <x:c r="AE314" s="192" t="str">
        <x:v>Approved for Form A</x:v>
      </x:c>
      <x:c r="AF314" s="194" t="str">
        <x:v>Form A only; paired alternate retained on the other comprehensive form</x:v>
      </x:c>
    </x:row>
    <x:row r="315">
      <x:c r="A315" s="191" t="str">
        <x:v>CTA-LMFT-MQB-0314</x:v>
      </x:c>
      <x:c r="B315" s="192" t="str">
        <x:v>LMFT-MQB-FA-DI-012</x:v>
      </x:c>
      <x:c r="C315" s="192" t="str">
        <x:v>LMFT</x:v>
      </x:c>
      <x:c r="D315" s="192" t="str">
        <x:v>Comprehensive Simulation</x:v>
      </x:c>
      <x:c r="E315" s="192"/>
      <x:c r="F315" s="192"/>
      <x:c r="G315" s="192" t="str">
        <x:v>Form A</x:v>
      </x:c>
      <x:c r="H315" s="192" t="n">
        <x:v>110</x:v>
      </x:c>
      <x:c r="I315" s="192" t="str">
        <x:v>Scored-Style</x:v>
      </x:c>
      <x:c r="J315" s="192" t="str">
        <x:v>2. Developing a Diagnostic Impression</x:v>
      </x:c>
      <x:c r="K315" s="192" t="str">
        <x:v>ADHD versus trauma</x:v>
      </x:c>
      <x:c r="L315" s="192" t="str"/>
      <x:c r="M315" s="192" t="str">
        <x:v>Moderate</x:v>
      </x:c>
      <x:c r="N315" s="192" t="str">
        <x:v>Moderate</x:v>
      </x:c>
      <x:c r="O315" s="192" t="str">
        <x:v>Scenario-based sequencing</x:v>
      </x:c>
      <x:c r="P315" s="192" t="str">
        <x:v>Scenario-Based</x:v>
      </x:c>
      <x:c r="Q315" s="192" t="n">
        <x:v>4</x:v>
      </x:c>
      <x:c r="R315" s="192" t="str">
        <x:v>D</x:v>
      </x:c>
      <x:c r="S315" s="192" t="str">
        <x:v>Approved</x:v>
      </x:c>
      <x:c r="T315" s="192" t="str">
        <x:v>Active</x:v>
      </x:c>
      <x:c r="U315" s="192" t="n">
        <x:v>1</x:v>
      </x:c>
      <x:c r="V315" s="192" t="str">
        <x:v>LMFT-ALT-087</x:v>
      </x:c>
      <x:c r="W315" s="192" t="str">
        <x:v>No additional flag</x:v>
      </x:c>
      <x:c r="X315" s="192" t="str">
        <x:v>No structural flag</x:v>
      </x:c>
      <x:c r="Y315" s="192" t="str">
        <x:v>Not Yet Reviewed</x:v>
      </x:c>
      <x:c r="Z315" s="192" t="str">
        <x:v>CTA LMFT WB3; CTA LMFT WB5; Pearson VUE LMFT Outline Area 2</x:v>
      </x:c>
      <x:c r="AA315" s="192" t="str">
        <x:v>CTA_LMFT_Comprehensive_Simulation_Form_A_Answer_Key_and_Detailed_Rationales_v1.0.docx</x:v>
      </x:c>
      <x:c r="AB315" s="192" t="str">
        <x:v>1.0</x:v>
      </x:c>
      <x:c r="AC315" s="193"/>
      <x:c r="AD315" s="193" t="n">
        <x:v>46228</x:v>
      </x:c>
      <x:c r="AE315" s="192" t="str">
        <x:v>Approved for Form A</x:v>
      </x:c>
      <x:c r="AF315" s="194" t="str">
        <x:v>Form A only; paired alternate retained on the other comprehensive form</x:v>
      </x:c>
    </x:row>
    <x:row r="316">
      <x:c r="A316" s="191" t="str">
        <x:v>CTA-LMFT-MQB-0315</x:v>
      </x:c>
      <x:c r="B316" s="192" t="str">
        <x:v>LMFT-MQB-FA-CE-007</x:v>
      </x:c>
      <x:c r="C316" s="192" t="str">
        <x:v>LMFT</x:v>
      </x:c>
      <x:c r="D316" s="192" t="str">
        <x:v>Comprehensive Simulation</x:v>
      </x:c>
      <x:c r="E316" s="192"/>
      <x:c r="F316" s="192"/>
      <x:c r="G316" s="192" t="str">
        <x:v>Form A</x:v>
      </x:c>
      <x:c r="H316" s="192" t="n">
        <x:v>111</x:v>
      </x:c>
      <x:c r="I316" s="192" t="str">
        <x:v>Scored-Style</x:v>
      </x:c>
      <x:c r="J316" s="192" t="str">
        <x:v>1. Clinical Evaluation</x:v>
      </x:c>
      <x:c r="K316" s="192" t="str">
        <x:v>Clarifying referral expectations</x:v>
      </x:c>
      <x:c r="L316" s="192" t="str"/>
      <x:c r="M316" s="192" t="str">
        <x:v>Easy</x:v>
      </x:c>
      <x:c r="N316" s="192" t="str">
        <x:v>Easy</x:v>
      </x:c>
      <x:c r="O316" s="192" t="str">
        <x:v>Application</x:v>
      </x:c>
      <x:c r="P316" s="192" t="str">
        <x:v>Application</x:v>
      </x:c>
      <x:c r="Q316" s="192" t="n">
        <x:v>4</x:v>
      </x:c>
      <x:c r="R316" s="192" t="str">
        <x:v>D</x:v>
      </x:c>
      <x:c r="S316" s="192" t="str">
        <x:v>Approved</x:v>
      </x:c>
      <x:c r="T316" s="192" t="str">
        <x:v>Active</x:v>
      </x:c>
      <x:c r="U316" s="192" t="n">
        <x:v>1</x:v>
      </x:c>
      <x:c r="V316" s="192" t="str">
        <x:v>LMFT-ALT-007</x:v>
      </x:c>
      <x:c r="W316" s="192" t="str">
        <x:v>No additional flag</x:v>
      </x:c>
      <x:c r="X316" s="192" t="str">
        <x:v>No structural flag</x:v>
      </x:c>
      <x:c r="Y316" s="192" t="str">
        <x:v>Not Yet Reviewed</x:v>
      </x:c>
      <x:c r="Z316" s="192" t="str">
        <x:v>CTA LMFT WB2; CTA LMFT WB12; Pearson VUE LMFT Outline Area 1</x:v>
      </x:c>
      <x:c r="AA316" s="192" t="str">
        <x:v>CTA_LMFT_Comprehensive_Simulation_Form_A_Answer_Key_and_Detailed_Rationales_v1.0.docx</x:v>
      </x:c>
      <x:c r="AB316" s="192" t="str">
        <x:v>1.0</x:v>
      </x:c>
      <x:c r="AC316" s="193"/>
      <x:c r="AD316" s="193" t="n">
        <x:v>46228</x:v>
      </x:c>
      <x:c r="AE316" s="192" t="str">
        <x:v>Approved for Form A</x:v>
      </x:c>
      <x:c r="AF316" s="194" t="str">
        <x:v>Form A only; paired alternate retained on the other comprehensive form</x:v>
      </x:c>
    </x:row>
    <x:row r="317">
      <x:c r="A317" s="191" t="str">
        <x:v>CTA-LMFT-MQB-0316</x:v>
      </x:c>
      <x:c r="B317" s="192" t="str">
        <x:v>LMFT-MQB-FA-TX-007</x:v>
      </x:c>
      <x:c r="C317" s="192" t="str">
        <x:v>LMFT</x:v>
      </x:c>
      <x:c r="D317" s="192" t="str">
        <x:v>Comprehensive Simulation</x:v>
      </x:c>
      <x:c r="E317" s="192"/>
      <x:c r="F317" s="192"/>
      <x:c r="G317" s="192" t="str">
        <x:v>Form A</x:v>
      </x:c>
      <x:c r="H317" s="192" t="n">
        <x:v>112</x:v>
      </x:c>
      <x:c r="I317" s="192" t="str">
        <x:v>Scored-Style</x:v>
      </x:c>
      <x:c r="J317" s="192" t="str">
        <x:v>5. Treatment</x:v>
      </x:c>
      <x:c r="K317" s="192" t="str">
        <x:v>Emotion regulation</x:v>
      </x:c>
      <x:c r="L317" s="192" t="str"/>
      <x:c r="M317" s="192" t="str">
        <x:v>Easy</x:v>
      </x:c>
      <x:c r="N317" s="192" t="str">
        <x:v>Easy</x:v>
      </x:c>
      <x:c r="O317" s="192" t="str">
        <x:v>Application</x:v>
      </x:c>
      <x:c r="P317" s="192" t="str">
        <x:v>Application</x:v>
      </x:c>
      <x:c r="Q317" s="192" t="n">
        <x:v>4</x:v>
      </x:c>
      <x:c r="R317" s="192" t="str">
        <x:v>D</x:v>
      </x:c>
      <x:c r="S317" s="192" t="str">
        <x:v>Approved</x:v>
      </x:c>
      <x:c r="T317" s="192" t="str">
        <x:v>Active</x:v>
      </x:c>
      <x:c r="U317" s="192" t="n">
        <x:v>1</x:v>
      </x:c>
      <x:c r="V317" s="192" t="str">
        <x:v>LMFT-ALT-114</x:v>
      </x:c>
      <x:c r="W317" s="192" t="str">
        <x:v>No additional flag</x:v>
      </x:c>
      <x:c r="X317" s="192" t="str">
        <x:v>No structural flag</x:v>
      </x:c>
      <x:c r="Y317" s="192" t="str">
        <x:v>Not Yet Reviewed</x:v>
      </x:c>
      <x:c r="Z317" s="192" t="str">
        <x:v>CTA LMFT WB9; Pearson VUE LMFT Outline Area 5</x:v>
      </x:c>
      <x:c r="AA317" s="192" t="str">
        <x:v>CTA_LMFT_Comprehensive_Simulation_Form_A_Answer_Key_and_Detailed_Rationales_v1.0.docx</x:v>
      </x:c>
      <x:c r="AB317" s="192" t="str">
        <x:v>1.0</x:v>
      </x:c>
      <x:c r="AC317" s="193"/>
      <x:c r="AD317" s="193" t="n">
        <x:v>46228</x:v>
      </x:c>
      <x:c r="AE317" s="192" t="str">
        <x:v>Approved for Form A</x:v>
      </x:c>
      <x:c r="AF317" s="194" t="str">
        <x:v>Form A only; paired alternate retained on the other comprehensive form</x:v>
      </x:c>
    </x:row>
    <x:row r="318">
      <x:c r="A318" s="191" t="str">
        <x:v>CTA-LMFT-MQB-0317</x:v>
      </x:c>
      <x:c r="B318" s="192" t="str">
        <x:v>LMFT-MQB-FA-CP-002</x:v>
      </x:c>
      <x:c r="C318" s="192" t="str">
        <x:v>LMFT</x:v>
      </x:c>
      <x:c r="D318" s="192" t="str">
        <x:v>Comprehensive Simulation</x:v>
      </x:c>
      <x:c r="E318" s="192"/>
      <x:c r="F318" s="192"/>
      <x:c r="G318" s="192" t="str">
        <x:v>Form A</x:v>
      </x:c>
      <x:c r="H318" s="192" t="n">
        <x:v>113</x:v>
      </x:c>
      <x:c r="I318" s="192" t="str">
        <x:v>Scored-Style</x:v>
      </x:c>
      <x:c r="J318" s="192" t="str">
        <x:v>4. Case Conceptualization and Planning</x:v>
      </x:c>
      <x:c r="K318" s="192" t="str">
        <x:v>Case conceptualization</x:v>
      </x:c>
      <x:c r="L318" s="192" t="str"/>
      <x:c r="M318" s="192" t="str">
        <x:v>Moderate</x:v>
      </x:c>
      <x:c r="N318" s="192" t="str">
        <x:v>Moderate</x:v>
      </x:c>
      <x:c r="O318" s="192" t="str">
        <x:v>Direct recognition</x:v>
      </x:c>
      <x:c r="P318" s="192" t="str">
        <x:v>Knowledge &amp; Recall</x:v>
      </x:c>
      <x:c r="Q318" s="192" t="n">
        <x:v>4</x:v>
      </x:c>
      <x:c r="R318" s="192" t="str">
        <x:v>A</x:v>
      </x:c>
      <x:c r="S318" s="192" t="str">
        <x:v>Approved</x:v>
      </x:c>
      <x:c r="T318" s="192" t="str">
        <x:v>Active</x:v>
      </x:c>
      <x:c r="U318" s="192" t="n">
        <x:v>1</x:v>
      </x:c>
      <x:c r="V318" s="192" t="str">
        <x:v>LMFT-ALT-043</x:v>
      </x:c>
      <x:c r="W318" s="192" t="str">
        <x:v>No additional flag</x:v>
      </x:c>
      <x:c r="X318" s="192" t="str">
        <x:v>No structural flag</x:v>
      </x:c>
      <x:c r="Y318" s="192" t="str">
        <x:v>Not Yet Reviewed</x:v>
      </x:c>
      <x:c r="Z318" s="192" t="str">
        <x:v>CTA LMFT WB7; Pearson VUE LMFT Outline Area 4</x:v>
      </x:c>
      <x:c r="AA318" s="192" t="str">
        <x:v>CTA_LMFT_Comprehensive_Simulation_Form_A_Answer_Key_and_Detailed_Rationales_v1.0.docx</x:v>
      </x:c>
      <x:c r="AB318" s="192" t="str">
        <x:v>1.0</x:v>
      </x:c>
      <x:c r="AC318" s="193"/>
      <x:c r="AD318" s="193" t="n">
        <x:v>46228</x:v>
      </x:c>
      <x:c r="AE318" s="192" t="str">
        <x:v>Approved for Form A</x:v>
      </x:c>
      <x:c r="AF318" s="194" t="str">
        <x:v>Form A only; paired alternate retained on the other comprehensive form</x:v>
      </x:c>
    </x:row>
    <x:row r="319">
      <x:c r="A319" s="191" t="str">
        <x:v>CTA-LMFT-MQB-0318</x:v>
      </x:c>
      <x:c r="B319" s="192" t="str">
        <x:v>LMFT-MQB-FA-CR-015</x:v>
      </x:c>
      <x:c r="C319" s="192" t="str">
        <x:v>LMFT</x:v>
      </x:c>
      <x:c r="D319" s="192" t="str">
        <x:v>Comprehensive Simulation</x:v>
      </x:c>
      <x:c r="E319" s="192"/>
      <x:c r="F319" s="192"/>
      <x:c r="G319" s="192" t="str">
        <x:v>Form A</x:v>
      </x:c>
      <x:c r="H319" s="192" t="n">
        <x:v>114</x:v>
      </x:c>
      <x:c r="I319" s="192" t="str">
        <x:v>Scored-Style</x:v>
      </x:c>
      <x:c r="J319" s="192" t="str">
        <x:v>3. Managing Crisis Situations</x:v>
      </x:c>
      <x:c r="K319" s="192" t="str">
        <x:v>Suicide risk and family confidentiality</x:v>
      </x:c>
      <x:c r="L319" s="192" t="str"/>
      <x:c r="M319" s="192" t="str">
        <x:v>Difficult</x:v>
      </x:c>
      <x:c r="N319" s="192" t="str">
        <x:v>Difficult</x:v>
      </x:c>
      <x:c r="O319" s="192" t="str">
        <x:v>Integrated reasoning</x:v>
      </x:c>
      <x:c r="P319" s="192" t="str">
        <x:v>Integrated Clinical Reasoning</x:v>
      </x:c>
      <x:c r="Q319" s="192" t="n">
        <x:v>4</x:v>
      </x:c>
      <x:c r="R319" s="192" t="str">
        <x:v>B</x:v>
      </x:c>
      <x:c r="S319" s="192" t="str">
        <x:v>Approved</x:v>
      </x:c>
      <x:c r="T319" s="192" t="str">
        <x:v>Active</x:v>
      </x:c>
      <x:c r="U319" s="192" t="n">
        <x:v>1</x:v>
      </x:c>
      <x:c r="V319" s="192" t="str">
        <x:v>LMFT-ALT-074</x:v>
      </x:c>
      <x:c r="W319" s="192" t="str">
        <x:v>No additional flag</x:v>
      </x:c>
      <x:c r="X319" s="192" t="str">
        <x:v>No structural flag</x:v>
      </x:c>
      <x:c r="Y319" s="192" t="str">
        <x:v>Not Yet Reviewed</x:v>
      </x:c>
      <x:c r="Z319" s="192" t="str">
        <x:v>CTA LMFT WB6; CTA LMFT WB12; Pearson VUE LMFT Outline Area 3</x:v>
      </x:c>
      <x:c r="AA319" s="192" t="str">
        <x:v>CTA_LMFT_Comprehensive_Simulation_Form_A_Answer_Key_and_Detailed_Rationales_v1.0.docx</x:v>
      </x:c>
      <x:c r="AB319" s="192" t="str">
        <x:v>1.0</x:v>
      </x:c>
      <x:c r="AC319" s="193"/>
      <x:c r="AD319" s="193" t="n">
        <x:v>46228</x:v>
      </x:c>
      <x:c r="AE319" s="192" t="str">
        <x:v>Approved for Form A</x:v>
      </x:c>
      <x:c r="AF319" s="194" t="str">
        <x:v>Form A only; paired alternate retained on the other comprehensive form</x:v>
      </x:c>
    </x:row>
    <x:row r="320">
      <x:c r="A320" s="191" t="str">
        <x:v>CTA-LMFT-MQB-0319</x:v>
      </x:c>
      <x:c r="B320" s="192" t="str">
        <x:v>LMFT-MQB-FA-CP-001</x:v>
      </x:c>
      <x:c r="C320" s="192" t="str">
        <x:v>LMFT</x:v>
      </x:c>
      <x:c r="D320" s="192" t="str">
        <x:v>Comprehensive Simulation</x:v>
      </x:c>
      <x:c r="E320" s="192"/>
      <x:c r="F320" s="192"/>
      <x:c r="G320" s="192" t="str">
        <x:v>Form A</x:v>
      </x:c>
      <x:c r="H320" s="192" t="n">
        <x:v>115</x:v>
      </x:c>
      <x:c r="I320" s="192" t="str">
        <x:v>Scored-Style</x:v>
      </x:c>
      <x:c r="J320" s="192" t="str">
        <x:v>4. Case Conceptualization and Planning</x:v>
      </x:c>
      <x:c r="K320" s="192" t="str">
        <x:v>Measurable goals</x:v>
      </x:c>
      <x:c r="L320" s="192" t="str"/>
      <x:c r="M320" s="192" t="str">
        <x:v>Easy</x:v>
      </x:c>
      <x:c r="N320" s="192" t="str">
        <x:v>Easy</x:v>
      </x:c>
      <x:c r="O320" s="192" t="str">
        <x:v>Direct recognition</x:v>
      </x:c>
      <x:c r="P320" s="192" t="str">
        <x:v>Knowledge &amp; Recall</x:v>
      </x:c>
      <x:c r="Q320" s="192" t="n">
        <x:v>4</x:v>
      </x:c>
      <x:c r="R320" s="192" t="str">
        <x:v>D</x:v>
      </x:c>
      <x:c r="S320" s="192" t="str">
        <x:v>Approved</x:v>
      </x:c>
      <x:c r="T320" s="192" t="str">
        <x:v>Active</x:v>
      </x:c>
      <x:c r="U320" s="192" t="n">
        <x:v>1</x:v>
      </x:c>
      <x:c r="V320" s="192" t="str">
        <x:v>LMFT-ALT-042</x:v>
      </x:c>
      <x:c r="W320" s="192" t="str">
        <x:v>No additional flag</x:v>
      </x:c>
      <x:c r="X320" s="192" t="str">
        <x:v>No structural flag</x:v>
      </x:c>
      <x:c r="Y320" s="192" t="str">
        <x:v>Not Yet Reviewed</x:v>
      </x:c>
      <x:c r="Z320" s="192" t="str">
        <x:v>CTA LMFT WB7; Pearson VUE LMFT Outline Area 4</x:v>
      </x:c>
      <x:c r="AA320" s="192" t="str">
        <x:v>CTA_LMFT_Comprehensive_Simulation_Form_A_Answer_Key_and_Detailed_Rationales_v1.0.docx</x:v>
      </x:c>
      <x:c r="AB320" s="192" t="str">
        <x:v>1.0</x:v>
      </x:c>
      <x:c r="AC320" s="193"/>
      <x:c r="AD320" s="193" t="n">
        <x:v>46228</x:v>
      </x:c>
      <x:c r="AE320" s="192" t="str">
        <x:v>Approved for Form A</x:v>
      </x:c>
      <x:c r="AF320" s="194" t="str">
        <x:v>Form A only; paired alternate retained on the other comprehensive form</x:v>
      </x:c>
    </x:row>
    <x:row r="321">
      <x:c r="A321" s="191" t="str">
        <x:v>CTA-LMFT-MQB-0320</x:v>
      </x:c>
      <x:c r="B321" s="192" t="str">
        <x:v>LMFT-MQB-FA-TX-026</x:v>
      </x:c>
      <x:c r="C321" s="192" t="str">
        <x:v>LMFT</x:v>
      </x:c>
      <x:c r="D321" s="192" t="str">
        <x:v>Comprehensive Simulation</x:v>
      </x:c>
      <x:c r="E321" s="192"/>
      <x:c r="F321" s="192"/>
      <x:c r="G321" s="192" t="str">
        <x:v>Form A</x:v>
      </x:c>
      <x:c r="H321" s="192" t="n">
        <x:v>116</x:v>
      </x:c>
      <x:c r="I321" s="192" t="str">
        <x:v>Scored-Style</x:v>
      </x:c>
      <x:c r="J321" s="192" t="str">
        <x:v>5. Treatment</x:v>
      </x:c>
      <x:c r="K321" s="192" t="str">
        <x:v>Couple de-escalation</x:v>
      </x:c>
      <x:c r="L321" s="192" t="str"/>
      <x:c r="M321" s="192" t="str">
        <x:v>Moderate</x:v>
      </x:c>
      <x:c r="N321" s="192" t="str">
        <x:v>Moderate</x:v>
      </x:c>
      <x:c r="O321" s="192" t="str">
        <x:v>Scenario-based sequencing</x:v>
      </x:c>
      <x:c r="P321" s="192" t="str">
        <x:v>Scenario-Based</x:v>
      </x:c>
      <x:c r="Q321" s="192" t="n">
        <x:v>4</x:v>
      </x:c>
      <x:c r="R321" s="192" t="str">
        <x:v>B</x:v>
      </x:c>
      <x:c r="S321" s="192" t="str">
        <x:v>Approved</x:v>
      </x:c>
      <x:c r="T321" s="192" t="str">
        <x:v>Active</x:v>
      </x:c>
      <x:c r="U321" s="192" t="n">
        <x:v>1</x:v>
      </x:c>
      <x:c r="V321" s="192" t="str">
        <x:v>LMFT-ALT-133</x:v>
      </x:c>
      <x:c r="W321" s="192" t="str">
        <x:v>No additional flag</x:v>
      </x:c>
      <x:c r="X321" s="192" t="str">
        <x:v>No structural flag</x:v>
      </x:c>
      <x:c r="Y321" s="192" t="str">
        <x:v>Not Yet Reviewed</x:v>
      </x:c>
      <x:c r="Z321" s="192" t="str">
        <x:v>CTA LMFT WB8; Pearson VUE LMFT Outline Area 5</x:v>
      </x:c>
      <x:c r="AA321" s="192" t="str">
        <x:v>CTA_LMFT_Comprehensive_Simulation_Form_A_Answer_Key_and_Detailed_Rationales_v1.0.docx</x:v>
      </x:c>
      <x:c r="AB321" s="192" t="str">
        <x:v>1.0</x:v>
      </x:c>
      <x:c r="AC321" s="193"/>
      <x:c r="AD321" s="193" t="n">
        <x:v>46228</x:v>
      </x:c>
      <x:c r="AE321" s="192" t="str">
        <x:v>Approved for Form A</x:v>
      </x:c>
      <x:c r="AF321" s="194" t="str">
        <x:v>Form A only; paired alternate retained on the other comprehensive form</x:v>
      </x:c>
    </x:row>
    <x:row r="322">
      <x:c r="A322" s="191" t="str">
        <x:v>CTA-LMFT-MQB-0321</x:v>
      </x:c>
      <x:c r="B322" s="192" t="str">
        <x:v>LMFT-MQB-FA-DI-013</x:v>
      </x:c>
      <x:c r="C322" s="192" t="str">
        <x:v>LMFT</x:v>
      </x:c>
      <x:c r="D322" s="192" t="str">
        <x:v>Comprehensive Simulation</x:v>
      </x:c>
      <x:c r="E322" s="192"/>
      <x:c r="F322" s="192"/>
      <x:c r="G322" s="192" t="str">
        <x:v>Form A</x:v>
      </x:c>
      <x:c r="H322" s="192" t="n">
        <x:v>117</x:v>
      </x:c>
      <x:c r="I322" s="192" t="str">
        <x:v>Scored-Style</x:v>
      </x:c>
      <x:c r="J322" s="192" t="str">
        <x:v>2. Developing a Diagnostic Impression</x:v>
      </x:c>
      <x:c r="K322" s="192" t="str">
        <x:v>Psychosis versus cultural belief</x:v>
      </x:c>
      <x:c r="L322" s="192" t="str"/>
      <x:c r="M322" s="192" t="str">
        <x:v>Moderate</x:v>
      </x:c>
      <x:c r="N322" s="192" t="str">
        <x:v>Moderate</x:v>
      </x:c>
      <x:c r="O322" s="192" t="str">
        <x:v>Scenario-based sequencing</x:v>
      </x:c>
      <x:c r="P322" s="192" t="str">
        <x:v>Scenario-Based</x:v>
      </x:c>
      <x:c r="Q322" s="192" t="n">
        <x:v>4</x:v>
      </x:c>
      <x:c r="R322" s="192" t="str">
        <x:v>A</x:v>
      </x:c>
      <x:c r="S322" s="192" t="str">
        <x:v>Approved</x:v>
      </x:c>
      <x:c r="T322" s="192" t="str">
        <x:v>Active</x:v>
      </x:c>
      <x:c r="U322" s="192" t="n">
        <x:v>1</x:v>
      </x:c>
      <x:c r="V322" s="192" t="str">
        <x:v>LMFT-ALT-088</x:v>
      </x:c>
      <x:c r="W322" s="192" t="str">
        <x:v>No additional flag</x:v>
      </x:c>
      <x:c r="X322" s="192" t="str">
        <x:v>No structural flag</x:v>
      </x:c>
      <x:c r="Y322" s="192" t="str">
        <x:v>Not Yet Reviewed</x:v>
      </x:c>
      <x:c r="Z322" s="192" t="str">
        <x:v>CTA LMFT WB3; CTA LMFT WB5; Pearson VUE LMFT Outline Area 2</x:v>
      </x:c>
      <x:c r="AA322" s="192" t="str">
        <x:v>CTA_LMFT_Comprehensive_Simulation_Form_A_Answer_Key_and_Detailed_Rationales_v1.0.docx</x:v>
      </x:c>
      <x:c r="AB322" s="192" t="str">
        <x:v>1.0</x:v>
      </x:c>
      <x:c r="AC322" s="193"/>
      <x:c r="AD322" s="193" t="n">
        <x:v>46228</x:v>
      </x:c>
      <x:c r="AE322" s="192" t="str">
        <x:v>Approved for Form A</x:v>
      </x:c>
      <x:c r="AF322" s="194" t="str">
        <x:v>Form A only; paired alternate retained on the other comprehensive form</x:v>
      </x:c>
    </x:row>
    <x:row r="323">
      <x:c r="A323" s="191" t="str">
        <x:v>CTA-LMFT-MQB-0322</x:v>
      </x:c>
      <x:c r="B323" s="192" t="str">
        <x:v>LMFT-MQB-FA-CP-003</x:v>
      </x:c>
      <x:c r="C323" s="192" t="str">
        <x:v>LMFT</x:v>
      </x:c>
      <x:c r="D323" s="192" t="str">
        <x:v>Comprehensive Simulation</x:v>
      </x:c>
      <x:c r="E323" s="192"/>
      <x:c r="F323" s="192"/>
      <x:c r="G323" s="192" t="str">
        <x:v>Form A</x:v>
      </x:c>
      <x:c r="H323" s="192" t="n">
        <x:v>118</x:v>
      </x:c>
      <x:c r="I323" s="192" t="str">
        <x:v>Scored-Style</x:v>
      </x:c>
      <x:c r="J323" s="192" t="str">
        <x:v>4. Case Conceptualization and Planning</x:v>
      </x:c>
      <x:c r="K323" s="192" t="str">
        <x:v>Goal hierarchy</x:v>
      </x:c>
      <x:c r="L323" s="192" t="str"/>
      <x:c r="M323" s="192" t="str">
        <x:v>Easy</x:v>
      </x:c>
      <x:c r="N323" s="192" t="str">
        <x:v>Easy</x:v>
      </x:c>
      <x:c r="O323" s="192" t="str">
        <x:v>Application</x:v>
      </x:c>
      <x:c r="P323" s="192" t="str">
        <x:v>Application</x:v>
      </x:c>
      <x:c r="Q323" s="192" t="n">
        <x:v>4</x:v>
      </x:c>
      <x:c r="R323" s="192" t="str">
        <x:v>A</x:v>
      </x:c>
      <x:c r="S323" s="192" t="str">
        <x:v>Approved</x:v>
      </x:c>
      <x:c r="T323" s="192" t="str">
        <x:v>Active</x:v>
      </x:c>
      <x:c r="U323" s="192" t="n">
        <x:v>1</x:v>
      </x:c>
      <x:c r="V323" s="192" t="str">
        <x:v>LMFT-ALT-044</x:v>
      </x:c>
      <x:c r="W323" s="192" t="str">
        <x:v>No additional flag</x:v>
      </x:c>
      <x:c r="X323" s="192" t="str">
        <x:v>No structural flag</x:v>
      </x:c>
      <x:c r="Y323" s="192" t="str">
        <x:v>Not Yet Reviewed</x:v>
      </x:c>
      <x:c r="Z323" s="192" t="str">
        <x:v>CTA LMFT WB7; Pearson VUE LMFT Outline Area 4</x:v>
      </x:c>
      <x:c r="AA323" s="192" t="str">
        <x:v>CTA_LMFT_Comprehensive_Simulation_Form_A_Answer_Key_and_Detailed_Rationales_v1.0.docx</x:v>
      </x:c>
      <x:c r="AB323" s="192" t="str">
        <x:v>1.0</x:v>
      </x:c>
      <x:c r="AC323" s="193"/>
      <x:c r="AD323" s="193" t="n">
        <x:v>46228</x:v>
      </x:c>
      <x:c r="AE323" s="192" t="str">
        <x:v>Approved for Form A</x:v>
      </x:c>
      <x:c r="AF323" s="194" t="str">
        <x:v>Form A only; paired alternate retained on the other comprehensive form</x:v>
      </x:c>
    </x:row>
    <x:row r="324">
      <x:c r="A324" s="191" t="str">
        <x:v>CTA-LMFT-MQB-0323</x:v>
      </x:c>
      <x:c r="B324" s="192" t="str">
        <x:v>LMFT-MQB-FA-LE-008</x:v>
      </x:c>
      <x:c r="C324" s="192" t="str">
        <x:v>LMFT</x:v>
      </x:c>
      <x:c r="D324" s="192" t="str">
        <x:v>Comprehensive Simulation</x:v>
      </x:c>
      <x:c r="E324" s="192"/>
      <x:c r="F324" s="192"/>
      <x:c r="G324" s="192" t="str">
        <x:v>Form A</x:v>
      </x:c>
      <x:c r="H324" s="192" t="n">
        <x:v>119</x:v>
      </x:c>
      <x:c r="I324" s="192" t="str">
        <x:v>Scored-Style</x:v>
      </x:c>
      <x:c r="J324" s="192" t="str">
        <x:v>6. Managing Legal and Ethical Obligations within the Therapeutic Relationship</x:v>
      </x:c>
      <x:c r="K324" s="192" t="str">
        <x:v>Renewed consent for recording</x:v>
      </x:c>
      <x:c r="L324" s="192" t="str"/>
      <x:c r="M324" s="192" t="str">
        <x:v>Easy</x:v>
      </x:c>
      <x:c r="N324" s="192" t="str">
        <x:v>Easy</x:v>
      </x:c>
      <x:c r="O324" s="192" t="str">
        <x:v>Scenario-based sequencing</x:v>
      </x:c>
      <x:c r="P324" s="192" t="str">
        <x:v>Scenario-Based</x:v>
      </x:c>
      <x:c r="Q324" s="192" t="n">
        <x:v>4</x:v>
      </x:c>
      <x:c r="R324" s="192" t="str">
        <x:v>C</x:v>
      </x:c>
      <x:c r="S324" s="192" t="str">
        <x:v>Approved</x:v>
      </x:c>
      <x:c r="T324" s="192" t="str">
        <x:v>Active</x:v>
      </x:c>
      <x:c r="U324" s="192" t="n">
        <x:v>1</x:v>
      </x:c>
      <x:c r="V324" s="192" t="str">
        <x:v>LMFT-ALT-100</x:v>
      </x:c>
      <x:c r="W324" s="192" t="str">
        <x:v>No additional flag</x:v>
      </x:c>
      <x:c r="X324" s="192" t="str">
        <x:v>No structural flag</x:v>
      </x:c>
      <x:c r="Y324" s="192" t="str">
        <x:v>Not Yet Reviewed</x:v>
      </x:c>
      <x:c r="Z324" s="192" t="str">
        <x:v>CTA LMFT WB12; Pearson VUE LMFT Outline Area 6</x:v>
      </x:c>
      <x:c r="AA324" s="192" t="str">
        <x:v>CTA_LMFT_Comprehensive_Simulation_Form_A_Answer_Key_and_Detailed_Rationales_v1.0.docx</x:v>
      </x:c>
      <x:c r="AB324" s="192" t="str">
        <x:v>1.0</x:v>
      </x:c>
      <x:c r="AC324" s="193"/>
      <x:c r="AD324" s="193" t="n">
        <x:v>46228</x:v>
      </x:c>
      <x:c r="AE324" s="192" t="str">
        <x:v>Approved for Form A</x:v>
      </x:c>
      <x:c r="AF324" s="194" t="str">
        <x:v>Form A only; paired alternate retained on the other comprehensive form</x:v>
      </x:c>
    </x:row>
    <x:row r="325">
      <x:c r="A325" s="191" t="str">
        <x:v>CTA-LMFT-MQB-0324</x:v>
      </x:c>
      <x:c r="B325" s="192" t="str">
        <x:v>LMFT-MQB-FA-CE-023</x:v>
      </x:c>
      <x:c r="C325" s="192" t="str">
        <x:v>LMFT</x:v>
      </x:c>
      <x:c r="D325" s="192" t="str">
        <x:v>Comprehensive Simulation</x:v>
      </x:c>
      <x:c r="E325" s="192"/>
      <x:c r="F325" s="192"/>
      <x:c r="G325" s="192" t="str">
        <x:v>Form A</x:v>
      </x:c>
      <x:c r="H325" s="192" t="n">
        <x:v>120</x:v>
      </x:c>
      <x:c r="I325" s="192" t="str">
        <x:v>Pretest-Style</x:v>
      </x:c>
      <x:c r="J325" s="192" t="str">
        <x:v>1. Clinical Evaluation</x:v>
      </x:c>
      <x:c r="K325" s="192" t="str">
        <x:v>Referral ambiguity</x:v>
      </x:c>
      <x:c r="L325" s="192" t="str"/>
      <x:c r="M325" s="192" t="str">
        <x:v>Easy</x:v>
      </x:c>
      <x:c r="N325" s="192" t="str">
        <x:v>Easy</x:v>
      </x:c>
      <x:c r="O325" s="192" t="str">
        <x:v>Scenario-based sequencing</x:v>
      </x:c>
      <x:c r="P325" s="192" t="str">
        <x:v>Scenario-Based</x:v>
      </x:c>
      <x:c r="Q325" s="192" t="n">
        <x:v>4</x:v>
      </x:c>
      <x:c r="R325" s="192" t="str">
        <x:v>D</x:v>
      </x:c>
      <x:c r="S325" s="192" t="str">
        <x:v>Approved</x:v>
      </x:c>
      <x:c r="T325" s="192" t="str">
        <x:v>Active</x:v>
      </x:c>
      <x:c r="U325" s="192" t="n">
        <x:v>1</x:v>
      </x:c>
      <x:c r="V325" s="192" t="str">
        <x:v>LMFT-ALT-023</x:v>
      </x:c>
      <x:c r="W325" s="192" t="str">
        <x:v>No additional flag</x:v>
      </x:c>
      <x:c r="X325" s="192" t="str">
        <x:v>No structural flag</x:v>
      </x:c>
      <x:c r="Y325" s="192" t="str">
        <x:v>Not Yet Reviewed</x:v>
      </x:c>
      <x:c r="Z325" s="192" t="str">
        <x:v>CTA LMFT WB2; CTA LMFT WB12; Pearson VUE LMFT Outline Area 1</x:v>
      </x:c>
      <x:c r="AA325" s="192" t="str">
        <x:v>CTA_LMFT_Comprehensive_Simulation_Form_A_Answer_Key_and_Detailed_Rationales_v1.0.docx</x:v>
      </x:c>
      <x:c r="AB325" s="192" t="str">
        <x:v>1.0</x:v>
      </x:c>
      <x:c r="AC325" s="193"/>
      <x:c r="AD325" s="193" t="n">
        <x:v>46228</x:v>
      </x:c>
      <x:c r="AE325" s="192" t="str">
        <x:v>Approved for Form A</x:v>
      </x:c>
      <x:c r="AF325" s="194" t="str">
        <x:v>Form A only; paired alternate retained on the other comprehensive form</x:v>
      </x:c>
    </x:row>
    <x:row r="326">
      <x:c r="A326" s="191" t="str">
        <x:v>CTA-LMFT-MQB-0325</x:v>
      </x:c>
      <x:c r="B326" s="192" t="str">
        <x:v>LMFT-MQB-FA-DI-010</x:v>
      </x:c>
      <x:c r="C326" s="192" t="str">
        <x:v>LMFT</x:v>
      </x:c>
      <x:c r="D326" s="192" t="str">
        <x:v>Comprehensive Simulation</x:v>
      </x:c>
      <x:c r="E326" s="192"/>
      <x:c r="F326" s="192"/>
      <x:c r="G326" s="192" t="str">
        <x:v>Form A</x:v>
      </x:c>
      <x:c r="H326" s="192" t="n">
        <x:v>121</x:v>
      </x:c>
      <x:c r="I326" s="192" t="str">
        <x:v>Pretest-Style</x:v>
      </x:c>
      <x:c r="J326" s="192" t="str">
        <x:v>2. Developing a Diagnostic Impression</x:v>
      </x:c>
      <x:c r="K326" s="192" t="str">
        <x:v>Medical mimic</x:v>
      </x:c>
      <x:c r="L326" s="192" t="str"/>
      <x:c r="M326" s="192" t="str">
        <x:v>Difficult</x:v>
      </x:c>
      <x:c r="N326" s="192" t="str">
        <x:v>Difficult</x:v>
      </x:c>
      <x:c r="O326" s="192" t="str">
        <x:v>Application</x:v>
      </x:c>
      <x:c r="P326" s="192" t="str">
        <x:v>Application</x:v>
      </x:c>
      <x:c r="Q326" s="192" t="n">
        <x:v>4</x:v>
      </x:c>
      <x:c r="R326" s="192" t="str">
        <x:v>B</x:v>
      </x:c>
      <x:c r="S326" s="192" t="str">
        <x:v>Approved</x:v>
      </x:c>
      <x:c r="T326" s="192" t="str">
        <x:v>Active</x:v>
      </x:c>
      <x:c r="U326" s="192" t="n">
        <x:v>1</x:v>
      </x:c>
      <x:c r="V326" s="192" t="str">
        <x:v>LMFT-ALT-085</x:v>
      </x:c>
      <x:c r="W326" s="192" t="str">
        <x:v>No additional flag</x:v>
      </x:c>
      <x:c r="X326" s="192" t="str">
        <x:v>No structural flag</x:v>
      </x:c>
      <x:c r="Y326" s="192" t="str">
        <x:v>Not Yet Reviewed</x:v>
      </x:c>
      <x:c r="Z326" s="192" t="str">
        <x:v>CTA LMFT WB5; Pearson VUE LMFT Outline Area 2</x:v>
      </x:c>
      <x:c r="AA326" s="192" t="str">
        <x:v>CTA_LMFT_Comprehensive_Simulation_Form_A_Answer_Key_and_Detailed_Rationales_v1.0.docx</x:v>
      </x:c>
      <x:c r="AB326" s="192" t="str">
        <x:v>1.0</x:v>
      </x:c>
      <x:c r="AC326" s="193"/>
      <x:c r="AD326" s="193" t="n">
        <x:v>46228</x:v>
      </x:c>
      <x:c r="AE326" s="192" t="str">
        <x:v>Approved for Form A</x:v>
      </x:c>
      <x:c r="AF326" s="194" t="str">
        <x:v>Form A only; paired alternate retained on the other comprehensive form</x:v>
      </x:c>
    </x:row>
    <x:row r="327">
      <x:c r="A327" s="191" t="str">
        <x:v>CTA-LMFT-MQB-0326</x:v>
      </x:c>
      <x:c r="B327" s="192" t="str">
        <x:v>LMFT-MQB-FA-CE-008</x:v>
      </x:c>
      <x:c r="C327" s="192" t="str">
        <x:v>LMFT</x:v>
      </x:c>
      <x:c r="D327" s="192" t="str">
        <x:v>Comprehensive Simulation</x:v>
      </x:c>
      <x:c r="E327" s="192"/>
      <x:c r="F327" s="192"/>
      <x:c r="G327" s="192" t="str">
        <x:v>Form A</x:v>
      </x:c>
      <x:c r="H327" s="192" t="n">
        <x:v>122</x:v>
      </x:c>
      <x:c r="I327" s="192" t="str">
        <x:v>Scored-Style</x:v>
      </x:c>
      <x:c r="J327" s="192" t="str">
        <x:v>1. Clinical Evaluation</x:v>
      </x:c>
      <x:c r="K327" s="192" t="str">
        <x:v>Affect and mood</x:v>
      </x:c>
      <x:c r="L327" s="192" t="str"/>
      <x:c r="M327" s="192" t="str">
        <x:v>Easy</x:v>
      </x:c>
      <x:c r="N327" s="192" t="str">
        <x:v>Easy</x:v>
      </x:c>
      <x:c r="O327" s="192" t="str">
        <x:v>Application</x:v>
      </x:c>
      <x:c r="P327" s="192" t="str">
        <x:v>Application</x:v>
      </x:c>
      <x:c r="Q327" s="192" t="n">
        <x:v>4</x:v>
      </x:c>
      <x:c r="R327" s="192" t="str">
        <x:v>D</x:v>
      </x:c>
      <x:c r="S327" s="192" t="str">
        <x:v>Approved</x:v>
      </x:c>
      <x:c r="T327" s="192" t="str">
        <x:v>Active</x:v>
      </x:c>
      <x:c r="U327" s="192" t="n">
        <x:v>1</x:v>
      </x:c>
      <x:c r="V327" s="192" t="str">
        <x:v>LMFT-ALT-008</x:v>
      </x:c>
      <x:c r="W327" s="192" t="str">
        <x:v>No additional flag</x:v>
      </x:c>
      <x:c r="X327" s="192" t="str">
        <x:v>No structural flag</x:v>
      </x:c>
      <x:c r="Y327" s="192" t="str">
        <x:v>Not Yet Reviewed</x:v>
      </x:c>
      <x:c r="Z327" s="192" t="str">
        <x:v>CTA LMFT WB2; Pearson VUE LMFT Outline Area 1</x:v>
      </x:c>
      <x:c r="AA327" s="192" t="str">
        <x:v>CTA_LMFT_Comprehensive_Simulation_Form_A_Answer_Key_and_Detailed_Rationales_v1.0.docx</x:v>
      </x:c>
      <x:c r="AB327" s="192" t="str">
        <x:v>1.0</x:v>
      </x:c>
      <x:c r="AC327" s="193"/>
      <x:c r="AD327" s="193" t="n">
        <x:v>46228</x:v>
      </x:c>
      <x:c r="AE327" s="192" t="str">
        <x:v>Approved for Form A</x:v>
      </x:c>
      <x:c r="AF327" s="194" t="str">
        <x:v>Form A only; paired alternate retained on the other comprehensive form</x:v>
      </x:c>
    </x:row>
    <x:row r="328">
      <x:c r="A328" s="191" t="str">
        <x:v>CTA-LMFT-MQB-0327</x:v>
      </x:c>
      <x:c r="B328" s="192" t="str">
        <x:v>LMFT-MQB-FA-CE-040</x:v>
      </x:c>
      <x:c r="C328" s="192" t="str">
        <x:v>LMFT</x:v>
      </x:c>
      <x:c r="D328" s="192" t="str">
        <x:v>Comprehensive Simulation</x:v>
      </x:c>
      <x:c r="E328" s="192"/>
      <x:c r="F328" s="192"/>
      <x:c r="G328" s="192" t="str">
        <x:v>Form A</x:v>
      </x:c>
      <x:c r="H328" s="192" t="n">
        <x:v>123</x:v>
      </x:c>
      <x:c r="I328" s="192" t="str">
        <x:v>Scored-Style</x:v>
      </x:c>
      <x:c r="J328" s="192" t="str">
        <x:v>1. Clinical Evaluation</x:v>
      </x:c>
      <x:c r="K328" s="192" t="str">
        <x:v>Complex older-adult evaluation</x:v>
      </x:c>
      <x:c r="L328" s="192" t="str"/>
      <x:c r="M328" s="192" t="str">
        <x:v>Difficult</x:v>
      </x:c>
      <x:c r="N328" s="192" t="str">
        <x:v>Difficult</x:v>
      </x:c>
      <x:c r="O328" s="192" t="str">
        <x:v>Integrated reasoning</x:v>
      </x:c>
      <x:c r="P328" s="192" t="str">
        <x:v>Integrated Clinical Reasoning</x:v>
      </x:c>
      <x:c r="Q328" s="192" t="n">
        <x:v>4</x:v>
      </x:c>
      <x:c r="R328" s="192" t="str">
        <x:v>A</x:v>
      </x:c>
      <x:c r="S328" s="192" t="str">
        <x:v>Approved</x:v>
      </x:c>
      <x:c r="T328" s="192" t="str">
        <x:v>Active</x:v>
      </x:c>
      <x:c r="U328" s="192" t="n">
        <x:v>1</x:v>
      </x:c>
      <x:c r="V328" s="192" t="str">
        <x:v>LMFT-ALT-040</x:v>
      </x:c>
      <x:c r="W328" s="192" t="str">
        <x:v>No additional flag</x:v>
      </x:c>
      <x:c r="X328" s="192" t="str">
        <x:v>No structural flag</x:v>
      </x:c>
      <x:c r="Y328" s="192" t="str">
        <x:v>Not Yet Reviewed</x:v>
      </x:c>
      <x:c r="Z328" s="192" t="str">
        <x:v>CTA LMFT WB3; CTA LMFT WB4; CTA LMFT WB6; Pearson VUE LMFT Outline Area 1</x:v>
      </x:c>
      <x:c r="AA328" s="192" t="str">
        <x:v>CTA_LMFT_Comprehensive_Simulation_Form_A_Answer_Key_and_Detailed_Rationales_v1.0.docx</x:v>
      </x:c>
      <x:c r="AB328" s="192" t="str">
        <x:v>1.0</x:v>
      </x:c>
      <x:c r="AC328" s="193"/>
      <x:c r="AD328" s="193" t="n">
        <x:v>46228</x:v>
      </x:c>
      <x:c r="AE328" s="192" t="str">
        <x:v>Approved for Form A</x:v>
      </x:c>
      <x:c r="AF328" s="194" t="str">
        <x:v>Form A only; paired alternate retained on the other comprehensive form</x:v>
      </x:c>
    </x:row>
    <x:row r="329">
      <x:c r="A329" s="191" t="str">
        <x:v>CTA-LMFT-MQB-0328</x:v>
      </x:c>
      <x:c r="B329" s="192" t="str">
        <x:v>LMFT-MQB-FA-TX-012</x:v>
      </x:c>
      <x:c r="C329" s="192" t="str">
        <x:v>LMFT</x:v>
      </x:c>
      <x:c r="D329" s="192" t="str">
        <x:v>Comprehensive Simulation</x:v>
      </x:c>
      <x:c r="E329" s="192"/>
      <x:c r="F329" s="192"/>
      <x:c r="G329" s="192" t="str">
        <x:v>Form A</x:v>
      </x:c>
      <x:c r="H329" s="192" t="n">
        <x:v>124</x:v>
      </x:c>
      <x:c r="I329" s="192" t="str">
        <x:v>Pretest-Style</x:v>
      </x:c>
      <x:c r="J329" s="192" t="str">
        <x:v>5. Treatment</x:v>
      </x:c>
      <x:c r="K329" s="192" t="str">
        <x:v>Attachment intervention</x:v>
      </x:c>
      <x:c r="L329" s="192" t="str"/>
      <x:c r="M329" s="192" t="str">
        <x:v>Moderate</x:v>
      </x:c>
      <x:c r="N329" s="192" t="str">
        <x:v>Moderate</x:v>
      </x:c>
      <x:c r="O329" s="192" t="str">
        <x:v>Application</x:v>
      </x:c>
      <x:c r="P329" s="192" t="str">
        <x:v>Application</x:v>
      </x:c>
      <x:c r="Q329" s="192" t="n">
        <x:v>4</x:v>
      </x:c>
      <x:c r="R329" s="192" t="str">
        <x:v>A</x:v>
      </x:c>
      <x:c r="S329" s="192" t="str">
        <x:v>Approved</x:v>
      </x:c>
      <x:c r="T329" s="192" t="str">
        <x:v>Active</x:v>
      </x:c>
      <x:c r="U329" s="192" t="n">
        <x:v>1</x:v>
      </x:c>
      <x:c r="V329" s="192" t="str">
        <x:v>LMFT-ALT-119</x:v>
      </x:c>
      <x:c r="W329" s="192" t="str">
        <x:v>Review Candidate</x:v>
      </x:c>
      <x:c r="X329" s="192" t="str">
        <x:v>No structural flag</x:v>
      </x:c>
      <x:c r="Y329" s="192" t="str">
        <x:v>Not Yet Reviewed</x:v>
      </x:c>
      <x:c r="Z329" s="192" t="str">
        <x:v>CTA LMFT WB8; Pearson VUE LMFT Outline Area 5</x:v>
      </x:c>
      <x:c r="AA329" s="192" t="str">
        <x:v>CTA_LMFT_Comprehensive_Simulation_Form_A_Answer_Key_and_Detailed_Rationales_v1.0.docx</x:v>
      </x:c>
      <x:c r="AB329" s="192" t="str">
        <x:v>1.0</x:v>
      </x:c>
      <x:c r="AC329" s="193"/>
      <x:c r="AD329" s="193" t="n">
        <x:v>46228</x:v>
      </x:c>
      <x:c r="AE329" s="192" t="str">
        <x:v>Approved for Form A</x:v>
      </x:c>
      <x:c r="AF329" s="194" t="str">
        <x:v>Form A only; paired alternate retained on the other comprehensive form</x:v>
      </x:c>
    </x:row>
    <x:row r="330">
      <x:c r="A330" s="191" t="str">
        <x:v>CTA-LMFT-MQB-0329</x:v>
      </x:c>
      <x:c r="B330" s="192" t="str">
        <x:v>LMFT-MQB-FA-CE-017</x:v>
      </x:c>
      <x:c r="C330" s="192" t="str">
        <x:v>LMFT</x:v>
      </x:c>
      <x:c r="D330" s="192" t="str">
        <x:v>Comprehensive Simulation</x:v>
      </x:c>
      <x:c r="E330" s="192"/>
      <x:c r="F330" s="192"/>
      <x:c r="G330" s="192" t="str">
        <x:v>Form A</x:v>
      </x:c>
      <x:c r="H330" s="192" t="n">
        <x:v>125</x:v>
      </x:c>
      <x:c r="I330" s="192" t="str">
        <x:v>Scored-Style</x:v>
      </x:c>
      <x:c r="J330" s="192" t="str">
        <x:v>1. Clinical Evaluation</x:v>
      </x:c>
      <x:c r="K330" s="192" t="str">
        <x:v>Sexuality assessment</x:v>
      </x:c>
      <x:c r="L330" s="192" t="str"/>
      <x:c r="M330" s="192" t="str">
        <x:v>Moderate</x:v>
      </x:c>
      <x:c r="N330" s="192" t="str">
        <x:v>Moderate</x:v>
      </x:c>
      <x:c r="O330" s="192" t="str">
        <x:v>Application</x:v>
      </x:c>
      <x:c r="P330" s="192" t="str">
        <x:v>Application</x:v>
      </x:c>
      <x:c r="Q330" s="192" t="n">
        <x:v>4</x:v>
      </x:c>
      <x:c r="R330" s="192" t="str">
        <x:v>A</x:v>
      </x:c>
      <x:c r="S330" s="192" t="str">
        <x:v>Approved</x:v>
      </x:c>
      <x:c r="T330" s="192" t="str">
        <x:v>Active</x:v>
      </x:c>
      <x:c r="U330" s="192" t="n">
        <x:v>1</x:v>
      </x:c>
      <x:c r="V330" s="192" t="str">
        <x:v>LMFT-ALT-017</x:v>
      </x:c>
      <x:c r="W330" s="192" t="str">
        <x:v>No additional flag</x:v>
      </x:c>
      <x:c r="X330" s="192" t="str">
        <x:v>No structural flag</x:v>
      </x:c>
      <x:c r="Y330" s="192" t="str">
        <x:v>Not Yet Reviewed</x:v>
      </x:c>
      <x:c r="Z330" s="192" t="str">
        <x:v>CTA LMFT WB4; Pearson VUE LMFT Outline Area 1</x:v>
      </x:c>
      <x:c r="AA330" s="192" t="str">
        <x:v>CTA_LMFT_Comprehensive_Simulation_Form_A_Answer_Key_and_Detailed_Rationales_v1.0.docx</x:v>
      </x:c>
      <x:c r="AB330" s="192" t="str">
        <x:v>1.0</x:v>
      </x:c>
      <x:c r="AC330" s="193"/>
      <x:c r="AD330" s="193" t="n">
        <x:v>46228</x:v>
      </x:c>
      <x:c r="AE330" s="192" t="str">
        <x:v>Approved for Form A</x:v>
      </x:c>
      <x:c r="AF330" s="194" t="str">
        <x:v>Form A only; paired alternate retained on the other comprehensive form</x:v>
      </x:c>
    </x:row>
    <x:row r="331">
      <x:c r="A331" s="191" t="str">
        <x:v>CTA-LMFT-MQB-0330</x:v>
      </x:c>
      <x:c r="B331" s="192" t="str">
        <x:v>LMFT-MQB-FA-CE-022</x:v>
      </x:c>
      <x:c r="C331" s="192" t="str">
        <x:v>LMFT</x:v>
      </x:c>
      <x:c r="D331" s="192" t="str">
        <x:v>Comprehensive Simulation</x:v>
      </x:c>
      <x:c r="E331" s="192"/>
      <x:c r="F331" s="192"/>
      <x:c r="G331" s="192" t="str">
        <x:v>Form A</x:v>
      </x:c>
      <x:c r="H331" s="192" t="n">
        <x:v>126</x:v>
      </x:c>
      <x:c r="I331" s="192" t="str">
        <x:v>Pretest-Style</x:v>
      </x:c>
      <x:c r="J331" s="192" t="str">
        <x:v>1. Clinical Evaluation</x:v>
      </x:c>
      <x:c r="K331" s="192" t="str">
        <x:v>Initial conjoint engagement</x:v>
      </x:c>
      <x:c r="L331" s="192" t="str"/>
      <x:c r="M331" s="192" t="str">
        <x:v>Easy</x:v>
      </x:c>
      <x:c r="N331" s="192" t="str">
        <x:v>Easy</x:v>
      </x:c>
      <x:c r="O331" s="192" t="str">
        <x:v>Scenario-based sequencing</x:v>
      </x:c>
      <x:c r="P331" s="192" t="str">
        <x:v>Scenario-Based</x:v>
      </x:c>
      <x:c r="Q331" s="192" t="n">
        <x:v>4</x:v>
      </x:c>
      <x:c r="R331" s="192" t="str">
        <x:v>C</x:v>
      </x:c>
      <x:c r="S331" s="192" t="str">
        <x:v>Approved</x:v>
      </x:c>
      <x:c r="T331" s="192" t="str">
        <x:v>Active</x:v>
      </x:c>
      <x:c r="U331" s="192" t="n">
        <x:v>1</x:v>
      </x:c>
      <x:c r="V331" s="192" t="str">
        <x:v>LMFT-ALT-022</x:v>
      </x:c>
      <x:c r="W331" s="192" t="str">
        <x:v>No additional flag</x:v>
      </x:c>
      <x:c r="X331" s="192" t="str">
        <x:v>No structural flag</x:v>
      </x:c>
      <x:c r="Y331" s="192" t="str">
        <x:v>Not Yet Reviewed</x:v>
      </x:c>
      <x:c r="Z331" s="192" t="str">
        <x:v>CTA LMFT WB2; Pearson VUE LMFT Outline Area 1</x:v>
      </x:c>
      <x:c r="AA331" s="192" t="str">
        <x:v>CTA_LMFT_Comprehensive_Simulation_Form_A_Answer_Key_and_Detailed_Rationales_v1.0.docx</x:v>
      </x:c>
      <x:c r="AB331" s="192" t="str">
        <x:v>1.0</x:v>
      </x:c>
      <x:c r="AC331" s="193"/>
      <x:c r="AD331" s="193" t="n">
        <x:v>46228</x:v>
      </x:c>
      <x:c r="AE331" s="192" t="str">
        <x:v>Approved for Form A</x:v>
      </x:c>
      <x:c r="AF331" s="194" t="str">
        <x:v>Form A only; paired alternate retained on the other comprehensive form</x:v>
      </x:c>
    </x:row>
    <x:row r="332">
      <x:c r="A332" s="191" t="str">
        <x:v>CTA-LMFT-MQB-0331</x:v>
      </x:c>
      <x:c r="B332" s="192" t="str">
        <x:v>LMFT-MQB-FA-TX-033</x:v>
      </x:c>
      <x:c r="C332" s="192" t="str">
        <x:v>LMFT</x:v>
      </x:c>
      <x:c r="D332" s="192" t="str">
        <x:v>Comprehensive Simulation</x:v>
      </x:c>
      <x:c r="E332" s="192"/>
      <x:c r="F332" s="192"/>
      <x:c r="G332" s="192" t="str">
        <x:v>Form A</x:v>
      </x:c>
      <x:c r="H332" s="192" t="n">
        <x:v>127</x:v>
      </x:c>
      <x:c r="I332" s="192" t="str">
        <x:v>Scored-Style</x:v>
      </x:c>
      <x:c r="J332" s="192" t="str">
        <x:v>5. Treatment</x:v>
      </x:c>
      <x:c r="K332" s="192" t="str">
        <x:v>Coercive violence and conjoint work</x:v>
      </x:c>
      <x:c r="L332" s="192" t="str"/>
      <x:c r="M332" s="192" t="str">
        <x:v>Difficult</x:v>
      </x:c>
      <x:c r="N332" s="192" t="str">
        <x:v>Difficult</x:v>
      </x:c>
      <x:c r="O332" s="192" t="str">
        <x:v>Scenario-based sequencing</x:v>
      </x:c>
      <x:c r="P332" s="192" t="str">
        <x:v>Scenario-Based</x:v>
      </x:c>
      <x:c r="Q332" s="192" t="n">
        <x:v>4</x:v>
      </x:c>
      <x:c r="R332" s="192" t="str">
        <x:v>A</x:v>
      </x:c>
      <x:c r="S332" s="192" t="str">
        <x:v>Approved</x:v>
      </x:c>
      <x:c r="T332" s="192" t="str">
        <x:v>Active</x:v>
      </x:c>
      <x:c r="U332" s="192" t="n">
        <x:v>1</x:v>
      </x:c>
      <x:c r="V332" s="192" t="str">
        <x:v>LMFT-ALT-140</x:v>
      </x:c>
      <x:c r="W332" s="192" t="str">
        <x:v>Review Candidate</x:v>
      </x:c>
      <x:c r="X332" s="192" t="str">
        <x:v>No structural flag</x:v>
      </x:c>
      <x:c r="Y332" s="192" t="str">
        <x:v>Not Yet Reviewed</x:v>
      </x:c>
      <x:c r="Z332" s="192" t="str">
        <x:v>CTA LMFT WB6; CTA LMFT WB8; Pearson VUE LMFT Outline Area 5</x:v>
      </x:c>
      <x:c r="AA332" s="192" t="str">
        <x:v>CTA_LMFT_Comprehensive_Simulation_Form_A_Answer_Key_and_Detailed_Rationales_v1.0.docx</x:v>
      </x:c>
      <x:c r="AB332" s="192" t="str">
        <x:v>1.0</x:v>
      </x:c>
      <x:c r="AC332" s="193"/>
      <x:c r="AD332" s="193" t="n">
        <x:v>46228</x:v>
      </x:c>
      <x:c r="AE332" s="192" t="str">
        <x:v>Approved for Form A</x:v>
      </x:c>
      <x:c r="AF332" s="194" t="str">
        <x:v>Form A only; paired alternate retained on the other comprehensive form</x:v>
      </x:c>
    </x:row>
    <x:row r="333">
      <x:c r="A333" s="191" t="str">
        <x:v>CTA-LMFT-MQB-0332</x:v>
      </x:c>
      <x:c r="B333" s="192" t="str">
        <x:v>LMFT-MQB-FA-CR-009</x:v>
      </x:c>
      <x:c r="C333" s="192" t="str">
        <x:v>LMFT</x:v>
      </x:c>
      <x:c r="D333" s="192" t="str">
        <x:v>Comprehensive Simulation</x:v>
      </x:c>
      <x:c r="E333" s="192"/>
      <x:c r="F333" s="192"/>
      <x:c r="G333" s="192" t="str">
        <x:v>Form A</x:v>
      </x:c>
      <x:c r="H333" s="192" t="n">
        <x:v>128</x:v>
      </x:c>
      <x:c r="I333" s="192" t="str">
        <x:v>Scored-Style</x:v>
      </x:c>
      <x:c r="J333" s="192" t="str">
        <x:v>3. Managing Crisis Situations</x:v>
      </x:c>
      <x:c r="K333" s="192" t="str">
        <x:v>Child abuse suspicion</x:v>
      </x:c>
      <x:c r="L333" s="192" t="str"/>
      <x:c r="M333" s="192" t="str">
        <x:v>Moderate</x:v>
      </x:c>
      <x:c r="N333" s="192" t="str">
        <x:v>Moderate</x:v>
      </x:c>
      <x:c r="O333" s="192" t="str">
        <x:v>Scenario-based sequencing</x:v>
      </x:c>
      <x:c r="P333" s="192" t="str">
        <x:v>Scenario-Based</x:v>
      </x:c>
      <x:c r="Q333" s="192" t="n">
        <x:v>4</x:v>
      </x:c>
      <x:c r="R333" s="192" t="str">
        <x:v>D</x:v>
      </x:c>
      <x:c r="S333" s="192" t="str">
        <x:v>Approved</x:v>
      </x:c>
      <x:c r="T333" s="192" t="str">
        <x:v>Active</x:v>
      </x:c>
      <x:c r="U333" s="192" t="n">
        <x:v>1</x:v>
      </x:c>
      <x:c r="V333" s="192" t="str">
        <x:v>LMFT-ALT-068</x:v>
      </x:c>
      <x:c r="W333" s="192" t="str">
        <x:v>No additional flag</x:v>
      </x:c>
      <x:c r="X333" s="192" t="str">
        <x:v>No structural flag</x:v>
      </x:c>
      <x:c r="Y333" s="192" t="str">
        <x:v>Not Yet Reviewed</x:v>
      </x:c>
      <x:c r="Z333" s="192" t="str">
        <x:v>CTA LMFT WB6; Pearson VUE LMFT Outline Area 3</x:v>
      </x:c>
      <x:c r="AA333" s="192" t="str">
        <x:v>CTA_LMFT_Comprehensive_Simulation_Form_A_Answer_Key_and_Detailed_Rationales_v1.0.docx</x:v>
      </x:c>
      <x:c r="AB333" s="192" t="str">
        <x:v>1.0</x:v>
      </x:c>
      <x:c r="AC333" s="193"/>
      <x:c r="AD333" s="193" t="n">
        <x:v>46228</x:v>
      </x:c>
      <x:c r="AE333" s="192" t="str">
        <x:v>Approved for Form A</x:v>
      </x:c>
      <x:c r="AF333" s="194" t="str">
        <x:v>Form A only; paired alternate retained on the other comprehensive form</x:v>
      </x:c>
    </x:row>
    <x:row r="334">
      <x:c r="A334" s="191" t="str">
        <x:v>CTA-LMFT-MQB-0333</x:v>
      </x:c>
      <x:c r="B334" s="192" t="str">
        <x:v>LMFT-MQB-FA-TX-037</x:v>
      </x:c>
      <x:c r="C334" s="192" t="str">
        <x:v>LMFT</x:v>
      </x:c>
      <x:c r="D334" s="192" t="str">
        <x:v>Comprehensive Simulation</x:v>
      </x:c>
      <x:c r="E334" s="192"/>
      <x:c r="F334" s="192"/>
      <x:c r="G334" s="192" t="str">
        <x:v>Form A</x:v>
      </x:c>
      <x:c r="H334" s="192" t="n">
        <x:v>129</x:v>
      </x:c>
      <x:c r="I334" s="192" t="str">
        <x:v>Pretest-Style</x:v>
      </x:c>
      <x:c r="J334" s="192" t="str">
        <x:v>5. Treatment</x:v>
      </x:c>
      <x:c r="K334" s="192" t="str">
        <x:v>Integrated family treatment</x:v>
      </x:c>
      <x:c r="L334" s="192" t="str"/>
      <x:c r="M334" s="192" t="str">
        <x:v>Moderate</x:v>
      </x:c>
      <x:c r="N334" s="192" t="str">
        <x:v>Moderate</x:v>
      </x:c>
      <x:c r="O334" s="192" t="str">
        <x:v>Integrated reasoning</x:v>
      </x:c>
      <x:c r="P334" s="192" t="str">
        <x:v>Integrated Clinical Reasoning</x:v>
      </x:c>
      <x:c r="Q334" s="192" t="n">
        <x:v>4</x:v>
      </x:c>
      <x:c r="R334" s="192" t="str">
        <x:v>A</x:v>
      </x:c>
      <x:c r="S334" s="192" t="str">
        <x:v>Approved</x:v>
      </x:c>
      <x:c r="T334" s="192" t="str">
        <x:v>Active</x:v>
      </x:c>
      <x:c r="U334" s="192" t="n">
        <x:v>1</x:v>
      </x:c>
      <x:c r="V334" s="192" t="str">
        <x:v>LMFT-ALT-144</x:v>
      </x:c>
      <x:c r="W334" s="192" t="str">
        <x:v>Review Candidate</x:v>
      </x:c>
      <x:c r="X334" s="192" t="str">
        <x:v>No structural flag</x:v>
      </x:c>
      <x:c r="Y334" s="192" t="str">
        <x:v>Not Yet Reviewed</x:v>
      </x:c>
      <x:c r="Z334" s="192" t="str">
        <x:v>CTA LMFT WB6; CTA LMFT WB8; CTA LMFT WB9; Pearson VUE LMFT Outline Area 5</x:v>
      </x:c>
      <x:c r="AA334" s="192" t="str">
        <x:v>CTA_LMFT_Comprehensive_Simulation_Form_A_Answer_Key_and_Detailed_Rationales_v1.0.docx</x:v>
      </x:c>
      <x:c r="AB334" s="192" t="str">
        <x:v>1.0</x:v>
      </x:c>
      <x:c r="AC334" s="193"/>
      <x:c r="AD334" s="193" t="n">
        <x:v>46228</x:v>
      </x:c>
      <x:c r="AE334" s="192" t="str">
        <x:v>Approved for Form A</x:v>
      </x:c>
      <x:c r="AF334" s="194" t="str">
        <x:v>Form A only; paired alternate retained on the other comprehensive form</x:v>
      </x:c>
    </x:row>
    <x:row r="335">
      <x:c r="A335" s="191" t="str">
        <x:v>CTA-LMFT-MQB-0334</x:v>
      </x:c>
      <x:c r="B335" s="192" t="str">
        <x:v>LMFT-MQB-FA-CE-025</x:v>
      </x:c>
      <x:c r="C335" s="192" t="str">
        <x:v>LMFT</x:v>
      </x:c>
      <x:c r="D335" s="192" t="str">
        <x:v>Comprehensive Simulation</x:v>
      </x:c>
      <x:c r="E335" s="192"/>
      <x:c r="F335" s="192"/>
      <x:c r="G335" s="192" t="str">
        <x:v>Form A</x:v>
      </x:c>
      <x:c r="H335" s="192" t="n">
        <x:v>130</x:v>
      </x:c>
      <x:c r="I335" s="192" t="str">
        <x:v>Scored-Style</x:v>
      </x:c>
      <x:c r="J335" s="192" t="str">
        <x:v>1. Clinical Evaluation</x:v>
      </x:c>
      <x:c r="K335" s="192" t="str">
        <x:v>Child behavior across settings</x:v>
      </x:c>
      <x:c r="L335" s="192" t="str"/>
      <x:c r="M335" s="192" t="str">
        <x:v>Moderate</x:v>
      </x:c>
      <x:c r="N335" s="192" t="str">
        <x:v>Moderate</x:v>
      </x:c>
      <x:c r="O335" s="192" t="str">
        <x:v>Scenario-based sequencing</x:v>
      </x:c>
      <x:c r="P335" s="192" t="str">
        <x:v>Scenario-Based</x:v>
      </x:c>
      <x:c r="Q335" s="192" t="n">
        <x:v>4</x:v>
      </x:c>
      <x:c r="R335" s="192" t="str">
        <x:v>B</x:v>
      </x:c>
      <x:c r="S335" s="192" t="str">
        <x:v>Approved</x:v>
      </x:c>
      <x:c r="T335" s="192" t="str">
        <x:v>Active</x:v>
      </x:c>
      <x:c r="U335" s="192" t="n">
        <x:v>1</x:v>
      </x:c>
      <x:c r="V335" s="192" t="str">
        <x:v>LMFT-ALT-025</x:v>
      </x:c>
      <x:c r="W335" s="192" t="str">
        <x:v>No additional flag</x:v>
      </x:c>
      <x:c r="X335" s="192" t="str">
        <x:v>No structural flag</x:v>
      </x:c>
      <x:c r="Y335" s="192" t="str">
        <x:v>Not Yet Reviewed</x:v>
      </x:c>
      <x:c r="Z335" s="192" t="str">
        <x:v>CTA LMFT WB3; CTA LMFT WB4; Pearson VUE LMFT Outline Area 1</x:v>
      </x:c>
      <x:c r="AA335" s="192" t="str">
        <x:v>CTA_LMFT_Comprehensive_Simulation_Form_A_Answer_Key_and_Detailed_Rationales_v1.0.docx</x:v>
      </x:c>
      <x:c r="AB335" s="192" t="str">
        <x:v>1.0</x:v>
      </x:c>
      <x:c r="AC335" s="193"/>
      <x:c r="AD335" s="193" t="n">
        <x:v>46228</x:v>
      </x:c>
      <x:c r="AE335" s="192" t="str">
        <x:v>Approved for Form A</x:v>
      </x:c>
      <x:c r="AF335" s="194" t="str">
        <x:v>Form A only; paired alternate retained on the other comprehensive form</x:v>
      </x:c>
    </x:row>
    <x:row r="336">
      <x:c r="A336" s="191" t="str">
        <x:v>CTA-LMFT-MQB-0335</x:v>
      </x:c>
      <x:c r="B336" s="192" t="str">
        <x:v>LMFT-MQB-FA-TX-011</x:v>
      </x:c>
      <x:c r="C336" s="192" t="str">
        <x:v>LMFT</x:v>
      </x:c>
      <x:c r="D336" s="192" t="str">
        <x:v>Comprehensive Simulation</x:v>
      </x:c>
      <x:c r="E336" s="192"/>
      <x:c r="F336" s="192"/>
      <x:c r="G336" s="192" t="str">
        <x:v>Form A</x:v>
      </x:c>
      <x:c r="H336" s="192" t="n">
        <x:v>131</x:v>
      </x:c>
      <x:c r="I336" s="192" t="str">
        <x:v>Scored-Style</x:v>
      </x:c>
      <x:c r="J336" s="192" t="str">
        <x:v>5. Treatment</x:v>
      </x:c>
      <x:c r="K336" s="192" t="str">
        <x:v>Grief support</x:v>
      </x:c>
      <x:c r="L336" s="192" t="str"/>
      <x:c r="M336" s="192" t="str">
        <x:v>Easy</x:v>
      </x:c>
      <x:c r="N336" s="192" t="str">
        <x:v>Easy</x:v>
      </x:c>
      <x:c r="O336" s="192" t="str">
        <x:v>Application</x:v>
      </x:c>
      <x:c r="P336" s="192" t="str">
        <x:v>Application</x:v>
      </x:c>
      <x:c r="Q336" s="192" t="n">
        <x:v>4</x:v>
      </x:c>
      <x:c r="R336" s="192" t="str">
        <x:v>B</x:v>
      </x:c>
      <x:c r="S336" s="192" t="str">
        <x:v>Approved</x:v>
      </x:c>
      <x:c r="T336" s="192" t="str">
        <x:v>Active</x:v>
      </x:c>
      <x:c r="U336" s="192" t="n">
        <x:v>1</x:v>
      </x:c>
      <x:c r="V336" s="192" t="str">
        <x:v>LMFT-ALT-118</x:v>
      </x:c>
      <x:c r="W336" s="192" t="str">
        <x:v>No additional flag</x:v>
      </x:c>
      <x:c r="X336" s="192" t="str">
        <x:v>No structural flag</x:v>
      </x:c>
      <x:c r="Y336" s="192" t="str">
        <x:v>Not Yet Reviewed</x:v>
      </x:c>
      <x:c r="Z336" s="192" t="str">
        <x:v>CTA LMFT WB9; Pearson VUE LMFT Outline Area 5</x:v>
      </x:c>
      <x:c r="AA336" s="192" t="str">
        <x:v>CTA_LMFT_Comprehensive_Simulation_Form_A_Answer_Key_and_Detailed_Rationales_v1.0.docx</x:v>
      </x:c>
      <x:c r="AB336" s="192" t="str">
        <x:v>1.0</x:v>
      </x:c>
      <x:c r="AC336" s="193"/>
      <x:c r="AD336" s="193" t="n">
        <x:v>46228</x:v>
      </x:c>
      <x:c r="AE336" s="192" t="str">
        <x:v>Approved for Form A</x:v>
      </x:c>
      <x:c r="AF336" s="194" t="str">
        <x:v>Form A only; paired alternate retained on the other comprehensive form</x:v>
      </x:c>
    </x:row>
    <x:row r="337">
      <x:c r="A337" s="191" t="str">
        <x:v>CTA-LMFT-MQB-0336</x:v>
      </x:c>
      <x:c r="B337" s="192" t="str">
        <x:v>LMFT-MQB-FA-LE-001</x:v>
      </x:c>
      <x:c r="C337" s="192" t="str">
        <x:v>LMFT</x:v>
      </x:c>
      <x:c r="D337" s="192" t="str">
        <x:v>Comprehensive Simulation</x:v>
      </x:c>
      <x:c r="E337" s="192"/>
      <x:c r="F337" s="192"/>
      <x:c r="G337" s="192" t="str">
        <x:v>Form A</x:v>
      </x:c>
      <x:c r="H337" s="192" t="n">
        <x:v>132</x:v>
      </x:c>
      <x:c r="I337" s="192" t="str">
        <x:v>Scored-Style</x:v>
      </x:c>
      <x:c r="J337" s="192" t="str">
        <x:v>6. Managing Legal and Ethical Obligations within the Therapeutic Relationship</x:v>
      </x:c>
      <x:c r="K337" s="192" t="str">
        <x:v>Ongoing informed consent</x:v>
      </x:c>
      <x:c r="L337" s="192" t="str"/>
      <x:c r="M337" s="192" t="str">
        <x:v>Easy</x:v>
      </x:c>
      <x:c r="N337" s="192" t="str">
        <x:v>Easy</x:v>
      </x:c>
      <x:c r="O337" s="192" t="str">
        <x:v>Direct recognition</x:v>
      </x:c>
      <x:c r="P337" s="192" t="str">
        <x:v>Knowledge &amp; Recall</x:v>
      </x:c>
      <x:c r="Q337" s="192" t="n">
        <x:v>4</x:v>
      </x:c>
      <x:c r="R337" s="192" t="str">
        <x:v>C</x:v>
      </x:c>
      <x:c r="S337" s="192" t="str">
        <x:v>Approved</x:v>
      </x:c>
      <x:c r="T337" s="192" t="str">
        <x:v>Active</x:v>
      </x:c>
      <x:c r="U337" s="192" t="n">
        <x:v>1</x:v>
      </x:c>
      <x:c r="V337" s="192" t="str">
        <x:v>LMFT-ALT-093</x:v>
      </x:c>
      <x:c r="W337" s="192" t="str">
        <x:v>No additional flag</x:v>
      </x:c>
      <x:c r="X337" s="192" t="str">
        <x:v>No structural flag</x:v>
      </x:c>
      <x:c r="Y337" s="192" t="str">
        <x:v>Not Yet Reviewed</x:v>
      </x:c>
      <x:c r="Z337" s="192" t="str">
        <x:v>CTA LMFT WB12; Pearson VUE LMFT Outline Area 6</x:v>
      </x:c>
      <x:c r="AA337" s="192" t="str">
        <x:v>CTA_LMFT_Comprehensive_Simulation_Form_A_Answer_Key_and_Detailed_Rationales_v1.0.docx</x:v>
      </x:c>
      <x:c r="AB337" s="192" t="str">
        <x:v>1.0</x:v>
      </x:c>
      <x:c r="AC337" s="193"/>
      <x:c r="AD337" s="193" t="n">
        <x:v>46228</x:v>
      </x:c>
      <x:c r="AE337" s="192" t="str">
        <x:v>Approved for Form A</x:v>
      </x:c>
      <x:c r="AF337" s="194" t="str">
        <x:v>Form A only; paired alternate retained on the other comprehensive form</x:v>
      </x:c>
    </x:row>
    <x:row r="338">
      <x:c r="A338" s="191" t="str">
        <x:v>CTA-LMFT-MQB-0337</x:v>
      </x:c>
      <x:c r="B338" s="192" t="str">
        <x:v>LMFT-MQB-FA-CP-004</x:v>
      </x:c>
      <x:c r="C338" s="192" t="str">
        <x:v>LMFT</x:v>
      </x:c>
      <x:c r="D338" s="192" t="str">
        <x:v>Comprehensive Simulation</x:v>
      </x:c>
      <x:c r="E338" s="192"/>
      <x:c r="F338" s="192"/>
      <x:c r="G338" s="192" t="str">
        <x:v>Form A</x:v>
      </x:c>
      <x:c r="H338" s="192" t="n">
        <x:v>133</x:v>
      </x:c>
      <x:c r="I338" s="192" t="str">
        <x:v>Scored-Style</x:v>
      </x:c>
      <x:c r="J338" s="192" t="str">
        <x:v>4. Case Conceptualization and Planning</x:v>
      </x:c>
      <x:c r="K338" s="192" t="str">
        <x:v>Collaborative planning</x:v>
      </x:c>
      <x:c r="L338" s="192" t="str"/>
      <x:c r="M338" s="192" t="str">
        <x:v>Easy</x:v>
      </x:c>
      <x:c r="N338" s="192" t="str">
        <x:v>Easy</x:v>
      </x:c>
      <x:c r="O338" s="192" t="str">
        <x:v>Application</x:v>
      </x:c>
      <x:c r="P338" s="192" t="str">
        <x:v>Application</x:v>
      </x:c>
      <x:c r="Q338" s="192" t="n">
        <x:v>4</x:v>
      </x:c>
      <x:c r="R338" s="192" t="str">
        <x:v>D</x:v>
      </x:c>
      <x:c r="S338" s="192" t="str">
        <x:v>Approved</x:v>
      </x:c>
      <x:c r="T338" s="192" t="str">
        <x:v>Active</x:v>
      </x:c>
      <x:c r="U338" s="192" t="n">
        <x:v>1</x:v>
      </x:c>
      <x:c r="V338" s="192" t="str">
        <x:v>LMFT-ALT-045</x:v>
      </x:c>
      <x:c r="W338" s="192" t="str">
        <x:v>No additional flag</x:v>
      </x:c>
      <x:c r="X338" s="192" t="str">
        <x:v>No structural flag</x:v>
      </x:c>
      <x:c r="Y338" s="192" t="str">
        <x:v>Not Yet Reviewed</x:v>
      </x:c>
      <x:c r="Z338" s="192" t="str">
        <x:v>CTA LMFT WB7; Pearson VUE LMFT Outline Area 4</x:v>
      </x:c>
      <x:c r="AA338" s="192" t="str">
        <x:v>CTA_LMFT_Comprehensive_Simulation_Form_A_Answer_Key_and_Detailed_Rationales_v1.0.docx</x:v>
      </x:c>
      <x:c r="AB338" s="192" t="str">
        <x:v>1.0</x:v>
      </x:c>
      <x:c r="AC338" s="193"/>
      <x:c r="AD338" s="193" t="n">
        <x:v>46228</x:v>
      </x:c>
      <x:c r="AE338" s="192" t="str">
        <x:v>Approved for Form A</x:v>
      </x:c>
      <x:c r="AF338" s="194" t="str">
        <x:v>Form A only; paired alternate retained on the other comprehensive form</x:v>
      </x:c>
    </x:row>
    <x:row r="339">
      <x:c r="A339" s="191" t="str">
        <x:v>CTA-LMFT-MQB-0338</x:v>
      </x:c>
      <x:c r="B339" s="192" t="str">
        <x:v>LMFT-MQB-FA-CR-014</x:v>
      </x:c>
      <x:c r="C339" s="192" t="str">
        <x:v>LMFT</x:v>
      </x:c>
      <x:c r="D339" s="192" t="str">
        <x:v>Comprehensive Simulation</x:v>
      </x:c>
      <x:c r="E339" s="192"/>
      <x:c r="F339" s="192"/>
      <x:c r="G339" s="192" t="str">
        <x:v>Form A</x:v>
      </x:c>
      <x:c r="H339" s="192" t="n">
        <x:v>134</x:v>
      </x:c>
      <x:c r="I339" s="192" t="str">
        <x:v>Scored-Style</x:v>
      </x:c>
      <x:c r="J339" s="192" t="str">
        <x:v>3. Managing Crisis Situations</x:v>
      </x:c>
      <x:c r="K339" s="192" t="str">
        <x:v>Crisis with child and caregiver</x:v>
      </x:c>
      <x:c r="L339" s="192" t="str"/>
      <x:c r="M339" s="192" t="str">
        <x:v>Moderate</x:v>
      </x:c>
      <x:c r="N339" s="192" t="str">
        <x:v>Moderate</x:v>
      </x:c>
      <x:c r="O339" s="192" t="str">
        <x:v>Integrated reasoning</x:v>
      </x:c>
      <x:c r="P339" s="192" t="str">
        <x:v>Integrated Clinical Reasoning</x:v>
      </x:c>
      <x:c r="Q339" s="192" t="n">
        <x:v>4</x:v>
      </x:c>
      <x:c r="R339" s="192" t="str">
        <x:v>B</x:v>
      </x:c>
      <x:c r="S339" s="192" t="str">
        <x:v>Approved</x:v>
      </x:c>
      <x:c r="T339" s="192" t="str">
        <x:v>Active</x:v>
      </x:c>
      <x:c r="U339" s="192" t="n">
        <x:v>1</x:v>
      </x:c>
      <x:c r="V339" s="192" t="str">
        <x:v>LMFT-ALT-073</x:v>
      </x:c>
      <x:c r="W339" s="192" t="str">
        <x:v>No additional flag</x:v>
      </x:c>
      <x:c r="X339" s="192" t="str">
        <x:v>No structural flag</x:v>
      </x:c>
      <x:c r="Y339" s="192" t="str">
        <x:v>Not Yet Reviewed</x:v>
      </x:c>
      <x:c r="Z339" s="192" t="str">
        <x:v>CTA LMFT WB6; CTA LMFT WB12; Pearson VUE LMFT Outline Area 3</x:v>
      </x:c>
      <x:c r="AA339" s="192" t="str">
        <x:v>CTA_LMFT_Comprehensive_Simulation_Form_A_Answer_Key_and_Detailed_Rationales_v1.0.docx</x:v>
      </x:c>
      <x:c r="AB339" s="192" t="str">
        <x:v>1.0</x:v>
      </x:c>
      <x:c r="AC339" s="193"/>
      <x:c r="AD339" s="193" t="n">
        <x:v>46228</x:v>
      </x:c>
      <x:c r="AE339" s="192" t="str">
        <x:v>Approved for Form A</x:v>
      </x:c>
      <x:c r="AF339" s="194" t="str">
        <x:v>Form A only; paired alternate retained on the other comprehensive form</x:v>
      </x:c>
    </x:row>
    <x:row r="340">
      <x:c r="A340" s="191" t="str">
        <x:v>CTA-LMFT-MQB-0339</x:v>
      </x:c>
      <x:c r="B340" s="192" t="str">
        <x:v>LMFT-MQB-FA-LE-005</x:v>
      </x:c>
      <x:c r="C340" s="192" t="str">
        <x:v>LMFT</x:v>
      </x:c>
      <x:c r="D340" s="192" t="str">
        <x:v>Comprehensive Simulation</x:v>
      </x:c>
      <x:c r="E340" s="192"/>
      <x:c r="F340" s="192"/>
      <x:c r="G340" s="192" t="str">
        <x:v>Form A</x:v>
      </x:c>
      <x:c r="H340" s="192" t="n">
        <x:v>135</x:v>
      </x:c>
      <x:c r="I340" s="192" t="str">
        <x:v>Scored-Style</x:v>
      </x:c>
      <x:c r="J340" s="192" t="str">
        <x:v>6. Managing Legal and Ethical Obligations within the Therapeutic Relationship</x:v>
      </x:c>
      <x:c r="K340" s="192" t="str">
        <x:v>Gift boundaries</x:v>
      </x:c>
      <x:c r="L340" s="192" t="str"/>
      <x:c r="M340" s="192" t="str">
        <x:v>Moderate</x:v>
      </x:c>
      <x:c r="N340" s="192" t="str">
        <x:v>Moderate</x:v>
      </x:c>
      <x:c r="O340" s="192" t="str">
        <x:v>Application</x:v>
      </x:c>
      <x:c r="P340" s="192" t="str">
        <x:v>Application</x:v>
      </x:c>
      <x:c r="Q340" s="192" t="n">
        <x:v>4</x:v>
      </x:c>
      <x:c r="R340" s="192" t="str">
        <x:v>D</x:v>
      </x:c>
      <x:c r="S340" s="192" t="str">
        <x:v>Approved</x:v>
      </x:c>
      <x:c r="T340" s="192" t="str">
        <x:v>Active</x:v>
      </x:c>
      <x:c r="U340" s="192" t="n">
        <x:v>1</x:v>
      </x:c>
      <x:c r="V340" s="192" t="str">
        <x:v>LMFT-ALT-097</x:v>
      </x:c>
      <x:c r="W340" s="192" t="str">
        <x:v>No additional flag</x:v>
      </x:c>
      <x:c r="X340" s="192" t="str">
        <x:v>No structural flag</x:v>
      </x:c>
      <x:c r="Y340" s="192" t="str">
        <x:v>Not Yet Reviewed</x:v>
      </x:c>
      <x:c r="Z340" s="192" t="str">
        <x:v>CTA LMFT WB12; Pearson VUE LMFT Outline Area 6</x:v>
      </x:c>
      <x:c r="AA340" s="192" t="str">
        <x:v>CTA_LMFT_Comprehensive_Simulation_Form_A_Answer_Key_and_Detailed_Rationales_v1.0.docx</x:v>
      </x:c>
      <x:c r="AB340" s="192" t="str">
        <x:v>1.0</x:v>
      </x:c>
      <x:c r="AC340" s="193"/>
      <x:c r="AD340" s="193" t="n">
        <x:v>46228</x:v>
      </x:c>
      <x:c r="AE340" s="192" t="str">
        <x:v>Approved for Form A</x:v>
      </x:c>
      <x:c r="AF340" s="194" t="str">
        <x:v>Form A only; paired alternate retained on the other comprehensive form</x:v>
      </x:c>
    </x:row>
    <x:row r="341">
      <x:c r="A341" s="191" t="str">
        <x:v>CTA-LMFT-MQB-0340</x:v>
      </x:c>
      <x:c r="B341" s="192" t="str">
        <x:v>LMFT-MQB-FA-DI-008</x:v>
      </x:c>
      <x:c r="C341" s="192" t="str">
        <x:v>LMFT</x:v>
      </x:c>
      <x:c r="D341" s="192" t="str">
        <x:v>Comprehensive Simulation</x:v>
      </x:c>
      <x:c r="E341" s="192"/>
      <x:c r="F341" s="192"/>
      <x:c r="G341" s="192" t="str">
        <x:v>Form A</x:v>
      </x:c>
      <x:c r="H341" s="192" t="n">
        <x:v>136</x:v>
      </x:c>
      <x:c r="I341" s="192" t="str">
        <x:v>Scored-Style</x:v>
      </x:c>
      <x:c r="J341" s="192" t="str">
        <x:v>2. Developing a Diagnostic Impression</x:v>
      </x:c>
      <x:c r="K341" s="192" t="str">
        <x:v>OCD versus psychosis</x:v>
      </x:c>
      <x:c r="L341" s="192" t="str"/>
      <x:c r="M341" s="192" t="str">
        <x:v>Moderate</x:v>
      </x:c>
      <x:c r="N341" s="192" t="str">
        <x:v>Moderate</x:v>
      </x:c>
      <x:c r="O341" s="192" t="str">
        <x:v>Application</x:v>
      </x:c>
      <x:c r="P341" s="192" t="str">
        <x:v>Application</x:v>
      </x:c>
      <x:c r="Q341" s="192" t="n">
        <x:v>4</x:v>
      </x:c>
      <x:c r="R341" s="192" t="str">
        <x:v>A</x:v>
      </x:c>
      <x:c r="S341" s="192" t="str">
        <x:v>Approved</x:v>
      </x:c>
      <x:c r="T341" s="192" t="str">
        <x:v>Active</x:v>
      </x:c>
      <x:c r="U341" s="192" t="n">
        <x:v>1</x:v>
      </x:c>
      <x:c r="V341" s="192" t="str">
        <x:v>LMFT-ALT-083</x:v>
      </x:c>
      <x:c r="W341" s="192" t="str">
        <x:v>No additional flag</x:v>
      </x:c>
      <x:c r="X341" s="192" t="str">
        <x:v>No structural flag</x:v>
      </x:c>
      <x:c r="Y341" s="192" t="str">
        <x:v>Not Yet Reviewed</x:v>
      </x:c>
      <x:c r="Z341" s="192" t="str">
        <x:v>CTA LMFT WB5; Pearson VUE LMFT Outline Area 2</x:v>
      </x:c>
      <x:c r="AA341" s="192" t="str">
        <x:v>CTA_LMFT_Comprehensive_Simulation_Form_A_Answer_Key_and_Detailed_Rationales_v1.0.docx</x:v>
      </x:c>
      <x:c r="AB341" s="192" t="str">
        <x:v>1.0</x:v>
      </x:c>
      <x:c r="AC341" s="193"/>
      <x:c r="AD341" s="193" t="n">
        <x:v>46228</x:v>
      </x:c>
      <x:c r="AE341" s="192" t="str">
        <x:v>Approved for Form A</x:v>
      </x:c>
      <x:c r="AF341" s="194" t="str">
        <x:v>Form A only; paired alternate retained on the other comprehensive form</x:v>
      </x:c>
    </x:row>
    <x:row r="342">
      <x:c r="A342" s="191" t="str">
        <x:v>CTA-LMFT-MQB-0341</x:v>
      </x:c>
      <x:c r="B342" s="192" t="str">
        <x:v>LMFT-MQB-FA-CP-017</x:v>
      </x:c>
      <x:c r="C342" s="192" t="str">
        <x:v>LMFT</x:v>
      </x:c>
      <x:c r="D342" s="192" t="str">
        <x:v>Comprehensive Simulation</x:v>
      </x:c>
      <x:c r="E342" s="192"/>
      <x:c r="F342" s="192"/>
      <x:c r="G342" s="192" t="str">
        <x:v>Form A</x:v>
      </x:c>
      <x:c r="H342" s="192" t="n">
        <x:v>137</x:v>
      </x:c>
      <x:c r="I342" s="192" t="str">
        <x:v>Pretest-Style</x:v>
      </x:c>
      <x:c r="J342" s="192" t="str">
        <x:v>4. Case Conceptualization and Planning</x:v>
      </x:c>
      <x:c r="K342" s="192" t="str">
        <x:v>Systemic plan with measurable outcomes</x:v>
      </x:c>
      <x:c r="L342" s="192" t="str"/>
      <x:c r="M342" s="192" t="str">
        <x:v>Moderate</x:v>
      </x:c>
      <x:c r="N342" s="192" t="str">
        <x:v>Moderate</x:v>
      </x:c>
      <x:c r="O342" s="192" t="str">
        <x:v>Integrated reasoning</x:v>
      </x:c>
      <x:c r="P342" s="192" t="str">
        <x:v>Integrated Clinical Reasoning</x:v>
      </x:c>
      <x:c r="Q342" s="192" t="n">
        <x:v>4</x:v>
      </x:c>
      <x:c r="R342" s="192" t="str">
        <x:v>A</x:v>
      </x:c>
      <x:c r="S342" s="192" t="str">
        <x:v>Approved</x:v>
      </x:c>
      <x:c r="T342" s="192" t="str">
        <x:v>Active</x:v>
      </x:c>
      <x:c r="U342" s="192" t="n">
        <x:v>1</x:v>
      </x:c>
      <x:c r="V342" s="192" t="str">
        <x:v>LMFT-ALT-058</x:v>
      </x:c>
      <x:c r="W342" s="192" t="str">
        <x:v>No additional flag</x:v>
      </x:c>
      <x:c r="X342" s="192" t="str">
        <x:v>No structural flag</x:v>
      </x:c>
      <x:c r="Y342" s="192" t="str">
        <x:v>Not Yet Reviewed</x:v>
      </x:c>
      <x:c r="Z342" s="192" t="str">
        <x:v>CTA LMFT WB7; CTA LMFT WB8; Pearson VUE LMFT Outline Area 4</x:v>
      </x:c>
      <x:c r="AA342" s="192" t="str">
        <x:v>CTA_LMFT_Comprehensive_Simulation_Form_A_Answer_Key_and_Detailed_Rationales_v1.0.docx</x:v>
      </x:c>
      <x:c r="AB342" s="192" t="str">
        <x:v>1.0</x:v>
      </x:c>
      <x:c r="AC342" s="193"/>
      <x:c r="AD342" s="193" t="n">
        <x:v>46228</x:v>
      </x:c>
      <x:c r="AE342" s="192" t="str">
        <x:v>Approved for Form A</x:v>
      </x:c>
      <x:c r="AF342" s="194" t="str">
        <x:v>Form A only; paired alternate retained on the other comprehensive form</x:v>
      </x:c>
    </x:row>
    <x:row r="343">
      <x:c r="A343" s="191" t="str">
        <x:v>CTA-LMFT-MQB-0342</x:v>
      </x:c>
      <x:c r="B343" s="192" t="str">
        <x:v>LMFT-MQB-FA-TX-017</x:v>
      </x:c>
      <x:c r="C343" s="192" t="str">
        <x:v>LMFT</x:v>
      </x:c>
      <x:c r="D343" s="192" t="str">
        <x:v>Comprehensive Simulation</x:v>
      </x:c>
      <x:c r="E343" s="192"/>
      <x:c r="F343" s="192"/>
      <x:c r="G343" s="192" t="str">
        <x:v>Form A</x:v>
      </x:c>
      <x:c r="H343" s="192" t="n">
        <x:v>138</x:v>
      </x:c>
      <x:c r="I343" s="192" t="str">
        <x:v>Scored-Style</x:v>
      </x:c>
      <x:c r="J343" s="192" t="str">
        <x:v>5. Treatment</x:v>
      </x:c>
      <x:c r="K343" s="192" t="str">
        <x:v>Harm reduction</x:v>
      </x:c>
      <x:c r="L343" s="192" t="str"/>
      <x:c r="M343" s="192" t="str">
        <x:v>Moderate</x:v>
      </x:c>
      <x:c r="N343" s="192" t="str">
        <x:v>Moderate</x:v>
      </x:c>
      <x:c r="O343" s="192" t="str">
        <x:v>Application</x:v>
      </x:c>
      <x:c r="P343" s="192" t="str">
        <x:v>Application</x:v>
      </x:c>
      <x:c r="Q343" s="192" t="n">
        <x:v>4</x:v>
      </x:c>
      <x:c r="R343" s="192" t="str">
        <x:v>B</x:v>
      </x:c>
      <x:c r="S343" s="192" t="str">
        <x:v>Approved</x:v>
      </x:c>
      <x:c r="T343" s="192" t="str">
        <x:v>Active</x:v>
      </x:c>
      <x:c r="U343" s="192" t="n">
        <x:v>1</x:v>
      </x:c>
      <x:c r="V343" s="192" t="str">
        <x:v>LMFT-ALT-124</x:v>
      </x:c>
      <x:c r="W343" s="192" t="str">
        <x:v>No additional flag</x:v>
      </x:c>
      <x:c r="X343" s="192" t="str">
        <x:v>No structural flag</x:v>
      </x:c>
      <x:c r="Y343" s="192" t="str">
        <x:v>Not Yet Reviewed</x:v>
      </x:c>
      <x:c r="Z343" s="192" t="str">
        <x:v>CTA LMFT WB9; Pearson VUE LMFT Outline Area 5</x:v>
      </x:c>
      <x:c r="AA343" s="192" t="str">
        <x:v>CTA_LMFT_Comprehensive_Simulation_Form_A_Answer_Key_and_Detailed_Rationales_v1.0.docx</x:v>
      </x:c>
      <x:c r="AB343" s="192" t="str">
        <x:v>1.0</x:v>
      </x:c>
      <x:c r="AC343" s="193"/>
      <x:c r="AD343" s="193" t="n">
        <x:v>46228</x:v>
      </x:c>
      <x:c r="AE343" s="192" t="str">
        <x:v>Approved for Form A</x:v>
      </x:c>
      <x:c r="AF343" s="194" t="str">
        <x:v>Form A only; paired alternate retained on the other comprehensive form</x:v>
      </x:c>
    </x:row>
    <x:row r="344">
      <x:c r="A344" s="191" t="str">
        <x:v>CTA-LMFT-MQB-0343</x:v>
      </x:c>
      <x:c r="B344" s="192" t="str">
        <x:v>LMFT-MQB-FA-CP-016</x:v>
      </x:c>
      <x:c r="C344" s="192" t="str">
        <x:v>LMFT</x:v>
      </x:c>
      <x:c r="D344" s="192" t="str">
        <x:v>Comprehensive Simulation</x:v>
      </x:c>
      <x:c r="E344" s="192"/>
      <x:c r="F344" s="192"/>
      <x:c r="G344" s="192" t="str">
        <x:v>Form A</x:v>
      </x:c>
      <x:c r="H344" s="192" t="n">
        <x:v>139</x:v>
      </x:c>
      <x:c r="I344" s="192" t="str">
        <x:v>Scored-Style</x:v>
      </x:c>
      <x:c r="J344" s="192" t="str">
        <x:v>4. Case Conceptualization and Planning</x:v>
      </x:c>
      <x:c r="K344" s="192" t="str">
        <x:v>Competing systems and treatment goals</x:v>
      </x:c>
      <x:c r="L344" s="192" t="str"/>
      <x:c r="M344" s="192" t="str">
        <x:v>Difficult</x:v>
      </x:c>
      <x:c r="N344" s="192" t="str">
        <x:v>Difficult</x:v>
      </x:c>
      <x:c r="O344" s="192" t="str">
        <x:v>Scenario-based sequencing</x:v>
      </x:c>
      <x:c r="P344" s="192" t="str">
        <x:v>Scenario-Based</x:v>
      </x:c>
      <x:c r="Q344" s="192" t="n">
        <x:v>4</x:v>
      </x:c>
      <x:c r="R344" s="192" t="str">
        <x:v>B</x:v>
      </x:c>
      <x:c r="S344" s="192" t="str">
        <x:v>Approved</x:v>
      </x:c>
      <x:c r="T344" s="192" t="str">
        <x:v>Active</x:v>
      </x:c>
      <x:c r="U344" s="192" t="n">
        <x:v>1</x:v>
      </x:c>
      <x:c r="V344" s="192" t="str">
        <x:v>LMFT-ALT-057</x:v>
      </x:c>
      <x:c r="W344" s="192" t="str">
        <x:v>No additional flag</x:v>
      </x:c>
      <x:c r="X344" s="192" t="str">
        <x:v>No structural flag</x:v>
      </x:c>
      <x:c r="Y344" s="192" t="str">
        <x:v>Not Yet Reviewed</x:v>
      </x:c>
      <x:c r="Z344" s="192" t="str">
        <x:v>CTA LMFT WB7; CTA LMFT WB12; Pearson VUE LMFT Outline Area 4</x:v>
      </x:c>
      <x:c r="AA344" s="192" t="str">
        <x:v>CTA_LMFT_Comprehensive_Simulation_Form_A_Answer_Key_and_Detailed_Rationales_v1.0.docx</x:v>
      </x:c>
      <x:c r="AB344" s="192" t="str">
        <x:v>1.0</x:v>
      </x:c>
      <x:c r="AC344" s="193"/>
      <x:c r="AD344" s="193" t="n">
        <x:v>46228</x:v>
      </x:c>
      <x:c r="AE344" s="192" t="str">
        <x:v>Approved for Form A</x:v>
      </x:c>
      <x:c r="AF344" s="194" t="str">
        <x:v>Form A only; paired alternate retained on the other comprehensive form</x:v>
      </x:c>
    </x:row>
    <x:row r="345">
      <x:c r="A345" s="191" t="str">
        <x:v>CTA-LMFT-MQB-0344</x:v>
      </x:c>
      <x:c r="B345" s="192" t="str">
        <x:v>LMFT-MQB-FA-CP-006</x:v>
      </x:c>
      <x:c r="C345" s="192" t="str">
        <x:v>LMFT</x:v>
      </x:c>
      <x:c r="D345" s="192" t="str">
        <x:v>Comprehensive Simulation</x:v>
      </x:c>
      <x:c r="E345" s="192"/>
      <x:c r="F345" s="192"/>
      <x:c r="G345" s="192" t="str">
        <x:v>Form A</x:v>
      </x:c>
      <x:c r="H345" s="192" t="n">
        <x:v>140</x:v>
      </x:c>
      <x:c r="I345" s="192" t="str">
        <x:v>Scored-Style</x:v>
      </x:c>
      <x:c r="J345" s="192" t="str">
        <x:v>4. Case Conceptualization and Planning</x:v>
      </x:c>
      <x:c r="K345" s="192" t="str">
        <x:v>Outcome monitoring</x:v>
      </x:c>
      <x:c r="L345" s="192" t="str"/>
      <x:c r="M345" s="192" t="str">
        <x:v>Moderate</x:v>
      </x:c>
      <x:c r="N345" s="192" t="str">
        <x:v>Moderate</x:v>
      </x:c>
      <x:c r="O345" s="192" t="str">
        <x:v>Application</x:v>
      </x:c>
      <x:c r="P345" s="192" t="str">
        <x:v>Application</x:v>
      </x:c>
      <x:c r="Q345" s="192" t="n">
        <x:v>4</x:v>
      </x:c>
      <x:c r="R345" s="192" t="str">
        <x:v>C</x:v>
      </x:c>
      <x:c r="S345" s="192" t="str">
        <x:v>Approved</x:v>
      </x:c>
      <x:c r="T345" s="192" t="str">
        <x:v>Active</x:v>
      </x:c>
      <x:c r="U345" s="192" t="n">
        <x:v>1</x:v>
      </x:c>
      <x:c r="V345" s="192" t="str">
        <x:v>LMFT-ALT-047</x:v>
      </x:c>
      <x:c r="W345" s="192" t="str">
        <x:v>No additional flag</x:v>
      </x:c>
      <x:c r="X345" s="192" t="str">
        <x:v>No structural flag</x:v>
      </x:c>
      <x:c r="Y345" s="192" t="str">
        <x:v>Not Yet Reviewed</x:v>
      </x:c>
      <x:c r="Z345" s="192" t="str">
        <x:v>CTA LMFT WB7; Pearson VUE LMFT Outline Area 4</x:v>
      </x:c>
      <x:c r="AA345" s="192" t="str">
        <x:v>CTA_LMFT_Comprehensive_Simulation_Form_A_Answer_Key_and_Detailed_Rationales_v1.0.docx</x:v>
      </x:c>
      <x:c r="AB345" s="192" t="str">
        <x:v>1.0</x:v>
      </x:c>
      <x:c r="AC345" s="193"/>
      <x:c r="AD345" s="193" t="n">
        <x:v>46228</x:v>
      </x:c>
      <x:c r="AE345" s="192" t="str">
        <x:v>Approved for Form A</x:v>
      </x:c>
      <x:c r="AF345" s="194" t="str">
        <x:v>Form A only; paired alternate retained on the other comprehensive form</x:v>
      </x:c>
    </x:row>
    <x:row r="346">
      <x:c r="A346" s="191" t="str">
        <x:v>CTA-LMFT-MQB-0345</x:v>
      </x:c>
      <x:c r="B346" s="192" t="str">
        <x:v>LMFT-MQB-FA-CE-016</x:v>
      </x:c>
      <x:c r="C346" s="192" t="str">
        <x:v>LMFT</x:v>
      </x:c>
      <x:c r="D346" s="192" t="str">
        <x:v>Comprehensive Simulation</x:v>
      </x:c>
      <x:c r="E346" s="192"/>
      <x:c r="F346" s="192"/>
      <x:c r="G346" s="192" t="str">
        <x:v>Form A</x:v>
      </x:c>
      <x:c r="H346" s="192" t="n">
        <x:v>141</x:v>
      </x:c>
      <x:c r="I346" s="192" t="str">
        <x:v>Scored-Style</x:v>
      </x:c>
      <x:c r="J346" s="192" t="str">
        <x:v>1. Clinical Evaluation</x:v>
      </x:c>
      <x:c r="K346" s="192" t="str">
        <x:v>Trauma inquiry pacing</x:v>
      </x:c>
      <x:c r="L346" s="192" t="str"/>
      <x:c r="M346" s="192" t="str">
        <x:v>Moderate</x:v>
      </x:c>
      <x:c r="N346" s="192" t="str">
        <x:v>Moderate</x:v>
      </x:c>
      <x:c r="O346" s="192" t="str">
        <x:v>Application</x:v>
      </x:c>
      <x:c r="P346" s="192" t="str">
        <x:v>Application</x:v>
      </x:c>
      <x:c r="Q346" s="192" t="n">
        <x:v>4</x:v>
      </x:c>
      <x:c r="R346" s="192" t="str">
        <x:v>D</x:v>
      </x:c>
      <x:c r="S346" s="192" t="str">
        <x:v>Approved</x:v>
      </x:c>
      <x:c r="T346" s="192" t="str">
        <x:v>Active</x:v>
      </x:c>
      <x:c r="U346" s="192" t="n">
        <x:v>1</x:v>
      </x:c>
      <x:c r="V346" s="192" t="str">
        <x:v>LMFT-ALT-016</x:v>
      </x:c>
      <x:c r="W346" s="192" t="str">
        <x:v>No additional flag</x:v>
      </x:c>
      <x:c r="X346" s="192" t="str">
        <x:v>No structural flag</x:v>
      </x:c>
      <x:c r="Y346" s="192" t="str">
        <x:v>Not Yet Reviewed</x:v>
      </x:c>
      <x:c r="Z346" s="192" t="str">
        <x:v>CTA LMFT WB4; Pearson VUE LMFT Outline Area 1</x:v>
      </x:c>
      <x:c r="AA346" s="192" t="str">
        <x:v>CTA_LMFT_Comprehensive_Simulation_Form_A_Answer_Key_and_Detailed_Rationales_v1.0.docx</x:v>
      </x:c>
      <x:c r="AB346" s="192" t="str">
        <x:v>1.0</x:v>
      </x:c>
      <x:c r="AC346" s="193"/>
      <x:c r="AD346" s="193" t="n">
        <x:v>46228</x:v>
      </x:c>
      <x:c r="AE346" s="192" t="str">
        <x:v>Approved for Form A</x:v>
      </x:c>
      <x:c r="AF346" s="194" t="str">
        <x:v>Form A only; paired alternate retained on the other comprehensive form</x:v>
      </x:c>
    </x:row>
    <x:row r="347">
      <x:c r="A347" s="191" t="str">
        <x:v>CTA-LMFT-MQB-0346</x:v>
      </x:c>
      <x:c r="B347" s="192" t="str">
        <x:v>LMFT-MQB-FA-TX-019</x:v>
      </x:c>
      <x:c r="C347" s="192" t="str">
        <x:v>LMFT</x:v>
      </x:c>
      <x:c r="D347" s="192" t="str">
        <x:v>Comprehensive Simulation</x:v>
      </x:c>
      <x:c r="E347" s="192"/>
      <x:c r="F347" s="192"/>
      <x:c r="G347" s="192" t="str">
        <x:v>Form A</x:v>
      </x:c>
      <x:c r="H347" s="192" t="n">
        <x:v>142</x:v>
      </x:c>
      <x:c r="I347" s="192" t="str">
        <x:v>Scored-Style</x:v>
      </x:c>
      <x:c r="J347" s="192" t="str">
        <x:v>5. Treatment</x:v>
      </x:c>
      <x:c r="K347" s="192" t="str">
        <x:v>Neurodiversity adaptation</x:v>
      </x:c>
      <x:c r="L347" s="192" t="str"/>
      <x:c r="M347" s="192" t="str">
        <x:v>Moderate</x:v>
      </x:c>
      <x:c r="N347" s="192" t="str">
        <x:v>Moderate</x:v>
      </x:c>
      <x:c r="O347" s="192" t="str">
        <x:v>Application</x:v>
      </x:c>
      <x:c r="P347" s="192" t="str">
        <x:v>Application</x:v>
      </x:c>
      <x:c r="Q347" s="192" t="n">
        <x:v>4</x:v>
      </x:c>
      <x:c r="R347" s="192" t="str">
        <x:v>C</x:v>
      </x:c>
      <x:c r="S347" s="192" t="str">
        <x:v>Approved</x:v>
      </x:c>
      <x:c r="T347" s="192" t="str">
        <x:v>Active</x:v>
      </x:c>
      <x:c r="U347" s="192" t="n">
        <x:v>1</x:v>
      </x:c>
      <x:c r="V347" s="192" t="str">
        <x:v>LMFT-ALT-126</x:v>
      </x:c>
      <x:c r="W347" s="192" t="str">
        <x:v>No additional flag</x:v>
      </x:c>
      <x:c r="X347" s="192" t="str">
        <x:v>No structural flag</x:v>
      </x:c>
      <x:c r="Y347" s="192" t="str">
        <x:v>Not Yet Reviewed</x:v>
      </x:c>
      <x:c r="Z347" s="192" t="str">
        <x:v>CTA LMFT WB10; Pearson VUE LMFT Outline Area 5</x:v>
      </x:c>
      <x:c r="AA347" s="192" t="str">
        <x:v>CTA_LMFT_Comprehensive_Simulation_Form_A_Answer_Key_and_Detailed_Rationales_v1.0.docx</x:v>
      </x:c>
      <x:c r="AB347" s="192" t="str">
        <x:v>1.0</x:v>
      </x:c>
      <x:c r="AC347" s="193"/>
      <x:c r="AD347" s="193" t="n">
        <x:v>46228</x:v>
      </x:c>
      <x:c r="AE347" s="192" t="str">
        <x:v>Approved for Form A</x:v>
      </x:c>
      <x:c r="AF347" s="194" t="str">
        <x:v>Form A only; paired alternate retained on the other comprehensive form</x:v>
      </x:c>
    </x:row>
    <x:row r="348">
      <x:c r="A348" s="191" t="str">
        <x:v>CTA-LMFT-MQB-0347</x:v>
      </x:c>
      <x:c r="B348" s="192" t="str">
        <x:v>LMFT-MQB-FA-DI-002</x:v>
      </x:c>
      <x:c r="C348" s="192" t="str">
        <x:v>LMFT</x:v>
      </x:c>
      <x:c r="D348" s="192" t="str">
        <x:v>Comprehensive Simulation</x:v>
      </x:c>
      <x:c r="E348" s="192"/>
      <x:c r="F348" s="192"/>
      <x:c r="G348" s="192" t="str">
        <x:v>Form A</x:v>
      </x:c>
      <x:c r="H348" s="192" t="n">
        <x:v>143</x:v>
      </x:c>
      <x:c r="I348" s="192" t="str">
        <x:v>Scored-Style</x:v>
      </x:c>
      <x:c r="J348" s="192" t="str">
        <x:v>2. Developing a Diagnostic Impression</x:v>
      </x:c>
      <x:c r="K348" s="192" t="str">
        <x:v>Differential diagnosis</x:v>
      </x:c>
      <x:c r="L348" s="192" t="str"/>
      <x:c r="M348" s="192" t="str">
        <x:v>Easy</x:v>
      </x:c>
      <x:c r="N348" s="192" t="str">
        <x:v>Easy</x:v>
      </x:c>
      <x:c r="O348" s="192" t="str">
        <x:v>Direct recognition</x:v>
      </x:c>
      <x:c r="P348" s="192" t="str">
        <x:v>Knowledge &amp; Recall</x:v>
      </x:c>
      <x:c r="Q348" s="192" t="n">
        <x:v>4</x:v>
      </x:c>
      <x:c r="R348" s="192" t="str">
        <x:v>A</x:v>
      </x:c>
      <x:c r="S348" s="192" t="str">
        <x:v>Approved</x:v>
      </x:c>
      <x:c r="T348" s="192" t="str">
        <x:v>Active</x:v>
      </x:c>
      <x:c r="U348" s="192" t="n">
        <x:v>1</x:v>
      </x:c>
      <x:c r="V348" s="192" t="str">
        <x:v>LMFT-ALT-077</x:v>
      </x:c>
      <x:c r="W348" s="192" t="str">
        <x:v>No additional flag</x:v>
      </x:c>
      <x:c r="X348" s="192" t="str">
        <x:v>No structural flag</x:v>
      </x:c>
      <x:c r="Y348" s="192" t="str">
        <x:v>Not Yet Reviewed</x:v>
      </x:c>
      <x:c r="Z348" s="192" t="str">
        <x:v>CTA LMFT WB5; Pearson VUE LMFT Outline Area 2</x:v>
      </x:c>
      <x:c r="AA348" s="192" t="str">
        <x:v>CTA_LMFT_Comprehensive_Simulation_Form_A_Answer_Key_and_Detailed_Rationales_v1.0.docx</x:v>
      </x:c>
      <x:c r="AB348" s="192" t="str">
        <x:v>1.0</x:v>
      </x:c>
      <x:c r="AC348" s="193"/>
      <x:c r="AD348" s="193" t="n">
        <x:v>46228</x:v>
      </x:c>
      <x:c r="AE348" s="192" t="str">
        <x:v>Approved for Form A</x:v>
      </x:c>
      <x:c r="AF348" s="194" t="str">
        <x:v>Form A only; paired alternate retained on the other comprehensive form</x:v>
      </x:c>
    </x:row>
    <x:row r="349">
      <x:c r="A349" s="191" t="str">
        <x:v>CTA-LMFT-MQB-0348</x:v>
      </x:c>
      <x:c r="B349" s="192" t="str">
        <x:v>LMFT-MQB-FA-TX-031</x:v>
      </x:c>
      <x:c r="C349" s="192" t="str">
        <x:v>LMFT</x:v>
      </x:c>
      <x:c r="D349" s="192" t="str">
        <x:v>Comprehensive Simulation</x:v>
      </x:c>
      <x:c r="E349" s="192"/>
      <x:c r="F349" s="192"/>
      <x:c r="G349" s="192" t="str">
        <x:v>Form A</x:v>
      </x:c>
      <x:c r="H349" s="192" t="n">
        <x:v>144</x:v>
      </x:c>
      <x:c r="I349" s="192" t="str">
        <x:v>Scored-Style</x:v>
      </x:c>
      <x:c r="J349" s="192" t="str">
        <x:v>5. Treatment</x:v>
      </x:c>
      <x:c r="K349" s="192" t="str">
        <x:v>Reunification pacing</x:v>
      </x:c>
      <x:c r="L349" s="192" t="str"/>
      <x:c r="M349" s="192" t="str">
        <x:v>Moderate</x:v>
      </x:c>
      <x:c r="N349" s="192" t="str">
        <x:v>Moderate</x:v>
      </x:c>
      <x:c r="O349" s="192" t="str">
        <x:v>Scenario-based sequencing</x:v>
      </x:c>
      <x:c r="P349" s="192" t="str">
        <x:v>Scenario-Based</x:v>
      </x:c>
      <x:c r="Q349" s="192" t="n">
        <x:v>4</x:v>
      </x:c>
      <x:c r="R349" s="192" t="str">
        <x:v>A</x:v>
      </x:c>
      <x:c r="S349" s="192" t="str">
        <x:v>Approved</x:v>
      </x:c>
      <x:c r="T349" s="192" t="str">
        <x:v>Active</x:v>
      </x:c>
      <x:c r="U349" s="192" t="n">
        <x:v>1</x:v>
      </x:c>
      <x:c r="V349" s="192" t="str">
        <x:v>LMFT-ALT-138</x:v>
      </x:c>
      <x:c r="W349" s="192" t="str">
        <x:v>No additional flag</x:v>
      </x:c>
      <x:c r="X349" s="192" t="str">
        <x:v>No structural flag</x:v>
      </x:c>
      <x:c r="Y349" s="192" t="str">
        <x:v>Not Yet Reviewed</x:v>
      </x:c>
      <x:c r="Z349" s="192" t="str">
        <x:v>CTA LMFT WB8; CTA LMFT WB10; Pearson VUE LMFT Outline Area 5</x:v>
      </x:c>
      <x:c r="AA349" s="192" t="str">
        <x:v>CTA_LMFT_Comprehensive_Simulation_Form_A_Answer_Key_and_Detailed_Rationales_v1.0.docx</x:v>
      </x:c>
      <x:c r="AB349" s="192" t="str">
        <x:v>1.0</x:v>
      </x:c>
      <x:c r="AC349" s="193"/>
      <x:c r="AD349" s="193" t="n">
        <x:v>46228</x:v>
      </x:c>
      <x:c r="AE349" s="192" t="str">
        <x:v>Approved for Form A</x:v>
      </x:c>
      <x:c r="AF349" s="194" t="str">
        <x:v>Form A only; paired alternate retained on the other comprehensive form</x:v>
      </x:c>
    </x:row>
    <x:row r="350">
      <x:c r="A350" s="191" t="str">
        <x:v>CTA-LMFT-MQB-0349</x:v>
      </x:c>
      <x:c r="B350" s="192" t="str">
        <x:v>LMFT-MQB-FA-CE-012</x:v>
      </x:c>
      <x:c r="C350" s="192" t="str">
        <x:v>LMFT</x:v>
      </x:c>
      <x:c r="D350" s="192" t="str">
        <x:v>Comprehensive Simulation</x:v>
      </x:c>
      <x:c r="E350" s="192"/>
      <x:c r="F350" s="192"/>
      <x:c r="G350" s="192" t="str">
        <x:v>Form A</x:v>
      </x:c>
      <x:c r="H350" s="192" t="n">
        <x:v>145</x:v>
      </x:c>
      <x:c r="I350" s="192" t="str">
        <x:v>Scored-Style</x:v>
      </x:c>
      <x:c r="J350" s="192" t="str">
        <x:v>1. Clinical Evaluation</x:v>
      </x:c>
      <x:c r="K350" s="192" t="str">
        <x:v>Cultural humility</x:v>
      </x:c>
      <x:c r="L350" s="192" t="str"/>
      <x:c r="M350" s="192" t="str">
        <x:v>Moderate</x:v>
      </x:c>
      <x:c r="N350" s="192" t="str">
        <x:v>Moderate</x:v>
      </x:c>
      <x:c r="O350" s="192" t="str">
        <x:v>Application</x:v>
      </x:c>
      <x:c r="P350" s="192" t="str">
        <x:v>Application</x:v>
      </x:c>
      <x:c r="Q350" s="192" t="n">
        <x:v>4</x:v>
      </x:c>
      <x:c r="R350" s="192" t="str">
        <x:v>C</x:v>
      </x:c>
      <x:c r="S350" s="192" t="str">
        <x:v>Approved</x:v>
      </x:c>
      <x:c r="T350" s="192" t="str">
        <x:v>Active</x:v>
      </x:c>
      <x:c r="U350" s="192" t="n">
        <x:v>1</x:v>
      </x:c>
      <x:c r="V350" s="192" t="str">
        <x:v>LMFT-ALT-012</x:v>
      </x:c>
      <x:c r="W350" s="192" t="str">
        <x:v>No additional flag</x:v>
      </x:c>
      <x:c r="X350" s="192" t="str">
        <x:v>No structural flag</x:v>
      </x:c>
      <x:c r="Y350" s="192" t="str">
        <x:v>Not Yet Reviewed</x:v>
      </x:c>
      <x:c r="Z350" s="192" t="str">
        <x:v>CTA LMFT WB3; CTA LMFT WB10; Pearson VUE LMFT Outline Area 1</x:v>
      </x:c>
      <x:c r="AA350" s="192" t="str">
        <x:v>CTA_LMFT_Comprehensive_Simulation_Form_A_Answer_Key_and_Detailed_Rationales_v1.0.docx</x:v>
      </x:c>
      <x:c r="AB350" s="192" t="str">
        <x:v>1.0</x:v>
      </x:c>
      <x:c r="AC350" s="193"/>
      <x:c r="AD350" s="193" t="n">
        <x:v>46228</x:v>
      </x:c>
      <x:c r="AE350" s="192" t="str">
        <x:v>Approved for Form A</x:v>
      </x:c>
      <x:c r="AF350" s="194" t="str">
        <x:v>Form A only; paired alternate retained on the other comprehensive form</x:v>
      </x:c>
    </x:row>
    <x:row r="351">
      <x:c r="A351" s="191" t="str">
        <x:v>CTA-LMFT-MQB-0350</x:v>
      </x:c>
      <x:c r="B351" s="192" t="str">
        <x:v>LMFT-MQB-FA-TX-042</x:v>
      </x:c>
      <x:c r="C351" s="192" t="str">
        <x:v>LMFT</x:v>
      </x:c>
      <x:c r="D351" s="192" t="str">
        <x:v>Comprehensive Simulation</x:v>
      </x:c>
      <x:c r="E351" s="192"/>
      <x:c r="F351" s="192"/>
      <x:c r="G351" s="192" t="str">
        <x:v>Form A</x:v>
      </x:c>
      <x:c r="H351" s="192" t="n">
        <x:v>146</x:v>
      </x:c>
      <x:c r="I351" s="192" t="str">
        <x:v>Scored-Style</x:v>
      </x:c>
      <x:c r="J351" s="192" t="str">
        <x:v>5. Treatment</x:v>
      </x:c>
      <x:c r="K351" s="192" t="str">
        <x:v>Integrated multidisciplinary care</x:v>
      </x:c>
      <x:c r="L351" s="192" t="str"/>
      <x:c r="M351" s="192" t="str">
        <x:v>Difficult</x:v>
      </x:c>
      <x:c r="N351" s="192" t="str">
        <x:v>Difficult</x:v>
      </x:c>
      <x:c r="O351" s="192" t="str">
        <x:v>Integrated reasoning</x:v>
      </x:c>
      <x:c r="P351" s="192" t="str">
        <x:v>Integrated Clinical Reasoning</x:v>
      </x:c>
      <x:c r="Q351" s="192" t="n">
        <x:v>4</x:v>
      </x:c>
      <x:c r="R351" s="192" t="str">
        <x:v>B</x:v>
      </x:c>
      <x:c r="S351" s="192" t="str">
        <x:v>Approved</x:v>
      </x:c>
      <x:c r="T351" s="192" t="str">
        <x:v>Active</x:v>
      </x:c>
      <x:c r="U351" s="192" t="n">
        <x:v>1</x:v>
      </x:c>
      <x:c r="V351" s="192" t="str">
        <x:v>LMFT-ALT-149</x:v>
      </x:c>
      <x:c r="W351" s="192" t="str">
        <x:v>No additional flag</x:v>
      </x:c>
      <x:c r="X351" s="192" t="str">
        <x:v>No structural flag</x:v>
      </x:c>
      <x:c r="Y351" s="192" t="str">
        <x:v>Not Yet Reviewed</x:v>
      </x:c>
      <x:c r="Z351" s="192" t="str">
        <x:v>CTA LMFT WB9; CTA LMFT WB11; Pearson VUE LMFT Outline Area 5</x:v>
      </x:c>
      <x:c r="AA351" s="192" t="str">
        <x:v>CTA_LMFT_Comprehensive_Simulation_Form_A_Answer_Key_and_Detailed_Rationales_v1.0.docx</x:v>
      </x:c>
      <x:c r="AB351" s="192" t="str">
        <x:v>1.0</x:v>
      </x:c>
      <x:c r="AC351" s="193"/>
      <x:c r="AD351" s="193" t="n">
        <x:v>46228</x:v>
      </x:c>
      <x:c r="AE351" s="192" t="str">
        <x:v>Approved for Form A</x:v>
      </x:c>
      <x:c r="AF351" s="194" t="str">
        <x:v>Form A only; paired alternate retained on the other comprehensive form</x:v>
      </x:c>
    </x:row>
    <x:row r="352">
      <x:c r="A352" s="191" t="str">
        <x:v>CTA-LMFT-MQB-0351</x:v>
      </x:c>
      <x:c r="B352" s="192" t="str">
        <x:v>LMFT-MQB-FA-CE-013</x:v>
      </x:c>
      <x:c r="C352" s="192" t="str">
        <x:v>LMFT</x:v>
      </x:c>
      <x:c r="D352" s="192" t="str">
        <x:v>Comprehensive Simulation</x:v>
      </x:c>
      <x:c r="E352" s="192"/>
      <x:c r="F352" s="192"/>
      <x:c r="G352" s="192" t="str">
        <x:v>Form A</x:v>
      </x:c>
      <x:c r="H352" s="192" t="n">
        <x:v>147</x:v>
      </x:c>
      <x:c r="I352" s="192" t="str">
        <x:v>Scored-Style</x:v>
      </x:c>
      <x:c r="J352" s="192" t="str">
        <x:v>1. Clinical Evaluation</x:v>
      </x:c>
      <x:c r="K352" s="192" t="str">
        <x:v>Developmental context</x:v>
      </x:c>
      <x:c r="L352" s="192" t="str"/>
      <x:c r="M352" s="192" t="str">
        <x:v>Moderate</x:v>
      </x:c>
      <x:c r="N352" s="192" t="str">
        <x:v>Moderate</x:v>
      </x:c>
      <x:c r="O352" s="192" t="str">
        <x:v>Application</x:v>
      </x:c>
      <x:c r="P352" s="192" t="str">
        <x:v>Application</x:v>
      </x:c>
      <x:c r="Q352" s="192" t="n">
        <x:v>4</x:v>
      </x:c>
      <x:c r="R352" s="192" t="str">
        <x:v>D</x:v>
      </x:c>
      <x:c r="S352" s="192" t="str">
        <x:v>Approved</x:v>
      </x:c>
      <x:c r="T352" s="192" t="str">
        <x:v>Active</x:v>
      </x:c>
      <x:c r="U352" s="192" t="n">
        <x:v>1</x:v>
      </x:c>
      <x:c r="V352" s="192" t="str">
        <x:v>LMFT-ALT-013</x:v>
      </x:c>
      <x:c r="W352" s="192" t="str">
        <x:v>No additional flag</x:v>
      </x:c>
      <x:c r="X352" s="192" t="str">
        <x:v>No structural flag</x:v>
      </x:c>
      <x:c r="Y352" s="192" t="str">
        <x:v>Not Yet Reviewed</x:v>
      </x:c>
      <x:c r="Z352" s="192" t="str">
        <x:v>CTA LMFT WB3; Pearson VUE LMFT Outline Area 1</x:v>
      </x:c>
      <x:c r="AA352" s="192" t="str">
        <x:v>CTA_LMFT_Comprehensive_Simulation_Form_A_Answer_Key_and_Detailed_Rationales_v1.0.docx</x:v>
      </x:c>
      <x:c r="AB352" s="192" t="str">
        <x:v>1.0</x:v>
      </x:c>
      <x:c r="AC352" s="193"/>
      <x:c r="AD352" s="193" t="n">
        <x:v>46228</x:v>
      </x:c>
      <x:c r="AE352" s="192" t="str">
        <x:v>Approved for Form A</x:v>
      </x:c>
      <x:c r="AF352" s="194" t="str">
        <x:v>Form A only; paired alternate retained on the other comprehensive form</x:v>
      </x:c>
    </x:row>
    <x:row r="353">
      <x:c r="A353" s="191" t="str">
        <x:v>CTA-LMFT-MQB-0352</x:v>
      </x:c>
      <x:c r="B353" s="192" t="str">
        <x:v>LMFT-MQB-FA-TX-028</x:v>
      </x:c>
      <x:c r="C353" s="192" t="str">
        <x:v>LMFT</x:v>
      </x:c>
      <x:c r="D353" s="192" t="str">
        <x:v>Comprehensive Simulation</x:v>
      </x:c>
      <x:c r="E353" s="192"/>
      <x:c r="F353" s="192"/>
      <x:c r="G353" s="192" t="str">
        <x:v>Form A</x:v>
      </x:c>
      <x:c r="H353" s="192" t="n">
        <x:v>148</x:v>
      </x:c>
      <x:c r="I353" s="192" t="str">
        <x:v>Scored-Style</x:v>
      </x:c>
      <x:c r="J353" s="192" t="str">
        <x:v>5. Treatment</x:v>
      </x:c>
      <x:c r="K353" s="192" t="str">
        <x:v>Stepfamily intervention</x:v>
      </x:c>
      <x:c r="L353" s="192" t="str"/>
      <x:c r="M353" s="192" t="str">
        <x:v>Moderate</x:v>
      </x:c>
      <x:c r="N353" s="192" t="str">
        <x:v>Moderate</x:v>
      </x:c>
      <x:c r="O353" s="192" t="str">
        <x:v>Scenario-based sequencing</x:v>
      </x:c>
      <x:c r="P353" s="192" t="str">
        <x:v>Scenario-Based</x:v>
      </x:c>
      <x:c r="Q353" s="192" t="n">
        <x:v>4</x:v>
      </x:c>
      <x:c r="R353" s="192" t="str">
        <x:v>C</x:v>
      </x:c>
      <x:c r="S353" s="192" t="str">
        <x:v>Approved</x:v>
      </x:c>
      <x:c r="T353" s="192" t="str">
        <x:v>Active</x:v>
      </x:c>
      <x:c r="U353" s="192" t="n">
        <x:v>1</x:v>
      </x:c>
      <x:c r="V353" s="192" t="str">
        <x:v>LMFT-ALT-135</x:v>
      </x:c>
      <x:c r="W353" s="192" t="str">
        <x:v>No additional flag</x:v>
      </x:c>
      <x:c r="X353" s="192" t="str">
        <x:v>No structural flag</x:v>
      </x:c>
      <x:c r="Y353" s="192" t="str">
        <x:v>Not Yet Reviewed</x:v>
      </x:c>
      <x:c r="Z353" s="192" t="str">
        <x:v>CTA LMFT WB8; CTA LMFT WB10; Pearson VUE LMFT Outline Area 5</x:v>
      </x:c>
      <x:c r="AA353" s="192" t="str">
        <x:v>CTA_LMFT_Comprehensive_Simulation_Form_A_Answer_Key_and_Detailed_Rationales_v1.0.docx</x:v>
      </x:c>
      <x:c r="AB353" s="192" t="str">
        <x:v>1.0</x:v>
      </x:c>
      <x:c r="AC353" s="193"/>
      <x:c r="AD353" s="193" t="n">
        <x:v>46228</x:v>
      </x:c>
      <x:c r="AE353" s="192" t="str">
        <x:v>Approved for Form A</x:v>
      </x:c>
      <x:c r="AF353" s="194" t="str">
        <x:v>Form A only; paired alternate retained on the other comprehensive form</x:v>
      </x:c>
    </x:row>
    <x:row r="354">
      <x:c r="A354" s="191" t="str">
        <x:v>CTA-LMFT-MQB-0353</x:v>
      </x:c>
      <x:c r="B354" s="192" t="str">
        <x:v>LMFT-MQB-FA-TX-027</x:v>
      </x:c>
      <x:c r="C354" s="192" t="str">
        <x:v>LMFT</x:v>
      </x:c>
      <x:c r="D354" s="192" t="str">
        <x:v>Comprehensive Simulation</x:v>
      </x:c>
      <x:c r="E354" s="192"/>
      <x:c r="F354" s="192"/>
      <x:c r="G354" s="192" t="str">
        <x:v>Form A</x:v>
      </x:c>
      <x:c r="H354" s="192" t="n">
        <x:v>149</x:v>
      </x:c>
      <x:c r="I354" s="192" t="str">
        <x:v>Scored-Style</x:v>
      </x:c>
      <x:c r="J354" s="192" t="str">
        <x:v>5. Treatment</x:v>
      </x:c>
      <x:c r="K354" s="192" t="str">
        <x:v>MI with mandated client</x:v>
      </x:c>
      <x:c r="L354" s="192" t="str"/>
      <x:c r="M354" s="192" t="str">
        <x:v>Moderate</x:v>
      </x:c>
      <x:c r="N354" s="192" t="str">
        <x:v>Moderate</x:v>
      </x:c>
      <x:c r="O354" s="192" t="str">
        <x:v>Scenario-based sequencing</x:v>
      </x:c>
      <x:c r="P354" s="192" t="str">
        <x:v>Scenario-Based</x:v>
      </x:c>
      <x:c r="Q354" s="192" t="n">
        <x:v>4</x:v>
      </x:c>
      <x:c r="R354" s="192" t="str">
        <x:v>C</x:v>
      </x:c>
      <x:c r="S354" s="192" t="str">
        <x:v>Approved</x:v>
      </x:c>
      <x:c r="T354" s="192" t="str">
        <x:v>Active</x:v>
      </x:c>
      <x:c r="U354" s="192" t="n">
        <x:v>1</x:v>
      </x:c>
      <x:c r="V354" s="192" t="str">
        <x:v>LMFT-ALT-134</x:v>
      </x:c>
      <x:c r="W354" s="192" t="str">
        <x:v>No additional flag</x:v>
      </x:c>
      <x:c r="X354" s="192" t="str">
        <x:v>No structural flag</x:v>
      </x:c>
      <x:c r="Y354" s="192" t="str">
        <x:v>Not Yet Reviewed</x:v>
      </x:c>
      <x:c r="Z354" s="192" t="str">
        <x:v>CTA LMFT WB9; CTA LMFT WB12; Pearson VUE LMFT Outline Area 5</x:v>
      </x:c>
      <x:c r="AA354" s="192" t="str">
        <x:v>CTA_LMFT_Comprehensive_Simulation_Form_A_Answer_Key_and_Detailed_Rationales_v1.0.docx</x:v>
      </x:c>
      <x:c r="AB354" s="192" t="str">
        <x:v>1.0</x:v>
      </x:c>
      <x:c r="AC354" s="193"/>
      <x:c r="AD354" s="193" t="n">
        <x:v>46228</x:v>
      </x:c>
      <x:c r="AE354" s="192" t="str">
        <x:v>Approved for Form A</x:v>
      </x:c>
      <x:c r="AF354" s="194" t="str">
        <x:v>Form A only; paired alternate retained on the other comprehensive form</x:v>
      </x:c>
    </x:row>
    <x:row r="355">
      <x:c r="A355" s="191" t="str">
        <x:v>CTA-LMFT-MQB-0354</x:v>
      </x:c>
      <x:c r="B355" s="192" t="str">
        <x:v>LMFT-MQB-FA-CP-007</x:v>
      </x:c>
      <x:c r="C355" s="192" t="str">
        <x:v>LMFT</x:v>
      </x:c>
      <x:c r="D355" s="192" t="str">
        <x:v>Comprehensive Simulation</x:v>
      </x:c>
      <x:c r="E355" s="192"/>
      <x:c r="F355" s="192"/>
      <x:c r="G355" s="192" t="str">
        <x:v>Form A</x:v>
      </x:c>
      <x:c r="H355" s="192" t="n">
        <x:v>150</x:v>
      </x:c>
      <x:c r="I355" s="192" t="str">
        <x:v>Scored-Style</x:v>
      </x:c>
      <x:c r="J355" s="192" t="str">
        <x:v>4. Case Conceptualization and Planning</x:v>
      </x:c>
      <x:c r="K355" s="192" t="str">
        <x:v>Theory-informed planning</x:v>
      </x:c>
      <x:c r="L355" s="192" t="str"/>
      <x:c r="M355" s="192" t="str">
        <x:v>Moderate</x:v>
      </x:c>
      <x:c r="N355" s="192" t="str">
        <x:v>Moderate</x:v>
      </x:c>
      <x:c r="O355" s="192" t="str">
        <x:v>Application</x:v>
      </x:c>
      <x:c r="P355" s="192" t="str">
        <x:v>Application</x:v>
      </x:c>
      <x:c r="Q355" s="192" t="n">
        <x:v>4</x:v>
      </x:c>
      <x:c r="R355" s="192" t="str">
        <x:v>D</x:v>
      </x:c>
      <x:c r="S355" s="192" t="str">
        <x:v>Approved</x:v>
      </x:c>
      <x:c r="T355" s="192" t="str">
        <x:v>Active</x:v>
      </x:c>
      <x:c r="U355" s="192" t="n">
        <x:v>1</x:v>
      </x:c>
      <x:c r="V355" s="192" t="str">
        <x:v>LMFT-ALT-048</x:v>
      </x:c>
      <x:c r="W355" s="192" t="str">
        <x:v>No additional flag</x:v>
      </x:c>
      <x:c r="X355" s="192" t="str">
        <x:v>No structural flag</x:v>
      </x:c>
      <x:c r="Y355" s="192" t="str">
        <x:v>Not Yet Reviewed</x:v>
      </x:c>
      <x:c r="Z355" s="192" t="str">
        <x:v>CTA LMFT WB7; CTA LMFT WB8; Pearson VUE LMFT Outline Area 4</x:v>
      </x:c>
      <x:c r="AA355" s="192" t="str">
        <x:v>CTA_LMFT_Comprehensive_Simulation_Form_A_Answer_Key_and_Detailed_Rationales_v1.0.docx</x:v>
      </x:c>
      <x:c r="AB355" s="192" t="str">
        <x:v>1.0</x:v>
      </x:c>
      <x:c r="AC355" s="193"/>
      <x:c r="AD355" s="193" t="n">
        <x:v>46228</x:v>
      </x:c>
      <x:c r="AE355" s="192" t="str">
        <x:v>Approved for Form A</x:v>
      </x:c>
      <x:c r="AF355" s="194" t="str">
        <x:v>Form A only; paired alternate retained on the other comprehensive form</x:v>
      </x:c>
    </x:row>
    <x:row r="356">
      <x:c r="A356" s="191" t="str">
        <x:v>CTA-LMFT-MQB-0355</x:v>
      </x:c>
      <x:c r="B356" s="192" t="str">
        <x:v>LMFT-MQB-FB-CP-010</x:v>
      </x:c>
      <x:c r="C356" s="192" t="str">
        <x:v>LMFT</x:v>
      </x:c>
      <x:c r="D356" s="192" t="str">
        <x:v>Comprehensive Simulation</x:v>
      </x:c>
      <x:c r="E356" s="192"/>
      <x:c r="F356" s="192"/>
      <x:c r="G356" s="192" t="str">
        <x:v>Form B</x:v>
      </x:c>
      <x:c r="H356" s="192" t="n">
        <x:v>1</x:v>
      </x:c>
      <x:c r="I356" s="192" t="str">
        <x:v>Pretest-Style</x:v>
      </x:c>
      <x:c r="J356" s="192" t="str">
        <x:v>4. Case Conceptualization and Planning</x:v>
      </x:c>
      <x:c r="K356" s="192" t="str">
        <x:v>Initial plan after assessment</x:v>
      </x:c>
      <x:c r="L356" s="192" t="str"/>
      <x:c r="M356" s="192" t="str">
        <x:v>Easy</x:v>
      </x:c>
      <x:c r="N356" s="192" t="str">
        <x:v>Easy</x:v>
      </x:c>
      <x:c r="O356" s="192" t="str">
        <x:v>Scenario-based sequencing</x:v>
      </x:c>
      <x:c r="P356" s="192" t="str">
        <x:v>Scenario-Based</x:v>
      </x:c>
      <x:c r="Q356" s="192" t="n">
        <x:v>4</x:v>
      </x:c>
      <x:c r="R356" s="192" t="str">
        <x:v>D</x:v>
      </x:c>
      <x:c r="S356" s="192" t="str">
        <x:v>Approved</x:v>
      </x:c>
      <x:c r="T356" s="192" t="str">
        <x:v>Active</x:v>
      </x:c>
      <x:c r="U356" s="192" t="n">
        <x:v>1</x:v>
      </x:c>
      <x:c r="V356" s="192" t="str">
        <x:v>LMFT-ALT-051</x:v>
      </x:c>
      <x:c r="W356" s="192" t="str">
        <x:v>No additional flag</x:v>
      </x:c>
      <x:c r="X356" s="192" t="str">
        <x:v>No structural flag</x:v>
      </x:c>
      <x:c r="Y356" s="192" t="str">
        <x:v>Not Yet Reviewed</x:v>
      </x:c>
      <x:c r="Z356" s="192" t="str">
        <x:v>CTA LMFT WB7; Pearson VUE LMFT Outline Area 4</x:v>
      </x:c>
      <x:c r="AA356" s="192" t="str">
        <x:v>CTA_LMFT_Comprehensive_Simulation_Form_B_Answer_Key_and_Detailed_Rationales_v1.0.docx</x:v>
      </x:c>
      <x:c r="AB356" s="192" t="str">
        <x:v>1.0</x:v>
      </x:c>
      <x:c r="AC356" s="193"/>
      <x:c r="AD356" s="193" t="n">
        <x:v>46228</x:v>
      </x:c>
      <x:c r="AE356" s="192" t="str">
        <x:v>Approved for Form B</x:v>
      </x:c>
      <x:c r="AF356" s="194" t="str">
        <x:v>Form B only; paired alternate retained on the other comprehensive form</x:v>
      </x:c>
    </x:row>
    <x:row r="357">
      <x:c r="A357" s="191" t="str">
        <x:v>CTA-LMFT-MQB-0356</x:v>
      </x:c>
      <x:c r="B357" s="192" t="str">
        <x:v>LMFT-MQB-FB-CE-020</x:v>
      </x:c>
      <x:c r="C357" s="192" t="str">
        <x:v>LMFT</x:v>
      </x:c>
      <x:c r="D357" s="192" t="str">
        <x:v>Comprehensive Simulation</x:v>
      </x:c>
      <x:c r="E357" s="192"/>
      <x:c r="F357" s="192"/>
      <x:c r="G357" s="192" t="str">
        <x:v>Form B</x:v>
      </x:c>
      <x:c r="H357" s="192" t="n">
        <x:v>2</x:v>
      </x:c>
      <x:c r="I357" s="192" t="str">
        <x:v>Pretest-Style</x:v>
      </x:c>
      <x:c r="J357" s="192" t="str">
        <x:v>1. Clinical Evaluation</x:v>
      </x:c>
      <x:c r="K357" s="192" t="str">
        <x:v>Medical rule-out urgency</x:v>
      </x:c>
      <x:c r="L357" s="192" t="str"/>
      <x:c r="M357" s="192" t="str">
        <x:v>Difficult</x:v>
      </x:c>
      <x:c r="N357" s="192" t="str">
        <x:v>Difficult</x:v>
      </x:c>
      <x:c r="O357" s="192" t="str">
        <x:v>Application</x:v>
      </x:c>
      <x:c r="P357" s="192" t="str">
        <x:v>Application</x:v>
      </x:c>
      <x:c r="Q357" s="192" t="n">
        <x:v>4</x:v>
      </x:c>
      <x:c r="R357" s="192" t="str">
        <x:v>B</x:v>
      </x:c>
      <x:c r="S357" s="192" t="str">
        <x:v>Approved</x:v>
      </x:c>
      <x:c r="T357" s="192" t="str">
        <x:v>Active</x:v>
      </x:c>
      <x:c r="U357" s="192" t="n">
        <x:v>1</x:v>
      </x:c>
      <x:c r="V357" s="192" t="str">
        <x:v>LMFT-ALT-020</x:v>
      </x:c>
      <x:c r="W357" s="192" t="str">
        <x:v>No additional flag</x:v>
      </x:c>
      <x:c r="X357" s="192" t="str">
        <x:v>No structural flag</x:v>
      </x:c>
      <x:c r="Y357" s="192" t="str">
        <x:v>Not Yet Reviewed</x:v>
      </x:c>
      <x:c r="Z357" s="192" t="str">
        <x:v>CTA LMFT WB2; CTA LMFT WB5; Pearson VUE LMFT Outline Area 1</x:v>
      </x:c>
      <x:c r="AA357" s="192" t="str">
        <x:v>CTA_LMFT_Comprehensive_Simulation_Form_B_Answer_Key_and_Detailed_Rationales_v1.0.docx</x:v>
      </x:c>
      <x:c r="AB357" s="192" t="str">
        <x:v>1.0</x:v>
      </x:c>
      <x:c r="AC357" s="193"/>
      <x:c r="AD357" s="193" t="n">
        <x:v>46228</x:v>
      </x:c>
      <x:c r="AE357" s="192" t="str">
        <x:v>Approved for Form B</x:v>
      </x:c>
      <x:c r="AF357" s="194" t="str">
        <x:v>Form B only; paired alternate retained on the other comprehensive form</x:v>
      </x:c>
    </x:row>
    <x:row r="358">
      <x:c r="A358" s="191" t="str">
        <x:v>CTA-LMFT-MQB-0357</x:v>
      </x:c>
      <x:c r="B358" s="192" t="str">
        <x:v>LMFT-MQB-FB-LE-015</x:v>
      </x:c>
      <x:c r="C358" s="192" t="str">
        <x:v>LMFT</x:v>
      </x:c>
      <x:c r="D358" s="192" t="str">
        <x:v>Comprehensive Simulation</x:v>
      </x:c>
      <x:c r="E358" s="192"/>
      <x:c r="F358" s="192"/>
      <x:c r="G358" s="192" t="str">
        <x:v>Form B</x:v>
      </x:c>
      <x:c r="H358" s="192" t="n">
        <x:v>3</x:v>
      </x:c>
      <x:c r="I358" s="192" t="str">
        <x:v>Scored-Style</x:v>
      </x:c>
      <x:c r="J358" s="192" t="str">
        <x:v>6. Managing Legal and Ethical Obligations within the Therapeutic Relationship</x:v>
      </x:c>
      <x:c r="K358" s="192" t="str">
        <x:v>Court-involved relational treatment</x:v>
      </x:c>
      <x:c r="L358" s="192" t="str"/>
      <x:c r="M358" s="192" t="str">
        <x:v>Difficult</x:v>
      </x:c>
      <x:c r="N358" s="192" t="str">
        <x:v>Difficult</x:v>
      </x:c>
      <x:c r="O358" s="192" t="str">
        <x:v>Integrated reasoning</x:v>
      </x:c>
      <x:c r="P358" s="192" t="str">
        <x:v>Integrated Clinical Reasoning</x:v>
      </x:c>
      <x:c r="Q358" s="192" t="n">
        <x:v>4</x:v>
      </x:c>
      <x:c r="R358" s="192" t="str">
        <x:v>C</x:v>
      </x:c>
      <x:c r="S358" s="192" t="str">
        <x:v>Approved</x:v>
      </x:c>
      <x:c r="T358" s="192" t="str">
        <x:v>Active</x:v>
      </x:c>
      <x:c r="U358" s="192" t="n">
        <x:v>1</x:v>
      </x:c>
      <x:c r="V358" s="192" t="str">
        <x:v>LMFT-ALT-107</x:v>
      </x:c>
      <x:c r="W358" s="192" t="str">
        <x:v>No additional flag</x:v>
      </x:c>
      <x:c r="X358" s="192" t="str">
        <x:v>No structural flag</x:v>
      </x:c>
      <x:c r="Y358" s="192" t="str">
        <x:v>Not Yet Reviewed</x:v>
      </x:c>
      <x:c r="Z358" s="192" t="str">
        <x:v>CTA LMFT WB12; Pearson VUE LMFT Outline Area 6</x:v>
      </x:c>
      <x:c r="AA358" s="192" t="str">
        <x:v>CTA_LMFT_Comprehensive_Simulation_Form_B_Answer_Key_and_Detailed_Rationales_v1.0.docx</x:v>
      </x:c>
      <x:c r="AB358" s="192" t="str">
        <x:v>1.0</x:v>
      </x:c>
      <x:c r="AC358" s="193"/>
      <x:c r="AD358" s="193" t="n">
        <x:v>46228</x:v>
      </x:c>
      <x:c r="AE358" s="192" t="str">
        <x:v>Approved for Form B</x:v>
      </x:c>
      <x:c r="AF358" s="194" t="str">
        <x:v>Form B only; paired alternate retained on the other comprehensive form</x:v>
      </x:c>
    </x:row>
    <x:row r="359">
      <x:c r="A359" s="191" t="str">
        <x:v>CTA-LMFT-MQB-0358</x:v>
      </x:c>
      <x:c r="B359" s="192" t="str">
        <x:v>LMFT-MQB-FB-TX-035</x:v>
      </x:c>
      <x:c r="C359" s="192" t="str">
        <x:v>LMFT</x:v>
      </x:c>
      <x:c r="D359" s="192" t="str">
        <x:v>Comprehensive Simulation</x:v>
      </x:c>
      <x:c r="E359" s="192"/>
      <x:c r="F359" s="192"/>
      <x:c r="G359" s="192" t="str">
        <x:v>Form B</x:v>
      </x:c>
      <x:c r="H359" s="192" t="n">
        <x:v>4</x:v>
      </x:c>
      <x:c r="I359" s="192" t="str">
        <x:v>Scored-Style</x:v>
      </x:c>
      <x:c r="J359" s="192" t="str">
        <x:v>5. Treatment</x:v>
      </x:c>
      <x:c r="K359" s="192" t="str">
        <x:v>Complex grief and family secrecy</x:v>
      </x:c>
      <x:c r="L359" s="192" t="str"/>
      <x:c r="M359" s="192" t="str">
        <x:v>Difficult</x:v>
      </x:c>
      <x:c r="N359" s="192" t="str">
        <x:v>Difficult</x:v>
      </x:c>
      <x:c r="O359" s="192" t="str">
        <x:v>Scenario-based sequencing</x:v>
      </x:c>
      <x:c r="P359" s="192" t="str">
        <x:v>Scenario-Based</x:v>
      </x:c>
      <x:c r="Q359" s="192" t="n">
        <x:v>4</x:v>
      </x:c>
      <x:c r="R359" s="192" t="str">
        <x:v>A</x:v>
      </x:c>
      <x:c r="S359" s="192" t="str">
        <x:v>Approved</x:v>
      </x:c>
      <x:c r="T359" s="192" t="str">
        <x:v>Active</x:v>
      </x:c>
      <x:c r="U359" s="192" t="n">
        <x:v>1</x:v>
      </x:c>
      <x:c r="V359" s="192" t="str">
        <x:v>LMFT-ALT-142</x:v>
      </x:c>
      <x:c r="W359" s="192" t="str">
        <x:v>No additional flag</x:v>
      </x:c>
      <x:c r="X359" s="192" t="str">
        <x:v>No structural flag</x:v>
      </x:c>
      <x:c r="Y359" s="192" t="str">
        <x:v>Not Yet Reviewed</x:v>
      </x:c>
      <x:c r="Z359" s="192" t="str">
        <x:v>CTA LMFT WB9; CTA LMFT WB10; Pearson VUE LMFT Outline Area 5</x:v>
      </x:c>
      <x:c r="AA359" s="192" t="str">
        <x:v>CTA_LMFT_Comprehensive_Simulation_Form_B_Answer_Key_and_Detailed_Rationales_v1.0.docx</x:v>
      </x:c>
      <x:c r="AB359" s="192" t="str">
        <x:v>1.0</x:v>
      </x:c>
      <x:c r="AC359" s="193"/>
      <x:c r="AD359" s="193" t="n">
        <x:v>46228</x:v>
      </x:c>
      <x:c r="AE359" s="192" t="str">
        <x:v>Approved for Form B</x:v>
      </x:c>
      <x:c r="AF359" s="194" t="str">
        <x:v>Form B only; paired alternate retained on the other comprehensive form</x:v>
      </x:c>
    </x:row>
    <x:row r="360">
      <x:c r="A360" s="191" t="str">
        <x:v>CTA-LMFT-MQB-0359</x:v>
      </x:c>
      <x:c r="B360" s="192" t="str">
        <x:v>LMFT-MQB-FB-TX-025</x:v>
      </x:c>
      <x:c r="C360" s="192" t="str">
        <x:v>LMFT</x:v>
      </x:c>
      <x:c r="D360" s="192" t="str">
        <x:v>Comprehensive Simulation</x:v>
      </x:c>
      <x:c r="E360" s="192"/>
      <x:c r="F360" s="192"/>
      <x:c r="G360" s="192" t="str">
        <x:v>Form B</x:v>
      </x:c>
      <x:c r="H360" s="192" t="n">
        <x:v>5</x:v>
      </x:c>
      <x:c r="I360" s="192" t="str">
        <x:v>Scored-Style</x:v>
      </x:c>
      <x:c r="J360" s="192" t="str">
        <x:v>5. Treatment</x:v>
      </x:c>
      <x:c r="K360" s="192" t="str">
        <x:v>Early trauma stabilization</x:v>
      </x:c>
      <x:c r="L360" s="192" t="str"/>
      <x:c r="M360" s="192" t="str">
        <x:v>Moderate</x:v>
      </x:c>
      <x:c r="N360" s="192" t="str">
        <x:v>Moderate</x:v>
      </x:c>
      <x:c r="O360" s="192" t="str">
        <x:v>Scenario-based sequencing</x:v>
      </x:c>
      <x:c r="P360" s="192" t="str">
        <x:v>Scenario-Based</x:v>
      </x:c>
      <x:c r="Q360" s="192" t="n">
        <x:v>4</x:v>
      </x:c>
      <x:c r="R360" s="192" t="str">
        <x:v>B</x:v>
      </x:c>
      <x:c r="S360" s="192" t="str">
        <x:v>Approved</x:v>
      </x:c>
      <x:c r="T360" s="192" t="str">
        <x:v>Active</x:v>
      </x:c>
      <x:c r="U360" s="192" t="n">
        <x:v>1</x:v>
      </x:c>
      <x:c r="V360" s="192" t="str">
        <x:v>LMFT-ALT-132</x:v>
      </x:c>
      <x:c r="W360" s="192" t="str">
        <x:v>No additional flag</x:v>
      </x:c>
      <x:c r="X360" s="192" t="str">
        <x:v>No structural flag</x:v>
      </x:c>
      <x:c r="Y360" s="192" t="str">
        <x:v>Not Yet Reviewed</x:v>
      </x:c>
      <x:c r="Z360" s="192" t="str">
        <x:v>CTA LMFT WB9; Pearson VUE LMFT Outline Area 5</x:v>
      </x:c>
      <x:c r="AA360" s="192" t="str">
        <x:v>CTA_LMFT_Comprehensive_Simulation_Form_B_Answer_Key_and_Detailed_Rationales_v1.0.docx</x:v>
      </x:c>
      <x:c r="AB360" s="192" t="str">
        <x:v>1.0</x:v>
      </x:c>
      <x:c r="AC360" s="193"/>
      <x:c r="AD360" s="193" t="n">
        <x:v>46228</x:v>
      </x:c>
      <x:c r="AE360" s="192" t="str">
        <x:v>Approved for Form B</x:v>
      </x:c>
      <x:c r="AF360" s="194" t="str">
        <x:v>Form B only; paired alternate retained on the other comprehensive form</x:v>
      </x:c>
    </x:row>
    <x:row r="361">
      <x:c r="A361" s="191" t="str">
        <x:v>CTA-LMFT-MQB-0360</x:v>
      </x:c>
      <x:c r="B361" s="192" t="str">
        <x:v>LMFT-MQB-FB-CP-004</x:v>
      </x:c>
      <x:c r="C361" s="192" t="str">
        <x:v>LMFT</x:v>
      </x:c>
      <x:c r="D361" s="192" t="str">
        <x:v>Comprehensive Simulation</x:v>
      </x:c>
      <x:c r="E361" s="192"/>
      <x:c r="F361" s="192"/>
      <x:c r="G361" s="192" t="str">
        <x:v>Form B</x:v>
      </x:c>
      <x:c r="H361" s="192" t="n">
        <x:v>6</x:v>
      </x:c>
      <x:c r="I361" s="192" t="str">
        <x:v>Scored-Style</x:v>
      </x:c>
      <x:c r="J361" s="192" t="str">
        <x:v>4. Case Conceptualization and Planning</x:v>
      </x:c>
      <x:c r="K361" s="192" t="str">
        <x:v>Collaborative planning</x:v>
      </x:c>
      <x:c r="L361" s="192" t="str"/>
      <x:c r="M361" s="192" t="str">
        <x:v>Easy</x:v>
      </x:c>
      <x:c r="N361" s="192" t="str">
        <x:v>Easy</x:v>
      </x:c>
      <x:c r="O361" s="192" t="str">
        <x:v>Application</x:v>
      </x:c>
      <x:c r="P361" s="192" t="str">
        <x:v>Application</x:v>
      </x:c>
      <x:c r="Q361" s="192" t="n">
        <x:v>4</x:v>
      </x:c>
      <x:c r="R361" s="192" t="str">
        <x:v>B</x:v>
      </x:c>
      <x:c r="S361" s="192" t="str">
        <x:v>Approved</x:v>
      </x:c>
      <x:c r="T361" s="192" t="str">
        <x:v>Active</x:v>
      </x:c>
      <x:c r="U361" s="192" t="n">
        <x:v>1</x:v>
      </x:c>
      <x:c r="V361" s="192" t="str">
        <x:v>LMFT-ALT-045</x:v>
      </x:c>
      <x:c r="W361" s="192" t="str">
        <x:v>No additional flag</x:v>
      </x:c>
      <x:c r="X361" s="192" t="str">
        <x:v>No structural flag</x:v>
      </x:c>
      <x:c r="Y361" s="192" t="str">
        <x:v>Not Yet Reviewed</x:v>
      </x:c>
      <x:c r="Z361" s="192" t="str">
        <x:v>CTA LMFT WB7; Pearson VUE LMFT Outline Area 4</x:v>
      </x:c>
      <x:c r="AA361" s="192" t="str">
        <x:v>CTA_LMFT_Comprehensive_Simulation_Form_B_Answer_Key_and_Detailed_Rationales_v1.0.docx</x:v>
      </x:c>
      <x:c r="AB361" s="192" t="str">
        <x:v>1.0</x:v>
      </x:c>
      <x:c r="AC361" s="193"/>
      <x:c r="AD361" s="193" t="n">
        <x:v>46228</x:v>
      </x:c>
      <x:c r="AE361" s="192" t="str">
        <x:v>Approved for Form B</x:v>
      </x:c>
      <x:c r="AF361" s="194" t="str">
        <x:v>Form B only; paired alternate retained on the other comprehensive form</x:v>
      </x:c>
    </x:row>
    <x:row r="362">
      <x:c r="A362" s="191" t="str">
        <x:v>CTA-LMFT-MQB-0361</x:v>
      </x:c>
      <x:c r="B362" s="192" t="str">
        <x:v>LMFT-MQB-FB-CR-008</x:v>
      </x:c>
      <x:c r="C362" s="192" t="str">
        <x:v>LMFT</x:v>
      </x:c>
      <x:c r="D362" s="192" t="str">
        <x:v>Comprehensive Simulation</x:v>
      </x:c>
      <x:c r="E362" s="192"/>
      <x:c r="F362" s="192"/>
      <x:c r="G362" s="192" t="str">
        <x:v>Form B</x:v>
      </x:c>
      <x:c r="H362" s="192" t="n">
        <x:v>7</x:v>
      </x:c>
      <x:c r="I362" s="192" t="str">
        <x:v>Scored-Style</x:v>
      </x:c>
      <x:c r="J362" s="192" t="str">
        <x:v>3. Managing Crisis Situations</x:v>
      </x:c>
      <x:c r="K362" s="192" t="str">
        <x:v>Threat to identifiable person</x:v>
      </x:c>
      <x:c r="L362" s="192" t="str"/>
      <x:c r="M362" s="192" t="str">
        <x:v>Moderate</x:v>
      </x:c>
      <x:c r="N362" s="192" t="str">
        <x:v>Moderate</x:v>
      </x:c>
      <x:c r="O362" s="192" t="str">
        <x:v>Scenario-based sequencing</x:v>
      </x:c>
      <x:c r="P362" s="192" t="str">
        <x:v>Scenario-Based</x:v>
      </x:c>
      <x:c r="Q362" s="192" t="n">
        <x:v>4</x:v>
      </x:c>
      <x:c r="R362" s="192" t="str">
        <x:v>A</x:v>
      </x:c>
      <x:c r="S362" s="192" t="str">
        <x:v>Approved</x:v>
      </x:c>
      <x:c r="T362" s="192" t="str">
        <x:v>Active</x:v>
      </x:c>
      <x:c r="U362" s="192" t="n">
        <x:v>1</x:v>
      </x:c>
      <x:c r="V362" s="192" t="str">
        <x:v>LMFT-ALT-067</x:v>
      </x:c>
      <x:c r="W362" s="192" t="str">
        <x:v>No additional flag</x:v>
      </x:c>
      <x:c r="X362" s="192" t="str">
        <x:v>No structural flag</x:v>
      </x:c>
      <x:c r="Y362" s="192" t="str">
        <x:v>Not Yet Reviewed</x:v>
      </x:c>
      <x:c r="Z362" s="192" t="str">
        <x:v>CTA LMFT WB6; Pearson VUE LMFT Outline Area 3</x:v>
      </x:c>
      <x:c r="AA362" s="192" t="str">
        <x:v>CTA_LMFT_Comprehensive_Simulation_Form_B_Answer_Key_and_Detailed_Rationales_v1.0.docx</x:v>
      </x:c>
      <x:c r="AB362" s="192" t="str">
        <x:v>1.0</x:v>
      </x:c>
      <x:c r="AC362" s="193"/>
      <x:c r="AD362" s="193" t="n">
        <x:v>46228</x:v>
      </x:c>
      <x:c r="AE362" s="192" t="str">
        <x:v>Approved for Form B</x:v>
      </x:c>
      <x:c r="AF362" s="194" t="str">
        <x:v>Form B only; paired alternate retained on the other comprehensive form</x:v>
      </x:c>
    </x:row>
    <x:row r="363">
      <x:c r="A363" s="191" t="str">
        <x:v>CTA-LMFT-MQB-0362</x:v>
      </x:c>
      <x:c r="B363" s="192" t="str">
        <x:v>LMFT-MQB-FB-LE-010</x:v>
      </x:c>
      <x:c r="C363" s="192" t="str">
        <x:v>LMFT</x:v>
      </x:c>
      <x:c r="D363" s="192" t="str">
        <x:v>Comprehensive Simulation</x:v>
      </x:c>
      <x:c r="E363" s="192"/>
      <x:c r="F363" s="192"/>
      <x:c r="G363" s="192" t="str">
        <x:v>Form B</x:v>
      </x:c>
      <x:c r="H363" s="192" t="n">
        <x:v>8</x:v>
      </x:c>
      <x:c r="I363" s="192" t="str">
        <x:v>Scored-Style</x:v>
      </x:c>
      <x:c r="J363" s="192" t="str">
        <x:v>6. Managing Legal and Ethical Obligations within the Therapeutic Relationship</x:v>
      </x:c>
      <x:c r="K363" s="192" t="str">
        <x:v>Countertransference</x:v>
      </x:c>
      <x:c r="L363" s="192" t="str"/>
      <x:c r="M363" s="192" t="str">
        <x:v>Moderate</x:v>
      </x:c>
      <x:c r="N363" s="192" t="str">
        <x:v>Moderate</x:v>
      </x:c>
      <x:c r="O363" s="192" t="str">
        <x:v>Scenario-based sequencing</x:v>
      </x:c>
      <x:c r="P363" s="192" t="str">
        <x:v>Scenario-Based</x:v>
      </x:c>
      <x:c r="Q363" s="192" t="n">
        <x:v>4</x:v>
      </x:c>
      <x:c r="R363" s="192" t="str">
        <x:v>D</x:v>
      </x:c>
      <x:c r="S363" s="192" t="str">
        <x:v>Approved</x:v>
      </x:c>
      <x:c r="T363" s="192" t="str">
        <x:v>Active</x:v>
      </x:c>
      <x:c r="U363" s="192" t="n">
        <x:v>1</x:v>
      </x:c>
      <x:c r="V363" s="192" t="str">
        <x:v>LMFT-ALT-102</x:v>
      </x:c>
      <x:c r="W363" s="192" t="str">
        <x:v>No additional flag</x:v>
      </x:c>
      <x:c r="X363" s="192" t="str">
        <x:v>No structural flag</x:v>
      </x:c>
      <x:c r="Y363" s="192" t="str">
        <x:v>Not Yet Reviewed</x:v>
      </x:c>
      <x:c r="Z363" s="192" t="str">
        <x:v>CTA LMFT WB12; Pearson VUE LMFT Outline Area 6</x:v>
      </x:c>
      <x:c r="AA363" s="192" t="str">
        <x:v>CTA_LMFT_Comprehensive_Simulation_Form_B_Answer_Key_and_Detailed_Rationales_v1.0.docx</x:v>
      </x:c>
      <x:c r="AB363" s="192" t="str">
        <x:v>1.0</x:v>
      </x:c>
      <x:c r="AC363" s="193"/>
      <x:c r="AD363" s="193" t="n">
        <x:v>46228</x:v>
      </x:c>
      <x:c r="AE363" s="192" t="str">
        <x:v>Approved for Form B</x:v>
      </x:c>
      <x:c r="AF363" s="194" t="str">
        <x:v>Form B only; paired alternate retained on the other comprehensive form</x:v>
      </x:c>
    </x:row>
    <x:row r="364">
      <x:c r="A364" s="191" t="str">
        <x:v>CTA-LMFT-MQB-0363</x:v>
      </x:c>
      <x:c r="B364" s="192" t="str">
        <x:v>LMFT-MQB-FB-CR-013</x:v>
      </x:c>
      <x:c r="C364" s="192" t="str">
        <x:v>LMFT</x:v>
      </x:c>
      <x:c r="D364" s="192" t="str">
        <x:v>Comprehensive Simulation</x:v>
      </x:c>
      <x:c r="E364" s="192"/>
      <x:c r="F364" s="192"/>
      <x:c r="G364" s="192" t="str">
        <x:v>Form B</x:v>
      </x:c>
      <x:c r="H364" s="192" t="n">
        <x:v>9</x:v>
      </x:c>
      <x:c r="I364" s="192" t="str">
        <x:v>Scored-Style</x:v>
      </x:c>
      <x:c r="J364" s="192" t="str">
        <x:v>3. Managing Crisis Situations</x:v>
      </x:c>
      <x:c r="K364" s="192" t="str">
        <x:v>Crisis in conjoint treatment</x:v>
      </x:c>
      <x:c r="L364" s="192" t="str"/>
      <x:c r="M364" s="192" t="str">
        <x:v>Difficult</x:v>
      </x:c>
      <x:c r="N364" s="192" t="str">
        <x:v>Difficult</x:v>
      </x:c>
      <x:c r="O364" s="192" t="str">
        <x:v>Scenario-based sequencing</x:v>
      </x:c>
      <x:c r="P364" s="192" t="str">
        <x:v>Scenario-Based</x:v>
      </x:c>
      <x:c r="Q364" s="192" t="n">
        <x:v>4</x:v>
      </x:c>
      <x:c r="R364" s="192" t="str">
        <x:v>C</x:v>
      </x:c>
      <x:c r="S364" s="192" t="str">
        <x:v>Approved</x:v>
      </x:c>
      <x:c r="T364" s="192" t="str">
        <x:v>Active</x:v>
      </x:c>
      <x:c r="U364" s="192" t="n">
        <x:v>1</x:v>
      </x:c>
      <x:c r="V364" s="192" t="str">
        <x:v>LMFT-ALT-072</x:v>
      </x:c>
      <x:c r="W364" s="192" t="str">
        <x:v>No additional flag</x:v>
      </x:c>
      <x:c r="X364" s="192" t="str">
        <x:v>No structural flag</x:v>
      </x:c>
      <x:c r="Y364" s="192" t="str">
        <x:v>Not Yet Reviewed</x:v>
      </x:c>
      <x:c r="Z364" s="192" t="str">
        <x:v>CTA LMFT WB6; Pearson VUE LMFT Outline Area 3</x:v>
      </x:c>
      <x:c r="AA364" s="192" t="str">
        <x:v>CTA_LMFT_Comprehensive_Simulation_Form_B_Answer_Key_and_Detailed_Rationales_v1.0.docx</x:v>
      </x:c>
      <x:c r="AB364" s="192" t="str">
        <x:v>1.0</x:v>
      </x:c>
      <x:c r="AC364" s="193"/>
      <x:c r="AD364" s="193" t="n">
        <x:v>46228</x:v>
      </x:c>
      <x:c r="AE364" s="192" t="str">
        <x:v>Approved for Form B</x:v>
      </x:c>
      <x:c r="AF364" s="194" t="str">
        <x:v>Form B only; paired alternate retained on the other comprehensive form</x:v>
      </x:c>
    </x:row>
    <x:row r="365">
      <x:c r="A365" s="191" t="str">
        <x:v>CTA-LMFT-MQB-0364</x:v>
      </x:c>
      <x:c r="B365" s="192" t="str">
        <x:v>LMFT-MQB-FB-CE-001</x:v>
      </x:c>
      <x:c r="C365" s="192" t="str">
        <x:v>LMFT</x:v>
      </x:c>
      <x:c r="D365" s="192" t="str">
        <x:v>Comprehensive Simulation</x:v>
      </x:c>
      <x:c r="E365" s="192"/>
      <x:c r="F365" s="192"/>
      <x:c r="G365" s="192" t="str">
        <x:v>Form B</x:v>
      </x:c>
      <x:c r="H365" s="192" t="n">
        <x:v>10</x:v>
      </x:c>
      <x:c r="I365" s="192" t="str">
        <x:v>Scored-Style</x:v>
      </x:c>
      <x:c r="J365" s="192" t="str">
        <x:v>1. Clinical Evaluation</x:v>
      </x:c>
      <x:c r="K365" s="192" t="str">
        <x:v>Unit of treatment</x:v>
      </x:c>
      <x:c r="L365" s="192" t="str"/>
      <x:c r="M365" s="192" t="str">
        <x:v>Easy</x:v>
      </x:c>
      <x:c r="N365" s="192" t="str">
        <x:v>Easy</x:v>
      </x:c>
      <x:c r="O365" s="192" t="str">
        <x:v>Direct recognition</x:v>
      </x:c>
      <x:c r="P365" s="192" t="str">
        <x:v>Knowledge &amp; Recall</x:v>
      </x:c>
      <x:c r="Q365" s="192" t="n">
        <x:v>4</x:v>
      </x:c>
      <x:c r="R365" s="192" t="str">
        <x:v>C</x:v>
      </x:c>
      <x:c r="S365" s="192" t="str">
        <x:v>Approved</x:v>
      </x:c>
      <x:c r="T365" s="192" t="str">
        <x:v>Active</x:v>
      </x:c>
      <x:c r="U365" s="192" t="n">
        <x:v>1</x:v>
      </x:c>
      <x:c r="V365" s="192" t="str">
        <x:v>LMFT-ALT-001</x:v>
      </x:c>
      <x:c r="W365" s="192" t="str">
        <x:v>No additional flag</x:v>
      </x:c>
      <x:c r="X365" s="192" t="str">
        <x:v>No structural flag</x:v>
      </x:c>
      <x:c r="Y365" s="192" t="str">
        <x:v>Not Yet Reviewed</x:v>
      </x:c>
      <x:c r="Z365" s="192" t="str">
        <x:v>CTA LMFT WB2; Pearson VUE LMFT Outline Area 1</x:v>
      </x:c>
      <x:c r="AA365" s="192" t="str">
        <x:v>CTA_LMFT_Comprehensive_Simulation_Form_B_Answer_Key_and_Detailed_Rationales_v1.0.docx</x:v>
      </x:c>
      <x:c r="AB365" s="192" t="str">
        <x:v>1.0</x:v>
      </x:c>
      <x:c r="AC365" s="193"/>
      <x:c r="AD365" s="193" t="n">
        <x:v>46228</x:v>
      </x:c>
      <x:c r="AE365" s="192" t="str">
        <x:v>Approved for Form B</x:v>
      </x:c>
      <x:c r="AF365" s="194" t="str">
        <x:v>Form B only; paired alternate retained on the other comprehensive form</x:v>
      </x:c>
    </x:row>
    <x:row r="366">
      <x:c r="A366" s="191" t="str">
        <x:v>CTA-LMFT-MQB-0365</x:v>
      </x:c>
      <x:c r="B366" s="192" t="str">
        <x:v>LMFT-MQB-FB-CE-015</x:v>
      </x:c>
      <x:c r="C366" s="192" t="str">
        <x:v>LMFT</x:v>
      </x:c>
      <x:c r="D366" s="192" t="str">
        <x:v>Comprehensive Simulation</x:v>
      </x:c>
      <x:c r="E366" s="192"/>
      <x:c r="F366" s="192"/>
      <x:c r="G366" s="192" t="str">
        <x:v>Form B</x:v>
      </x:c>
      <x:c r="H366" s="192" t="n">
        <x:v>11</x:v>
      </x:c>
      <x:c r="I366" s="192" t="str">
        <x:v>Scored-Style</x:v>
      </x:c>
      <x:c r="J366" s="192" t="str">
        <x:v>1. Clinical Evaluation</x:v>
      </x:c>
      <x:c r="K366" s="192" t="str">
        <x:v>Collateral discrepancy</x:v>
      </x:c>
      <x:c r="L366" s="192" t="str"/>
      <x:c r="M366" s="192" t="str">
        <x:v>Moderate</x:v>
      </x:c>
      <x:c r="N366" s="192" t="str">
        <x:v>Moderate</x:v>
      </x:c>
      <x:c r="O366" s="192" t="str">
        <x:v>Application</x:v>
      </x:c>
      <x:c r="P366" s="192" t="str">
        <x:v>Application</x:v>
      </x:c>
      <x:c r="Q366" s="192" t="n">
        <x:v>4</x:v>
      </x:c>
      <x:c r="R366" s="192" t="str">
        <x:v>C</x:v>
      </x:c>
      <x:c r="S366" s="192" t="str">
        <x:v>Approved</x:v>
      </x:c>
      <x:c r="T366" s="192" t="str">
        <x:v>Active</x:v>
      </x:c>
      <x:c r="U366" s="192" t="n">
        <x:v>1</x:v>
      </x:c>
      <x:c r="V366" s="192" t="str">
        <x:v>LMFT-ALT-015</x:v>
      </x:c>
      <x:c r="W366" s="192" t="str">
        <x:v>No additional flag</x:v>
      </x:c>
      <x:c r="X366" s="192" t="str">
        <x:v>No structural flag</x:v>
      </x:c>
      <x:c r="Y366" s="192" t="str">
        <x:v>Not Yet Reviewed</x:v>
      </x:c>
      <x:c r="Z366" s="192" t="str">
        <x:v>CTA LMFT WB4; Pearson VUE LMFT Outline Area 1</x:v>
      </x:c>
      <x:c r="AA366" s="192" t="str">
        <x:v>CTA_LMFT_Comprehensive_Simulation_Form_B_Answer_Key_and_Detailed_Rationales_v1.0.docx</x:v>
      </x:c>
      <x:c r="AB366" s="192" t="str">
        <x:v>1.0</x:v>
      </x:c>
      <x:c r="AC366" s="193"/>
      <x:c r="AD366" s="193" t="n">
        <x:v>46228</x:v>
      </x:c>
      <x:c r="AE366" s="192" t="str">
        <x:v>Approved for Form B</x:v>
      </x:c>
      <x:c r="AF366" s="194" t="str">
        <x:v>Form B only; paired alternate retained on the other comprehensive form</x:v>
      </x:c>
    </x:row>
    <x:row r="367">
      <x:c r="A367" s="191" t="str">
        <x:v>CTA-LMFT-MQB-0366</x:v>
      </x:c>
      <x:c r="B367" s="192" t="str">
        <x:v>LMFT-MQB-FB-CP-017</x:v>
      </x:c>
      <x:c r="C367" s="192" t="str">
        <x:v>LMFT</x:v>
      </x:c>
      <x:c r="D367" s="192" t="str">
        <x:v>Comprehensive Simulation</x:v>
      </x:c>
      <x:c r="E367" s="192"/>
      <x:c r="F367" s="192"/>
      <x:c r="G367" s="192" t="str">
        <x:v>Form B</x:v>
      </x:c>
      <x:c r="H367" s="192" t="n">
        <x:v>12</x:v>
      </x:c>
      <x:c r="I367" s="192" t="str">
        <x:v>Pretest-Style</x:v>
      </x:c>
      <x:c r="J367" s="192" t="str">
        <x:v>4. Case Conceptualization and Planning</x:v>
      </x:c>
      <x:c r="K367" s="192" t="str">
        <x:v>Systemic plan with measurable outcomes</x:v>
      </x:c>
      <x:c r="L367" s="192" t="str"/>
      <x:c r="M367" s="192" t="str">
        <x:v>Moderate</x:v>
      </x:c>
      <x:c r="N367" s="192" t="str">
        <x:v>Moderate</x:v>
      </x:c>
      <x:c r="O367" s="192" t="str">
        <x:v>Integrated reasoning</x:v>
      </x:c>
      <x:c r="P367" s="192" t="str">
        <x:v>Integrated Clinical Reasoning</x:v>
      </x:c>
      <x:c r="Q367" s="192" t="n">
        <x:v>4</x:v>
      </x:c>
      <x:c r="R367" s="192" t="str">
        <x:v>A</x:v>
      </x:c>
      <x:c r="S367" s="192" t="str">
        <x:v>Approved</x:v>
      </x:c>
      <x:c r="T367" s="192" t="str">
        <x:v>Active</x:v>
      </x:c>
      <x:c r="U367" s="192" t="n">
        <x:v>1</x:v>
      </x:c>
      <x:c r="V367" s="192" t="str">
        <x:v>LMFT-ALT-058</x:v>
      </x:c>
      <x:c r="W367" s="192" t="str">
        <x:v>No additional flag</x:v>
      </x:c>
      <x:c r="X367" s="192" t="str">
        <x:v>No structural flag</x:v>
      </x:c>
      <x:c r="Y367" s="192" t="str">
        <x:v>Not Yet Reviewed</x:v>
      </x:c>
      <x:c r="Z367" s="192" t="str">
        <x:v>CTA LMFT WB7; CTA LMFT WB8; Pearson VUE LMFT Outline Area 4</x:v>
      </x:c>
      <x:c r="AA367" s="192" t="str">
        <x:v>CTA_LMFT_Comprehensive_Simulation_Form_B_Answer_Key_and_Detailed_Rationales_v1.0.docx</x:v>
      </x:c>
      <x:c r="AB367" s="192" t="str">
        <x:v>1.0</x:v>
      </x:c>
      <x:c r="AC367" s="193"/>
      <x:c r="AD367" s="193" t="n">
        <x:v>46228</x:v>
      </x:c>
      <x:c r="AE367" s="192" t="str">
        <x:v>Approved for Form B</x:v>
      </x:c>
      <x:c r="AF367" s="194" t="str">
        <x:v>Form B only; paired alternate retained on the other comprehensive form</x:v>
      </x:c>
    </x:row>
    <x:row r="368">
      <x:c r="A368" s="191" t="str">
        <x:v>CTA-LMFT-MQB-0367</x:v>
      </x:c>
      <x:c r="B368" s="192" t="str">
        <x:v>LMFT-MQB-FB-TX-028</x:v>
      </x:c>
      <x:c r="C368" s="192" t="str">
        <x:v>LMFT</x:v>
      </x:c>
      <x:c r="D368" s="192" t="str">
        <x:v>Comprehensive Simulation</x:v>
      </x:c>
      <x:c r="E368" s="192"/>
      <x:c r="F368" s="192"/>
      <x:c r="G368" s="192" t="str">
        <x:v>Form B</x:v>
      </x:c>
      <x:c r="H368" s="192" t="n">
        <x:v>13</x:v>
      </x:c>
      <x:c r="I368" s="192" t="str">
        <x:v>Scored-Style</x:v>
      </x:c>
      <x:c r="J368" s="192" t="str">
        <x:v>5. Treatment</x:v>
      </x:c>
      <x:c r="K368" s="192" t="str">
        <x:v>Stepfamily intervention</x:v>
      </x:c>
      <x:c r="L368" s="192" t="str"/>
      <x:c r="M368" s="192" t="str">
        <x:v>Moderate</x:v>
      </x:c>
      <x:c r="N368" s="192" t="str">
        <x:v>Moderate</x:v>
      </x:c>
      <x:c r="O368" s="192" t="str">
        <x:v>Scenario-based sequencing</x:v>
      </x:c>
      <x:c r="P368" s="192" t="str">
        <x:v>Scenario-Based</x:v>
      </x:c>
      <x:c r="Q368" s="192" t="n">
        <x:v>4</x:v>
      </x:c>
      <x:c r="R368" s="192" t="str">
        <x:v>B</x:v>
      </x:c>
      <x:c r="S368" s="192" t="str">
        <x:v>Approved</x:v>
      </x:c>
      <x:c r="T368" s="192" t="str">
        <x:v>Active</x:v>
      </x:c>
      <x:c r="U368" s="192" t="n">
        <x:v>1</x:v>
      </x:c>
      <x:c r="V368" s="192" t="str">
        <x:v>LMFT-ALT-135</x:v>
      </x:c>
      <x:c r="W368" s="192" t="str">
        <x:v>No additional flag</x:v>
      </x:c>
      <x:c r="X368" s="192" t="str">
        <x:v>No structural flag</x:v>
      </x:c>
      <x:c r="Y368" s="192" t="str">
        <x:v>Not Yet Reviewed</x:v>
      </x:c>
      <x:c r="Z368" s="192" t="str">
        <x:v>CTA LMFT WB8; CTA LMFT WB10; Pearson VUE LMFT Outline Area 5</x:v>
      </x:c>
      <x:c r="AA368" s="192" t="str">
        <x:v>CTA_LMFT_Comprehensive_Simulation_Form_B_Answer_Key_and_Detailed_Rationales_v1.0.docx</x:v>
      </x:c>
      <x:c r="AB368" s="192" t="str">
        <x:v>1.0</x:v>
      </x:c>
      <x:c r="AC368" s="193"/>
      <x:c r="AD368" s="193" t="n">
        <x:v>46228</x:v>
      </x:c>
      <x:c r="AE368" s="192" t="str">
        <x:v>Approved for Form B</x:v>
      </x:c>
      <x:c r="AF368" s="194" t="str">
        <x:v>Form B only; paired alternate retained on the other comprehensive form</x:v>
      </x:c>
    </x:row>
    <x:row r="369">
      <x:c r="A369" s="191" t="str">
        <x:v>CTA-LMFT-MQB-0368</x:v>
      </x:c>
      <x:c r="B369" s="192" t="str">
        <x:v>LMFT-MQB-FB-CE-012</x:v>
      </x:c>
      <x:c r="C369" s="192" t="str">
        <x:v>LMFT</x:v>
      </x:c>
      <x:c r="D369" s="192" t="str">
        <x:v>Comprehensive Simulation</x:v>
      </x:c>
      <x:c r="E369" s="192"/>
      <x:c r="F369" s="192"/>
      <x:c r="G369" s="192" t="str">
        <x:v>Form B</x:v>
      </x:c>
      <x:c r="H369" s="192" t="n">
        <x:v>14</x:v>
      </x:c>
      <x:c r="I369" s="192" t="str">
        <x:v>Scored-Style</x:v>
      </x:c>
      <x:c r="J369" s="192" t="str">
        <x:v>1. Clinical Evaluation</x:v>
      </x:c>
      <x:c r="K369" s="192" t="str">
        <x:v>Cultural humility</x:v>
      </x:c>
      <x:c r="L369" s="192" t="str"/>
      <x:c r="M369" s="192" t="str">
        <x:v>Moderate</x:v>
      </x:c>
      <x:c r="N369" s="192" t="str">
        <x:v>Moderate</x:v>
      </x:c>
      <x:c r="O369" s="192" t="str">
        <x:v>Application</x:v>
      </x:c>
      <x:c r="P369" s="192" t="str">
        <x:v>Application</x:v>
      </x:c>
      <x:c r="Q369" s="192" t="n">
        <x:v>4</x:v>
      </x:c>
      <x:c r="R369" s="192" t="str">
        <x:v>D</x:v>
      </x:c>
      <x:c r="S369" s="192" t="str">
        <x:v>Approved</x:v>
      </x:c>
      <x:c r="T369" s="192" t="str">
        <x:v>Active</x:v>
      </x:c>
      <x:c r="U369" s="192" t="n">
        <x:v>1</x:v>
      </x:c>
      <x:c r="V369" s="192" t="str">
        <x:v>LMFT-ALT-012</x:v>
      </x:c>
      <x:c r="W369" s="192" t="str">
        <x:v>No additional flag</x:v>
      </x:c>
      <x:c r="X369" s="192" t="str">
        <x:v>No structural flag</x:v>
      </x:c>
      <x:c r="Y369" s="192" t="str">
        <x:v>Not Yet Reviewed</x:v>
      </x:c>
      <x:c r="Z369" s="192" t="str">
        <x:v>CTA LMFT WB3; CTA LMFT WB10; Pearson VUE LMFT Outline Area 1</x:v>
      </x:c>
      <x:c r="AA369" s="192" t="str">
        <x:v>CTA_LMFT_Comprehensive_Simulation_Form_B_Answer_Key_and_Detailed_Rationales_v1.0.docx</x:v>
      </x:c>
      <x:c r="AB369" s="192" t="str">
        <x:v>1.0</x:v>
      </x:c>
      <x:c r="AC369" s="193"/>
      <x:c r="AD369" s="193" t="n">
        <x:v>46228</x:v>
      </x:c>
      <x:c r="AE369" s="192" t="str">
        <x:v>Approved for Form B</x:v>
      </x:c>
      <x:c r="AF369" s="194" t="str">
        <x:v>Form B only; paired alternate retained on the other comprehensive form</x:v>
      </x:c>
    </x:row>
    <x:row r="370">
      <x:c r="A370" s="191" t="str">
        <x:v>CTA-LMFT-MQB-0369</x:v>
      </x:c>
      <x:c r="B370" s="192" t="str">
        <x:v>LMFT-MQB-FB-CE-008</x:v>
      </x:c>
      <x:c r="C370" s="192" t="str">
        <x:v>LMFT</x:v>
      </x:c>
      <x:c r="D370" s="192" t="str">
        <x:v>Comprehensive Simulation</x:v>
      </x:c>
      <x:c r="E370" s="192"/>
      <x:c r="F370" s="192"/>
      <x:c r="G370" s="192" t="str">
        <x:v>Form B</x:v>
      </x:c>
      <x:c r="H370" s="192" t="n">
        <x:v>15</x:v>
      </x:c>
      <x:c r="I370" s="192" t="str">
        <x:v>Scored-Style</x:v>
      </x:c>
      <x:c r="J370" s="192" t="str">
        <x:v>1. Clinical Evaluation</x:v>
      </x:c>
      <x:c r="K370" s="192" t="str">
        <x:v>Affect and mood</x:v>
      </x:c>
      <x:c r="L370" s="192" t="str"/>
      <x:c r="M370" s="192" t="str">
        <x:v>Easy</x:v>
      </x:c>
      <x:c r="N370" s="192" t="str">
        <x:v>Easy</x:v>
      </x:c>
      <x:c r="O370" s="192" t="str">
        <x:v>Application</x:v>
      </x:c>
      <x:c r="P370" s="192" t="str">
        <x:v>Application</x:v>
      </x:c>
      <x:c r="Q370" s="192" t="n">
        <x:v>4</x:v>
      </x:c>
      <x:c r="R370" s="192" t="str">
        <x:v>A</x:v>
      </x:c>
      <x:c r="S370" s="192" t="str">
        <x:v>Approved</x:v>
      </x:c>
      <x:c r="T370" s="192" t="str">
        <x:v>Active</x:v>
      </x:c>
      <x:c r="U370" s="192" t="n">
        <x:v>1</x:v>
      </x:c>
      <x:c r="V370" s="192" t="str">
        <x:v>LMFT-ALT-008</x:v>
      </x:c>
      <x:c r="W370" s="192" t="str">
        <x:v>No additional flag</x:v>
      </x:c>
      <x:c r="X370" s="192" t="str">
        <x:v>No structural flag</x:v>
      </x:c>
      <x:c r="Y370" s="192" t="str">
        <x:v>Not Yet Reviewed</x:v>
      </x:c>
      <x:c r="Z370" s="192" t="str">
        <x:v>CTA LMFT WB2; Pearson VUE LMFT Outline Area 1</x:v>
      </x:c>
      <x:c r="AA370" s="192" t="str">
        <x:v>CTA_LMFT_Comprehensive_Simulation_Form_B_Answer_Key_and_Detailed_Rationales_v1.0.docx</x:v>
      </x:c>
      <x:c r="AB370" s="192" t="str">
        <x:v>1.0</x:v>
      </x:c>
      <x:c r="AC370" s="193"/>
      <x:c r="AD370" s="193" t="n">
        <x:v>46228</x:v>
      </x:c>
      <x:c r="AE370" s="192" t="str">
        <x:v>Approved for Form B</x:v>
      </x:c>
      <x:c r="AF370" s="194" t="str">
        <x:v>Form B only; paired alternate retained on the other comprehensive form</x:v>
      </x:c>
    </x:row>
    <x:row r="371">
      <x:c r="A371" s="191" t="str">
        <x:v>CTA-LMFT-MQB-0370</x:v>
      </x:c>
      <x:c r="B371" s="192" t="str">
        <x:v>LMFT-MQB-FB-DI-009</x:v>
      </x:c>
      <x:c r="C371" s="192" t="str">
        <x:v>LMFT</x:v>
      </x:c>
      <x:c r="D371" s="192" t="str">
        <x:v>Comprehensive Simulation</x:v>
      </x:c>
      <x:c r="E371" s="192"/>
      <x:c r="F371" s="192"/>
      <x:c r="G371" s="192" t="str">
        <x:v>Form B</x:v>
      </x:c>
      <x:c r="H371" s="192" t="n">
        <x:v>16</x:v>
      </x:c>
      <x:c r="I371" s="192" t="str">
        <x:v>Scored-Style</x:v>
      </x:c>
      <x:c r="J371" s="192" t="str">
        <x:v>2. Developing a Diagnostic Impression</x:v>
      </x:c>
      <x:c r="K371" s="192" t="str">
        <x:v>Trauma versus panic</x:v>
      </x:c>
      <x:c r="L371" s="192" t="str"/>
      <x:c r="M371" s="192" t="str">
        <x:v>Moderate</x:v>
      </x:c>
      <x:c r="N371" s="192" t="str">
        <x:v>Moderate</x:v>
      </x:c>
      <x:c r="O371" s="192" t="str">
        <x:v>Application</x:v>
      </x:c>
      <x:c r="P371" s="192" t="str">
        <x:v>Application</x:v>
      </x:c>
      <x:c r="Q371" s="192" t="n">
        <x:v>4</x:v>
      </x:c>
      <x:c r="R371" s="192" t="str">
        <x:v>A</x:v>
      </x:c>
      <x:c r="S371" s="192" t="str">
        <x:v>Approved</x:v>
      </x:c>
      <x:c r="T371" s="192" t="str">
        <x:v>Active</x:v>
      </x:c>
      <x:c r="U371" s="192" t="n">
        <x:v>1</x:v>
      </x:c>
      <x:c r="V371" s="192" t="str">
        <x:v>LMFT-ALT-084</x:v>
      </x:c>
      <x:c r="W371" s="192" t="str">
        <x:v>No additional flag</x:v>
      </x:c>
      <x:c r="X371" s="192" t="str">
        <x:v>No structural flag</x:v>
      </x:c>
      <x:c r="Y371" s="192" t="str">
        <x:v>Not Yet Reviewed</x:v>
      </x:c>
      <x:c r="Z371" s="192" t="str">
        <x:v>CTA LMFT WB5; Pearson VUE LMFT Outline Area 2</x:v>
      </x:c>
      <x:c r="AA371" s="192" t="str">
        <x:v>CTA_LMFT_Comprehensive_Simulation_Form_B_Answer_Key_and_Detailed_Rationales_v1.0.docx</x:v>
      </x:c>
      <x:c r="AB371" s="192" t="str">
        <x:v>1.0</x:v>
      </x:c>
      <x:c r="AC371" s="193"/>
      <x:c r="AD371" s="193" t="n">
        <x:v>46228</x:v>
      </x:c>
      <x:c r="AE371" s="192" t="str">
        <x:v>Approved for Form B</x:v>
      </x:c>
      <x:c r="AF371" s="194" t="str">
        <x:v>Form B only; paired alternate retained on the other comprehensive form</x:v>
      </x:c>
    </x:row>
    <x:row r="372">
      <x:c r="A372" s="191" t="str">
        <x:v>CTA-LMFT-MQB-0371</x:v>
      </x:c>
      <x:c r="B372" s="192" t="str">
        <x:v>LMFT-MQB-FB-CE-027</x:v>
      </x:c>
      <x:c r="C372" s="192" t="str">
        <x:v>LMFT</x:v>
      </x:c>
      <x:c r="D372" s="192" t="str">
        <x:v>Comprehensive Simulation</x:v>
      </x:c>
      <x:c r="E372" s="192"/>
      <x:c r="F372" s="192"/>
      <x:c r="G372" s="192" t="str">
        <x:v>Form B</x:v>
      </x:c>
      <x:c r="H372" s="192" t="n">
        <x:v>17</x:v>
      </x:c>
      <x:c r="I372" s="192" t="str">
        <x:v>Scored-Style</x:v>
      </x:c>
      <x:c r="J372" s="192" t="str">
        <x:v>1. Clinical Evaluation</x:v>
      </x:c>
      <x:c r="K372" s="192" t="str">
        <x:v>Telehealth environmental assessment</x:v>
      </x:c>
      <x:c r="L372" s="192" t="str"/>
      <x:c r="M372" s="192" t="str">
        <x:v>Moderate</x:v>
      </x:c>
      <x:c r="N372" s="192" t="str">
        <x:v>Moderate</x:v>
      </x:c>
      <x:c r="O372" s="192" t="str">
        <x:v>Scenario-based sequencing</x:v>
      </x:c>
      <x:c r="P372" s="192" t="str">
        <x:v>Scenario-Based</x:v>
      </x:c>
      <x:c r="Q372" s="192" t="n">
        <x:v>4</x:v>
      </x:c>
      <x:c r="R372" s="192" t="str">
        <x:v>B</x:v>
      </x:c>
      <x:c r="S372" s="192" t="str">
        <x:v>Approved</x:v>
      </x:c>
      <x:c r="T372" s="192" t="str">
        <x:v>Active</x:v>
      </x:c>
      <x:c r="U372" s="192" t="n">
        <x:v>1</x:v>
      </x:c>
      <x:c r="V372" s="192" t="str">
        <x:v>LMFT-ALT-027</x:v>
      </x:c>
      <x:c r="W372" s="192" t="str">
        <x:v>No additional flag</x:v>
      </x:c>
      <x:c r="X372" s="192" t="str">
        <x:v>No structural flag</x:v>
      </x:c>
      <x:c r="Y372" s="192" t="str">
        <x:v>Not Yet Reviewed</x:v>
      </x:c>
      <x:c r="Z372" s="192" t="str">
        <x:v>CTA LMFT WB2; CTA LMFT WB12; Pearson VUE LMFT Outline Area 1</x:v>
      </x:c>
      <x:c r="AA372" s="192" t="str">
        <x:v>CTA_LMFT_Comprehensive_Simulation_Form_B_Answer_Key_and_Detailed_Rationales_v1.0.docx</x:v>
      </x:c>
      <x:c r="AB372" s="192" t="str">
        <x:v>1.0</x:v>
      </x:c>
      <x:c r="AC372" s="193"/>
      <x:c r="AD372" s="193" t="n">
        <x:v>46228</x:v>
      </x:c>
      <x:c r="AE372" s="192" t="str">
        <x:v>Approved for Form B</x:v>
      </x:c>
      <x:c r="AF372" s="194" t="str">
        <x:v>Form B only; paired alternate retained on the other comprehensive form</x:v>
      </x:c>
    </x:row>
    <x:row r="373">
      <x:c r="A373" s="191" t="str">
        <x:v>CTA-LMFT-MQB-0372</x:v>
      </x:c>
      <x:c r="B373" s="192" t="str">
        <x:v>LMFT-MQB-FB-LE-009</x:v>
      </x:c>
      <x:c r="C373" s="192" t="str">
        <x:v>LMFT</x:v>
      </x:c>
      <x:c r="D373" s="192" t="str">
        <x:v>Comprehensive Simulation</x:v>
      </x:c>
      <x:c r="E373" s="192"/>
      <x:c r="F373" s="192"/>
      <x:c r="G373" s="192" t="str">
        <x:v>Form B</x:v>
      </x:c>
      <x:c r="H373" s="192" t="n">
        <x:v>18</x:v>
      </x:c>
      <x:c r="I373" s="192" t="str">
        <x:v>Scored-Style</x:v>
      </x:c>
      <x:c r="J373" s="192" t="str">
        <x:v>6. Managing Legal and Ethical Obligations within the Therapeutic Relationship</x:v>
      </x:c>
      <x:c r="K373" s="192" t="str">
        <x:v>Multiple-client disclosure</x:v>
      </x:c>
      <x:c r="L373" s="192" t="str"/>
      <x:c r="M373" s="192" t="str">
        <x:v>Moderate</x:v>
      </x:c>
      <x:c r="N373" s="192" t="str">
        <x:v>Moderate</x:v>
      </x:c>
      <x:c r="O373" s="192" t="str">
        <x:v>Scenario-based sequencing</x:v>
      </x:c>
      <x:c r="P373" s="192" t="str">
        <x:v>Scenario-Based</x:v>
      </x:c>
      <x:c r="Q373" s="192" t="n">
        <x:v>4</x:v>
      </x:c>
      <x:c r="R373" s="192" t="str">
        <x:v>A</x:v>
      </x:c>
      <x:c r="S373" s="192" t="str">
        <x:v>Approved</x:v>
      </x:c>
      <x:c r="T373" s="192" t="str">
        <x:v>Active</x:v>
      </x:c>
      <x:c r="U373" s="192" t="n">
        <x:v>1</x:v>
      </x:c>
      <x:c r="V373" s="192" t="str">
        <x:v>LMFT-ALT-101</x:v>
      </x:c>
      <x:c r="W373" s="192" t="str">
        <x:v>No additional flag</x:v>
      </x:c>
      <x:c r="X373" s="192" t="str">
        <x:v>No structural flag</x:v>
      </x:c>
      <x:c r="Y373" s="192" t="str">
        <x:v>Not Yet Reviewed</x:v>
      </x:c>
      <x:c r="Z373" s="192" t="str">
        <x:v>CTA LMFT WB12; Pearson VUE LMFT Outline Area 6</x:v>
      </x:c>
      <x:c r="AA373" s="192" t="str">
        <x:v>CTA_LMFT_Comprehensive_Simulation_Form_B_Answer_Key_and_Detailed_Rationales_v1.0.docx</x:v>
      </x:c>
      <x:c r="AB373" s="192" t="str">
        <x:v>1.0</x:v>
      </x:c>
      <x:c r="AC373" s="193"/>
      <x:c r="AD373" s="193" t="n">
        <x:v>46228</x:v>
      </x:c>
      <x:c r="AE373" s="192" t="str">
        <x:v>Approved for Form B</x:v>
      </x:c>
      <x:c r="AF373" s="194" t="str">
        <x:v>Form B only; paired alternate retained on the other comprehensive form</x:v>
      </x:c>
    </x:row>
    <x:row r="374">
      <x:c r="A374" s="191" t="str">
        <x:v>CTA-LMFT-MQB-0373</x:v>
      </x:c>
      <x:c r="B374" s="192" t="str">
        <x:v>LMFT-MQB-FB-TX-032</x:v>
      </x:c>
      <x:c r="C374" s="192" t="str">
        <x:v>LMFT</x:v>
      </x:c>
      <x:c r="D374" s="192" t="str">
        <x:v>Comprehensive Simulation</x:v>
      </x:c>
      <x:c r="E374" s="192"/>
      <x:c r="F374" s="192"/>
      <x:c r="G374" s="192" t="str">
        <x:v>Form B</x:v>
      </x:c>
      <x:c r="H374" s="192" t="n">
        <x:v>19</x:v>
      </x:c>
      <x:c r="I374" s="192" t="str">
        <x:v>Scored-Style</x:v>
      </x:c>
      <x:c r="J374" s="192" t="str">
        <x:v>5. Treatment</x:v>
      </x:c>
      <x:c r="K374" s="192" t="str">
        <x:v>Treatment nonresponse and diagnosis</x:v>
      </x:c>
      <x:c r="L374" s="192" t="str"/>
      <x:c r="M374" s="192" t="str">
        <x:v>Difficult</x:v>
      </x:c>
      <x:c r="N374" s="192" t="str">
        <x:v>Difficult</x:v>
      </x:c>
      <x:c r="O374" s="192" t="str">
        <x:v>Scenario-based sequencing</x:v>
      </x:c>
      <x:c r="P374" s="192" t="str">
        <x:v>Scenario-Based</x:v>
      </x:c>
      <x:c r="Q374" s="192" t="n">
        <x:v>4</x:v>
      </x:c>
      <x:c r="R374" s="192" t="str">
        <x:v>C</x:v>
      </x:c>
      <x:c r="S374" s="192" t="str">
        <x:v>Approved</x:v>
      </x:c>
      <x:c r="T374" s="192" t="str">
        <x:v>Active</x:v>
      </x:c>
      <x:c r="U374" s="192" t="n">
        <x:v>1</x:v>
      </x:c>
      <x:c r="V374" s="192" t="str">
        <x:v>LMFT-ALT-139</x:v>
      </x:c>
      <x:c r="W374" s="192" t="str">
        <x:v>No additional flag</x:v>
      </x:c>
      <x:c r="X374" s="192" t="str">
        <x:v>No structural flag</x:v>
      </x:c>
      <x:c r="Y374" s="192" t="str">
        <x:v>Not Yet Reviewed</x:v>
      </x:c>
      <x:c r="Z374" s="192" t="str">
        <x:v>CTA LMFT WB5; CTA LMFT WB7; CTA LMFT WB9; Pearson VUE LMFT Outline Area 5</x:v>
      </x:c>
      <x:c r="AA374" s="192" t="str">
        <x:v>CTA_LMFT_Comprehensive_Simulation_Form_B_Answer_Key_and_Detailed_Rationales_v1.0.docx</x:v>
      </x:c>
      <x:c r="AB374" s="192" t="str">
        <x:v>1.0</x:v>
      </x:c>
      <x:c r="AC374" s="193"/>
      <x:c r="AD374" s="193" t="n">
        <x:v>46228</x:v>
      </x:c>
      <x:c r="AE374" s="192" t="str">
        <x:v>Approved for Form B</x:v>
      </x:c>
      <x:c r="AF374" s="194" t="str">
        <x:v>Form B only; paired alternate retained on the other comprehensive form</x:v>
      </x:c>
    </x:row>
    <x:row r="375">
      <x:c r="A375" s="191" t="str">
        <x:v>CTA-LMFT-MQB-0374</x:v>
      </x:c>
      <x:c r="B375" s="192" t="str">
        <x:v>LMFT-MQB-FB-CE-026</x:v>
      </x:c>
      <x:c r="C375" s="192" t="str">
        <x:v>LMFT</x:v>
      </x:c>
      <x:c r="D375" s="192" t="str">
        <x:v>Comprehensive Simulation</x:v>
      </x:c>
      <x:c r="E375" s="192"/>
      <x:c r="F375" s="192"/>
      <x:c r="G375" s="192" t="str">
        <x:v>Form B</x:v>
      </x:c>
      <x:c r="H375" s="192" t="n">
        <x:v>20</x:v>
      </x:c>
      <x:c r="I375" s="192" t="str">
        <x:v>Scored-Style</x:v>
      </x:c>
      <x:c r="J375" s="192" t="str">
        <x:v>1. Clinical Evaluation</x:v>
      </x:c>
      <x:c r="K375" s="192" t="str">
        <x:v>Grief and risk assessment</x:v>
      </x:c>
      <x:c r="L375" s="192" t="str"/>
      <x:c r="M375" s="192" t="str">
        <x:v>Moderate</x:v>
      </x:c>
      <x:c r="N375" s="192" t="str">
        <x:v>Moderate</x:v>
      </x:c>
      <x:c r="O375" s="192" t="str">
        <x:v>Scenario-based sequencing</x:v>
      </x:c>
      <x:c r="P375" s="192" t="str">
        <x:v>Scenario-Based</x:v>
      </x:c>
      <x:c r="Q375" s="192" t="n">
        <x:v>4</x:v>
      </x:c>
      <x:c r="R375" s="192" t="str">
        <x:v>B</x:v>
      </x:c>
      <x:c r="S375" s="192" t="str">
        <x:v>Approved</x:v>
      </x:c>
      <x:c r="T375" s="192" t="str">
        <x:v>Active</x:v>
      </x:c>
      <x:c r="U375" s="192" t="n">
        <x:v>1</x:v>
      </x:c>
      <x:c r="V375" s="192" t="str">
        <x:v>LMFT-ALT-026</x:v>
      </x:c>
      <x:c r="W375" s="192" t="str">
        <x:v>No additional flag</x:v>
      </x:c>
      <x:c r="X375" s="192" t="str">
        <x:v>No structural flag</x:v>
      </x:c>
      <x:c r="Y375" s="192" t="str">
        <x:v>Not Yet Reviewed</x:v>
      </x:c>
      <x:c r="Z375" s="192" t="str">
        <x:v>CTA LMFT WB4; CTA LMFT WB6; Pearson VUE LMFT Outline Area 1</x:v>
      </x:c>
      <x:c r="AA375" s="192" t="str">
        <x:v>CTA_LMFT_Comprehensive_Simulation_Form_B_Answer_Key_and_Detailed_Rationales_v1.0.docx</x:v>
      </x:c>
      <x:c r="AB375" s="192" t="str">
        <x:v>1.0</x:v>
      </x:c>
      <x:c r="AC375" s="193"/>
      <x:c r="AD375" s="193" t="n">
        <x:v>46228</x:v>
      </x:c>
      <x:c r="AE375" s="192" t="str">
        <x:v>Approved for Form B</x:v>
      </x:c>
      <x:c r="AF375" s="194" t="str">
        <x:v>Form B only; paired alternate retained on the other comprehensive form</x:v>
      </x:c>
    </x:row>
    <x:row r="376">
      <x:c r="A376" s="191" t="str">
        <x:v>CTA-LMFT-MQB-0375</x:v>
      </x:c>
      <x:c r="B376" s="192" t="str">
        <x:v>LMFT-MQB-FB-CR-016</x:v>
      </x:c>
      <x:c r="C376" s="192" t="str">
        <x:v>LMFT</x:v>
      </x:c>
      <x:c r="D376" s="192" t="str">
        <x:v>Comprehensive Simulation</x:v>
      </x:c>
      <x:c r="E376" s="192"/>
      <x:c r="F376" s="192"/>
      <x:c r="G376" s="192" t="str">
        <x:v>Form B</x:v>
      </x:c>
      <x:c r="H376" s="192" t="n">
        <x:v>21</x:v>
      </x:c>
      <x:c r="I376" s="192" t="str">
        <x:v>Scored-Style</x:v>
      </x:c>
      <x:c r="J376" s="192" t="str">
        <x:v>3. Managing Crisis Situations</x:v>
      </x:c>
      <x:c r="K376" s="192" t="str">
        <x:v>Disaster, medication, and family system</x:v>
      </x:c>
      <x:c r="L376" s="192" t="str"/>
      <x:c r="M376" s="192" t="str">
        <x:v>Difficult</x:v>
      </x:c>
      <x:c r="N376" s="192" t="str">
        <x:v>Difficult</x:v>
      </x:c>
      <x:c r="O376" s="192" t="str">
        <x:v>Integrated reasoning</x:v>
      </x:c>
      <x:c r="P376" s="192" t="str">
        <x:v>Integrated Clinical Reasoning</x:v>
      </x:c>
      <x:c r="Q376" s="192" t="n">
        <x:v>4</x:v>
      </x:c>
      <x:c r="R376" s="192" t="str">
        <x:v>D</x:v>
      </x:c>
      <x:c r="S376" s="192" t="str">
        <x:v>Approved</x:v>
      </x:c>
      <x:c r="T376" s="192" t="str">
        <x:v>Active</x:v>
      </x:c>
      <x:c r="U376" s="192" t="n">
        <x:v>1</x:v>
      </x:c>
      <x:c r="V376" s="192" t="str">
        <x:v>LMFT-ALT-075</x:v>
      </x:c>
      <x:c r="W376" s="192" t="str">
        <x:v>No additional flag</x:v>
      </x:c>
      <x:c r="X376" s="192" t="str">
        <x:v>No structural flag</x:v>
      </x:c>
      <x:c r="Y376" s="192" t="str">
        <x:v>Not Yet Reviewed</x:v>
      </x:c>
      <x:c r="Z376" s="192" t="str">
        <x:v>CTA LMFT WB6; CTA LMFT WB10; Pearson VUE LMFT Outline Area 3</x:v>
      </x:c>
      <x:c r="AA376" s="192" t="str">
        <x:v>CTA_LMFT_Comprehensive_Simulation_Form_B_Answer_Key_and_Detailed_Rationales_v1.0.docx</x:v>
      </x:c>
      <x:c r="AB376" s="192" t="str">
        <x:v>1.0</x:v>
      </x:c>
      <x:c r="AC376" s="193"/>
      <x:c r="AD376" s="193" t="n">
        <x:v>46228</x:v>
      </x:c>
      <x:c r="AE376" s="192" t="str">
        <x:v>Approved for Form B</x:v>
      </x:c>
      <x:c r="AF376" s="194" t="str">
        <x:v>Form B only; paired alternate retained on the other comprehensive form</x:v>
      </x:c>
    </x:row>
    <x:row r="377">
      <x:c r="A377" s="191" t="str">
        <x:v>CTA-LMFT-MQB-0376</x:v>
      </x:c>
      <x:c r="B377" s="192" t="str">
        <x:v>LMFT-MQB-FB-LE-006</x:v>
      </x:c>
      <x:c r="C377" s="192" t="str">
        <x:v>LMFT</x:v>
      </x:c>
      <x:c r="D377" s="192" t="str">
        <x:v>Comprehensive Simulation</x:v>
      </x:c>
      <x:c r="E377" s="192"/>
      <x:c r="F377" s="192"/>
      <x:c r="G377" s="192" t="str">
        <x:v>Form B</x:v>
      </x:c>
      <x:c r="H377" s="192" t="n">
        <x:v>22</x:v>
      </x:c>
      <x:c r="I377" s="192" t="str">
        <x:v>Scored-Style</x:v>
      </x:c>
      <x:c r="J377" s="192" t="str">
        <x:v>6. Managing Legal and Ethical Obligations within the Therapeutic Relationship</x:v>
      </x:c>
      <x:c r="K377" s="192" t="str">
        <x:v>Electronic communication</x:v>
      </x:c>
      <x:c r="L377" s="192" t="str"/>
      <x:c r="M377" s="192" t="str">
        <x:v>Moderate</x:v>
      </x:c>
      <x:c r="N377" s="192" t="str">
        <x:v>Moderate</x:v>
      </x:c>
      <x:c r="O377" s="192" t="str">
        <x:v>Application</x:v>
      </x:c>
      <x:c r="P377" s="192" t="str">
        <x:v>Application</x:v>
      </x:c>
      <x:c r="Q377" s="192" t="n">
        <x:v>4</x:v>
      </x:c>
      <x:c r="R377" s="192" t="str">
        <x:v>B</x:v>
      </x:c>
      <x:c r="S377" s="192" t="str">
        <x:v>Approved</x:v>
      </x:c>
      <x:c r="T377" s="192" t="str">
        <x:v>Active</x:v>
      </x:c>
      <x:c r="U377" s="192" t="n">
        <x:v>1</x:v>
      </x:c>
      <x:c r="V377" s="192" t="str">
        <x:v>LMFT-ALT-098</x:v>
      </x:c>
      <x:c r="W377" s="192" t="str">
        <x:v>Review Candidate</x:v>
      </x:c>
      <x:c r="X377" s="192" t="str">
        <x:v>No structural flag</x:v>
      </x:c>
      <x:c r="Y377" s="192" t="str">
        <x:v>Not Yet Reviewed</x:v>
      </x:c>
      <x:c r="Z377" s="192" t="str">
        <x:v>CTA LMFT WB12; Pearson VUE LMFT Outline Area 6</x:v>
      </x:c>
      <x:c r="AA377" s="192" t="str">
        <x:v>CTA_LMFT_Comprehensive_Simulation_Form_B_Answer_Key_and_Detailed_Rationales_v1.0.docx</x:v>
      </x:c>
      <x:c r="AB377" s="192" t="str">
        <x:v>1.0</x:v>
      </x:c>
      <x:c r="AC377" s="193"/>
      <x:c r="AD377" s="193" t="n">
        <x:v>46228</x:v>
      </x:c>
      <x:c r="AE377" s="192" t="str">
        <x:v>Approved for Form B</x:v>
      </x:c>
      <x:c r="AF377" s="194" t="str">
        <x:v>Form B only; paired alternate retained on the other comprehensive form</x:v>
      </x:c>
    </x:row>
    <x:row r="378">
      <x:c r="A378" s="191" t="str">
        <x:v>CTA-LMFT-MQB-0377</x:v>
      </x:c>
      <x:c r="B378" s="192" t="str">
        <x:v>LMFT-MQB-FB-TX-019</x:v>
      </x:c>
      <x:c r="C378" s="192" t="str">
        <x:v>LMFT</x:v>
      </x:c>
      <x:c r="D378" s="192" t="str">
        <x:v>Comprehensive Simulation</x:v>
      </x:c>
      <x:c r="E378" s="192"/>
      <x:c r="F378" s="192"/>
      <x:c r="G378" s="192" t="str">
        <x:v>Form B</x:v>
      </x:c>
      <x:c r="H378" s="192" t="n">
        <x:v>23</x:v>
      </x:c>
      <x:c r="I378" s="192" t="str">
        <x:v>Scored-Style</x:v>
      </x:c>
      <x:c r="J378" s="192" t="str">
        <x:v>5. Treatment</x:v>
      </x:c>
      <x:c r="K378" s="192" t="str">
        <x:v>Neurodiversity adaptation</x:v>
      </x:c>
      <x:c r="L378" s="192" t="str"/>
      <x:c r="M378" s="192" t="str">
        <x:v>Moderate</x:v>
      </x:c>
      <x:c r="N378" s="192" t="str">
        <x:v>Moderate</x:v>
      </x:c>
      <x:c r="O378" s="192" t="str">
        <x:v>Application</x:v>
      </x:c>
      <x:c r="P378" s="192" t="str">
        <x:v>Application</x:v>
      </x:c>
      <x:c r="Q378" s="192" t="n">
        <x:v>4</x:v>
      </x:c>
      <x:c r="R378" s="192" t="str">
        <x:v>C</x:v>
      </x:c>
      <x:c r="S378" s="192" t="str">
        <x:v>Approved</x:v>
      </x:c>
      <x:c r="T378" s="192" t="str">
        <x:v>Active</x:v>
      </x:c>
      <x:c r="U378" s="192" t="n">
        <x:v>1</x:v>
      </x:c>
      <x:c r="V378" s="192" t="str">
        <x:v>LMFT-ALT-126</x:v>
      </x:c>
      <x:c r="W378" s="192" t="str">
        <x:v>No additional flag</x:v>
      </x:c>
      <x:c r="X378" s="192" t="str">
        <x:v>No structural flag</x:v>
      </x:c>
      <x:c r="Y378" s="192" t="str">
        <x:v>Not Yet Reviewed</x:v>
      </x:c>
      <x:c r="Z378" s="192" t="str">
        <x:v>CTA LMFT WB10; Pearson VUE LMFT Outline Area 5</x:v>
      </x:c>
      <x:c r="AA378" s="192" t="str">
        <x:v>CTA_LMFT_Comprehensive_Simulation_Form_B_Answer_Key_and_Detailed_Rationales_v1.0.docx</x:v>
      </x:c>
      <x:c r="AB378" s="192" t="str">
        <x:v>1.0</x:v>
      </x:c>
      <x:c r="AC378" s="193"/>
      <x:c r="AD378" s="193" t="n">
        <x:v>46228</x:v>
      </x:c>
      <x:c r="AE378" s="192" t="str">
        <x:v>Approved for Form B</x:v>
      </x:c>
      <x:c r="AF378" s="194" t="str">
        <x:v>Form B only; paired alternate retained on the other comprehensive form</x:v>
      </x:c>
    </x:row>
    <x:row r="379">
      <x:c r="A379" s="191" t="str">
        <x:v>CTA-LMFT-MQB-0378</x:v>
      </x:c>
      <x:c r="B379" s="192" t="str">
        <x:v>LMFT-MQB-FB-CE-003</x:v>
      </x:c>
      <x:c r="C379" s="192" t="str">
        <x:v>LMFT</x:v>
      </x:c>
      <x:c r="D379" s="192" t="str">
        <x:v>Comprehensive Simulation</x:v>
      </x:c>
      <x:c r="E379" s="192"/>
      <x:c r="F379" s="192"/>
      <x:c r="G379" s="192" t="str">
        <x:v>Form B</x:v>
      </x:c>
      <x:c r="H379" s="192" t="n">
        <x:v>24</x:v>
      </x:c>
      <x:c r="I379" s="192" t="str">
        <x:v>Scored-Style</x:v>
      </x:c>
      <x:c r="J379" s="192" t="str">
        <x:v>1. Clinical Evaluation</x:v>
      </x:c>
      <x:c r="K379" s="192" t="str">
        <x:v>Protective factors</x:v>
      </x:c>
      <x:c r="L379" s="192" t="str"/>
      <x:c r="M379" s="192" t="str">
        <x:v>Easy</x:v>
      </x:c>
      <x:c r="N379" s="192" t="str">
        <x:v>Easy</x:v>
      </x:c>
      <x:c r="O379" s="192" t="str">
        <x:v>Direct recognition</x:v>
      </x:c>
      <x:c r="P379" s="192" t="str">
        <x:v>Knowledge &amp; Recall</x:v>
      </x:c>
      <x:c r="Q379" s="192" t="n">
        <x:v>4</x:v>
      </x:c>
      <x:c r="R379" s="192" t="str">
        <x:v>D</x:v>
      </x:c>
      <x:c r="S379" s="192" t="str">
        <x:v>Approved</x:v>
      </x:c>
      <x:c r="T379" s="192" t="str">
        <x:v>Active</x:v>
      </x:c>
      <x:c r="U379" s="192" t="n">
        <x:v>1</x:v>
      </x:c>
      <x:c r="V379" s="192" t="str">
        <x:v>LMFT-ALT-003</x:v>
      </x:c>
      <x:c r="W379" s="192" t="str">
        <x:v>No additional flag</x:v>
      </x:c>
      <x:c r="X379" s="192" t="str">
        <x:v>No structural flag</x:v>
      </x:c>
      <x:c r="Y379" s="192" t="str">
        <x:v>Not Yet Reviewed</x:v>
      </x:c>
      <x:c r="Z379" s="192" t="str">
        <x:v>CTA LMFT WB4; Pearson VUE LMFT Outline Area 1</x:v>
      </x:c>
      <x:c r="AA379" s="192" t="str">
        <x:v>CTA_LMFT_Comprehensive_Simulation_Form_B_Answer_Key_and_Detailed_Rationales_v1.0.docx</x:v>
      </x:c>
      <x:c r="AB379" s="192" t="str">
        <x:v>1.0</x:v>
      </x:c>
      <x:c r="AC379" s="193"/>
      <x:c r="AD379" s="193" t="n">
        <x:v>46228</x:v>
      </x:c>
      <x:c r="AE379" s="192" t="str">
        <x:v>Approved for Form B</x:v>
      </x:c>
      <x:c r="AF379" s="194" t="str">
        <x:v>Form B only; paired alternate retained on the other comprehensive form</x:v>
      </x:c>
    </x:row>
    <x:row r="380">
      <x:c r="A380" s="191" t="str">
        <x:v>CTA-LMFT-MQB-0379</x:v>
      </x:c>
      <x:c r="B380" s="192" t="str">
        <x:v>LMFT-MQB-FB-TX-024</x:v>
      </x:c>
      <x:c r="C380" s="192" t="str">
        <x:v>LMFT</x:v>
      </x:c>
      <x:c r="D380" s="192" t="str">
        <x:v>Comprehensive Simulation</x:v>
      </x:c>
      <x:c r="E380" s="192"/>
      <x:c r="F380" s="192"/>
      <x:c r="G380" s="192" t="str">
        <x:v>Form B</x:v>
      </x:c>
      <x:c r="H380" s="192" t="n">
        <x:v>25</x:v>
      </x:c>
      <x:c r="I380" s="192" t="str">
        <x:v>Pretest-Style</x:v>
      </x:c>
      <x:c r="J380" s="192" t="str">
        <x:v>5. Treatment</x:v>
      </x:c>
      <x:c r="K380" s="192" t="str">
        <x:v>Parent-child escalation</x:v>
      </x:c>
      <x:c r="L380" s="192" t="str"/>
      <x:c r="M380" s="192" t="str">
        <x:v>Easy</x:v>
      </x:c>
      <x:c r="N380" s="192" t="str">
        <x:v>Easy</x:v>
      </x:c>
      <x:c r="O380" s="192" t="str">
        <x:v>Scenario-based sequencing</x:v>
      </x:c>
      <x:c r="P380" s="192" t="str">
        <x:v>Scenario-Based</x:v>
      </x:c>
      <x:c r="Q380" s="192" t="n">
        <x:v>4</x:v>
      </x:c>
      <x:c r="R380" s="192" t="str">
        <x:v>C</x:v>
      </x:c>
      <x:c r="S380" s="192" t="str">
        <x:v>Approved</x:v>
      </x:c>
      <x:c r="T380" s="192" t="str">
        <x:v>Active</x:v>
      </x:c>
      <x:c r="U380" s="192" t="n">
        <x:v>1</x:v>
      </x:c>
      <x:c r="V380" s="192" t="str">
        <x:v>LMFT-ALT-131</x:v>
      </x:c>
      <x:c r="W380" s="192" t="str">
        <x:v>No additional flag</x:v>
      </x:c>
      <x:c r="X380" s="192" t="str">
        <x:v>No structural flag</x:v>
      </x:c>
      <x:c r="Y380" s="192" t="str">
        <x:v>Not Yet Reviewed</x:v>
      </x:c>
      <x:c r="Z380" s="192" t="str">
        <x:v>CTA LMFT WB9; Pearson VUE LMFT Outline Area 5</x:v>
      </x:c>
      <x:c r="AA380" s="192" t="str">
        <x:v>CTA_LMFT_Comprehensive_Simulation_Form_B_Answer_Key_and_Detailed_Rationales_v1.0.docx</x:v>
      </x:c>
      <x:c r="AB380" s="192" t="str">
        <x:v>1.0</x:v>
      </x:c>
      <x:c r="AC380" s="193"/>
      <x:c r="AD380" s="193" t="n">
        <x:v>46228</x:v>
      </x:c>
      <x:c r="AE380" s="192" t="str">
        <x:v>Approved for Form B</x:v>
      </x:c>
      <x:c r="AF380" s="194" t="str">
        <x:v>Form B only; paired alternate retained on the other comprehensive form</x:v>
      </x:c>
    </x:row>
    <x:row r="381">
      <x:c r="A381" s="191" t="str">
        <x:v>CTA-LMFT-MQB-0380</x:v>
      </x:c>
      <x:c r="B381" s="192" t="str">
        <x:v>LMFT-MQB-FB-LE-011</x:v>
      </x:c>
      <x:c r="C381" s="192" t="str">
        <x:v>LMFT</x:v>
      </x:c>
      <x:c r="D381" s="192" t="str">
        <x:v>Comprehensive Simulation</x:v>
      </x:c>
      <x:c r="E381" s="192"/>
      <x:c r="F381" s="192"/>
      <x:c r="G381" s="192" t="str">
        <x:v>Form B</x:v>
      </x:c>
      <x:c r="H381" s="192" t="n">
        <x:v>26</x:v>
      </x:c>
      <x:c r="I381" s="192" t="str">
        <x:v>Pretest-Style</x:v>
      </x:c>
      <x:c r="J381" s="192" t="str">
        <x:v>6. Managing Legal and Ethical Obligations within the Therapeutic Relationship</x:v>
      </x:c>
      <x:c r="K381" s="192" t="str">
        <x:v>Telehealth jurisdiction</x:v>
      </x:c>
      <x:c r="L381" s="192" t="str"/>
      <x:c r="M381" s="192" t="str">
        <x:v>Moderate</x:v>
      </x:c>
      <x:c r="N381" s="192" t="str">
        <x:v>Moderate</x:v>
      </x:c>
      <x:c r="O381" s="192" t="str">
        <x:v>Scenario-based sequencing</x:v>
      </x:c>
      <x:c r="P381" s="192" t="str">
        <x:v>Scenario-Based</x:v>
      </x:c>
      <x:c r="Q381" s="192" t="n">
        <x:v>4</x:v>
      </x:c>
      <x:c r="R381" s="192" t="str">
        <x:v>D</x:v>
      </x:c>
      <x:c r="S381" s="192" t="str">
        <x:v>Approved</x:v>
      </x:c>
      <x:c r="T381" s="192" t="str">
        <x:v>Active</x:v>
      </x:c>
      <x:c r="U381" s="192" t="n">
        <x:v>1</x:v>
      </x:c>
      <x:c r="V381" s="192" t="str">
        <x:v>LMFT-ALT-103</x:v>
      </x:c>
      <x:c r="W381" s="192" t="str">
        <x:v>Review Candidate</x:v>
      </x:c>
      <x:c r="X381" s="192" t="str">
        <x:v>No structural flag</x:v>
      </x:c>
      <x:c r="Y381" s="192" t="str">
        <x:v>Not Yet Reviewed</x:v>
      </x:c>
      <x:c r="Z381" s="192" t="str">
        <x:v>CTA LMFT WB12; Pearson VUE LMFT Outline Area 6</x:v>
      </x:c>
      <x:c r="AA381" s="192" t="str">
        <x:v>CTA_LMFT_Comprehensive_Simulation_Form_B_Answer_Key_and_Detailed_Rationales_v1.0.docx</x:v>
      </x:c>
      <x:c r="AB381" s="192" t="str">
        <x:v>1.0</x:v>
      </x:c>
      <x:c r="AC381" s="193"/>
      <x:c r="AD381" s="193" t="n">
        <x:v>46228</x:v>
      </x:c>
      <x:c r="AE381" s="192" t="str">
        <x:v>Approved for Form B</x:v>
      </x:c>
      <x:c r="AF381" s="194" t="str">
        <x:v>Form B only; paired alternate retained on the other comprehensive form</x:v>
      </x:c>
    </x:row>
    <x:row r="382">
      <x:c r="A382" s="191" t="str">
        <x:v>CTA-LMFT-MQB-0381</x:v>
      </x:c>
      <x:c r="B382" s="192" t="str">
        <x:v>LMFT-MQB-FB-CR-014</x:v>
      </x:c>
      <x:c r="C382" s="192" t="str">
        <x:v>LMFT</x:v>
      </x:c>
      <x:c r="D382" s="192" t="str">
        <x:v>Comprehensive Simulation</x:v>
      </x:c>
      <x:c r="E382" s="192"/>
      <x:c r="F382" s="192"/>
      <x:c r="G382" s="192" t="str">
        <x:v>Form B</x:v>
      </x:c>
      <x:c r="H382" s="192" t="n">
        <x:v>27</x:v>
      </x:c>
      <x:c r="I382" s="192" t="str">
        <x:v>Scored-Style</x:v>
      </x:c>
      <x:c r="J382" s="192" t="str">
        <x:v>3. Managing Crisis Situations</x:v>
      </x:c>
      <x:c r="K382" s="192" t="str">
        <x:v>Crisis with child and caregiver</x:v>
      </x:c>
      <x:c r="L382" s="192" t="str"/>
      <x:c r="M382" s="192" t="str">
        <x:v>Moderate</x:v>
      </x:c>
      <x:c r="N382" s="192" t="str">
        <x:v>Moderate</x:v>
      </x:c>
      <x:c r="O382" s="192" t="str">
        <x:v>Integrated reasoning</x:v>
      </x:c>
      <x:c r="P382" s="192" t="str">
        <x:v>Integrated Clinical Reasoning</x:v>
      </x:c>
      <x:c r="Q382" s="192" t="n">
        <x:v>4</x:v>
      </x:c>
      <x:c r="R382" s="192" t="str">
        <x:v>D</x:v>
      </x:c>
      <x:c r="S382" s="192" t="str">
        <x:v>Approved</x:v>
      </x:c>
      <x:c r="T382" s="192" t="str">
        <x:v>Active</x:v>
      </x:c>
      <x:c r="U382" s="192" t="n">
        <x:v>1</x:v>
      </x:c>
      <x:c r="V382" s="192" t="str">
        <x:v>LMFT-ALT-073</x:v>
      </x:c>
      <x:c r="W382" s="192" t="str">
        <x:v>No additional flag</x:v>
      </x:c>
      <x:c r="X382" s="192" t="str">
        <x:v>No structural flag</x:v>
      </x:c>
      <x:c r="Y382" s="192" t="str">
        <x:v>Not Yet Reviewed</x:v>
      </x:c>
      <x:c r="Z382" s="192" t="str">
        <x:v>CTA LMFT WB6; CTA LMFT WB12; Pearson VUE LMFT Outline Area 3</x:v>
      </x:c>
      <x:c r="AA382" s="192" t="str">
        <x:v>CTA_LMFT_Comprehensive_Simulation_Form_B_Answer_Key_and_Detailed_Rationales_v1.0.docx</x:v>
      </x:c>
      <x:c r="AB382" s="192" t="str">
        <x:v>1.0</x:v>
      </x:c>
      <x:c r="AC382" s="193"/>
      <x:c r="AD382" s="193" t="n">
        <x:v>46228</x:v>
      </x:c>
      <x:c r="AE382" s="192" t="str">
        <x:v>Approved for Form B</x:v>
      </x:c>
      <x:c r="AF382" s="194" t="str">
        <x:v>Form B only; paired alternate retained on the other comprehensive form</x:v>
      </x:c>
    </x:row>
    <x:row r="383">
      <x:c r="A383" s="191" t="str">
        <x:v>CTA-LMFT-MQB-0382</x:v>
      </x:c>
      <x:c r="B383" s="192" t="str">
        <x:v>LMFT-MQB-FB-CE-032</x:v>
      </x:c>
      <x:c r="C383" s="192" t="str">
        <x:v>LMFT</x:v>
      </x:c>
      <x:c r="D383" s="192" t="str">
        <x:v>Comprehensive Simulation</x:v>
      </x:c>
      <x:c r="E383" s="192"/>
      <x:c r="F383" s="192"/>
      <x:c r="G383" s="192" t="str">
        <x:v>Form B</x:v>
      </x:c>
      <x:c r="H383" s="192" t="n">
        <x:v>28</x:v>
      </x:c>
      <x:c r="I383" s="192" t="str">
        <x:v>Scored-Style</x:v>
      </x:c>
      <x:c r="J383" s="192" t="str">
        <x:v>1. Clinical Evaluation</x:v>
      </x:c>
      <x:c r="K383" s="192" t="str">
        <x:v>Dissociation versus inattention</x:v>
      </x:c>
      <x:c r="L383" s="192" t="str"/>
      <x:c r="M383" s="192" t="str">
        <x:v>Difficult</x:v>
      </x:c>
      <x:c r="N383" s="192" t="str">
        <x:v>Difficult</x:v>
      </x:c>
      <x:c r="O383" s="192" t="str">
        <x:v>Scenario-based sequencing</x:v>
      </x:c>
      <x:c r="P383" s="192" t="str">
        <x:v>Scenario-Based</x:v>
      </x:c>
      <x:c r="Q383" s="192" t="n">
        <x:v>4</x:v>
      </x:c>
      <x:c r="R383" s="192" t="str">
        <x:v>B</x:v>
      </x:c>
      <x:c r="S383" s="192" t="str">
        <x:v>Approved</x:v>
      </x:c>
      <x:c r="T383" s="192" t="str">
        <x:v>Active</x:v>
      </x:c>
      <x:c r="U383" s="192" t="n">
        <x:v>1</x:v>
      </x:c>
      <x:c r="V383" s="192" t="str">
        <x:v>LMFT-ALT-032</x:v>
      </x:c>
      <x:c r="W383" s="192" t="str">
        <x:v>No additional flag</x:v>
      </x:c>
      <x:c r="X383" s="192" t="str">
        <x:v>No structural flag</x:v>
      </x:c>
      <x:c r="Y383" s="192" t="str">
        <x:v>Not Yet Reviewed</x:v>
      </x:c>
      <x:c r="Z383" s="192" t="str">
        <x:v>CTA LMFT WB4; CTA LMFT WB5; Pearson VUE LMFT Outline Area 1</x:v>
      </x:c>
      <x:c r="AA383" s="192" t="str">
        <x:v>CTA_LMFT_Comprehensive_Simulation_Form_B_Answer_Key_and_Detailed_Rationales_v1.0.docx</x:v>
      </x:c>
      <x:c r="AB383" s="192" t="str">
        <x:v>1.0</x:v>
      </x:c>
      <x:c r="AC383" s="193"/>
      <x:c r="AD383" s="193" t="n">
        <x:v>46228</x:v>
      </x:c>
      <x:c r="AE383" s="192" t="str">
        <x:v>Approved for Form B</x:v>
      </x:c>
      <x:c r="AF383" s="194" t="str">
        <x:v>Form B only; paired alternate retained on the other comprehensive form</x:v>
      </x:c>
    </x:row>
    <x:row r="384">
      <x:c r="A384" s="191" t="str">
        <x:v>CTA-LMFT-MQB-0383</x:v>
      </x:c>
      <x:c r="B384" s="192" t="str">
        <x:v>LMFT-MQB-FB-CP-001</x:v>
      </x:c>
      <x:c r="C384" s="192" t="str">
        <x:v>LMFT</x:v>
      </x:c>
      <x:c r="D384" s="192" t="str">
        <x:v>Comprehensive Simulation</x:v>
      </x:c>
      <x:c r="E384" s="192"/>
      <x:c r="F384" s="192"/>
      <x:c r="G384" s="192" t="str">
        <x:v>Form B</x:v>
      </x:c>
      <x:c r="H384" s="192" t="n">
        <x:v>29</x:v>
      </x:c>
      <x:c r="I384" s="192" t="str">
        <x:v>Scored-Style</x:v>
      </x:c>
      <x:c r="J384" s="192" t="str">
        <x:v>4. Case Conceptualization and Planning</x:v>
      </x:c>
      <x:c r="K384" s="192" t="str">
        <x:v>Measurable goals</x:v>
      </x:c>
      <x:c r="L384" s="192" t="str"/>
      <x:c r="M384" s="192" t="str">
        <x:v>Easy</x:v>
      </x:c>
      <x:c r="N384" s="192" t="str">
        <x:v>Easy</x:v>
      </x:c>
      <x:c r="O384" s="192" t="str">
        <x:v>Direct recognition</x:v>
      </x:c>
      <x:c r="P384" s="192" t="str">
        <x:v>Knowledge &amp; Recall</x:v>
      </x:c>
      <x:c r="Q384" s="192" t="n">
        <x:v>4</x:v>
      </x:c>
      <x:c r="R384" s="192" t="str">
        <x:v>C</x:v>
      </x:c>
      <x:c r="S384" s="192" t="str">
        <x:v>Approved</x:v>
      </x:c>
      <x:c r="T384" s="192" t="str">
        <x:v>Active</x:v>
      </x:c>
      <x:c r="U384" s="192" t="n">
        <x:v>1</x:v>
      </x:c>
      <x:c r="V384" s="192" t="str">
        <x:v>LMFT-ALT-042</x:v>
      </x:c>
      <x:c r="W384" s="192" t="str">
        <x:v>No additional flag</x:v>
      </x:c>
      <x:c r="X384" s="192" t="str">
        <x:v>No structural flag</x:v>
      </x:c>
      <x:c r="Y384" s="192" t="str">
        <x:v>Not Yet Reviewed</x:v>
      </x:c>
      <x:c r="Z384" s="192" t="str">
        <x:v>CTA LMFT WB7; Pearson VUE LMFT Outline Area 4</x:v>
      </x:c>
      <x:c r="AA384" s="192" t="str">
        <x:v>CTA_LMFT_Comprehensive_Simulation_Form_B_Answer_Key_and_Detailed_Rationales_v1.0.docx</x:v>
      </x:c>
      <x:c r="AB384" s="192" t="str">
        <x:v>1.0</x:v>
      </x:c>
      <x:c r="AC384" s="193"/>
      <x:c r="AD384" s="193" t="n">
        <x:v>46228</x:v>
      </x:c>
      <x:c r="AE384" s="192" t="str">
        <x:v>Approved for Form B</x:v>
      </x:c>
      <x:c r="AF384" s="194" t="str">
        <x:v>Form B only; paired alternate retained on the other comprehensive form</x:v>
      </x:c>
    </x:row>
    <x:row r="385">
      <x:c r="A385" s="191" t="str">
        <x:v>CTA-LMFT-MQB-0384</x:v>
      </x:c>
      <x:c r="B385" s="192" t="str">
        <x:v>LMFT-MQB-FB-LE-013</x:v>
      </x:c>
      <x:c r="C385" s="192" t="str">
        <x:v>LMFT</x:v>
      </x:c>
      <x:c r="D385" s="192" t="str">
        <x:v>Comprehensive Simulation</x:v>
      </x:c>
      <x:c r="E385" s="192"/>
      <x:c r="F385" s="192"/>
      <x:c r="G385" s="192" t="str">
        <x:v>Form B</x:v>
      </x:c>
      <x:c r="H385" s="192" t="n">
        <x:v>30</x:v>
      </x:c>
      <x:c r="I385" s="192" t="str">
        <x:v>Scored-Style</x:v>
      </x:c>
      <x:c r="J385" s="192" t="str">
        <x:v>6. Managing Legal and Ethical Obligations within the Therapeutic Relationship</x:v>
      </x:c>
      <x:c r="K385" s="192" t="str">
        <x:v>Abrupt practice closure</x:v>
      </x:c>
      <x:c r="L385" s="192" t="str"/>
      <x:c r="M385" s="192" t="str">
        <x:v>Difficult</x:v>
      </x:c>
      <x:c r="N385" s="192" t="str">
        <x:v>Difficult</x:v>
      </x:c>
      <x:c r="O385" s="192" t="str">
        <x:v>Scenario-based sequencing</x:v>
      </x:c>
      <x:c r="P385" s="192" t="str">
        <x:v>Scenario-Based</x:v>
      </x:c>
      <x:c r="Q385" s="192" t="n">
        <x:v>4</x:v>
      </x:c>
      <x:c r="R385" s="192" t="str">
        <x:v>A</x:v>
      </x:c>
      <x:c r="S385" s="192" t="str">
        <x:v>Approved</x:v>
      </x:c>
      <x:c r="T385" s="192" t="str">
        <x:v>Active</x:v>
      </x:c>
      <x:c r="U385" s="192" t="n">
        <x:v>1</x:v>
      </x:c>
      <x:c r="V385" s="192" t="str">
        <x:v>LMFT-ALT-105</x:v>
      </x:c>
      <x:c r="W385" s="192" t="str">
        <x:v>No additional flag</x:v>
      </x:c>
      <x:c r="X385" s="192" t="str">
        <x:v>No structural flag</x:v>
      </x:c>
      <x:c r="Y385" s="192" t="str">
        <x:v>Not Yet Reviewed</x:v>
      </x:c>
      <x:c r="Z385" s="192" t="str">
        <x:v>CTA LMFT WB12; Pearson VUE LMFT Outline Area 6</x:v>
      </x:c>
      <x:c r="AA385" s="192" t="str">
        <x:v>CTA_LMFT_Comprehensive_Simulation_Form_B_Answer_Key_and_Detailed_Rationales_v1.0.docx</x:v>
      </x:c>
      <x:c r="AB385" s="192" t="str">
        <x:v>1.0</x:v>
      </x:c>
      <x:c r="AC385" s="193"/>
      <x:c r="AD385" s="193" t="n">
        <x:v>46228</x:v>
      </x:c>
      <x:c r="AE385" s="192" t="str">
        <x:v>Approved for Form B</x:v>
      </x:c>
      <x:c r="AF385" s="194" t="str">
        <x:v>Form B only; paired alternate retained on the other comprehensive form</x:v>
      </x:c>
    </x:row>
    <x:row r="386">
      <x:c r="A386" s="191" t="str">
        <x:v>CTA-LMFT-MQB-0385</x:v>
      </x:c>
      <x:c r="B386" s="192" t="str">
        <x:v>LMFT-MQB-FB-CE-006</x:v>
      </x:c>
      <x:c r="C386" s="192" t="str">
        <x:v>LMFT</x:v>
      </x:c>
      <x:c r="D386" s="192" t="str">
        <x:v>Comprehensive Simulation</x:v>
      </x:c>
      <x:c r="E386" s="192"/>
      <x:c r="F386" s="192"/>
      <x:c r="G386" s="192" t="str">
        <x:v>Form B</x:v>
      </x:c>
      <x:c r="H386" s="192" t="n">
        <x:v>31</x:v>
      </x:c>
      <x:c r="I386" s="192" t="str">
        <x:v>Scored-Style</x:v>
      </x:c>
      <x:c r="J386" s="192" t="str">
        <x:v>1. Clinical Evaluation</x:v>
      </x:c>
      <x:c r="K386" s="192" t="str">
        <x:v>Open-ended interviewing</x:v>
      </x:c>
      <x:c r="L386" s="192" t="str"/>
      <x:c r="M386" s="192" t="str">
        <x:v>Easy</x:v>
      </x:c>
      <x:c r="N386" s="192" t="str">
        <x:v>Easy</x:v>
      </x:c>
      <x:c r="O386" s="192" t="str">
        <x:v>Application</x:v>
      </x:c>
      <x:c r="P386" s="192" t="str">
        <x:v>Application</x:v>
      </x:c>
      <x:c r="Q386" s="192" t="n">
        <x:v>4</x:v>
      </x:c>
      <x:c r="R386" s="192" t="str">
        <x:v>D</x:v>
      </x:c>
      <x:c r="S386" s="192" t="str">
        <x:v>Approved</x:v>
      </x:c>
      <x:c r="T386" s="192" t="str">
        <x:v>Active</x:v>
      </x:c>
      <x:c r="U386" s="192" t="n">
        <x:v>1</x:v>
      </x:c>
      <x:c r="V386" s="192" t="str">
        <x:v>LMFT-ALT-006</x:v>
      </x:c>
      <x:c r="W386" s="192" t="str">
        <x:v>No additional flag</x:v>
      </x:c>
      <x:c r="X386" s="192" t="str">
        <x:v>No structural flag</x:v>
      </x:c>
      <x:c r="Y386" s="192" t="str">
        <x:v>Not Yet Reviewed</x:v>
      </x:c>
      <x:c r="Z386" s="192" t="str">
        <x:v>CTA LMFT WB2; Pearson VUE LMFT Outline Area 1</x:v>
      </x:c>
      <x:c r="AA386" s="192" t="str">
        <x:v>CTA_LMFT_Comprehensive_Simulation_Form_B_Answer_Key_and_Detailed_Rationales_v1.0.docx</x:v>
      </x:c>
      <x:c r="AB386" s="192" t="str">
        <x:v>1.0</x:v>
      </x:c>
      <x:c r="AC386" s="193"/>
      <x:c r="AD386" s="193" t="n">
        <x:v>46228</x:v>
      </x:c>
      <x:c r="AE386" s="192" t="str">
        <x:v>Approved for Form B</x:v>
      </x:c>
      <x:c r="AF386" s="194" t="str">
        <x:v>Form B only; paired alternate retained on the other comprehensive form</x:v>
      </x:c>
    </x:row>
    <x:row r="387">
      <x:c r="A387" s="191" t="str">
        <x:v>CTA-LMFT-MQB-0386</x:v>
      </x:c>
      <x:c r="B387" s="192" t="str">
        <x:v>LMFT-MQB-FB-TX-018</x:v>
      </x:c>
      <x:c r="C387" s="192" t="str">
        <x:v>LMFT</x:v>
      </x:c>
      <x:c r="D387" s="192" t="str">
        <x:v>Comprehensive Simulation</x:v>
      </x:c>
      <x:c r="E387" s="192"/>
      <x:c r="F387" s="192"/>
      <x:c r="G387" s="192" t="str">
        <x:v>Form B</x:v>
      </x:c>
      <x:c r="H387" s="192" t="n">
        <x:v>32</x:v>
      </x:c>
      <x:c r="I387" s="192" t="str">
        <x:v>Scored-Style</x:v>
      </x:c>
      <x:c r="J387" s="192" t="str">
        <x:v>5. Treatment</x:v>
      </x:c>
      <x:c r="K387" s="192" t="str">
        <x:v>Cultural adaptation</x:v>
      </x:c>
      <x:c r="L387" s="192" t="str"/>
      <x:c r="M387" s="192" t="str">
        <x:v>Moderate</x:v>
      </x:c>
      <x:c r="N387" s="192" t="str">
        <x:v>Moderate</x:v>
      </x:c>
      <x:c r="O387" s="192" t="str">
        <x:v>Application</x:v>
      </x:c>
      <x:c r="P387" s="192" t="str">
        <x:v>Application</x:v>
      </x:c>
      <x:c r="Q387" s="192" t="n">
        <x:v>4</x:v>
      </x:c>
      <x:c r="R387" s="192" t="str">
        <x:v>B</x:v>
      </x:c>
      <x:c r="S387" s="192" t="str">
        <x:v>Approved</x:v>
      </x:c>
      <x:c r="T387" s="192" t="str">
        <x:v>Active</x:v>
      </x:c>
      <x:c r="U387" s="192" t="n">
        <x:v>1</x:v>
      </x:c>
      <x:c r="V387" s="192" t="str">
        <x:v>LMFT-ALT-125</x:v>
      </x:c>
      <x:c r="W387" s="192" t="str">
        <x:v>No additional flag</x:v>
      </x:c>
      <x:c r="X387" s="192" t="str">
        <x:v>No structural flag</x:v>
      </x:c>
      <x:c r="Y387" s="192" t="str">
        <x:v>Not Yet Reviewed</x:v>
      </x:c>
      <x:c r="Z387" s="192" t="str">
        <x:v>CTA LMFT WB10; Pearson VUE LMFT Outline Area 5</x:v>
      </x:c>
      <x:c r="AA387" s="192" t="str">
        <x:v>CTA_LMFT_Comprehensive_Simulation_Form_B_Answer_Key_and_Detailed_Rationales_v1.0.docx</x:v>
      </x:c>
      <x:c r="AB387" s="192" t="str">
        <x:v>1.0</x:v>
      </x:c>
      <x:c r="AC387" s="193"/>
      <x:c r="AD387" s="193" t="n">
        <x:v>46228</x:v>
      </x:c>
      <x:c r="AE387" s="192" t="str">
        <x:v>Approved for Form B</x:v>
      </x:c>
      <x:c r="AF387" s="194" t="str">
        <x:v>Form B only; paired alternate retained on the other comprehensive form</x:v>
      </x:c>
    </x:row>
    <x:row r="388">
      <x:c r="A388" s="191" t="str">
        <x:v>CTA-LMFT-MQB-0387</x:v>
      </x:c>
      <x:c r="B388" s="192" t="str">
        <x:v>LMFT-MQB-FB-CE-041</x:v>
      </x:c>
      <x:c r="C388" s="192" t="str">
        <x:v>LMFT</x:v>
      </x:c>
      <x:c r="D388" s="192" t="str">
        <x:v>Comprehensive Simulation</x:v>
      </x:c>
      <x:c r="E388" s="192"/>
      <x:c r="F388" s="192"/>
      <x:c r="G388" s="192" t="str">
        <x:v>Form B</x:v>
      </x:c>
      <x:c r="H388" s="192" t="n">
        <x:v>33</x:v>
      </x:c>
      <x:c r="I388" s="192" t="str">
        <x:v>Scored-Style</x:v>
      </x:c>
      <x:c r="J388" s="192" t="str">
        <x:v>1. Clinical Evaluation</x:v>
      </x:c>
      <x:c r="K388" s="192" t="str">
        <x:v>High-conflict separation assessment</x:v>
      </x:c>
      <x:c r="L388" s="192" t="str"/>
      <x:c r="M388" s="192" t="str">
        <x:v>Difficult</x:v>
      </x:c>
      <x:c r="N388" s="192" t="str">
        <x:v>Difficult</x:v>
      </x:c>
      <x:c r="O388" s="192" t="str">
        <x:v>Integrated reasoning</x:v>
      </x:c>
      <x:c r="P388" s="192" t="str">
        <x:v>Integrated Clinical Reasoning</x:v>
      </x:c>
      <x:c r="Q388" s="192" t="n">
        <x:v>4</x:v>
      </x:c>
      <x:c r="R388" s="192" t="str">
        <x:v>D</x:v>
      </x:c>
      <x:c r="S388" s="192" t="str">
        <x:v>Approved</x:v>
      </x:c>
      <x:c r="T388" s="192" t="str">
        <x:v>Active</x:v>
      </x:c>
      <x:c r="U388" s="192" t="n">
        <x:v>1</x:v>
      </x:c>
      <x:c r="V388" s="192" t="str">
        <x:v>LMFT-ALT-041</x:v>
      </x:c>
      <x:c r="W388" s="192" t="str">
        <x:v>No additional flag</x:v>
      </x:c>
      <x:c r="X388" s="192" t="str">
        <x:v>No structural flag</x:v>
      </x:c>
      <x:c r="Y388" s="192" t="str">
        <x:v>Not Yet Reviewed</x:v>
      </x:c>
      <x:c r="Z388" s="192" t="str">
        <x:v>CTA LMFT WB2; CTA LMFT WB12; Pearson VUE LMFT Outline Area 1</x:v>
      </x:c>
      <x:c r="AA388" s="192" t="str">
        <x:v>CTA_LMFT_Comprehensive_Simulation_Form_B_Answer_Key_and_Detailed_Rationales_v1.0.docx</x:v>
      </x:c>
      <x:c r="AB388" s="192" t="str">
        <x:v>1.0</x:v>
      </x:c>
      <x:c r="AC388" s="193"/>
      <x:c r="AD388" s="193" t="n">
        <x:v>46228</x:v>
      </x:c>
      <x:c r="AE388" s="192" t="str">
        <x:v>Approved for Form B</x:v>
      </x:c>
      <x:c r="AF388" s="194" t="str">
        <x:v>Form B only; paired alternate retained on the other comprehensive form</x:v>
      </x:c>
    </x:row>
    <x:row r="389">
      <x:c r="A389" s="191" t="str">
        <x:v>CTA-LMFT-MQB-0388</x:v>
      </x:c>
      <x:c r="B389" s="192" t="str">
        <x:v>LMFT-MQB-FB-LE-003</x:v>
      </x:c>
      <x:c r="C389" s="192" t="str">
        <x:v>LMFT</x:v>
      </x:c>
      <x:c r="D389" s="192" t="str">
        <x:v>Comprehensive Simulation</x:v>
      </x:c>
      <x:c r="E389" s="192"/>
      <x:c r="F389" s="192"/>
      <x:c r="G389" s="192" t="str">
        <x:v>Form B</x:v>
      </x:c>
      <x:c r="H389" s="192" t="n">
        <x:v>34</x:v>
      </x:c>
      <x:c r="I389" s="192" t="str">
        <x:v>Scored-Style</x:v>
      </x:c>
      <x:c r="J389" s="192" t="str">
        <x:v>6. Managing Legal and Ethical Obligations within the Therapeutic Relationship</x:v>
      </x:c>
      <x:c r="K389" s="192" t="str">
        <x:v>Record correction</x:v>
      </x:c>
      <x:c r="L389" s="192" t="str"/>
      <x:c r="M389" s="192" t="str">
        <x:v>Easy</x:v>
      </x:c>
      <x:c r="N389" s="192" t="str">
        <x:v>Easy</x:v>
      </x:c>
      <x:c r="O389" s="192" t="str">
        <x:v>Application</x:v>
      </x:c>
      <x:c r="P389" s="192" t="str">
        <x:v>Application</x:v>
      </x:c>
      <x:c r="Q389" s="192" t="n">
        <x:v>4</x:v>
      </x:c>
      <x:c r="R389" s="192" t="str">
        <x:v>C</x:v>
      </x:c>
      <x:c r="S389" s="192" t="str">
        <x:v>Approved</x:v>
      </x:c>
      <x:c r="T389" s="192" t="str">
        <x:v>Active</x:v>
      </x:c>
      <x:c r="U389" s="192" t="n">
        <x:v>1</x:v>
      </x:c>
      <x:c r="V389" s="192" t="str">
        <x:v>LMFT-ALT-095</x:v>
      </x:c>
      <x:c r="W389" s="192" t="str">
        <x:v>Review Candidate</x:v>
      </x:c>
      <x:c r="X389" s="192" t="str">
        <x:v>No structural flag</x:v>
      </x:c>
      <x:c r="Y389" s="192" t="str">
        <x:v>Not Yet Reviewed</x:v>
      </x:c>
      <x:c r="Z389" s="192" t="str">
        <x:v>CTA LMFT WB12; Pearson VUE LMFT Outline Area 6</x:v>
      </x:c>
      <x:c r="AA389" s="192" t="str">
        <x:v>CTA_LMFT_Comprehensive_Simulation_Form_B_Answer_Key_and_Detailed_Rationales_v1.0.docx</x:v>
      </x:c>
      <x:c r="AB389" s="192" t="str">
        <x:v>1.0</x:v>
      </x:c>
      <x:c r="AC389" s="193"/>
      <x:c r="AD389" s="193" t="n">
        <x:v>46228</x:v>
      </x:c>
      <x:c r="AE389" s="192" t="str">
        <x:v>Approved for Form B</x:v>
      </x:c>
      <x:c r="AF389" s="194" t="str">
        <x:v>Form B only; paired alternate retained on the other comprehensive form</x:v>
      </x:c>
    </x:row>
    <x:row r="390">
      <x:c r="A390" s="191" t="str">
        <x:v>CTA-LMFT-MQB-0389</x:v>
      </x:c>
      <x:c r="B390" s="192" t="str">
        <x:v>LMFT-MQB-FB-TX-021</x:v>
      </x:c>
      <x:c r="C390" s="192" t="str">
        <x:v>LMFT</x:v>
      </x:c>
      <x:c r="D390" s="192" t="str">
        <x:v>Comprehensive Simulation</x:v>
      </x:c>
      <x:c r="E390" s="192"/>
      <x:c r="F390" s="192"/>
      <x:c r="G390" s="192" t="str">
        <x:v>Form B</x:v>
      </x:c>
      <x:c r="H390" s="192" t="n">
        <x:v>35</x:v>
      </x:c>
      <x:c r="I390" s="192" t="str">
        <x:v>Scored-Style</x:v>
      </x:c>
      <x:c r="J390" s="192" t="str">
        <x:v>5. Treatment</x:v>
      </x:c>
      <x:c r="K390" s="192" t="str">
        <x:v>Treatment of severe eating symptoms</x:v>
      </x:c>
      <x:c r="L390" s="192" t="str"/>
      <x:c r="M390" s="192" t="str">
        <x:v>Difficult</x:v>
      </x:c>
      <x:c r="N390" s="192" t="str">
        <x:v>Difficult</x:v>
      </x:c>
      <x:c r="O390" s="192" t="str">
        <x:v>Application</x:v>
      </x:c>
      <x:c r="P390" s="192" t="str">
        <x:v>Application</x:v>
      </x:c>
      <x:c r="Q390" s="192" t="n">
        <x:v>4</x:v>
      </x:c>
      <x:c r="R390" s="192" t="str">
        <x:v>C</x:v>
      </x:c>
      <x:c r="S390" s="192" t="str">
        <x:v>Approved</x:v>
      </x:c>
      <x:c r="T390" s="192" t="str">
        <x:v>Active</x:v>
      </x:c>
      <x:c r="U390" s="192" t="n">
        <x:v>1</x:v>
      </x:c>
      <x:c r="V390" s="192" t="str">
        <x:v>LMFT-ALT-128</x:v>
      </x:c>
      <x:c r="W390" s="192" t="str">
        <x:v>No additional flag</x:v>
      </x:c>
      <x:c r="X390" s="192" t="str">
        <x:v>No structural flag</x:v>
      </x:c>
      <x:c r="Y390" s="192" t="str">
        <x:v>Not Yet Reviewed</x:v>
      </x:c>
      <x:c r="Z390" s="192" t="str">
        <x:v>CTA LMFT WB9; Pearson VUE LMFT Outline Area 5</x:v>
      </x:c>
      <x:c r="AA390" s="192" t="str">
        <x:v>CTA_LMFT_Comprehensive_Simulation_Form_B_Answer_Key_and_Detailed_Rationales_v1.0.docx</x:v>
      </x:c>
      <x:c r="AB390" s="192" t="str">
        <x:v>1.0</x:v>
      </x:c>
      <x:c r="AC390" s="193"/>
      <x:c r="AD390" s="193" t="n">
        <x:v>46228</x:v>
      </x:c>
      <x:c r="AE390" s="192" t="str">
        <x:v>Approved for Form B</x:v>
      </x:c>
      <x:c r="AF390" s="194" t="str">
        <x:v>Form B only; paired alternate retained on the other comprehensive form</x:v>
      </x:c>
    </x:row>
    <x:row r="391">
      <x:c r="A391" s="191" t="str">
        <x:v>CTA-LMFT-MQB-0390</x:v>
      </x:c>
      <x:c r="B391" s="192" t="str">
        <x:v>LMFT-MQB-FB-LE-004</x:v>
      </x:c>
      <x:c r="C391" s="192" t="str">
        <x:v>LMFT</x:v>
      </x:c>
      <x:c r="D391" s="192" t="str">
        <x:v>Comprehensive Simulation</x:v>
      </x:c>
      <x:c r="E391" s="192"/>
      <x:c r="F391" s="192"/>
      <x:c r="G391" s="192" t="str">
        <x:v>Form B</x:v>
      </x:c>
      <x:c r="H391" s="192" t="n">
        <x:v>36</x:v>
      </x:c>
      <x:c r="I391" s="192" t="str">
        <x:v>Scored-Style</x:v>
      </x:c>
      <x:c r="J391" s="192" t="str">
        <x:v>6. Managing Legal and Ethical Obligations within the Therapeutic Relationship</x:v>
      </x:c>
      <x:c r="K391" s="192" t="str">
        <x:v>Competence and referral</x:v>
      </x:c>
      <x:c r="L391" s="192" t="str"/>
      <x:c r="M391" s="192" t="str">
        <x:v>Easy</x:v>
      </x:c>
      <x:c r="N391" s="192" t="str">
        <x:v>Easy</x:v>
      </x:c>
      <x:c r="O391" s="192" t="str">
        <x:v>Application</x:v>
      </x:c>
      <x:c r="P391" s="192" t="str">
        <x:v>Application</x:v>
      </x:c>
      <x:c r="Q391" s="192" t="n">
        <x:v>4</x:v>
      </x:c>
      <x:c r="R391" s="192" t="str">
        <x:v>B</x:v>
      </x:c>
      <x:c r="S391" s="192" t="str">
        <x:v>Approved</x:v>
      </x:c>
      <x:c r="T391" s="192" t="str">
        <x:v>Active</x:v>
      </x:c>
      <x:c r="U391" s="192" t="n">
        <x:v>1</x:v>
      </x:c>
      <x:c r="V391" s="192" t="str">
        <x:v>LMFT-ALT-096</x:v>
      </x:c>
      <x:c r="W391" s="192" t="str">
        <x:v>No additional flag</x:v>
      </x:c>
      <x:c r="X391" s="192" t="str">
        <x:v>No structural flag</x:v>
      </x:c>
      <x:c r="Y391" s="192" t="str">
        <x:v>Not Yet Reviewed</x:v>
      </x:c>
      <x:c r="Z391" s="192" t="str">
        <x:v>CTA LMFT WB12; Pearson VUE LMFT Outline Area 6</x:v>
      </x:c>
      <x:c r="AA391" s="192" t="str">
        <x:v>CTA_LMFT_Comprehensive_Simulation_Form_B_Answer_Key_and_Detailed_Rationales_v1.0.docx</x:v>
      </x:c>
      <x:c r="AB391" s="192" t="str">
        <x:v>1.0</x:v>
      </x:c>
      <x:c r="AC391" s="193"/>
      <x:c r="AD391" s="193" t="n">
        <x:v>46228</x:v>
      </x:c>
      <x:c r="AE391" s="192" t="str">
        <x:v>Approved for Form B</x:v>
      </x:c>
      <x:c r="AF391" s="194" t="str">
        <x:v>Form B only; paired alternate retained on the other comprehensive form</x:v>
      </x:c>
    </x:row>
    <x:row r="392">
      <x:c r="A392" s="191" t="str">
        <x:v>CTA-LMFT-MQB-0391</x:v>
      </x:c>
      <x:c r="B392" s="192" t="str">
        <x:v>LMFT-MQB-FB-TX-004</x:v>
      </x:c>
      <x:c r="C392" s="192" t="str">
        <x:v>LMFT</x:v>
      </x:c>
      <x:c r="D392" s="192" t="str">
        <x:v>Comprehensive Simulation</x:v>
      </x:c>
      <x:c r="E392" s="192"/>
      <x:c r="F392" s="192"/>
      <x:c r="G392" s="192" t="str">
        <x:v>Form B</x:v>
      </x:c>
      <x:c r="H392" s="192" t="n">
        <x:v>37</x:v>
      </x:c>
      <x:c r="I392" s="192" t="str">
        <x:v>Pretest-Style</x:v>
      </x:c>
      <x:c r="J392" s="192" t="str">
        <x:v>5. Treatment</x:v>
      </x:c>
      <x:c r="K392" s="192" t="str">
        <x:v>Termination task</x:v>
      </x:c>
      <x:c r="L392" s="192" t="str"/>
      <x:c r="M392" s="192" t="str">
        <x:v>Moderate</x:v>
      </x:c>
      <x:c r="N392" s="192" t="str">
        <x:v>Moderate</x:v>
      </x:c>
      <x:c r="O392" s="192" t="str">
        <x:v>Direct recognition</x:v>
      </x:c>
      <x:c r="P392" s="192" t="str">
        <x:v>Knowledge &amp; Recall</x:v>
      </x:c>
      <x:c r="Q392" s="192" t="n">
        <x:v>4</x:v>
      </x:c>
      <x:c r="R392" s="192" t="str">
        <x:v>B</x:v>
      </x:c>
      <x:c r="S392" s="192" t="str">
        <x:v>Approved</x:v>
      </x:c>
      <x:c r="T392" s="192" t="str">
        <x:v>Active</x:v>
      </x:c>
      <x:c r="U392" s="192" t="n">
        <x:v>1</x:v>
      </x:c>
      <x:c r="V392" s="192" t="str">
        <x:v>LMFT-ALT-111</x:v>
      </x:c>
      <x:c r="W392" s="192" t="str">
        <x:v>No additional flag</x:v>
      </x:c>
      <x:c r="X392" s="192" t="str">
        <x:v>No structural flag</x:v>
      </x:c>
      <x:c r="Y392" s="192" t="str">
        <x:v>Not Yet Reviewed</x:v>
      </x:c>
      <x:c r="Z392" s="192" t="str">
        <x:v>CTA LMFT WB7; Pearson VUE LMFT Outline Area 5</x:v>
      </x:c>
      <x:c r="AA392" s="192" t="str">
        <x:v>CTA_LMFT_Comprehensive_Simulation_Form_B_Answer_Key_and_Detailed_Rationales_v1.0.docx</x:v>
      </x:c>
      <x:c r="AB392" s="192" t="str">
        <x:v>1.0</x:v>
      </x:c>
      <x:c r="AC392" s="193"/>
      <x:c r="AD392" s="193" t="n">
        <x:v>46228</x:v>
      </x:c>
      <x:c r="AE392" s="192" t="str">
        <x:v>Approved for Form B</x:v>
      </x:c>
      <x:c r="AF392" s="194" t="str">
        <x:v>Form B only; paired alternate retained on the other comprehensive form</x:v>
      </x:c>
    </x:row>
    <x:row r="393">
      <x:c r="A393" s="191" t="str">
        <x:v>CTA-LMFT-MQB-0392</x:v>
      </x:c>
      <x:c r="B393" s="192" t="str">
        <x:v>LMFT-MQB-FB-TX-009</x:v>
      </x:c>
      <x:c r="C393" s="192" t="str">
        <x:v>LMFT</x:v>
      </x:c>
      <x:c r="D393" s="192" t="str">
        <x:v>Comprehensive Simulation</x:v>
      </x:c>
      <x:c r="E393" s="192"/>
      <x:c r="F393" s="192"/>
      <x:c r="G393" s="192" t="str">
        <x:v>Form B</x:v>
      </x:c>
      <x:c r="H393" s="192" t="n">
        <x:v>38</x:v>
      </x:c>
      <x:c r="I393" s="192" t="str">
        <x:v>Scored-Style</x:v>
      </x:c>
      <x:c r="J393" s="192" t="str">
        <x:v>5. Treatment</x:v>
      </x:c>
      <x:c r="K393" s="192" t="str">
        <x:v>Narrative externalizing</x:v>
      </x:c>
      <x:c r="L393" s="192" t="str"/>
      <x:c r="M393" s="192" t="str">
        <x:v>Easy</x:v>
      </x:c>
      <x:c r="N393" s="192" t="str">
        <x:v>Easy</x:v>
      </x:c>
      <x:c r="O393" s="192" t="str">
        <x:v>Application</x:v>
      </x:c>
      <x:c r="P393" s="192" t="str">
        <x:v>Application</x:v>
      </x:c>
      <x:c r="Q393" s="192" t="n">
        <x:v>4</x:v>
      </x:c>
      <x:c r="R393" s="192" t="str">
        <x:v>D</x:v>
      </x:c>
      <x:c r="S393" s="192" t="str">
        <x:v>Approved</x:v>
      </x:c>
      <x:c r="T393" s="192" t="str">
        <x:v>Active</x:v>
      </x:c>
      <x:c r="U393" s="192" t="n">
        <x:v>1</x:v>
      </x:c>
      <x:c r="V393" s="192" t="str">
        <x:v>LMFT-ALT-116</x:v>
      </x:c>
      <x:c r="W393" s="192" t="str">
        <x:v>No additional flag</x:v>
      </x:c>
      <x:c r="X393" s="192" t="str">
        <x:v>No structural flag</x:v>
      </x:c>
      <x:c r="Y393" s="192" t="str">
        <x:v>Not Yet Reviewed</x:v>
      </x:c>
      <x:c r="Z393" s="192" t="str">
        <x:v>CTA LMFT WB11; Pearson VUE LMFT Outline Area 5</x:v>
      </x:c>
      <x:c r="AA393" s="192" t="str">
        <x:v>CTA_LMFT_Comprehensive_Simulation_Form_B_Answer_Key_and_Detailed_Rationales_v1.0.docx</x:v>
      </x:c>
      <x:c r="AB393" s="192" t="str">
        <x:v>1.0</x:v>
      </x:c>
      <x:c r="AC393" s="193"/>
      <x:c r="AD393" s="193" t="n">
        <x:v>46228</x:v>
      </x:c>
      <x:c r="AE393" s="192" t="str">
        <x:v>Approved for Form B</x:v>
      </x:c>
      <x:c r="AF393" s="194" t="str">
        <x:v>Form B only; paired alternate retained on the other comprehensive form</x:v>
      </x:c>
    </x:row>
    <x:row r="394">
      <x:c r="A394" s="191" t="str">
        <x:v>CTA-LMFT-MQB-0393</x:v>
      </x:c>
      <x:c r="B394" s="192" t="str">
        <x:v>LMFT-MQB-FB-DI-014</x:v>
      </x:c>
      <x:c r="C394" s="192" t="str">
        <x:v>LMFT</x:v>
      </x:c>
      <x:c r="D394" s="192" t="str">
        <x:v>Comprehensive Simulation</x:v>
      </x:c>
      <x:c r="E394" s="192"/>
      <x:c r="F394" s="192"/>
      <x:c r="G394" s="192" t="str">
        <x:v>Form B</x:v>
      </x:c>
      <x:c r="H394" s="192" t="n">
        <x:v>39</x:v>
      </x:c>
      <x:c r="I394" s="192" t="str">
        <x:v>Scored-Style</x:v>
      </x:c>
      <x:c r="J394" s="192" t="str">
        <x:v>2. Developing a Diagnostic Impression</x:v>
      </x:c>
      <x:c r="K394" s="192" t="str">
        <x:v>Medication-induced mood change</x:v>
      </x:c>
      <x:c r="L394" s="192" t="str"/>
      <x:c r="M394" s="192" t="str">
        <x:v>Difficult</x:v>
      </x:c>
      <x:c r="N394" s="192" t="str">
        <x:v>Difficult</x:v>
      </x:c>
      <x:c r="O394" s="192" t="str">
        <x:v>Scenario-based sequencing</x:v>
      </x:c>
      <x:c r="P394" s="192" t="str">
        <x:v>Scenario-Based</x:v>
      </x:c>
      <x:c r="Q394" s="192" t="n">
        <x:v>4</x:v>
      </x:c>
      <x:c r="R394" s="192" t="str">
        <x:v>D</x:v>
      </x:c>
      <x:c r="S394" s="192" t="str">
        <x:v>Approved</x:v>
      </x:c>
      <x:c r="T394" s="192" t="str">
        <x:v>Active</x:v>
      </x:c>
      <x:c r="U394" s="192" t="n">
        <x:v>1</x:v>
      </x:c>
      <x:c r="V394" s="192" t="str">
        <x:v>LMFT-ALT-089</x:v>
      </x:c>
      <x:c r="W394" s="192" t="str">
        <x:v>No additional flag</x:v>
      </x:c>
      <x:c r="X394" s="192" t="str">
        <x:v>No structural flag</x:v>
      </x:c>
      <x:c r="Y394" s="192" t="str">
        <x:v>Not Yet Reviewed</x:v>
      </x:c>
      <x:c r="Z394" s="192" t="str">
        <x:v>CTA LMFT WB5; Pearson VUE LMFT Outline Area 2</x:v>
      </x:c>
      <x:c r="AA394" s="192" t="str">
        <x:v>CTA_LMFT_Comprehensive_Simulation_Form_B_Answer_Key_and_Detailed_Rationales_v1.0.docx</x:v>
      </x:c>
      <x:c r="AB394" s="192" t="str">
        <x:v>1.0</x:v>
      </x:c>
      <x:c r="AC394" s="193"/>
      <x:c r="AD394" s="193" t="n">
        <x:v>46228</x:v>
      </x:c>
      <x:c r="AE394" s="192" t="str">
        <x:v>Approved for Form B</x:v>
      </x:c>
      <x:c r="AF394" s="194" t="str">
        <x:v>Form B only; paired alternate retained on the other comprehensive form</x:v>
      </x:c>
    </x:row>
    <x:row r="395">
      <x:c r="A395" s="191" t="str">
        <x:v>CTA-LMFT-MQB-0394</x:v>
      </x:c>
      <x:c r="B395" s="192" t="str">
        <x:v>LMFT-MQB-FB-TX-003</x:v>
      </x:c>
      <x:c r="C395" s="192" t="str">
        <x:v>LMFT</x:v>
      </x:c>
      <x:c r="D395" s="192" t="str">
        <x:v>Comprehensive Simulation</x:v>
      </x:c>
      <x:c r="E395" s="192"/>
      <x:c r="F395" s="192"/>
      <x:c r="G395" s="192" t="str">
        <x:v>Form B</x:v>
      </x:c>
      <x:c r="H395" s="192" t="n">
        <x:v>40</x:v>
      </x:c>
      <x:c r="I395" s="192" t="str">
        <x:v>Scored-Style</x:v>
      </x:c>
      <x:c r="J395" s="192" t="str">
        <x:v>5. Treatment</x:v>
      </x:c>
      <x:c r="K395" s="192" t="str">
        <x:v>Group stage</x:v>
      </x:c>
      <x:c r="L395" s="192" t="str"/>
      <x:c r="M395" s="192" t="str">
        <x:v>Moderate</x:v>
      </x:c>
      <x:c r="N395" s="192" t="str">
        <x:v>Moderate</x:v>
      </x:c>
      <x:c r="O395" s="192" t="str">
        <x:v>Direct recognition</x:v>
      </x:c>
      <x:c r="P395" s="192" t="str">
        <x:v>Knowledge &amp; Recall</x:v>
      </x:c>
      <x:c r="Q395" s="192" t="n">
        <x:v>4</x:v>
      </x:c>
      <x:c r="R395" s="192" t="str">
        <x:v>C</x:v>
      </x:c>
      <x:c r="S395" s="192" t="str">
        <x:v>Approved</x:v>
      </x:c>
      <x:c r="T395" s="192" t="str">
        <x:v>Active</x:v>
      </x:c>
      <x:c r="U395" s="192" t="n">
        <x:v>1</x:v>
      </x:c>
      <x:c r="V395" s="192" t="str">
        <x:v>LMFT-ALT-110</x:v>
      </x:c>
      <x:c r="W395" s="192" t="str">
        <x:v>No additional flag</x:v>
      </x:c>
      <x:c r="X395" s="192" t="str">
        <x:v>No structural flag</x:v>
      </x:c>
      <x:c r="Y395" s="192" t="str">
        <x:v>Not Yet Reviewed</x:v>
      </x:c>
      <x:c r="Z395" s="192" t="str">
        <x:v>CTA LMFT WB8; CTA LMFT WB11; Pearson VUE LMFT Outline Area 5</x:v>
      </x:c>
      <x:c r="AA395" s="192" t="str">
        <x:v>CTA_LMFT_Comprehensive_Simulation_Form_B_Answer_Key_and_Detailed_Rationales_v1.0.docx</x:v>
      </x:c>
      <x:c r="AB395" s="192" t="str">
        <x:v>1.0</x:v>
      </x:c>
      <x:c r="AC395" s="193"/>
      <x:c r="AD395" s="193" t="n">
        <x:v>46228</x:v>
      </x:c>
      <x:c r="AE395" s="192" t="str">
        <x:v>Approved for Form B</x:v>
      </x:c>
      <x:c r="AF395" s="194" t="str">
        <x:v>Form B only; paired alternate retained on the other comprehensive form</x:v>
      </x:c>
    </x:row>
    <x:row r="396">
      <x:c r="A396" s="191" t="str">
        <x:v>CTA-LMFT-MQB-0395</x:v>
      </x:c>
      <x:c r="B396" s="192" t="str">
        <x:v>LMFT-MQB-FB-DI-007</x:v>
      </x:c>
      <x:c r="C396" s="192" t="str">
        <x:v>LMFT</x:v>
      </x:c>
      <x:c r="D396" s="192" t="str">
        <x:v>Comprehensive Simulation</x:v>
      </x:c>
      <x:c r="E396" s="192"/>
      <x:c r="F396" s="192"/>
      <x:c r="G396" s="192" t="str">
        <x:v>Form B</x:v>
      </x:c>
      <x:c r="H396" s="192" t="n">
        <x:v>41</x:v>
      </x:c>
      <x:c r="I396" s="192" t="str">
        <x:v>Scored-Style</x:v>
      </x:c>
      <x:c r="J396" s="192" t="str">
        <x:v>2. Developing a Diagnostic Impression</x:v>
      </x:c>
      <x:c r="K396" s="192" t="str">
        <x:v>Bipolar versus unipolar depression</x:v>
      </x:c>
      <x:c r="L396" s="192" t="str"/>
      <x:c r="M396" s="192" t="str">
        <x:v>Moderate</x:v>
      </x:c>
      <x:c r="N396" s="192" t="str">
        <x:v>Moderate</x:v>
      </x:c>
      <x:c r="O396" s="192" t="str">
        <x:v>Application</x:v>
      </x:c>
      <x:c r="P396" s="192" t="str">
        <x:v>Application</x:v>
      </x:c>
      <x:c r="Q396" s="192" t="n">
        <x:v>4</x:v>
      </x:c>
      <x:c r="R396" s="192" t="str">
        <x:v>C</x:v>
      </x:c>
      <x:c r="S396" s="192" t="str">
        <x:v>Approved</x:v>
      </x:c>
      <x:c r="T396" s="192" t="str">
        <x:v>Active</x:v>
      </x:c>
      <x:c r="U396" s="192" t="n">
        <x:v>1</x:v>
      </x:c>
      <x:c r="V396" s="192" t="str">
        <x:v>LMFT-ALT-082</x:v>
      </x:c>
      <x:c r="W396" s="192" t="str">
        <x:v>No additional flag</x:v>
      </x:c>
      <x:c r="X396" s="192" t="str">
        <x:v>No structural flag</x:v>
      </x:c>
      <x:c r="Y396" s="192" t="str">
        <x:v>Not Yet Reviewed</x:v>
      </x:c>
      <x:c r="Z396" s="192" t="str">
        <x:v>CTA LMFT WB5; Pearson VUE LMFT Outline Area 2</x:v>
      </x:c>
      <x:c r="AA396" s="192" t="str">
        <x:v>CTA_LMFT_Comprehensive_Simulation_Form_B_Answer_Key_and_Detailed_Rationales_v1.0.docx</x:v>
      </x:c>
      <x:c r="AB396" s="192" t="str">
        <x:v>1.0</x:v>
      </x:c>
      <x:c r="AC396" s="193"/>
      <x:c r="AD396" s="193" t="n">
        <x:v>46228</x:v>
      </x:c>
      <x:c r="AE396" s="192" t="str">
        <x:v>Approved for Form B</x:v>
      </x:c>
      <x:c r="AF396" s="194" t="str">
        <x:v>Form B only; paired alternate retained on the other comprehensive form</x:v>
      </x:c>
    </x:row>
    <x:row r="397">
      <x:c r="A397" s="191" t="str">
        <x:v>CTA-LMFT-MQB-0396</x:v>
      </x:c>
      <x:c r="B397" s="192" t="str">
        <x:v>LMFT-MQB-FB-DI-013</x:v>
      </x:c>
      <x:c r="C397" s="192" t="str">
        <x:v>LMFT</x:v>
      </x:c>
      <x:c r="D397" s="192" t="str">
        <x:v>Comprehensive Simulation</x:v>
      </x:c>
      <x:c r="E397" s="192"/>
      <x:c r="F397" s="192"/>
      <x:c r="G397" s="192" t="str">
        <x:v>Form B</x:v>
      </x:c>
      <x:c r="H397" s="192" t="n">
        <x:v>42</x:v>
      </x:c>
      <x:c r="I397" s="192" t="str">
        <x:v>Scored-Style</x:v>
      </x:c>
      <x:c r="J397" s="192" t="str">
        <x:v>2. Developing a Diagnostic Impression</x:v>
      </x:c>
      <x:c r="K397" s="192" t="str">
        <x:v>Psychosis versus cultural belief</x:v>
      </x:c>
      <x:c r="L397" s="192" t="str"/>
      <x:c r="M397" s="192" t="str">
        <x:v>Moderate</x:v>
      </x:c>
      <x:c r="N397" s="192" t="str">
        <x:v>Moderate</x:v>
      </x:c>
      <x:c r="O397" s="192" t="str">
        <x:v>Scenario-based sequencing</x:v>
      </x:c>
      <x:c r="P397" s="192" t="str">
        <x:v>Scenario-Based</x:v>
      </x:c>
      <x:c r="Q397" s="192" t="n">
        <x:v>4</x:v>
      </x:c>
      <x:c r="R397" s="192" t="str">
        <x:v>A</x:v>
      </x:c>
      <x:c r="S397" s="192" t="str">
        <x:v>Approved</x:v>
      </x:c>
      <x:c r="T397" s="192" t="str">
        <x:v>Active</x:v>
      </x:c>
      <x:c r="U397" s="192" t="n">
        <x:v>1</x:v>
      </x:c>
      <x:c r="V397" s="192" t="str">
        <x:v>LMFT-ALT-088</x:v>
      </x:c>
      <x:c r="W397" s="192" t="str">
        <x:v>No additional flag</x:v>
      </x:c>
      <x:c r="X397" s="192" t="str">
        <x:v>No structural flag</x:v>
      </x:c>
      <x:c r="Y397" s="192" t="str">
        <x:v>Not Yet Reviewed</x:v>
      </x:c>
      <x:c r="Z397" s="192" t="str">
        <x:v>CTA LMFT WB3; CTA LMFT WB5; Pearson VUE LMFT Outline Area 2</x:v>
      </x:c>
      <x:c r="AA397" s="192" t="str">
        <x:v>CTA_LMFT_Comprehensive_Simulation_Form_B_Answer_Key_and_Detailed_Rationales_v1.0.docx</x:v>
      </x:c>
      <x:c r="AB397" s="192" t="str">
        <x:v>1.0</x:v>
      </x:c>
      <x:c r="AC397" s="193"/>
      <x:c r="AD397" s="193" t="n">
        <x:v>46228</x:v>
      </x:c>
      <x:c r="AE397" s="192" t="str">
        <x:v>Approved for Form B</x:v>
      </x:c>
      <x:c r="AF397" s="194" t="str">
        <x:v>Form B only; paired alternate retained on the other comprehensive form</x:v>
      </x:c>
    </x:row>
    <x:row r="398">
      <x:c r="A398" s="191" t="str">
        <x:v>CTA-LMFT-MQB-0397</x:v>
      </x:c>
      <x:c r="B398" s="192" t="str">
        <x:v>LMFT-MQB-FB-TX-016</x:v>
      </x:c>
      <x:c r="C398" s="192" t="str">
        <x:v>LMFT</x:v>
      </x:c>
      <x:c r="D398" s="192" t="str">
        <x:v>Comprehensive Simulation</x:v>
      </x:c>
      <x:c r="E398" s="192"/>
      <x:c r="F398" s="192"/>
      <x:c r="G398" s="192" t="str">
        <x:v>Form B</x:v>
      </x:c>
      <x:c r="H398" s="192" t="n">
        <x:v>43</x:v>
      </x:c>
      <x:c r="I398" s="192" t="str">
        <x:v>Scored-Style</x:v>
      </x:c>
      <x:c r="J398" s="192" t="str">
        <x:v>5. Treatment</x:v>
      </x:c>
      <x:c r="K398" s="192" t="str">
        <x:v>Exposure pacing</x:v>
      </x:c>
      <x:c r="L398" s="192" t="str"/>
      <x:c r="M398" s="192" t="str">
        <x:v>Moderate</x:v>
      </x:c>
      <x:c r="N398" s="192" t="str">
        <x:v>Moderate</x:v>
      </x:c>
      <x:c r="O398" s="192" t="str">
        <x:v>Application</x:v>
      </x:c>
      <x:c r="P398" s="192" t="str">
        <x:v>Application</x:v>
      </x:c>
      <x:c r="Q398" s="192" t="n">
        <x:v>4</x:v>
      </x:c>
      <x:c r="R398" s="192" t="str">
        <x:v>B</x:v>
      </x:c>
      <x:c r="S398" s="192" t="str">
        <x:v>Approved</x:v>
      </x:c>
      <x:c r="T398" s="192" t="str">
        <x:v>Active</x:v>
      </x:c>
      <x:c r="U398" s="192" t="n">
        <x:v>1</x:v>
      </x:c>
      <x:c r="V398" s="192" t="str">
        <x:v>LMFT-ALT-123</x:v>
      </x:c>
      <x:c r="W398" s="192" t="str">
        <x:v>No additional flag</x:v>
      </x:c>
      <x:c r="X398" s="192" t="str">
        <x:v>No structural flag</x:v>
      </x:c>
      <x:c r="Y398" s="192" t="str">
        <x:v>Not Yet Reviewed</x:v>
      </x:c>
      <x:c r="Z398" s="192" t="str">
        <x:v>CTA LMFT WB9; Pearson VUE LMFT Outline Area 5</x:v>
      </x:c>
      <x:c r="AA398" s="192" t="str">
        <x:v>CTA_LMFT_Comprehensive_Simulation_Form_B_Answer_Key_and_Detailed_Rationales_v1.0.docx</x:v>
      </x:c>
      <x:c r="AB398" s="192" t="str">
        <x:v>1.0</x:v>
      </x:c>
      <x:c r="AC398" s="193"/>
      <x:c r="AD398" s="193" t="n">
        <x:v>46228</x:v>
      </x:c>
      <x:c r="AE398" s="192" t="str">
        <x:v>Approved for Form B</x:v>
      </x:c>
      <x:c r="AF398" s="194" t="str">
        <x:v>Form B only; paired alternate retained on the other comprehensive form</x:v>
      </x:c>
    </x:row>
    <x:row r="399">
      <x:c r="A399" s="191" t="str">
        <x:v>CTA-LMFT-MQB-0398</x:v>
      </x:c>
      <x:c r="B399" s="192" t="str">
        <x:v>LMFT-MQB-FB-DI-008</x:v>
      </x:c>
      <x:c r="C399" s="192" t="str">
        <x:v>LMFT</x:v>
      </x:c>
      <x:c r="D399" s="192" t="str">
        <x:v>Comprehensive Simulation</x:v>
      </x:c>
      <x:c r="E399" s="192"/>
      <x:c r="F399" s="192"/>
      <x:c r="G399" s="192" t="str">
        <x:v>Form B</x:v>
      </x:c>
      <x:c r="H399" s="192" t="n">
        <x:v>44</x:v>
      </x:c>
      <x:c r="I399" s="192" t="str">
        <x:v>Scored-Style</x:v>
      </x:c>
      <x:c r="J399" s="192" t="str">
        <x:v>2. Developing a Diagnostic Impression</x:v>
      </x:c>
      <x:c r="K399" s="192" t="str">
        <x:v>OCD versus psychosis</x:v>
      </x:c>
      <x:c r="L399" s="192" t="str"/>
      <x:c r="M399" s="192" t="str">
        <x:v>Moderate</x:v>
      </x:c>
      <x:c r="N399" s="192" t="str">
        <x:v>Moderate</x:v>
      </x:c>
      <x:c r="O399" s="192" t="str">
        <x:v>Application</x:v>
      </x:c>
      <x:c r="P399" s="192" t="str">
        <x:v>Application</x:v>
      </x:c>
      <x:c r="Q399" s="192" t="n">
        <x:v>4</x:v>
      </x:c>
      <x:c r="R399" s="192" t="str">
        <x:v>A</x:v>
      </x:c>
      <x:c r="S399" s="192" t="str">
        <x:v>Approved</x:v>
      </x:c>
      <x:c r="T399" s="192" t="str">
        <x:v>Active</x:v>
      </x:c>
      <x:c r="U399" s="192" t="n">
        <x:v>1</x:v>
      </x:c>
      <x:c r="V399" s="192" t="str">
        <x:v>LMFT-ALT-083</x:v>
      </x:c>
      <x:c r="W399" s="192" t="str">
        <x:v>No additional flag</x:v>
      </x:c>
      <x:c r="X399" s="192" t="str">
        <x:v>No structural flag</x:v>
      </x:c>
      <x:c r="Y399" s="192" t="str">
        <x:v>Not Yet Reviewed</x:v>
      </x:c>
      <x:c r="Z399" s="192" t="str">
        <x:v>CTA LMFT WB5; Pearson VUE LMFT Outline Area 2</x:v>
      </x:c>
      <x:c r="AA399" s="192" t="str">
        <x:v>CTA_LMFT_Comprehensive_Simulation_Form_B_Answer_Key_and_Detailed_Rationales_v1.0.docx</x:v>
      </x:c>
      <x:c r="AB399" s="192" t="str">
        <x:v>1.0</x:v>
      </x:c>
      <x:c r="AC399" s="193"/>
      <x:c r="AD399" s="193" t="n">
        <x:v>46228</x:v>
      </x:c>
      <x:c r="AE399" s="192" t="str">
        <x:v>Approved for Form B</x:v>
      </x:c>
      <x:c r="AF399" s="194" t="str">
        <x:v>Form B only; paired alternate retained on the other comprehensive form</x:v>
      </x:c>
    </x:row>
    <x:row r="400">
      <x:c r="A400" s="191" t="str">
        <x:v>CTA-LMFT-MQB-0399</x:v>
      </x:c>
      <x:c r="B400" s="192" t="str">
        <x:v>LMFT-MQB-FB-CE-033</x:v>
      </x:c>
      <x:c r="C400" s="192" t="str">
        <x:v>LMFT</x:v>
      </x:c>
      <x:c r="D400" s="192" t="str">
        <x:v>Comprehensive Simulation</x:v>
      </x:c>
      <x:c r="E400" s="192"/>
      <x:c r="F400" s="192"/>
      <x:c r="G400" s="192" t="str">
        <x:v>Form B</x:v>
      </x:c>
      <x:c r="H400" s="192" t="n">
        <x:v>45</x:v>
      </x:c>
      <x:c r="I400" s="192" t="str">
        <x:v>Scored-Style</x:v>
      </x:c>
      <x:c r="J400" s="192" t="str">
        <x:v>1. Clinical Evaluation</x:v>
      </x:c>
      <x:c r="K400" s="192" t="str">
        <x:v>Complex family records and alliances</x:v>
      </x:c>
      <x:c r="L400" s="192" t="str"/>
      <x:c r="M400" s="192" t="str">
        <x:v>Difficult</x:v>
      </x:c>
      <x:c r="N400" s="192" t="str">
        <x:v>Difficult</x:v>
      </x:c>
      <x:c r="O400" s="192" t="str">
        <x:v>Scenario-based sequencing</x:v>
      </x:c>
      <x:c r="P400" s="192" t="str">
        <x:v>Scenario-Based</x:v>
      </x:c>
      <x:c r="Q400" s="192" t="n">
        <x:v>4</x:v>
      </x:c>
      <x:c r="R400" s="192" t="str">
        <x:v>D</x:v>
      </x:c>
      <x:c r="S400" s="192" t="str">
        <x:v>Approved</x:v>
      </x:c>
      <x:c r="T400" s="192" t="str">
        <x:v>Active</x:v>
      </x:c>
      <x:c r="U400" s="192" t="n">
        <x:v>1</x:v>
      </x:c>
      <x:c r="V400" s="192" t="str">
        <x:v>LMFT-ALT-033</x:v>
      </x:c>
      <x:c r="W400" s="192" t="str">
        <x:v>No additional flag</x:v>
      </x:c>
      <x:c r="X400" s="192" t="str">
        <x:v>No structural flag</x:v>
      </x:c>
      <x:c r="Y400" s="192" t="str">
        <x:v>Not Yet Reviewed</x:v>
      </x:c>
      <x:c r="Z400" s="192" t="str">
        <x:v>CTA LMFT WB2; CTA LMFT WB12; Pearson VUE LMFT Outline Area 1</x:v>
      </x:c>
      <x:c r="AA400" s="192" t="str">
        <x:v>CTA_LMFT_Comprehensive_Simulation_Form_B_Answer_Key_and_Detailed_Rationales_v1.0.docx</x:v>
      </x:c>
      <x:c r="AB400" s="192" t="str">
        <x:v>1.0</x:v>
      </x:c>
      <x:c r="AC400" s="193"/>
      <x:c r="AD400" s="193" t="n">
        <x:v>46228</x:v>
      </x:c>
      <x:c r="AE400" s="192" t="str">
        <x:v>Approved for Form B</x:v>
      </x:c>
      <x:c r="AF400" s="194" t="str">
        <x:v>Form B only; paired alternate retained on the other comprehensive form</x:v>
      </x:c>
    </x:row>
    <x:row r="401">
      <x:c r="A401" s="191" t="str">
        <x:v>CTA-LMFT-MQB-0400</x:v>
      </x:c>
      <x:c r="B401" s="192" t="str">
        <x:v>LMFT-MQB-FB-TX-043</x:v>
      </x:c>
      <x:c r="C401" s="192" t="str">
        <x:v>LMFT</x:v>
      </x:c>
      <x:c r="D401" s="192" t="str">
        <x:v>Comprehensive Simulation</x:v>
      </x:c>
      <x:c r="E401" s="192"/>
      <x:c r="F401" s="192"/>
      <x:c r="G401" s="192" t="str">
        <x:v>Form B</x:v>
      </x:c>
      <x:c r="H401" s="192" t="n">
        <x:v>46</x:v>
      </x:c>
      <x:c r="I401" s="192" t="str">
        <x:v>Scored-Style</x:v>
      </x:c>
      <x:c r="J401" s="192" t="str">
        <x:v>5. Treatment</x:v>
      </x:c>
      <x:c r="K401" s="192" t="str">
        <x:v>Integrated end-of-treatment decision</x:v>
      </x:c>
      <x:c r="L401" s="192" t="str"/>
      <x:c r="M401" s="192" t="str">
        <x:v>Difficult</x:v>
      </x:c>
      <x:c r="N401" s="192" t="str">
        <x:v>Difficult</x:v>
      </x:c>
      <x:c r="O401" s="192" t="str">
        <x:v>Integrated reasoning</x:v>
      </x:c>
      <x:c r="P401" s="192" t="str">
        <x:v>Integrated Clinical Reasoning</x:v>
      </x:c>
      <x:c r="Q401" s="192" t="n">
        <x:v>4</x:v>
      </x:c>
      <x:c r="R401" s="192" t="str">
        <x:v>A</x:v>
      </x:c>
      <x:c r="S401" s="192" t="str">
        <x:v>Approved</x:v>
      </x:c>
      <x:c r="T401" s="192" t="str">
        <x:v>Active</x:v>
      </x:c>
      <x:c r="U401" s="192" t="n">
        <x:v>1</x:v>
      </x:c>
      <x:c r="V401" s="192" t="str">
        <x:v>LMFT-ALT-150</x:v>
      </x:c>
      <x:c r="W401" s="192" t="str">
        <x:v>No additional flag</x:v>
      </x:c>
      <x:c r="X401" s="192" t="str">
        <x:v>No structural flag</x:v>
      </x:c>
      <x:c r="Y401" s="192" t="str">
        <x:v>Not Yet Reviewed</x:v>
      </x:c>
      <x:c r="Z401" s="192" t="str">
        <x:v>CTA LMFT WB7; CTA LMFT WB12; Pearson VUE LMFT Outline Area 5</x:v>
      </x:c>
      <x:c r="AA401" s="192" t="str">
        <x:v>CTA_LMFT_Comprehensive_Simulation_Form_B_Answer_Key_and_Detailed_Rationales_v1.0.docx</x:v>
      </x:c>
      <x:c r="AB401" s="192" t="str">
        <x:v>1.0</x:v>
      </x:c>
      <x:c r="AC401" s="193"/>
      <x:c r="AD401" s="193" t="n">
        <x:v>46228</x:v>
      </x:c>
      <x:c r="AE401" s="192" t="str">
        <x:v>Approved for Form B</x:v>
      </x:c>
      <x:c r="AF401" s="194" t="str">
        <x:v>Form B only; paired alternate retained on the other comprehensive form</x:v>
      </x:c>
    </x:row>
    <x:row r="402">
      <x:c r="A402" s="191" t="str">
        <x:v>CTA-LMFT-MQB-0401</x:v>
      </x:c>
      <x:c r="B402" s="192" t="str">
        <x:v>LMFT-MQB-FB-TX-007</x:v>
      </x:c>
      <x:c r="C402" s="192" t="str">
        <x:v>LMFT</x:v>
      </x:c>
      <x:c r="D402" s="192" t="str">
        <x:v>Comprehensive Simulation</x:v>
      </x:c>
      <x:c r="E402" s="192"/>
      <x:c r="F402" s="192"/>
      <x:c r="G402" s="192" t="str">
        <x:v>Form B</x:v>
      </x:c>
      <x:c r="H402" s="192" t="n">
        <x:v>47</x:v>
      </x:c>
      <x:c r="I402" s="192" t="str">
        <x:v>Scored-Style</x:v>
      </x:c>
      <x:c r="J402" s="192" t="str">
        <x:v>5. Treatment</x:v>
      </x:c>
      <x:c r="K402" s="192" t="str">
        <x:v>Emotion regulation</x:v>
      </x:c>
      <x:c r="L402" s="192" t="str"/>
      <x:c r="M402" s="192" t="str">
        <x:v>Easy</x:v>
      </x:c>
      <x:c r="N402" s="192" t="str">
        <x:v>Easy</x:v>
      </x:c>
      <x:c r="O402" s="192" t="str">
        <x:v>Application</x:v>
      </x:c>
      <x:c r="P402" s="192" t="str">
        <x:v>Application</x:v>
      </x:c>
      <x:c r="Q402" s="192" t="n">
        <x:v>4</x:v>
      </x:c>
      <x:c r="R402" s="192" t="str">
        <x:v>D</x:v>
      </x:c>
      <x:c r="S402" s="192" t="str">
        <x:v>Approved</x:v>
      </x:c>
      <x:c r="T402" s="192" t="str">
        <x:v>Active</x:v>
      </x:c>
      <x:c r="U402" s="192" t="n">
        <x:v>1</x:v>
      </x:c>
      <x:c r="V402" s="192" t="str">
        <x:v>LMFT-ALT-114</x:v>
      </x:c>
      <x:c r="W402" s="192" t="str">
        <x:v>No additional flag</x:v>
      </x:c>
      <x:c r="X402" s="192" t="str">
        <x:v>No structural flag</x:v>
      </x:c>
      <x:c r="Y402" s="192" t="str">
        <x:v>Not Yet Reviewed</x:v>
      </x:c>
      <x:c r="Z402" s="192" t="str">
        <x:v>CTA LMFT WB9; Pearson VUE LMFT Outline Area 5</x:v>
      </x:c>
      <x:c r="AA402" s="192" t="str">
        <x:v>CTA_LMFT_Comprehensive_Simulation_Form_B_Answer_Key_and_Detailed_Rationales_v1.0.docx</x:v>
      </x:c>
      <x:c r="AB402" s="192" t="str">
        <x:v>1.0</x:v>
      </x:c>
      <x:c r="AC402" s="193"/>
      <x:c r="AD402" s="193" t="n">
        <x:v>46228</x:v>
      </x:c>
      <x:c r="AE402" s="192" t="str">
        <x:v>Approved for Form B</x:v>
      </x:c>
      <x:c r="AF402" s="194" t="str">
        <x:v>Form B only; paired alternate retained on the other comprehensive form</x:v>
      </x:c>
    </x:row>
    <x:row r="403">
      <x:c r="A403" s="191" t="str">
        <x:v>CTA-LMFT-MQB-0402</x:v>
      </x:c>
      <x:c r="B403" s="192" t="str">
        <x:v>LMFT-MQB-FB-CR-015</x:v>
      </x:c>
      <x:c r="C403" s="192" t="str">
        <x:v>LMFT</x:v>
      </x:c>
      <x:c r="D403" s="192" t="str">
        <x:v>Comprehensive Simulation</x:v>
      </x:c>
      <x:c r="E403" s="192"/>
      <x:c r="F403" s="192"/>
      <x:c r="G403" s="192" t="str">
        <x:v>Form B</x:v>
      </x:c>
      <x:c r="H403" s="192" t="n">
        <x:v>48</x:v>
      </x:c>
      <x:c r="I403" s="192" t="str">
        <x:v>Scored-Style</x:v>
      </x:c>
      <x:c r="J403" s="192" t="str">
        <x:v>3. Managing Crisis Situations</x:v>
      </x:c>
      <x:c r="K403" s="192" t="str">
        <x:v>Suicide risk and family confidentiality</x:v>
      </x:c>
      <x:c r="L403" s="192" t="str"/>
      <x:c r="M403" s="192" t="str">
        <x:v>Difficult</x:v>
      </x:c>
      <x:c r="N403" s="192" t="str">
        <x:v>Difficult</x:v>
      </x:c>
      <x:c r="O403" s="192" t="str">
        <x:v>Integrated reasoning</x:v>
      </x:c>
      <x:c r="P403" s="192" t="str">
        <x:v>Integrated Clinical Reasoning</x:v>
      </x:c>
      <x:c r="Q403" s="192" t="n">
        <x:v>4</x:v>
      </x:c>
      <x:c r="R403" s="192" t="str">
        <x:v>A</x:v>
      </x:c>
      <x:c r="S403" s="192" t="str">
        <x:v>Approved</x:v>
      </x:c>
      <x:c r="T403" s="192" t="str">
        <x:v>Active</x:v>
      </x:c>
      <x:c r="U403" s="192" t="n">
        <x:v>1</x:v>
      </x:c>
      <x:c r="V403" s="192" t="str">
        <x:v>LMFT-ALT-074</x:v>
      </x:c>
      <x:c r="W403" s="192" t="str">
        <x:v>No additional flag</x:v>
      </x:c>
      <x:c r="X403" s="192" t="str">
        <x:v>No structural flag</x:v>
      </x:c>
      <x:c r="Y403" s="192" t="str">
        <x:v>Not Yet Reviewed</x:v>
      </x:c>
      <x:c r="Z403" s="192" t="str">
        <x:v>CTA LMFT WB6; CTA LMFT WB12; Pearson VUE LMFT Outline Area 3</x:v>
      </x:c>
      <x:c r="AA403" s="192" t="str">
        <x:v>CTA_LMFT_Comprehensive_Simulation_Form_B_Answer_Key_and_Detailed_Rationales_v1.0.docx</x:v>
      </x:c>
      <x:c r="AB403" s="192" t="str">
        <x:v>1.0</x:v>
      </x:c>
      <x:c r="AC403" s="193"/>
      <x:c r="AD403" s="193" t="n">
        <x:v>46228</x:v>
      </x:c>
      <x:c r="AE403" s="192" t="str">
        <x:v>Approved for Form B</x:v>
      </x:c>
      <x:c r="AF403" s="194" t="str">
        <x:v>Form B only; paired alternate retained on the other comprehensive form</x:v>
      </x:c>
    </x:row>
    <x:row r="404">
      <x:c r="A404" s="191" t="str">
        <x:v>CTA-LMFT-MQB-0403</x:v>
      </x:c>
      <x:c r="B404" s="192" t="str">
        <x:v>LMFT-MQB-FB-CE-038</x:v>
      </x:c>
      <x:c r="C404" s="192" t="str">
        <x:v>LMFT</x:v>
      </x:c>
      <x:c r="D404" s="192" t="str">
        <x:v>Comprehensive Simulation</x:v>
      </x:c>
      <x:c r="E404" s="192"/>
      <x:c r="F404" s="192"/>
      <x:c r="G404" s="192" t="str">
        <x:v>Form B</x:v>
      </x:c>
      <x:c r="H404" s="192" t="n">
        <x:v>49</x:v>
      </x:c>
      <x:c r="I404" s="192" t="str">
        <x:v>Pretest-Style</x:v>
      </x:c>
      <x:c r="J404" s="192" t="str">
        <x:v>1. Clinical Evaluation</x:v>
      </x:c>
      <x:c r="K404" s="192" t="str">
        <x:v>Multiple informants and developmental context</x:v>
      </x:c>
      <x:c r="L404" s="192" t="str"/>
      <x:c r="M404" s="192" t="str">
        <x:v>Moderate</x:v>
      </x:c>
      <x:c r="N404" s="192" t="str">
        <x:v>Moderate</x:v>
      </x:c>
      <x:c r="O404" s="192" t="str">
        <x:v>Integrated reasoning</x:v>
      </x:c>
      <x:c r="P404" s="192" t="str">
        <x:v>Integrated Clinical Reasoning</x:v>
      </x:c>
      <x:c r="Q404" s="192" t="n">
        <x:v>4</x:v>
      </x:c>
      <x:c r="R404" s="192" t="str">
        <x:v>C</x:v>
      </x:c>
      <x:c r="S404" s="192" t="str">
        <x:v>Approved</x:v>
      </x:c>
      <x:c r="T404" s="192" t="str">
        <x:v>Active</x:v>
      </x:c>
      <x:c r="U404" s="192" t="n">
        <x:v>1</x:v>
      </x:c>
      <x:c r="V404" s="192" t="str">
        <x:v>LMFT-ALT-038</x:v>
      </x:c>
      <x:c r="W404" s="192" t="str">
        <x:v>No additional flag</x:v>
      </x:c>
      <x:c r="X404" s="192" t="str">
        <x:v>No structural flag</x:v>
      </x:c>
      <x:c r="Y404" s="192" t="str">
        <x:v>Not Yet Reviewed</x:v>
      </x:c>
      <x:c r="Z404" s="192" t="str">
        <x:v>CTA LMFT WB2; CTA LMFT WB3; CTA LMFT WB4; Pearson VUE LMFT Outline Area 1</x:v>
      </x:c>
      <x:c r="AA404" s="192" t="str">
        <x:v>CTA_LMFT_Comprehensive_Simulation_Form_B_Answer_Key_and_Detailed_Rationales_v1.0.docx</x:v>
      </x:c>
      <x:c r="AB404" s="192" t="str">
        <x:v>1.0</x:v>
      </x:c>
      <x:c r="AC404" s="193"/>
      <x:c r="AD404" s="193" t="n">
        <x:v>46228</x:v>
      </x:c>
      <x:c r="AE404" s="192" t="str">
        <x:v>Approved for Form B</x:v>
      </x:c>
      <x:c r="AF404" s="194" t="str">
        <x:v>Form B only; paired alternate retained on the other comprehensive form</x:v>
      </x:c>
    </x:row>
    <x:row r="405">
      <x:c r="A405" s="191" t="str">
        <x:v>CTA-LMFT-MQB-0404</x:v>
      </x:c>
      <x:c r="B405" s="192" t="str">
        <x:v>LMFT-MQB-FB-CE-007</x:v>
      </x:c>
      <x:c r="C405" s="192" t="str">
        <x:v>LMFT</x:v>
      </x:c>
      <x:c r="D405" s="192" t="str">
        <x:v>Comprehensive Simulation</x:v>
      </x:c>
      <x:c r="E405" s="192"/>
      <x:c r="F405" s="192"/>
      <x:c r="G405" s="192" t="str">
        <x:v>Form B</x:v>
      </x:c>
      <x:c r="H405" s="192" t="n">
        <x:v>50</x:v>
      </x:c>
      <x:c r="I405" s="192" t="str">
        <x:v>Scored-Style</x:v>
      </x:c>
      <x:c r="J405" s="192" t="str">
        <x:v>1. Clinical Evaluation</x:v>
      </x:c>
      <x:c r="K405" s="192" t="str">
        <x:v>Clarifying referral expectations</x:v>
      </x:c>
      <x:c r="L405" s="192" t="str"/>
      <x:c r="M405" s="192" t="str">
        <x:v>Easy</x:v>
      </x:c>
      <x:c r="N405" s="192" t="str">
        <x:v>Easy</x:v>
      </x:c>
      <x:c r="O405" s="192" t="str">
        <x:v>Application</x:v>
      </x:c>
      <x:c r="P405" s="192" t="str">
        <x:v>Application</x:v>
      </x:c>
      <x:c r="Q405" s="192" t="n">
        <x:v>4</x:v>
      </x:c>
      <x:c r="R405" s="192" t="str">
        <x:v>C</x:v>
      </x:c>
      <x:c r="S405" s="192" t="str">
        <x:v>Approved</x:v>
      </x:c>
      <x:c r="T405" s="192" t="str">
        <x:v>Active</x:v>
      </x:c>
      <x:c r="U405" s="192" t="n">
        <x:v>1</x:v>
      </x:c>
      <x:c r="V405" s="192" t="str">
        <x:v>LMFT-ALT-007</x:v>
      </x:c>
      <x:c r="W405" s="192" t="str">
        <x:v>No additional flag</x:v>
      </x:c>
      <x:c r="X405" s="192" t="str">
        <x:v>No structural flag</x:v>
      </x:c>
      <x:c r="Y405" s="192" t="str">
        <x:v>Not Yet Reviewed</x:v>
      </x:c>
      <x:c r="Z405" s="192" t="str">
        <x:v>CTA LMFT WB2; CTA LMFT WB12; Pearson VUE LMFT Outline Area 1</x:v>
      </x:c>
      <x:c r="AA405" s="192" t="str">
        <x:v>CTA_LMFT_Comprehensive_Simulation_Form_B_Answer_Key_and_Detailed_Rationales_v1.0.docx</x:v>
      </x:c>
      <x:c r="AB405" s="192" t="str">
        <x:v>1.0</x:v>
      </x:c>
      <x:c r="AC405" s="193"/>
      <x:c r="AD405" s="193" t="n">
        <x:v>46228</x:v>
      </x:c>
      <x:c r="AE405" s="192" t="str">
        <x:v>Approved for Form B</x:v>
      </x:c>
      <x:c r="AF405" s="194" t="str">
        <x:v>Form B only; paired alternate retained on the other comprehensive form</x:v>
      </x:c>
    </x:row>
    <x:row r="406">
      <x:c r="A406" s="191" t="str">
        <x:v>CTA-LMFT-MQB-0405</x:v>
      </x:c>
      <x:c r="B406" s="192" t="str">
        <x:v>LMFT-MQB-FB-TX-030</x:v>
      </x:c>
      <x:c r="C406" s="192" t="str">
        <x:v>LMFT</x:v>
      </x:c>
      <x:c r="D406" s="192" t="str">
        <x:v>Comprehensive Simulation</x:v>
      </x:c>
      <x:c r="E406" s="192"/>
      <x:c r="F406" s="192"/>
      <x:c r="G406" s="192" t="str">
        <x:v>Form B</x:v>
      </x:c>
      <x:c r="H406" s="192" t="n">
        <x:v>51</x:v>
      </x:c>
      <x:c r="I406" s="192" t="str">
        <x:v>Scored-Style</x:v>
      </x:c>
      <x:c r="J406" s="192" t="str">
        <x:v>5. Treatment</x:v>
      </x:c>
      <x:c r="K406" s="192" t="str">
        <x:v>Recovery-oriented treatment</x:v>
      </x:c>
      <x:c r="L406" s="192" t="str"/>
      <x:c r="M406" s="192" t="str">
        <x:v>Moderate</x:v>
      </x:c>
      <x:c r="N406" s="192" t="str">
        <x:v>Moderate</x:v>
      </x:c>
      <x:c r="O406" s="192" t="str">
        <x:v>Scenario-based sequencing</x:v>
      </x:c>
      <x:c r="P406" s="192" t="str">
        <x:v>Scenario-Based</x:v>
      </x:c>
      <x:c r="Q406" s="192" t="n">
        <x:v>4</x:v>
      </x:c>
      <x:c r="R406" s="192" t="str">
        <x:v>B</x:v>
      </x:c>
      <x:c r="S406" s="192" t="str">
        <x:v>Approved</x:v>
      </x:c>
      <x:c r="T406" s="192" t="str">
        <x:v>Active</x:v>
      </x:c>
      <x:c r="U406" s="192" t="n">
        <x:v>1</x:v>
      </x:c>
      <x:c r="V406" s="192" t="str">
        <x:v>LMFT-ALT-137</x:v>
      </x:c>
      <x:c r="W406" s="192" t="str">
        <x:v>No additional flag</x:v>
      </x:c>
      <x:c r="X406" s="192" t="str">
        <x:v>No structural flag</x:v>
      </x:c>
      <x:c r="Y406" s="192" t="str">
        <x:v>Not Yet Reviewed</x:v>
      </x:c>
      <x:c r="Z406" s="192" t="str">
        <x:v>CTA LMFT WB9; CTA LMFT WB11; Pearson VUE LMFT Outline Area 5</x:v>
      </x:c>
      <x:c r="AA406" s="192" t="str">
        <x:v>CTA_LMFT_Comprehensive_Simulation_Form_B_Answer_Key_and_Detailed_Rationales_v1.0.docx</x:v>
      </x:c>
      <x:c r="AB406" s="192" t="str">
        <x:v>1.0</x:v>
      </x:c>
      <x:c r="AC406" s="193"/>
      <x:c r="AD406" s="193" t="n">
        <x:v>46228</x:v>
      </x:c>
      <x:c r="AE406" s="192" t="str">
        <x:v>Approved for Form B</x:v>
      </x:c>
      <x:c r="AF406" s="194" t="str">
        <x:v>Form B only; paired alternate retained on the other comprehensive form</x:v>
      </x:c>
    </x:row>
    <x:row r="407">
      <x:c r="A407" s="191" t="str">
        <x:v>CTA-LMFT-MQB-0406</x:v>
      </x:c>
      <x:c r="B407" s="192" t="str">
        <x:v>LMFT-MQB-FB-CE-037</x:v>
      </x:c>
      <x:c r="C407" s="192" t="str">
        <x:v>LMFT</x:v>
      </x:c>
      <x:c r="D407" s="192" t="str">
        <x:v>Comprehensive Simulation</x:v>
      </x:c>
      <x:c r="E407" s="192"/>
      <x:c r="F407" s="192"/>
      <x:c r="G407" s="192" t="str">
        <x:v>Form B</x:v>
      </x:c>
      <x:c r="H407" s="192" t="n">
        <x:v>52</x:v>
      </x:c>
      <x:c r="I407" s="192" t="str">
        <x:v>Scored-Style</x:v>
      </x:c>
      <x:c r="J407" s="192" t="str">
        <x:v>1. Clinical Evaluation</x:v>
      </x:c>
      <x:c r="K407" s="192" t="str">
        <x:v>Integrated intake prioritization</x:v>
      </x:c>
      <x:c r="L407" s="192" t="str"/>
      <x:c r="M407" s="192" t="str">
        <x:v>Moderate</x:v>
      </x:c>
      <x:c r="N407" s="192" t="str">
        <x:v>Moderate</x:v>
      </x:c>
      <x:c r="O407" s="192" t="str">
        <x:v>Integrated reasoning</x:v>
      </x:c>
      <x:c r="P407" s="192" t="str">
        <x:v>Integrated Clinical Reasoning</x:v>
      </x:c>
      <x:c r="Q407" s="192" t="n">
        <x:v>4</x:v>
      </x:c>
      <x:c r="R407" s="192" t="str">
        <x:v>B</x:v>
      </x:c>
      <x:c r="S407" s="192" t="str">
        <x:v>Approved</x:v>
      </x:c>
      <x:c r="T407" s="192" t="str">
        <x:v>Active</x:v>
      </x:c>
      <x:c r="U407" s="192" t="n">
        <x:v>1</x:v>
      </x:c>
      <x:c r="V407" s="192" t="str">
        <x:v>LMFT-ALT-037</x:v>
      </x:c>
      <x:c r="W407" s="192" t="str">
        <x:v>No additional flag</x:v>
      </x:c>
      <x:c r="X407" s="192" t="str">
        <x:v>No structural flag</x:v>
      </x:c>
      <x:c r="Y407" s="192" t="str">
        <x:v>Not Yet Reviewed</x:v>
      </x:c>
      <x:c r="Z407" s="192" t="str">
        <x:v>CTA LMFT WB2; CTA LMFT WB5; CTA LMFT WB6; Pearson VUE LMFT Outline Area 1</x:v>
      </x:c>
      <x:c r="AA407" s="192" t="str">
        <x:v>CTA_LMFT_Comprehensive_Simulation_Form_B_Answer_Key_and_Detailed_Rationales_v1.0.docx</x:v>
      </x:c>
      <x:c r="AB407" s="192" t="str">
        <x:v>1.0</x:v>
      </x:c>
      <x:c r="AC407" s="193"/>
      <x:c r="AD407" s="193" t="n">
        <x:v>46228</x:v>
      </x:c>
      <x:c r="AE407" s="192" t="str">
        <x:v>Approved for Form B</x:v>
      </x:c>
      <x:c r="AF407" s="194" t="str">
        <x:v>Form B only; paired alternate retained on the other comprehensive form</x:v>
      </x:c>
    </x:row>
    <x:row r="408">
      <x:c r="A408" s="191" t="str">
        <x:v>CTA-LMFT-MQB-0407</x:v>
      </x:c>
      <x:c r="B408" s="192" t="str">
        <x:v>LMFT-MQB-FB-CP-014</x:v>
      </x:c>
      <x:c r="C408" s="192" t="str">
        <x:v>LMFT</x:v>
      </x:c>
      <x:c r="D408" s="192" t="str">
        <x:v>Comprehensive Simulation</x:v>
      </x:c>
      <x:c r="E408" s="192"/>
      <x:c r="F408" s="192"/>
      <x:c r="G408" s="192" t="str">
        <x:v>Form B</x:v>
      </x:c>
      <x:c r="H408" s="192" t="n">
        <x:v>53</x:v>
      </x:c>
      <x:c r="I408" s="192" t="str">
        <x:v>Scored-Style</x:v>
      </x:c>
      <x:c r="J408" s="192" t="str">
        <x:v>4. Case Conceptualization and Planning</x:v>
      </x:c>
      <x:c r="K408" s="192" t="str">
        <x:v>Group planning and fit</x:v>
      </x:c>
      <x:c r="L408" s="192" t="str"/>
      <x:c r="M408" s="192" t="str">
        <x:v>Moderate</x:v>
      </x:c>
      <x:c r="N408" s="192" t="str">
        <x:v>Moderate</x:v>
      </x:c>
      <x:c r="O408" s="192" t="str">
        <x:v>Scenario-based sequencing</x:v>
      </x:c>
      <x:c r="P408" s="192" t="str">
        <x:v>Scenario-Based</x:v>
      </x:c>
      <x:c r="Q408" s="192" t="n">
        <x:v>4</x:v>
      </x:c>
      <x:c r="R408" s="192" t="str">
        <x:v>D</x:v>
      </x:c>
      <x:c r="S408" s="192" t="str">
        <x:v>Approved</x:v>
      </x:c>
      <x:c r="T408" s="192" t="str">
        <x:v>Active</x:v>
      </x:c>
      <x:c r="U408" s="192" t="n">
        <x:v>1</x:v>
      </x:c>
      <x:c r="V408" s="192" t="str">
        <x:v>LMFT-ALT-055</x:v>
      </x:c>
      <x:c r="W408" s="192" t="str">
        <x:v>No additional flag</x:v>
      </x:c>
      <x:c r="X408" s="192" t="str">
        <x:v>No structural flag</x:v>
      </x:c>
      <x:c r="Y408" s="192" t="str">
        <x:v>Not Yet Reviewed</x:v>
      </x:c>
      <x:c r="Z408" s="192" t="str">
        <x:v>CTA LMFT WB8; CTA LMFT WB11; Pearson VUE LMFT Outline Area 4</x:v>
      </x:c>
      <x:c r="AA408" s="192" t="str">
        <x:v>CTA_LMFT_Comprehensive_Simulation_Form_B_Answer_Key_and_Detailed_Rationales_v1.0.docx</x:v>
      </x:c>
      <x:c r="AB408" s="192" t="str">
        <x:v>1.0</x:v>
      </x:c>
      <x:c r="AC408" s="193"/>
      <x:c r="AD408" s="193" t="n">
        <x:v>46228</x:v>
      </x:c>
      <x:c r="AE408" s="192" t="str">
        <x:v>Approved for Form B</x:v>
      </x:c>
      <x:c r="AF408" s="194" t="str">
        <x:v>Form B only; paired alternate retained on the other comprehensive form</x:v>
      </x:c>
    </x:row>
    <x:row r="409">
      <x:c r="A409" s="191" t="str">
        <x:v>CTA-LMFT-MQB-0408</x:v>
      </x:c>
      <x:c r="B409" s="192" t="str">
        <x:v>LMFT-MQB-FB-TX-012</x:v>
      </x:c>
      <x:c r="C409" s="192" t="str">
        <x:v>LMFT</x:v>
      </x:c>
      <x:c r="D409" s="192" t="str">
        <x:v>Comprehensive Simulation</x:v>
      </x:c>
      <x:c r="E409" s="192"/>
      <x:c r="F409" s="192"/>
      <x:c r="G409" s="192" t="str">
        <x:v>Form B</x:v>
      </x:c>
      <x:c r="H409" s="192" t="n">
        <x:v>54</x:v>
      </x:c>
      <x:c r="I409" s="192" t="str">
        <x:v>Scored-Style</x:v>
      </x:c>
      <x:c r="J409" s="192" t="str">
        <x:v>5. Treatment</x:v>
      </x:c>
      <x:c r="K409" s="192" t="str">
        <x:v>Attachment intervention</x:v>
      </x:c>
      <x:c r="L409" s="192" t="str"/>
      <x:c r="M409" s="192" t="str">
        <x:v>Moderate</x:v>
      </x:c>
      <x:c r="N409" s="192" t="str">
        <x:v>Moderate</x:v>
      </x:c>
      <x:c r="O409" s="192" t="str">
        <x:v>Application</x:v>
      </x:c>
      <x:c r="P409" s="192" t="str">
        <x:v>Application</x:v>
      </x:c>
      <x:c r="Q409" s="192" t="n">
        <x:v>4</x:v>
      </x:c>
      <x:c r="R409" s="192" t="str">
        <x:v>C</x:v>
      </x:c>
      <x:c r="S409" s="192" t="str">
        <x:v>Approved</x:v>
      </x:c>
      <x:c r="T409" s="192" t="str">
        <x:v>Active</x:v>
      </x:c>
      <x:c r="U409" s="192" t="n">
        <x:v>1</x:v>
      </x:c>
      <x:c r="V409" s="192" t="str">
        <x:v>LMFT-ALT-119</x:v>
      </x:c>
      <x:c r="W409" s="192" t="str">
        <x:v>No additional flag</x:v>
      </x:c>
      <x:c r="X409" s="192" t="str">
        <x:v>No structural flag</x:v>
      </x:c>
      <x:c r="Y409" s="192" t="str">
        <x:v>Not Yet Reviewed</x:v>
      </x:c>
      <x:c r="Z409" s="192" t="str">
        <x:v>CTA LMFT WB8; Pearson VUE LMFT Outline Area 5</x:v>
      </x:c>
      <x:c r="AA409" s="192" t="str">
        <x:v>CTA_LMFT_Comprehensive_Simulation_Form_B_Answer_Key_and_Detailed_Rationales_v1.0.docx</x:v>
      </x:c>
      <x:c r="AB409" s="192" t="str">
        <x:v>1.0</x:v>
      </x:c>
      <x:c r="AC409" s="193"/>
      <x:c r="AD409" s="193" t="n">
        <x:v>46228</x:v>
      </x:c>
      <x:c r="AE409" s="192" t="str">
        <x:v>Approved for Form B</x:v>
      </x:c>
      <x:c r="AF409" s="194" t="str">
        <x:v>Form B only; paired alternate retained on the other comprehensive form</x:v>
      </x:c>
    </x:row>
    <x:row r="410">
      <x:c r="A410" s="191" t="str">
        <x:v>CTA-LMFT-MQB-0409</x:v>
      </x:c>
      <x:c r="B410" s="192" t="str">
        <x:v>LMFT-MQB-FB-CE-039</x:v>
      </x:c>
      <x:c r="C410" s="192" t="str">
        <x:v>LMFT</x:v>
      </x:c>
      <x:c r="D410" s="192" t="str">
        <x:v>Comprehensive Simulation</x:v>
      </x:c>
      <x:c r="E410" s="192"/>
      <x:c r="F410" s="192"/>
      <x:c r="G410" s="192" t="str">
        <x:v>Form B</x:v>
      </x:c>
      <x:c r="H410" s="192" t="n">
        <x:v>55</x:v>
      </x:c>
      <x:c r="I410" s="192" t="str">
        <x:v>Scored-Style</x:v>
      </x:c>
      <x:c r="J410" s="192" t="str">
        <x:v>1. Clinical Evaluation</x:v>
      </x:c>
      <x:c r="K410" s="192" t="str">
        <x:v>Trauma, culture, and somatic symptoms</x:v>
      </x:c>
      <x:c r="L410" s="192" t="str"/>
      <x:c r="M410" s="192" t="str">
        <x:v>Difficult</x:v>
      </x:c>
      <x:c r="N410" s="192" t="str">
        <x:v>Difficult</x:v>
      </x:c>
      <x:c r="O410" s="192" t="str">
        <x:v>Integrated reasoning</x:v>
      </x:c>
      <x:c r="P410" s="192" t="str">
        <x:v>Integrated Clinical Reasoning</x:v>
      </x:c>
      <x:c r="Q410" s="192" t="n">
        <x:v>4</x:v>
      </x:c>
      <x:c r="R410" s="192" t="str">
        <x:v>A</x:v>
      </x:c>
      <x:c r="S410" s="192" t="str">
        <x:v>Approved</x:v>
      </x:c>
      <x:c r="T410" s="192" t="str">
        <x:v>Active</x:v>
      </x:c>
      <x:c r="U410" s="192" t="n">
        <x:v>1</x:v>
      </x:c>
      <x:c r="V410" s="192" t="str">
        <x:v>LMFT-ALT-039</x:v>
      </x:c>
      <x:c r="W410" s="192" t="str">
        <x:v>No additional flag</x:v>
      </x:c>
      <x:c r="X410" s="192" t="str">
        <x:v>No structural flag</x:v>
      </x:c>
      <x:c r="Y410" s="192" t="str">
        <x:v>Not Yet Reviewed</x:v>
      </x:c>
      <x:c r="Z410" s="192" t="str">
        <x:v>CTA LMFT WB3; CTA LMFT WB4; CTA LMFT WB5; Pearson VUE LMFT Outline Area 1</x:v>
      </x:c>
      <x:c r="AA410" s="192" t="str">
        <x:v>CTA_LMFT_Comprehensive_Simulation_Form_B_Answer_Key_and_Detailed_Rationales_v1.0.docx</x:v>
      </x:c>
      <x:c r="AB410" s="192" t="str">
        <x:v>1.0</x:v>
      </x:c>
      <x:c r="AC410" s="193"/>
      <x:c r="AD410" s="193" t="n">
        <x:v>46228</x:v>
      </x:c>
      <x:c r="AE410" s="192" t="str">
        <x:v>Approved for Form B</x:v>
      </x:c>
      <x:c r="AF410" s="194" t="str">
        <x:v>Form B only; paired alternate retained on the other comprehensive form</x:v>
      </x:c>
    </x:row>
    <x:row r="411">
      <x:c r="A411" s="191" t="str">
        <x:v>CTA-LMFT-MQB-0410</x:v>
      </x:c>
      <x:c r="B411" s="192" t="str">
        <x:v>LMFT-MQB-FB-LE-005</x:v>
      </x:c>
      <x:c r="C411" s="192" t="str">
        <x:v>LMFT</x:v>
      </x:c>
      <x:c r="D411" s="192" t="str">
        <x:v>Comprehensive Simulation</x:v>
      </x:c>
      <x:c r="E411" s="192"/>
      <x:c r="F411" s="192"/>
      <x:c r="G411" s="192" t="str">
        <x:v>Form B</x:v>
      </x:c>
      <x:c r="H411" s="192" t="n">
        <x:v>56</x:v>
      </x:c>
      <x:c r="I411" s="192" t="str">
        <x:v>Scored-Style</x:v>
      </x:c>
      <x:c r="J411" s="192" t="str">
        <x:v>6. Managing Legal and Ethical Obligations within the Therapeutic Relationship</x:v>
      </x:c>
      <x:c r="K411" s="192" t="str">
        <x:v>Gift boundaries</x:v>
      </x:c>
      <x:c r="L411" s="192" t="str"/>
      <x:c r="M411" s="192" t="str">
        <x:v>Moderate</x:v>
      </x:c>
      <x:c r="N411" s="192" t="str">
        <x:v>Moderate</x:v>
      </x:c>
      <x:c r="O411" s="192" t="str">
        <x:v>Application</x:v>
      </x:c>
      <x:c r="P411" s="192" t="str">
        <x:v>Application</x:v>
      </x:c>
      <x:c r="Q411" s="192" t="n">
        <x:v>4</x:v>
      </x:c>
      <x:c r="R411" s="192" t="str">
        <x:v>A</x:v>
      </x:c>
      <x:c r="S411" s="192" t="str">
        <x:v>Approved</x:v>
      </x:c>
      <x:c r="T411" s="192" t="str">
        <x:v>Active</x:v>
      </x:c>
      <x:c r="U411" s="192" t="n">
        <x:v>1</x:v>
      </x:c>
      <x:c r="V411" s="192" t="str">
        <x:v>LMFT-ALT-097</x:v>
      </x:c>
      <x:c r="W411" s="192" t="str">
        <x:v>No additional flag</x:v>
      </x:c>
      <x:c r="X411" s="192" t="str">
        <x:v>No structural flag</x:v>
      </x:c>
      <x:c r="Y411" s="192" t="str">
        <x:v>Not Yet Reviewed</x:v>
      </x:c>
      <x:c r="Z411" s="192" t="str">
        <x:v>CTA LMFT WB12; Pearson VUE LMFT Outline Area 6</x:v>
      </x:c>
      <x:c r="AA411" s="192" t="str">
        <x:v>CTA_LMFT_Comprehensive_Simulation_Form_B_Answer_Key_and_Detailed_Rationales_v1.0.docx</x:v>
      </x:c>
      <x:c r="AB411" s="192" t="str">
        <x:v>1.0</x:v>
      </x:c>
      <x:c r="AC411" s="193"/>
      <x:c r="AD411" s="193" t="n">
        <x:v>46228</x:v>
      </x:c>
      <x:c r="AE411" s="192" t="str">
        <x:v>Approved for Form B</x:v>
      </x:c>
      <x:c r="AF411" s="194" t="str">
        <x:v>Form B only; paired alternate retained on the other comprehensive form</x:v>
      </x:c>
    </x:row>
    <x:row r="412">
      <x:c r="A412" s="191" t="str">
        <x:v>CTA-LMFT-MQB-0411</x:v>
      </x:c>
      <x:c r="B412" s="192" t="str">
        <x:v>LMFT-MQB-FB-CE-023</x:v>
      </x:c>
      <x:c r="C412" s="192" t="str">
        <x:v>LMFT</x:v>
      </x:c>
      <x:c r="D412" s="192" t="str">
        <x:v>Comprehensive Simulation</x:v>
      </x:c>
      <x:c r="E412" s="192"/>
      <x:c r="F412" s="192"/>
      <x:c r="G412" s="192" t="str">
        <x:v>Form B</x:v>
      </x:c>
      <x:c r="H412" s="192" t="n">
        <x:v>57</x:v>
      </x:c>
      <x:c r="I412" s="192" t="str">
        <x:v>Pretest-Style</x:v>
      </x:c>
      <x:c r="J412" s="192" t="str">
        <x:v>1. Clinical Evaluation</x:v>
      </x:c>
      <x:c r="K412" s="192" t="str">
        <x:v>Referral ambiguity</x:v>
      </x:c>
      <x:c r="L412" s="192" t="str"/>
      <x:c r="M412" s="192" t="str">
        <x:v>Easy</x:v>
      </x:c>
      <x:c r="N412" s="192" t="str">
        <x:v>Easy</x:v>
      </x:c>
      <x:c r="O412" s="192" t="str">
        <x:v>Scenario-based sequencing</x:v>
      </x:c>
      <x:c r="P412" s="192" t="str">
        <x:v>Scenario-Based</x:v>
      </x:c>
      <x:c r="Q412" s="192" t="n">
        <x:v>4</x:v>
      </x:c>
      <x:c r="R412" s="192" t="str">
        <x:v>A</x:v>
      </x:c>
      <x:c r="S412" s="192" t="str">
        <x:v>Approved</x:v>
      </x:c>
      <x:c r="T412" s="192" t="str">
        <x:v>Active</x:v>
      </x:c>
      <x:c r="U412" s="192" t="n">
        <x:v>1</x:v>
      </x:c>
      <x:c r="V412" s="192" t="str">
        <x:v>LMFT-ALT-023</x:v>
      </x:c>
      <x:c r="W412" s="192" t="str">
        <x:v>No additional flag</x:v>
      </x:c>
      <x:c r="X412" s="192" t="str">
        <x:v>No structural flag</x:v>
      </x:c>
      <x:c r="Y412" s="192" t="str">
        <x:v>Not Yet Reviewed</x:v>
      </x:c>
      <x:c r="Z412" s="192" t="str">
        <x:v>CTA LMFT WB2; CTA LMFT WB12; Pearson VUE LMFT Outline Area 1</x:v>
      </x:c>
      <x:c r="AA412" s="192" t="str">
        <x:v>CTA_LMFT_Comprehensive_Simulation_Form_B_Answer_Key_and_Detailed_Rationales_v1.0.docx</x:v>
      </x:c>
      <x:c r="AB412" s="192" t="str">
        <x:v>1.0</x:v>
      </x:c>
      <x:c r="AC412" s="193"/>
      <x:c r="AD412" s="193" t="n">
        <x:v>46228</x:v>
      </x:c>
      <x:c r="AE412" s="192" t="str">
        <x:v>Approved for Form B</x:v>
      </x:c>
      <x:c r="AF412" s="194" t="str">
        <x:v>Form B only; paired alternate retained on the other comprehensive form</x:v>
      </x:c>
    </x:row>
    <x:row r="413">
      <x:c r="A413" s="191" t="str">
        <x:v>CTA-LMFT-MQB-0412</x:v>
      </x:c>
      <x:c r="B413" s="192" t="str">
        <x:v>LMFT-MQB-FB-CR-006</x:v>
      </x:c>
      <x:c r="C413" s="192" t="str">
        <x:v>LMFT</x:v>
      </x:c>
      <x:c r="D413" s="192" t="str">
        <x:v>Comprehensive Simulation</x:v>
      </x:c>
      <x:c r="E413" s="192"/>
      <x:c r="F413" s="192"/>
      <x:c r="G413" s="192" t="str">
        <x:v>Form B</x:v>
      </x:c>
      <x:c r="H413" s="192" t="n">
        <x:v>58</x:v>
      </x:c>
      <x:c r="I413" s="192" t="str">
        <x:v>Scored-Style</x:v>
      </x:c>
      <x:c r="J413" s="192" t="str">
        <x:v>3. Managing Crisis Situations</x:v>
      </x:c>
      <x:c r="K413" s="192" t="str">
        <x:v>Direct suicide inquiry</x:v>
      </x:c>
      <x:c r="L413" s="192" t="str"/>
      <x:c r="M413" s="192" t="str">
        <x:v>Easy</x:v>
      </x:c>
      <x:c r="N413" s="192" t="str">
        <x:v>Easy</x:v>
      </x:c>
      <x:c r="O413" s="192" t="str">
        <x:v>Scenario-based sequencing</x:v>
      </x:c>
      <x:c r="P413" s="192" t="str">
        <x:v>Scenario-Based</x:v>
      </x:c>
      <x:c r="Q413" s="192" t="n">
        <x:v>4</x:v>
      </x:c>
      <x:c r="R413" s="192" t="str">
        <x:v>C</x:v>
      </x:c>
      <x:c r="S413" s="192" t="str">
        <x:v>Approved</x:v>
      </x:c>
      <x:c r="T413" s="192" t="str">
        <x:v>Active</x:v>
      </x:c>
      <x:c r="U413" s="192" t="n">
        <x:v>1</x:v>
      </x:c>
      <x:c r="V413" s="192" t="str">
        <x:v>LMFT-ALT-065</x:v>
      </x:c>
      <x:c r="W413" s="192" t="str">
        <x:v>No additional flag</x:v>
      </x:c>
      <x:c r="X413" s="192" t="str">
        <x:v>No structural flag</x:v>
      </x:c>
      <x:c r="Y413" s="192" t="str">
        <x:v>Not Yet Reviewed</x:v>
      </x:c>
      <x:c r="Z413" s="192" t="str">
        <x:v>CTA LMFT WB6; Pearson VUE LMFT Outline Area 3</x:v>
      </x:c>
      <x:c r="AA413" s="192" t="str">
        <x:v>CTA_LMFT_Comprehensive_Simulation_Form_B_Answer_Key_and_Detailed_Rationales_v1.0.docx</x:v>
      </x:c>
      <x:c r="AB413" s="192" t="str">
        <x:v>1.0</x:v>
      </x:c>
      <x:c r="AC413" s="193"/>
      <x:c r="AD413" s="193" t="n">
        <x:v>46228</x:v>
      </x:c>
      <x:c r="AE413" s="192" t="str">
        <x:v>Approved for Form B</x:v>
      </x:c>
      <x:c r="AF413" s="194" t="str">
        <x:v>Form B only; paired alternate retained on the other comprehensive form</x:v>
      </x:c>
    </x:row>
    <x:row r="414">
      <x:c r="A414" s="191" t="str">
        <x:v>CTA-LMFT-MQB-0413</x:v>
      </x:c>
      <x:c r="B414" s="192" t="str">
        <x:v>LMFT-MQB-FB-TX-006</x:v>
      </x:c>
      <x:c r="C414" s="192" t="str">
        <x:v>LMFT</x:v>
      </x:c>
      <x:c r="D414" s="192" t="str">
        <x:v>Comprehensive Simulation</x:v>
      </x:c>
      <x:c r="E414" s="192"/>
      <x:c r="F414" s="192"/>
      <x:c r="G414" s="192" t="str">
        <x:v>Form B</x:v>
      </x:c>
      <x:c r="H414" s="192" t="n">
        <x:v>59</x:v>
      </x:c>
      <x:c r="I414" s="192" t="str">
        <x:v>Scored-Style</x:v>
      </x:c>
      <x:c r="J414" s="192" t="str">
        <x:v>5. Treatment</x:v>
      </x:c>
      <x:c r="K414" s="192" t="str">
        <x:v>Behavioral activation</x:v>
      </x:c>
      <x:c r="L414" s="192" t="str"/>
      <x:c r="M414" s="192" t="str">
        <x:v>Easy</x:v>
      </x:c>
      <x:c r="N414" s="192" t="str">
        <x:v>Easy</x:v>
      </x:c>
      <x:c r="O414" s="192" t="str">
        <x:v>Application</x:v>
      </x:c>
      <x:c r="P414" s="192" t="str">
        <x:v>Application</x:v>
      </x:c>
      <x:c r="Q414" s="192" t="n">
        <x:v>4</x:v>
      </x:c>
      <x:c r="R414" s="192" t="str">
        <x:v>D</x:v>
      </x:c>
      <x:c r="S414" s="192" t="str">
        <x:v>Approved</x:v>
      </x:c>
      <x:c r="T414" s="192" t="str">
        <x:v>Active</x:v>
      </x:c>
      <x:c r="U414" s="192" t="n">
        <x:v>1</x:v>
      </x:c>
      <x:c r="V414" s="192" t="str">
        <x:v>LMFT-ALT-113</x:v>
      </x:c>
      <x:c r="W414" s="192" t="str">
        <x:v>No additional flag</x:v>
      </x:c>
      <x:c r="X414" s="192" t="str">
        <x:v>No structural flag</x:v>
      </x:c>
      <x:c r="Y414" s="192" t="str">
        <x:v>Not Yet Reviewed</x:v>
      </x:c>
      <x:c r="Z414" s="192" t="str">
        <x:v>CTA LMFT WB9; Pearson VUE LMFT Outline Area 5</x:v>
      </x:c>
      <x:c r="AA414" s="192" t="str">
        <x:v>CTA_LMFT_Comprehensive_Simulation_Form_B_Answer_Key_and_Detailed_Rationales_v1.0.docx</x:v>
      </x:c>
      <x:c r="AB414" s="192" t="str">
        <x:v>1.0</x:v>
      </x:c>
      <x:c r="AC414" s="193"/>
      <x:c r="AD414" s="193" t="n">
        <x:v>46228</x:v>
      </x:c>
      <x:c r="AE414" s="192" t="str">
        <x:v>Approved for Form B</x:v>
      </x:c>
      <x:c r="AF414" s="194" t="str">
        <x:v>Form B only; paired alternate retained on the other comprehensive form</x:v>
      </x:c>
    </x:row>
    <x:row r="415">
      <x:c r="A415" s="191" t="str">
        <x:v>CTA-LMFT-MQB-0414</x:v>
      </x:c>
      <x:c r="B415" s="192" t="str">
        <x:v>LMFT-MQB-FB-CE-004</x:v>
      </x:c>
      <x:c r="C415" s="192" t="str">
        <x:v>LMFT</x:v>
      </x:c>
      <x:c r="D415" s="192" t="str">
        <x:v>Comprehensive Simulation</x:v>
      </x:c>
      <x:c r="E415" s="192"/>
      <x:c r="F415" s="192"/>
      <x:c r="G415" s="192" t="str">
        <x:v>Form B</x:v>
      </x:c>
      <x:c r="H415" s="192" t="n">
        <x:v>60</x:v>
      </x:c>
      <x:c r="I415" s="192" t="str">
        <x:v>Scored-Style</x:v>
      </x:c>
      <x:c r="J415" s="192" t="str">
        <x:v>1. Clinical Evaluation</x:v>
      </x:c>
      <x:c r="K415" s="192" t="str">
        <x:v>Baseline functioning</x:v>
      </x:c>
      <x:c r="L415" s="192" t="str"/>
      <x:c r="M415" s="192" t="str">
        <x:v>Moderate</x:v>
      </x:c>
      <x:c r="N415" s="192" t="str">
        <x:v>Moderate</x:v>
      </x:c>
      <x:c r="O415" s="192" t="str">
        <x:v>Direct recognition</x:v>
      </x:c>
      <x:c r="P415" s="192" t="str">
        <x:v>Knowledge &amp; Recall</x:v>
      </x:c>
      <x:c r="Q415" s="192" t="n">
        <x:v>4</x:v>
      </x:c>
      <x:c r="R415" s="192" t="str">
        <x:v>B</x:v>
      </x:c>
      <x:c r="S415" s="192" t="str">
        <x:v>Approved</x:v>
      </x:c>
      <x:c r="T415" s="192" t="str">
        <x:v>Active</x:v>
      </x:c>
      <x:c r="U415" s="192" t="n">
        <x:v>1</x:v>
      </x:c>
      <x:c r="V415" s="192" t="str">
        <x:v>LMFT-ALT-004</x:v>
      </x:c>
      <x:c r="W415" s="192" t="str">
        <x:v>No additional flag</x:v>
      </x:c>
      <x:c r="X415" s="192" t="str">
        <x:v>No structural flag</x:v>
      </x:c>
      <x:c r="Y415" s="192" t="str">
        <x:v>Not Yet Reviewed</x:v>
      </x:c>
      <x:c r="Z415" s="192" t="str">
        <x:v>CTA LMFT WB2; Pearson VUE LMFT Outline Area 1</x:v>
      </x:c>
      <x:c r="AA415" s="192" t="str">
        <x:v>CTA_LMFT_Comprehensive_Simulation_Form_B_Answer_Key_and_Detailed_Rationales_v1.0.docx</x:v>
      </x:c>
      <x:c r="AB415" s="192" t="str">
        <x:v>1.0</x:v>
      </x:c>
      <x:c r="AC415" s="193"/>
      <x:c r="AD415" s="193" t="n">
        <x:v>46228</x:v>
      </x:c>
      <x:c r="AE415" s="192" t="str">
        <x:v>Approved for Form B</x:v>
      </x:c>
      <x:c r="AF415" s="194" t="str">
        <x:v>Form B only; paired alternate retained on the other comprehensive form</x:v>
      </x:c>
    </x:row>
    <x:row r="416">
      <x:c r="A416" s="191" t="str">
        <x:v>CTA-LMFT-MQB-0415</x:v>
      </x:c>
      <x:c r="B416" s="192" t="str">
        <x:v>LMFT-MQB-FB-CP-003</x:v>
      </x:c>
      <x:c r="C416" s="192" t="str">
        <x:v>LMFT</x:v>
      </x:c>
      <x:c r="D416" s="192" t="str">
        <x:v>Comprehensive Simulation</x:v>
      </x:c>
      <x:c r="E416" s="192"/>
      <x:c r="F416" s="192"/>
      <x:c r="G416" s="192" t="str">
        <x:v>Form B</x:v>
      </x:c>
      <x:c r="H416" s="192" t="n">
        <x:v>61</x:v>
      </x:c>
      <x:c r="I416" s="192" t="str">
        <x:v>Scored-Style</x:v>
      </x:c>
      <x:c r="J416" s="192" t="str">
        <x:v>4. Case Conceptualization and Planning</x:v>
      </x:c>
      <x:c r="K416" s="192" t="str">
        <x:v>Goal hierarchy</x:v>
      </x:c>
      <x:c r="L416" s="192" t="str"/>
      <x:c r="M416" s="192" t="str">
        <x:v>Easy</x:v>
      </x:c>
      <x:c r="N416" s="192" t="str">
        <x:v>Easy</x:v>
      </x:c>
      <x:c r="O416" s="192" t="str">
        <x:v>Application</x:v>
      </x:c>
      <x:c r="P416" s="192" t="str">
        <x:v>Application</x:v>
      </x:c>
      <x:c r="Q416" s="192" t="n">
        <x:v>4</x:v>
      </x:c>
      <x:c r="R416" s="192" t="str">
        <x:v>D</x:v>
      </x:c>
      <x:c r="S416" s="192" t="str">
        <x:v>Approved</x:v>
      </x:c>
      <x:c r="T416" s="192" t="str">
        <x:v>Active</x:v>
      </x:c>
      <x:c r="U416" s="192" t="n">
        <x:v>1</x:v>
      </x:c>
      <x:c r="V416" s="192" t="str">
        <x:v>LMFT-ALT-044</x:v>
      </x:c>
      <x:c r="W416" s="192" t="str">
        <x:v>No additional flag</x:v>
      </x:c>
      <x:c r="X416" s="192" t="str">
        <x:v>No structural flag</x:v>
      </x:c>
      <x:c r="Y416" s="192" t="str">
        <x:v>Not Yet Reviewed</x:v>
      </x:c>
      <x:c r="Z416" s="192" t="str">
        <x:v>CTA LMFT WB7; Pearson VUE LMFT Outline Area 4</x:v>
      </x:c>
      <x:c r="AA416" s="192" t="str">
        <x:v>CTA_LMFT_Comprehensive_Simulation_Form_B_Answer_Key_and_Detailed_Rationales_v1.0.docx</x:v>
      </x:c>
      <x:c r="AB416" s="192" t="str">
        <x:v>1.0</x:v>
      </x:c>
      <x:c r="AC416" s="193"/>
      <x:c r="AD416" s="193" t="n">
        <x:v>46228</x:v>
      </x:c>
      <x:c r="AE416" s="192" t="str">
        <x:v>Approved for Form B</x:v>
      </x:c>
      <x:c r="AF416" s="194" t="str">
        <x:v>Form B only; paired alternate retained on the other comprehensive form</x:v>
      </x:c>
    </x:row>
    <x:row r="417">
      <x:c r="A417" s="191" t="str">
        <x:v>CTA-LMFT-MQB-0416</x:v>
      </x:c>
      <x:c r="B417" s="192" t="str">
        <x:v>LMFT-MQB-FB-TX-013</x:v>
      </x:c>
      <x:c r="C417" s="192" t="str">
        <x:v>LMFT</x:v>
      </x:c>
      <x:c r="D417" s="192" t="str">
        <x:v>Comprehensive Simulation</x:v>
      </x:c>
      <x:c r="E417" s="192"/>
      <x:c r="F417" s="192"/>
      <x:c r="G417" s="192" t="str">
        <x:v>Form B</x:v>
      </x:c>
      <x:c r="H417" s="192" t="n">
        <x:v>62</x:v>
      </x:c>
      <x:c r="I417" s="192" t="str">
        <x:v>Scored-Style</x:v>
      </x:c>
      <x:c r="J417" s="192" t="str">
        <x:v>5. Treatment</x:v>
      </x:c>
      <x:c r="K417" s="192" t="str">
        <x:v>Structural boundary work</x:v>
      </x:c>
      <x:c r="L417" s="192" t="str"/>
      <x:c r="M417" s="192" t="str">
        <x:v>Moderate</x:v>
      </x:c>
      <x:c r="N417" s="192" t="str">
        <x:v>Moderate</x:v>
      </x:c>
      <x:c r="O417" s="192" t="str">
        <x:v>Application</x:v>
      </x:c>
      <x:c r="P417" s="192" t="str">
        <x:v>Application</x:v>
      </x:c>
      <x:c r="Q417" s="192" t="n">
        <x:v>4</x:v>
      </x:c>
      <x:c r="R417" s="192" t="str">
        <x:v>A</x:v>
      </x:c>
      <x:c r="S417" s="192" t="str">
        <x:v>Approved</x:v>
      </x:c>
      <x:c r="T417" s="192" t="str">
        <x:v>Active</x:v>
      </x:c>
      <x:c r="U417" s="192" t="n">
        <x:v>1</x:v>
      </x:c>
      <x:c r="V417" s="192" t="str">
        <x:v>LMFT-ALT-120</x:v>
      </x:c>
      <x:c r="W417" s="192" t="str">
        <x:v>No additional flag</x:v>
      </x:c>
      <x:c r="X417" s="192" t="str">
        <x:v>No structural flag</x:v>
      </x:c>
      <x:c r="Y417" s="192" t="str">
        <x:v>Not Yet Reviewed</x:v>
      </x:c>
      <x:c r="Z417" s="192" t="str">
        <x:v>CTA LMFT WB8; CTA LMFT WB11; Pearson VUE LMFT Outline Area 5</x:v>
      </x:c>
      <x:c r="AA417" s="192" t="str">
        <x:v>CTA_LMFT_Comprehensive_Simulation_Form_B_Answer_Key_and_Detailed_Rationales_v1.0.docx</x:v>
      </x:c>
      <x:c r="AB417" s="192" t="str">
        <x:v>1.0</x:v>
      </x:c>
      <x:c r="AC417" s="193"/>
      <x:c r="AD417" s="193" t="n">
        <x:v>46228</x:v>
      </x:c>
      <x:c r="AE417" s="192" t="str">
        <x:v>Approved for Form B</x:v>
      </x:c>
      <x:c r="AF417" s="194" t="str">
        <x:v>Form B only; paired alternate retained on the other comprehensive form</x:v>
      </x:c>
    </x:row>
    <x:row r="418">
      <x:c r="A418" s="191" t="str">
        <x:v>CTA-LMFT-MQB-0417</x:v>
      </x:c>
      <x:c r="B418" s="192" t="str">
        <x:v>LMFT-MQB-FB-CE-018</x:v>
      </x:c>
      <x:c r="C418" s="192" t="str">
        <x:v>LMFT</x:v>
      </x:c>
      <x:c r="D418" s="192" t="str">
        <x:v>Comprehensive Simulation</x:v>
      </x:c>
      <x:c r="E418" s="192"/>
      <x:c r="F418" s="192"/>
      <x:c r="G418" s="192" t="str">
        <x:v>Form B</x:v>
      </x:c>
      <x:c r="H418" s="192" t="n">
        <x:v>63</x:v>
      </x:c>
      <x:c r="I418" s="192" t="str">
        <x:v>Scored-Style</x:v>
      </x:c>
      <x:c r="J418" s="192" t="str">
        <x:v>1. Clinical Evaluation</x:v>
      </x:c>
      <x:c r="K418" s="192" t="str">
        <x:v>Consultation threshold</x:v>
      </x:c>
      <x:c r="L418" s="192" t="str"/>
      <x:c r="M418" s="192" t="str">
        <x:v>Moderate</x:v>
      </x:c>
      <x:c r="N418" s="192" t="str">
        <x:v>Moderate</x:v>
      </x:c>
      <x:c r="O418" s="192" t="str">
        <x:v>Application</x:v>
      </x:c>
      <x:c r="P418" s="192" t="str">
        <x:v>Application</x:v>
      </x:c>
      <x:c r="Q418" s="192" t="n">
        <x:v>4</x:v>
      </x:c>
      <x:c r="R418" s="192" t="str">
        <x:v>B</x:v>
      </x:c>
      <x:c r="S418" s="192" t="str">
        <x:v>Approved</x:v>
      </x:c>
      <x:c r="T418" s="192" t="str">
        <x:v>Active</x:v>
      </x:c>
      <x:c r="U418" s="192" t="n">
        <x:v>1</x:v>
      </x:c>
      <x:c r="V418" s="192" t="str">
        <x:v>LMFT-ALT-018</x:v>
      </x:c>
      <x:c r="W418" s="192" t="str">
        <x:v>No additional flag</x:v>
      </x:c>
      <x:c r="X418" s="192" t="str">
        <x:v>No structural flag</x:v>
      </x:c>
      <x:c r="Y418" s="192" t="str">
        <x:v>Not Yet Reviewed</x:v>
      </x:c>
      <x:c r="Z418" s="192" t="str">
        <x:v>CTA LMFT WB4; CTA LMFT WB12; Pearson VUE LMFT Outline Area 1</x:v>
      </x:c>
      <x:c r="AA418" s="192" t="str">
        <x:v>CTA_LMFT_Comprehensive_Simulation_Form_B_Answer_Key_and_Detailed_Rationales_v1.0.docx</x:v>
      </x:c>
      <x:c r="AB418" s="192" t="str">
        <x:v>1.0</x:v>
      </x:c>
      <x:c r="AC418" s="193"/>
      <x:c r="AD418" s="193" t="n">
        <x:v>46228</x:v>
      </x:c>
      <x:c r="AE418" s="192" t="str">
        <x:v>Approved for Form B</x:v>
      </x:c>
      <x:c r="AF418" s="194" t="str">
        <x:v>Form B only; paired alternate retained on the other comprehensive form</x:v>
      </x:c>
    </x:row>
    <x:row r="419">
      <x:c r="A419" s="191" t="str">
        <x:v>CTA-LMFT-MQB-0418</x:v>
      </x:c>
      <x:c r="B419" s="192" t="str">
        <x:v>LMFT-MQB-FB-CR-009</x:v>
      </x:c>
      <x:c r="C419" s="192" t="str">
        <x:v>LMFT</x:v>
      </x:c>
      <x:c r="D419" s="192" t="str">
        <x:v>Comprehensive Simulation</x:v>
      </x:c>
      <x:c r="E419" s="192"/>
      <x:c r="F419" s="192"/>
      <x:c r="G419" s="192" t="str">
        <x:v>Form B</x:v>
      </x:c>
      <x:c r="H419" s="192" t="n">
        <x:v>64</x:v>
      </x:c>
      <x:c r="I419" s="192" t="str">
        <x:v>Scored-Style</x:v>
      </x:c>
      <x:c r="J419" s="192" t="str">
        <x:v>3. Managing Crisis Situations</x:v>
      </x:c>
      <x:c r="K419" s="192" t="str">
        <x:v>Child abuse suspicion</x:v>
      </x:c>
      <x:c r="L419" s="192" t="str"/>
      <x:c r="M419" s="192" t="str">
        <x:v>Moderate</x:v>
      </x:c>
      <x:c r="N419" s="192" t="str">
        <x:v>Moderate</x:v>
      </x:c>
      <x:c r="O419" s="192" t="str">
        <x:v>Scenario-based sequencing</x:v>
      </x:c>
      <x:c r="P419" s="192" t="str">
        <x:v>Scenario-Based</x:v>
      </x:c>
      <x:c r="Q419" s="192" t="n">
        <x:v>4</x:v>
      </x:c>
      <x:c r="R419" s="192" t="str">
        <x:v>C</x:v>
      </x:c>
      <x:c r="S419" s="192" t="str">
        <x:v>Approved</x:v>
      </x:c>
      <x:c r="T419" s="192" t="str">
        <x:v>Active</x:v>
      </x:c>
      <x:c r="U419" s="192" t="n">
        <x:v>1</x:v>
      </x:c>
      <x:c r="V419" s="192" t="str">
        <x:v>LMFT-ALT-068</x:v>
      </x:c>
      <x:c r="W419" s="192" t="str">
        <x:v>No additional flag</x:v>
      </x:c>
      <x:c r="X419" s="192" t="str">
        <x:v>No structural flag</x:v>
      </x:c>
      <x:c r="Y419" s="192" t="str">
        <x:v>Not Yet Reviewed</x:v>
      </x:c>
      <x:c r="Z419" s="192" t="str">
        <x:v>CTA LMFT WB6; Pearson VUE LMFT Outline Area 3</x:v>
      </x:c>
      <x:c r="AA419" s="192" t="str">
        <x:v>CTA_LMFT_Comprehensive_Simulation_Form_B_Answer_Key_and_Detailed_Rationales_v1.0.docx</x:v>
      </x:c>
      <x:c r="AB419" s="192" t="str">
        <x:v>1.0</x:v>
      </x:c>
      <x:c r="AC419" s="193"/>
      <x:c r="AD419" s="193" t="n">
        <x:v>46228</x:v>
      </x:c>
      <x:c r="AE419" s="192" t="str">
        <x:v>Approved for Form B</x:v>
      </x:c>
      <x:c r="AF419" s="194" t="str">
        <x:v>Form B only; paired alternate retained on the other comprehensive form</x:v>
      </x:c>
    </x:row>
    <x:row r="420">
      <x:c r="A420" s="191" t="str">
        <x:v>CTA-LMFT-MQB-0419</x:v>
      </x:c>
      <x:c r="B420" s="192" t="str">
        <x:v>LMFT-MQB-FB-LE-001</x:v>
      </x:c>
      <x:c r="C420" s="192" t="str">
        <x:v>LMFT</x:v>
      </x:c>
      <x:c r="D420" s="192" t="str">
        <x:v>Comprehensive Simulation</x:v>
      </x:c>
      <x:c r="E420" s="192"/>
      <x:c r="F420" s="192"/>
      <x:c r="G420" s="192" t="str">
        <x:v>Form B</x:v>
      </x:c>
      <x:c r="H420" s="192" t="n">
        <x:v>65</x:v>
      </x:c>
      <x:c r="I420" s="192" t="str">
        <x:v>Scored-Style</x:v>
      </x:c>
      <x:c r="J420" s="192" t="str">
        <x:v>6. Managing Legal and Ethical Obligations within the Therapeutic Relationship</x:v>
      </x:c>
      <x:c r="K420" s="192" t="str">
        <x:v>Ongoing informed consent</x:v>
      </x:c>
      <x:c r="L420" s="192" t="str"/>
      <x:c r="M420" s="192" t="str">
        <x:v>Easy</x:v>
      </x:c>
      <x:c r="N420" s="192" t="str">
        <x:v>Easy</x:v>
      </x:c>
      <x:c r="O420" s="192" t="str">
        <x:v>Direct recognition</x:v>
      </x:c>
      <x:c r="P420" s="192" t="str">
        <x:v>Knowledge &amp; Recall</x:v>
      </x:c>
      <x:c r="Q420" s="192" t="n">
        <x:v>4</x:v>
      </x:c>
      <x:c r="R420" s="192" t="str">
        <x:v>A</x:v>
      </x:c>
      <x:c r="S420" s="192" t="str">
        <x:v>Approved</x:v>
      </x:c>
      <x:c r="T420" s="192" t="str">
        <x:v>Active</x:v>
      </x:c>
      <x:c r="U420" s="192" t="n">
        <x:v>1</x:v>
      </x:c>
      <x:c r="V420" s="192" t="str">
        <x:v>LMFT-ALT-093</x:v>
      </x:c>
      <x:c r="W420" s="192" t="str">
        <x:v>No additional flag</x:v>
      </x:c>
      <x:c r="X420" s="192" t="str">
        <x:v>No structural flag</x:v>
      </x:c>
      <x:c r="Y420" s="192" t="str">
        <x:v>Not Yet Reviewed</x:v>
      </x:c>
      <x:c r="Z420" s="192" t="str">
        <x:v>CTA LMFT WB12; Pearson VUE LMFT Outline Area 6</x:v>
      </x:c>
      <x:c r="AA420" s="192" t="str">
        <x:v>CTA_LMFT_Comprehensive_Simulation_Form_B_Answer_Key_and_Detailed_Rationales_v1.0.docx</x:v>
      </x:c>
      <x:c r="AB420" s="192" t="str">
        <x:v>1.0</x:v>
      </x:c>
      <x:c r="AC420" s="193"/>
      <x:c r="AD420" s="193" t="n">
        <x:v>46228</x:v>
      </x:c>
      <x:c r="AE420" s="192" t="str">
        <x:v>Approved for Form B</x:v>
      </x:c>
      <x:c r="AF420" s="194" t="str">
        <x:v>Form B only; paired alternate retained on the other comprehensive form</x:v>
      </x:c>
    </x:row>
    <x:row r="421">
      <x:c r="A421" s="191" t="str">
        <x:v>CTA-LMFT-MQB-0420</x:v>
      </x:c>
      <x:c r="B421" s="192" t="str">
        <x:v>LMFT-MQB-FB-CP-002</x:v>
      </x:c>
      <x:c r="C421" s="192" t="str">
        <x:v>LMFT</x:v>
      </x:c>
      <x:c r="D421" s="192" t="str">
        <x:v>Comprehensive Simulation</x:v>
      </x:c>
      <x:c r="E421" s="192"/>
      <x:c r="F421" s="192"/>
      <x:c r="G421" s="192" t="str">
        <x:v>Form B</x:v>
      </x:c>
      <x:c r="H421" s="192" t="n">
        <x:v>66</x:v>
      </x:c>
      <x:c r="I421" s="192" t="str">
        <x:v>Scored-Style</x:v>
      </x:c>
      <x:c r="J421" s="192" t="str">
        <x:v>4. Case Conceptualization and Planning</x:v>
      </x:c>
      <x:c r="K421" s="192" t="str">
        <x:v>Case conceptualization</x:v>
      </x:c>
      <x:c r="L421" s="192" t="str"/>
      <x:c r="M421" s="192" t="str">
        <x:v>Moderate</x:v>
      </x:c>
      <x:c r="N421" s="192" t="str">
        <x:v>Moderate</x:v>
      </x:c>
      <x:c r="O421" s="192" t="str">
        <x:v>Direct recognition</x:v>
      </x:c>
      <x:c r="P421" s="192" t="str">
        <x:v>Knowledge &amp; Recall</x:v>
      </x:c>
      <x:c r="Q421" s="192" t="n">
        <x:v>4</x:v>
      </x:c>
      <x:c r="R421" s="192" t="str">
        <x:v>B</x:v>
      </x:c>
      <x:c r="S421" s="192" t="str">
        <x:v>Approved</x:v>
      </x:c>
      <x:c r="T421" s="192" t="str">
        <x:v>Active</x:v>
      </x:c>
      <x:c r="U421" s="192" t="n">
        <x:v>1</x:v>
      </x:c>
      <x:c r="V421" s="192" t="str">
        <x:v>LMFT-ALT-043</x:v>
      </x:c>
      <x:c r="W421" s="192" t="str">
        <x:v>No additional flag</x:v>
      </x:c>
      <x:c r="X421" s="192" t="str">
        <x:v>No structural flag</x:v>
      </x:c>
      <x:c r="Y421" s="192" t="str">
        <x:v>Not Yet Reviewed</x:v>
      </x:c>
      <x:c r="Z421" s="192" t="str">
        <x:v>CTA LMFT WB7; Pearson VUE LMFT Outline Area 4</x:v>
      </x:c>
      <x:c r="AA421" s="192" t="str">
        <x:v>CTA_LMFT_Comprehensive_Simulation_Form_B_Answer_Key_and_Detailed_Rationales_v1.0.docx</x:v>
      </x:c>
      <x:c r="AB421" s="192" t="str">
        <x:v>1.0</x:v>
      </x:c>
      <x:c r="AC421" s="193"/>
      <x:c r="AD421" s="193" t="n">
        <x:v>46228</x:v>
      </x:c>
      <x:c r="AE421" s="192" t="str">
        <x:v>Approved for Form B</x:v>
      </x:c>
      <x:c r="AF421" s="194" t="str">
        <x:v>Form B only; paired alternate retained on the other comprehensive form</x:v>
      </x:c>
    </x:row>
    <x:row r="422">
      <x:c r="A422" s="191" t="str">
        <x:v>CTA-LMFT-MQB-0421</x:v>
      </x:c>
      <x:c r="B422" s="192" t="str">
        <x:v>LMFT-MQB-FB-LE-002</x:v>
      </x:c>
      <x:c r="C422" s="192" t="str">
        <x:v>LMFT</x:v>
      </x:c>
      <x:c r="D422" s="192" t="str">
        <x:v>Comprehensive Simulation</x:v>
      </x:c>
      <x:c r="E422" s="192"/>
      <x:c r="F422" s="192"/>
      <x:c r="G422" s="192" t="str">
        <x:v>Form B</x:v>
      </x:c>
      <x:c r="H422" s="192" t="n">
        <x:v>67</x:v>
      </x:c>
      <x:c r="I422" s="192" t="str">
        <x:v>Scored-Style</x:v>
      </x:c>
      <x:c r="J422" s="192" t="str">
        <x:v>6. Managing Legal and Ethical Obligations within the Therapeutic Relationship</x:v>
      </x:c>
      <x:c r="K422" s="192" t="str">
        <x:v>Minimum necessary disclosure</x:v>
      </x:c>
      <x:c r="L422" s="192" t="str"/>
      <x:c r="M422" s="192" t="str">
        <x:v>Moderate</x:v>
      </x:c>
      <x:c r="N422" s="192" t="str">
        <x:v>Moderate</x:v>
      </x:c>
      <x:c r="O422" s="192" t="str">
        <x:v>Direct recognition</x:v>
      </x:c>
      <x:c r="P422" s="192" t="str">
        <x:v>Knowledge &amp; Recall</x:v>
      </x:c>
      <x:c r="Q422" s="192" t="n">
        <x:v>4</x:v>
      </x:c>
      <x:c r="R422" s="192" t="str">
        <x:v>C</x:v>
      </x:c>
      <x:c r="S422" s="192" t="str">
        <x:v>Approved</x:v>
      </x:c>
      <x:c r="T422" s="192" t="str">
        <x:v>Active</x:v>
      </x:c>
      <x:c r="U422" s="192" t="n">
        <x:v>1</x:v>
      </x:c>
      <x:c r="V422" s="192" t="str">
        <x:v>LMFT-ALT-094</x:v>
      </x:c>
      <x:c r="W422" s="192" t="str">
        <x:v>No additional flag</x:v>
      </x:c>
      <x:c r="X422" s="192" t="str">
        <x:v>No structural flag</x:v>
      </x:c>
      <x:c r="Y422" s="192" t="str">
        <x:v>Not Yet Reviewed</x:v>
      </x:c>
      <x:c r="Z422" s="192" t="str">
        <x:v>CTA LMFT WB12; Pearson VUE LMFT Outline Area 6</x:v>
      </x:c>
      <x:c r="AA422" s="192" t="str">
        <x:v>CTA_LMFT_Comprehensive_Simulation_Form_B_Answer_Key_and_Detailed_Rationales_v1.0.docx</x:v>
      </x:c>
      <x:c r="AB422" s="192" t="str">
        <x:v>1.0</x:v>
      </x:c>
      <x:c r="AC422" s="193"/>
      <x:c r="AD422" s="193" t="n">
        <x:v>46228</x:v>
      </x:c>
      <x:c r="AE422" s="192" t="str">
        <x:v>Approved for Form B</x:v>
      </x:c>
      <x:c r="AF422" s="194" t="str">
        <x:v>Form B only; paired alternate retained on the other comprehensive form</x:v>
      </x:c>
    </x:row>
    <x:row r="423">
      <x:c r="A423" s="191" t="str">
        <x:v>CTA-LMFT-MQB-0422</x:v>
      </x:c>
      <x:c r="B423" s="192" t="str">
        <x:v>LMFT-MQB-FB-CE-024</x:v>
      </x:c>
      <x:c r="C423" s="192" t="str">
        <x:v>LMFT</x:v>
      </x:c>
      <x:c r="D423" s="192" t="str">
        <x:v>Comprehensive Simulation</x:v>
      </x:c>
      <x:c r="E423" s="192"/>
      <x:c r="F423" s="192"/>
      <x:c r="G423" s="192" t="str">
        <x:v>Form B</x:v>
      </x:c>
      <x:c r="H423" s="192" t="n">
        <x:v>68</x:v>
      </x:c>
      <x:c r="I423" s="192" t="str">
        <x:v>Scored-Style</x:v>
      </x:c>
      <x:c r="J423" s="192" t="str">
        <x:v>1. Clinical Evaluation</x:v>
      </x:c>
      <x:c r="K423" s="192" t="str">
        <x:v>Possible intoxication at intake</x:v>
      </x:c>
      <x:c r="L423" s="192" t="str"/>
      <x:c r="M423" s="192" t="str">
        <x:v>Moderate</x:v>
      </x:c>
      <x:c r="N423" s="192" t="str">
        <x:v>Moderate</x:v>
      </x:c>
      <x:c r="O423" s="192" t="str">
        <x:v>Scenario-based sequencing</x:v>
      </x:c>
      <x:c r="P423" s="192" t="str">
        <x:v>Scenario-Based</x:v>
      </x:c>
      <x:c r="Q423" s="192" t="n">
        <x:v>4</x:v>
      </x:c>
      <x:c r="R423" s="192" t="str">
        <x:v>A</x:v>
      </x:c>
      <x:c r="S423" s="192" t="str">
        <x:v>Approved</x:v>
      </x:c>
      <x:c r="T423" s="192" t="str">
        <x:v>Active</x:v>
      </x:c>
      <x:c r="U423" s="192" t="n">
        <x:v>1</x:v>
      </x:c>
      <x:c r="V423" s="192" t="str">
        <x:v>LMFT-ALT-024</x:v>
      </x:c>
      <x:c r="W423" s="192" t="str">
        <x:v>No additional flag</x:v>
      </x:c>
      <x:c r="X423" s="192" t="str">
        <x:v>No structural flag</x:v>
      </x:c>
      <x:c r="Y423" s="192" t="str">
        <x:v>Not Yet Reviewed</x:v>
      </x:c>
      <x:c r="Z423" s="192" t="str">
        <x:v>CTA LMFT WB2; CTA LMFT WB6; Pearson VUE LMFT Outline Area 1</x:v>
      </x:c>
      <x:c r="AA423" s="192" t="str">
        <x:v>CTA_LMFT_Comprehensive_Simulation_Form_B_Answer_Key_and_Detailed_Rationales_v1.0.docx</x:v>
      </x:c>
      <x:c r="AB423" s="192" t="str">
        <x:v>1.0</x:v>
      </x:c>
      <x:c r="AC423" s="193"/>
      <x:c r="AD423" s="193" t="n">
        <x:v>46228</x:v>
      </x:c>
      <x:c r="AE423" s="192" t="str">
        <x:v>Approved for Form B</x:v>
      </x:c>
      <x:c r="AF423" s="194" t="str">
        <x:v>Form B only; paired alternate retained on the other comprehensive form</x:v>
      </x:c>
    </x:row>
    <x:row r="424">
      <x:c r="A424" s="191" t="str">
        <x:v>CTA-LMFT-MQB-0423</x:v>
      </x:c>
      <x:c r="B424" s="192" t="str">
        <x:v>LMFT-MQB-FB-CR-004</x:v>
      </x:c>
      <x:c r="C424" s="192" t="str">
        <x:v>LMFT</x:v>
      </x:c>
      <x:c r="D424" s="192" t="str">
        <x:v>Comprehensive Simulation</x:v>
      </x:c>
      <x:c r="E424" s="192"/>
      <x:c r="F424" s="192"/>
      <x:c r="G424" s="192" t="str">
        <x:v>Form B</x:v>
      </x:c>
      <x:c r="H424" s="192" t="n">
        <x:v>69</x:v>
      </x:c>
      <x:c r="I424" s="192" t="str">
        <x:v>Scored-Style</x:v>
      </x:c>
      <x:c r="J424" s="192" t="str">
        <x:v>3. Managing Crisis Situations</x:v>
      </x:c>
      <x:c r="K424" s="192" t="str">
        <x:v>Means safety</x:v>
      </x:c>
      <x:c r="L424" s="192" t="str"/>
      <x:c r="M424" s="192" t="str">
        <x:v>Moderate</x:v>
      </x:c>
      <x:c r="N424" s="192" t="str">
        <x:v>Moderate</x:v>
      </x:c>
      <x:c r="O424" s="192" t="str">
        <x:v>Application</x:v>
      </x:c>
      <x:c r="P424" s="192" t="str">
        <x:v>Application</x:v>
      </x:c>
      <x:c r="Q424" s="192" t="n">
        <x:v>4</x:v>
      </x:c>
      <x:c r="R424" s="192" t="str">
        <x:v>D</x:v>
      </x:c>
      <x:c r="S424" s="192" t="str">
        <x:v>Approved</x:v>
      </x:c>
      <x:c r="T424" s="192" t="str">
        <x:v>Active</x:v>
      </x:c>
      <x:c r="U424" s="192" t="n">
        <x:v>1</x:v>
      </x:c>
      <x:c r="V424" s="192" t="str">
        <x:v>LMFT-ALT-063</x:v>
      </x:c>
      <x:c r="W424" s="192" t="str">
        <x:v>No additional flag</x:v>
      </x:c>
      <x:c r="X424" s="192" t="str">
        <x:v>No structural flag</x:v>
      </x:c>
      <x:c r="Y424" s="192" t="str">
        <x:v>Not Yet Reviewed</x:v>
      </x:c>
      <x:c r="Z424" s="192" t="str">
        <x:v>CTA LMFT WB6; Pearson VUE LMFT Outline Area 3</x:v>
      </x:c>
      <x:c r="AA424" s="192" t="str">
        <x:v>CTA_LMFT_Comprehensive_Simulation_Form_B_Answer_Key_and_Detailed_Rationales_v1.0.docx</x:v>
      </x:c>
      <x:c r="AB424" s="192" t="str">
        <x:v>1.0</x:v>
      </x:c>
      <x:c r="AC424" s="193"/>
      <x:c r="AD424" s="193" t="n">
        <x:v>46228</x:v>
      </x:c>
      <x:c r="AE424" s="192" t="str">
        <x:v>Approved for Form B</x:v>
      </x:c>
      <x:c r="AF424" s="194" t="str">
        <x:v>Form B only; paired alternate retained on the other comprehensive form</x:v>
      </x:c>
    </x:row>
    <x:row r="425">
      <x:c r="A425" s="191" t="str">
        <x:v>CTA-LMFT-MQB-0424</x:v>
      </x:c>
      <x:c r="B425" s="192" t="str">
        <x:v>LMFT-MQB-FB-TX-011</x:v>
      </x:c>
      <x:c r="C425" s="192" t="str">
        <x:v>LMFT</x:v>
      </x:c>
      <x:c r="D425" s="192" t="str">
        <x:v>Comprehensive Simulation</x:v>
      </x:c>
      <x:c r="E425" s="192"/>
      <x:c r="F425" s="192"/>
      <x:c r="G425" s="192" t="str">
        <x:v>Form B</x:v>
      </x:c>
      <x:c r="H425" s="192" t="n">
        <x:v>70</x:v>
      </x:c>
      <x:c r="I425" s="192" t="str">
        <x:v>Scored-Style</x:v>
      </x:c>
      <x:c r="J425" s="192" t="str">
        <x:v>5. Treatment</x:v>
      </x:c>
      <x:c r="K425" s="192" t="str">
        <x:v>Grief support</x:v>
      </x:c>
      <x:c r="L425" s="192" t="str"/>
      <x:c r="M425" s="192" t="str">
        <x:v>Easy</x:v>
      </x:c>
      <x:c r="N425" s="192" t="str">
        <x:v>Easy</x:v>
      </x:c>
      <x:c r="O425" s="192" t="str">
        <x:v>Application</x:v>
      </x:c>
      <x:c r="P425" s="192" t="str">
        <x:v>Application</x:v>
      </x:c>
      <x:c r="Q425" s="192" t="n">
        <x:v>4</x:v>
      </x:c>
      <x:c r="R425" s="192" t="str">
        <x:v>D</x:v>
      </x:c>
      <x:c r="S425" s="192" t="str">
        <x:v>Approved</x:v>
      </x:c>
      <x:c r="T425" s="192" t="str">
        <x:v>Active</x:v>
      </x:c>
      <x:c r="U425" s="192" t="n">
        <x:v>1</x:v>
      </x:c>
      <x:c r="V425" s="192" t="str">
        <x:v>LMFT-ALT-118</x:v>
      </x:c>
      <x:c r="W425" s="192" t="str">
        <x:v>No additional flag</x:v>
      </x:c>
      <x:c r="X425" s="192" t="str">
        <x:v>No structural flag</x:v>
      </x:c>
      <x:c r="Y425" s="192" t="str">
        <x:v>Not Yet Reviewed</x:v>
      </x:c>
      <x:c r="Z425" s="192" t="str">
        <x:v>CTA LMFT WB9; Pearson VUE LMFT Outline Area 5</x:v>
      </x:c>
      <x:c r="AA425" s="192" t="str">
        <x:v>CTA_LMFT_Comprehensive_Simulation_Form_B_Answer_Key_and_Detailed_Rationales_v1.0.docx</x:v>
      </x:c>
      <x:c r="AB425" s="192" t="str">
        <x:v>1.0</x:v>
      </x:c>
      <x:c r="AC425" s="193"/>
      <x:c r="AD425" s="193" t="n">
        <x:v>46228</x:v>
      </x:c>
      <x:c r="AE425" s="192" t="str">
        <x:v>Approved for Form B</x:v>
      </x:c>
      <x:c r="AF425" s="194" t="str">
        <x:v>Form B only; paired alternate retained on the other comprehensive form</x:v>
      </x:c>
    </x:row>
    <x:row r="426">
      <x:c r="A426" s="191" t="str">
        <x:v>CTA-LMFT-MQB-0425</x:v>
      </x:c>
      <x:c r="B426" s="192" t="str">
        <x:v>LMFT-MQB-FB-LE-008</x:v>
      </x:c>
      <x:c r="C426" s="192" t="str">
        <x:v>LMFT</x:v>
      </x:c>
      <x:c r="D426" s="192" t="str">
        <x:v>Comprehensive Simulation</x:v>
      </x:c>
      <x:c r="E426" s="192"/>
      <x:c r="F426" s="192"/>
      <x:c r="G426" s="192" t="str">
        <x:v>Form B</x:v>
      </x:c>
      <x:c r="H426" s="192" t="n">
        <x:v>71</x:v>
      </x:c>
      <x:c r="I426" s="192" t="str">
        <x:v>Scored-Style</x:v>
      </x:c>
      <x:c r="J426" s="192" t="str">
        <x:v>6. Managing Legal and Ethical Obligations within the Therapeutic Relationship</x:v>
      </x:c>
      <x:c r="K426" s="192" t="str">
        <x:v>Renewed consent for recording</x:v>
      </x:c>
      <x:c r="L426" s="192" t="str"/>
      <x:c r="M426" s="192" t="str">
        <x:v>Easy</x:v>
      </x:c>
      <x:c r="N426" s="192" t="str">
        <x:v>Easy</x:v>
      </x:c>
      <x:c r="O426" s="192" t="str">
        <x:v>Scenario-based sequencing</x:v>
      </x:c>
      <x:c r="P426" s="192" t="str">
        <x:v>Scenario-Based</x:v>
      </x:c>
      <x:c r="Q426" s="192" t="n">
        <x:v>4</x:v>
      </x:c>
      <x:c r="R426" s="192" t="str">
        <x:v>B</x:v>
      </x:c>
      <x:c r="S426" s="192" t="str">
        <x:v>Approved</x:v>
      </x:c>
      <x:c r="T426" s="192" t="str">
        <x:v>Active</x:v>
      </x:c>
      <x:c r="U426" s="192" t="n">
        <x:v>1</x:v>
      </x:c>
      <x:c r="V426" s="192" t="str">
        <x:v>LMFT-ALT-100</x:v>
      </x:c>
      <x:c r="W426" s="192" t="str">
        <x:v>No additional flag</x:v>
      </x:c>
      <x:c r="X426" s="192" t="str">
        <x:v>No structural flag</x:v>
      </x:c>
      <x:c r="Y426" s="192" t="str">
        <x:v>Not Yet Reviewed</x:v>
      </x:c>
      <x:c r="Z426" s="192" t="str">
        <x:v>CTA LMFT WB12; Pearson VUE LMFT Outline Area 6</x:v>
      </x:c>
      <x:c r="AA426" s="192" t="str">
        <x:v>CTA_LMFT_Comprehensive_Simulation_Form_B_Answer_Key_and_Detailed_Rationales_v1.0.docx</x:v>
      </x:c>
      <x:c r="AB426" s="192" t="str">
        <x:v>1.0</x:v>
      </x:c>
      <x:c r="AC426" s="193"/>
      <x:c r="AD426" s="193" t="n">
        <x:v>46228</x:v>
      </x:c>
      <x:c r="AE426" s="192" t="str">
        <x:v>Approved for Form B</x:v>
      </x:c>
      <x:c r="AF426" s="194" t="str">
        <x:v>Form B only; paired alternate retained on the other comprehensive form</x:v>
      </x:c>
    </x:row>
    <x:row r="427">
      <x:c r="A427" s="191" t="str">
        <x:v>CTA-LMFT-MQB-0426</x:v>
      </x:c>
      <x:c r="B427" s="192" t="str">
        <x:v>LMFT-MQB-FB-DI-006</x:v>
      </x:c>
      <x:c r="C427" s="192" t="str">
        <x:v>LMFT</x:v>
      </x:c>
      <x:c r="D427" s="192" t="str">
        <x:v>Comprehensive Simulation</x:v>
      </x:c>
      <x:c r="E427" s="192"/>
      <x:c r="F427" s="192"/>
      <x:c r="G427" s="192" t="str">
        <x:v>Form B</x:v>
      </x:c>
      <x:c r="H427" s="192" t="n">
        <x:v>72</x:v>
      </x:c>
      <x:c r="I427" s="192" t="str">
        <x:v>Pretest-Style</x:v>
      </x:c>
      <x:c r="J427" s="192" t="str">
        <x:v>2. Developing a Diagnostic Impression</x:v>
      </x:c>
      <x:c r="K427" s="192" t="str">
        <x:v>Substance-induced symptoms</x:v>
      </x:c>
      <x:c r="L427" s="192" t="str"/>
      <x:c r="M427" s="192" t="str">
        <x:v>Easy</x:v>
      </x:c>
      <x:c r="N427" s="192" t="str">
        <x:v>Easy</x:v>
      </x:c>
      <x:c r="O427" s="192" t="str">
        <x:v>Application</x:v>
      </x:c>
      <x:c r="P427" s="192" t="str">
        <x:v>Application</x:v>
      </x:c>
      <x:c r="Q427" s="192" t="n">
        <x:v>4</x:v>
      </x:c>
      <x:c r="R427" s="192" t="str">
        <x:v>C</x:v>
      </x:c>
      <x:c r="S427" s="192" t="str">
        <x:v>Approved</x:v>
      </x:c>
      <x:c r="T427" s="192" t="str">
        <x:v>Active</x:v>
      </x:c>
      <x:c r="U427" s="192" t="n">
        <x:v>1</x:v>
      </x:c>
      <x:c r="V427" s="192" t="str">
        <x:v>LMFT-ALT-081</x:v>
      </x:c>
      <x:c r="W427" s="192" t="str">
        <x:v>No additional flag</x:v>
      </x:c>
      <x:c r="X427" s="192" t="str">
        <x:v>No structural flag</x:v>
      </x:c>
      <x:c r="Y427" s="192" t="str">
        <x:v>Not Yet Reviewed</x:v>
      </x:c>
      <x:c r="Z427" s="192" t="str">
        <x:v>CTA LMFT WB5; Pearson VUE LMFT Outline Area 2</x:v>
      </x:c>
      <x:c r="AA427" s="192" t="str">
        <x:v>CTA_LMFT_Comprehensive_Simulation_Form_B_Answer_Key_and_Detailed_Rationales_v1.0.docx</x:v>
      </x:c>
      <x:c r="AB427" s="192" t="str">
        <x:v>1.0</x:v>
      </x:c>
      <x:c r="AC427" s="193"/>
      <x:c r="AD427" s="193" t="n">
        <x:v>46228</x:v>
      </x:c>
      <x:c r="AE427" s="192" t="str">
        <x:v>Approved for Form B</x:v>
      </x:c>
      <x:c r="AF427" s="194" t="str">
        <x:v>Form B only; paired alternate retained on the other comprehensive form</x:v>
      </x:c>
    </x:row>
    <x:row r="428">
      <x:c r="A428" s="191" t="str">
        <x:v>CTA-LMFT-MQB-0427</x:v>
      </x:c>
      <x:c r="B428" s="192" t="str">
        <x:v>LMFT-MQB-FB-CE-030</x:v>
      </x:c>
      <x:c r="C428" s="192" t="str">
        <x:v>LMFT</x:v>
      </x:c>
      <x:c r="D428" s="192" t="str">
        <x:v>Comprehensive Simulation</x:v>
      </x:c>
      <x:c r="E428" s="192"/>
      <x:c r="F428" s="192"/>
      <x:c r="G428" s="192" t="str">
        <x:v>Form B</x:v>
      </x:c>
      <x:c r="H428" s="192" t="n">
        <x:v>73</x:v>
      </x:c>
      <x:c r="I428" s="192" t="str">
        <x:v>Scored-Style</x:v>
      </x:c>
      <x:c r="J428" s="192" t="str">
        <x:v>1. Clinical Evaluation</x:v>
      </x:c>
      <x:c r="K428" s="192" t="str">
        <x:v>Possible cognitive disorder</x:v>
      </x:c>
      <x:c r="L428" s="192" t="str"/>
      <x:c r="M428" s="192" t="str">
        <x:v>Moderate</x:v>
      </x:c>
      <x:c r="N428" s="192" t="str">
        <x:v>Moderate</x:v>
      </x:c>
      <x:c r="O428" s="192" t="str">
        <x:v>Scenario-based sequencing</x:v>
      </x:c>
      <x:c r="P428" s="192" t="str">
        <x:v>Scenario-Based</x:v>
      </x:c>
      <x:c r="Q428" s="192" t="n">
        <x:v>4</x:v>
      </x:c>
      <x:c r="R428" s="192" t="str">
        <x:v>D</x:v>
      </x:c>
      <x:c r="S428" s="192" t="str">
        <x:v>Approved</x:v>
      </x:c>
      <x:c r="T428" s="192" t="str">
        <x:v>Active</x:v>
      </x:c>
      <x:c r="U428" s="192" t="n">
        <x:v>1</x:v>
      </x:c>
      <x:c r="V428" s="192" t="str">
        <x:v>LMFT-ALT-030</x:v>
      </x:c>
      <x:c r="W428" s="192" t="str">
        <x:v>No additional flag</x:v>
      </x:c>
      <x:c r="X428" s="192" t="str">
        <x:v>No structural flag</x:v>
      </x:c>
      <x:c r="Y428" s="192" t="str">
        <x:v>Not Yet Reviewed</x:v>
      </x:c>
      <x:c r="Z428" s="192" t="str">
        <x:v>CTA LMFT WB2; CTA LMFT WB3; Pearson VUE LMFT Outline Area 1</x:v>
      </x:c>
      <x:c r="AA428" s="192" t="str">
        <x:v>CTA_LMFT_Comprehensive_Simulation_Form_B_Answer_Key_and_Detailed_Rationales_v1.0.docx</x:v>
      </x:c>
      <x:c r="AB428" s="192" t="str">
        <x:v>1.0</x:v>
      </x:c>
      <x:c r="AC428" s="193"/>
      <x:c r="AD428" s="193" t="n">
        <x:v>46228</x:v>
      </x:c>
      <x:c r="AE428" s="192" t="str">
        <x:v>Approved for Form B</x:v>
      </x:c>
      <x:c r="AF428" s="194" t="str">
        <x:v>Form B only; paired alternate retained on the other comprehensive form</x:v>
      </x:c>
    </x:row>
    <x:row r="429">
      <x:c r="A429" s="191" t="str">
        <x:v>CTA-LMFT-MQB-0428</x:v>
      </x:c>
      <x:c r="B429" s="192" t="str">
        <x:v>LMFT-MQB-FB-TX-002</x:v>
      </x:c>
      <x:c r="C429" s="192" t="str">
        <x:v>LMFT</x:v>
      </x:c>
      <x:c r="D429" s="192" t="str">
        <x:v>Comprehensive Simulation</x:v>
      </x:c>
      <x:c r="E429" s="192"/>
      <x:c r="F429" s="192"/>
      <x:c r="G429" s="192" t="str">
        <x:v>Form B</x:v>
      </x:c>
      <x:c r="H429" s="192" t="n">
        <x:v>74</x:v>
      </x:c>
      <x:c r="I429" s="192" t="str">
        <x:v>Scored-Style</x:v>
      </x:c>
      <x:c r="J429" s="192" t="str">
        <x:v>5. Treatment</x:v>
      </x:c>
      <x:c r="K429" s="192" t="str">
        <x:v>Motivational interviewing</x:v>
      </x:c>
      <x:c r="L429" s="192" t="str"/>
      <x:c r="M429" s="192" t="str">
        <x:v>Easy</x:v>
      </x:c>
      <x:c r="N429" s="192" t="str">
        <x:v>Easy</x:v>
      </x:c>
      <x:c r="O429" s="192" t="str">
        <x:v>Direct recognition</x:v>
      </x:c>
      <x:c r="P429" s="192" t="str">
        <x:v>Knowledge &amp; Recall</x:v>
      </x:c>
      <x:c r="Q429" s="192" t="n">
        <x:v>4</x:v>
      </x:c>
      <x:c r="R429" s="192" t="str">
        <x:v>B</x:v>
      </x:c>
      <x:c r="S429" s="192" t="str">
        <x:v>Approved</x:v>
      </x:c>
      <x:c r="T429" s="192" t="str">
        <x:v>Active</x:v>
      </x:c>
      <x:c r="U429" s="192" t="n">
        <x:v>1</x:v>
      </x:c>
      <x:c r="V429" s="192" t="str">
        <x:v>LMFT-ALT-109</x:v>
      </x:c>
      <x:c r="W429" s="192" t="str">
        <x:v>No additional flag</x:v>
      </x:c>
      <x:c r="X429" s="192" t="str">
        <x:v>No structural flag</x:v>
      </x:c>
      <x:c r="Y429" s="192" t="str">
        <x:v>Not Yet Reviewed</x:v>
      </x:c>
      <x:c r="Z429" s="192" t="str">
        <x:v>CTA LMFT WB9; Pearson VUE LMFT Outline Area 5</x:v>
      </x:c>
      <x:c r="AA429" s="192" t="str">
        <x:v>CTA_LMFT_Comprehensive_Simulation_Form_B_Answer_Key_and_Detailed_Rationales_v1.0.docx</x:v>
      </x:c>
      <x:c r="AB429" s="192" t="str">
        <x:v>1.0</x:v>
      </x:c>
      <x:c r="AC429" s="193"/>
      <x:c r="AD429" s="193" t="n">
        <x:v>46228</x:v>
      </x:c>
      <x:c r="AE429" s="192" t="str">
        <x:v>Approved for Form B</x:v>
      </x:c>
      <x:c r="AF429" s="194" t="str">
        <x:v>Form B only; paired alternate retained on the other comprehensive form</x:v>
      </x:c>
    </x:row>
    <x:row r="430">
      <x:c r="A430" s="191" t="str">
        <x:v>CTA-LMFT-MQB-0429</x:v>
      </x:c>
      <x:c r="B430" s="192" t="str">
        <x:v>LMFT-MQB-FB-CE-040</x:v>
      </x:c>
      <x:c r="C430" s="192" t="str">
        <x:v>LMFT</x:v>
      </x:c>
      <x:c r="D430" s="192" t="str">
        <x:v>Comprehensive Simulation</x:v>
      </x:c>
      <x:c r="E430" s="192"/>
      <x:c r="F430" s="192"/>
      <x:c r="G430" s="192" t="str">
        <x:v>Form B</x:v>
      </x:c>
      <x:c r="H430" s="192" t="n">
        <x:v>75</x:v>
      </x:c>
      <x:c r="I430" s="192" t="str">
        <x:v>Scored-Style</x:v>
      </x:c>
      <x:c r="J430" s="192" t="str">
        <x:v>1. Clinical Evaluation</x:v>
      </x:c>
      <x:c r="K430" s="192" t="str">
        <x:v>Complex older-adult evaluation</x:v>
      </x:c>
      <x:c r="L430" s="192" t="str"/>
      <x:c r="M430" s="192" t="str">
        <x:v>Difficult</x:v>
      </x:c>
      <x:c r="N430" s="192" t="str">
        <x:v>Difficult</x:v>
      </x:c>
      <x:c r="O430" s="192" t="str">
        <x:v>Integrated reasoning</x:v>
      </x:c>
      <x:c r="P430" s="192" t="str">
        <x:v>Integrated Clinical Reasoning</x:v>
      </x:c>
      <x:c r="Q430" s="192" t="n">
        <x:v>4</x:v>
      </x:c>
      <x:c r="R430" s="192" t="str">
        <x:v>C</x:v>
      </x:c>
      <x:c r="S430" s="192" t="str">
        <x:v>Approved</x:v>
      </x:c>
      <x:c r="T430" s="192" t="str">
        <x:v>Active</x:v>
      </x:c>
      <x:c r="U430" s="192" t="n">
        <x:v>1</x:v>
      </x:c>
      <x:c r="V430" s="192" t="str">
        <x:v>LMFT-ALT-040</x:v>
      </x:c>
      <x:c r="W430" s="192" t="str">
        <x:v>No additional flag</x:v>
      </x:c>
      <x:c r="X430" s="192" t="str">
        <x:v>No structural flag</x:v>
      </x:c>
      <x:c r="Y430" s="192" t="str">
        <x:v>Not Yet Reviewed</x:v>
      </x:c>
      <x:c r="Z430" s="192" t="str">
        <x:v>CTA LMFT WB3; CTA LMFT WB4; CTA LMFT WB6; Pearson VUE LMFT Outline Area 1</x:v>
      </x:c>
      <x:c r="AA430" s="192" t="str">
        <x:v>CTA_LMFT_Comprehensive_Simulation_Form_B_Answer_Key_and_Detailed_Rationales_v1.0.docx</x:v>
      </x:c>
      <x:c r="AB430" s="192" t="str">
        <x:v>1.0</x:v>
      </x:c>
      <x:c r="AC430" s="193"/>
      <x:c r="AD430" s="193" t="n">
        <x:v>46228</x:v>
      </x:c>
      <x:c r="AE430" s="192" t="str">
        <x:v>Approved for Form B</x:v>
      </x:c>
      <x:c r="AF430" s="194" t="str">
        <x:v>Form B only; paired alternate retained on the other comprehensive form</x:v>
      </x:c>
    </x:row>
    <x:row r="431">
      <x:c r="A431" s="191" t="str">
        <x:v>CTA-LMFT-MQB-0430</x:v>
      </x:c>
      <x:c r="B431" s="192" t="str">
        <x:v>LMFT-MQB-FB-CE-025</x:v>
      </x:c>
      <x:c r="C431" s="192" t="str">
        <x:v>LMFT</x:v>
      </x:c>
      <x:c r="D431" s="192" t="str">
        <x:v>Comprehensive Simulation</x:v>
      </x:c>
      <x:c r="E431" s="192"/>
      <x:c r="F431" s="192"/>
      <x:c r="G431" s="192" t="str">
        <x:v>Form B</x:v>
      </x:c>
      <x:c r="H431" s="192" t="n">
        <x:v>76</x:v>
      </x:c>
      <x:c r="I431" s="192" t="str">
        <x:v>Scored-Style</x:v>
      </x:c>
      <x:c r="J431" s="192" t="str">
        <x:v>1. Clinical Evaluation</x:v>
      </x:c>
      <x:c r="K431" s="192" t="str">
        <x:v>Child behavior across settings</x:v>
      </x:c>
      <x:c r="L431" s="192" t="str"/>
      <x:c r="M431" s="192" t="str">
        <x:v>Moderate</x:v>
      </x:c>
      <x:c r="N431" s="192" t="str">
        <x:v>Moderate</x:v>
      </x:c>
      <x:c r="O431" s="192" t="str">
        <x:v>Scenario-based sequencing</x:v>
      </x:c>
      <x:c r="P431" s="192" t="str">
        <x:v>Scenario-Based</x:v>
      </x:c>
      <x:c r="Q431" s="192" t="n">
        <x:v>4</x:v>
      </x:c>
      <x:c r="R431" s="192" t="str">
        <x:v>D</x:v>
      </x:c>
      <x:c r="S431" s="192" t="str">
        <x:v>Approved</x:v>
      </x:c>
      <x:c r="T431" s="192" t="str">
        <x:v>Active</x:v>
      </x:c>
      <x:c r="U431" s="192" t="n">
        <x:v>1</x:v>
      </x:c>
      <x:c r="V431" s="192" t="str">
        <x:v>LMFT-ALT-025</x:v>
      </x:c>
      <x:c r="W431" s="192" t="str">
        <x:v>No additional flag</x:v>
      </x:c>
      <x:c r="X431" s="192" t="str">
        <x:v>No structural flag</x:v>
      </x:c>
      <x:c r="Y431" s="192" t="str">
        <x:v>Not Yet Reviewed</x:v>
      </x:c>
      <x:c r="Z431" s="192" t="str">
        <x:v>CTA LMFT WB3; CTA LMFT WB4; Pearson VUE LMFT Outline Area 1</x:v>
      </x:c>
      <x:c r="AA431" s="192" t="str">
        <x:v>CTA_LMFT_Comprehensive_Simulation_Form_B_Answer_Key_and_Detailed_Rationales_v1.0.docx</x:v>
      </x:c>
      <x:c r="AB431" s="192" t="str">
        <x:v>1.0</x:v>
      </x:c>
      <x:c r="AC431" s="193"/>
      <x:c r="AD431" s="193" t="n">
        <x:v>46228</x:v>
      </x:c>
      <x:c r="AE431" s="192" t="str">
        <x:v>Approved for Form B</x:v>
      </x:c>
      <x:c r="AF431" s="194" t="str">
        <x:v>Form B only; paired alternate retained on the other comprehensive form</x:v>
      </x:c>
    </x:row>
    <x:row r="432">
      <x:c r="A432" s="191" t="str">
        <x:v>CTA-LMFT-MQB-0431</x:v>
      </x:c>
      <x:c r="B432" s="192" t="str">
        <x:v>LMFT-MQB-FB-CP-013</x:v>
      </x:c>
      <x:c r="C432" s="192" t="str">
        <x:v>LMFT</x:v>
      </x:c>
      <x:c r="D432" s="192" t="str">
        <x:v>Comprehensive Simulation</x:v>
      </x:c>
      <x:c r="E432" s="192"/>
      <x:c r="F432" s="192"/>
      <x:c r="G432" s="192" t="str">
        <x:v>Form B</x:v>
      </x:c>
      <x:c r="H432" s="192" t="n">
        <x:v>77</x:v>
      </x:c>
      <x:c r="I432" s="192" t="str">
        <x:v>Scored-Style</x:v>
      </x:c>
      <x:c r="J432" s="192" t="str">
        <x:v>4. Case Conceptualization and Planning</x:v>
      </x:c>
      <x:c r="K432" s="192" t="str">
        <x:v>Termination planning</x:v>
      </x:c>
      <x:c r="L432" s="192" t="str"/>
      <x:c r="M432" s="192" t="str">
        <x:v>Moderate</x:v>
      </x:c>
      <x:c r="N432" s="192" t="str">
        <x:v>Moderate</x:v>
      </x:c>
      <x:c r="O432" s="192" t="str">
        <x:v>Scenario-based sequencing</x:v>
      </x:c>
      <x:c r="P432" s="192" t="str">
        <x:v>Scenario-Based</x:v>
      </x:c>
      <x:c r="Q432" s="192" t="n">
        <x:v>4</x:v>
      </x:c>
      <x:c r="R432" s="192" t="str">
        <x:v>C</x:v>
      </x:c>
      <x:c r="S432" s="192" t="str">
        <x:v>Approved</x:v>
      </x:c>
      <x:c r="T432" s="192" t="str">
        <x:v>Active</x:v>
      </x:c>
      <x:c r="U432" s="192" t="n">
        <x:v>1</x:v>
      </x:c>
      <x:c r="V432" s="192" t="str">
        <x:v>LMFT-ALT-054</x:v>
      </x:c>
      <x:c r="W432" s="192" t="str">
        <x:v>No additional flag</x:v>
      </x:c>
      <x:c r="X432" s="192" t="str">
        <x:v>No structural flag</x:v>
      </x:c>
      <x:c r="Y432" s="192" t="str">
        <x:v>Not Yet Reviewed</x:v>
      </x:c>
      <x:c r="Z432" s="192" t="str">
        <x:v>CTA LMFT WB7; Pearson VUE LMFT Outline Area 4</x:v>
      </x:c>
      <x:c r="AA432" s="192" t="str">
        <x:v>CTA_LMFT_Comprehensive_Simulation_Form_B_Answer_Key_and_Detailed_Rationales_v1.0.docx</x:v>
      </x:c>
      <x:c r="AB432" s="192" t="str">
        <x:v>1.0</x:v>
      </x:c>
      <x:c r="AC432" s="193"/>
      <x:c r="AD432" s="193" t="n">
        <x:v>46228</x:v>
      </x:c>
      <x:c r="AE432" s="192" t="str">
        <x:v>Approved for Form B</x:v>
      </x:c>
      <x:c r="AF432" s="194" t="str">
        <x:v>Form B only; paired alternate retained on the other comprehensive form</x:v>
      </x:c>
    </x:row>
    <x:row r="433">
      <x:c r="A433" s="191" t="str">
        <x:v>CTA-LMFT-MQB-0432</x:v>
      </x:c>
      <x:c r="B433" s="192" t="str">
        <x:v>LMFT-MQB-FB-CR-002</x:v>
      </x:c>
      <x:c r="C433" s="192" t="str">
        <x:v>LMFT</x:v>
      </x:c>
      <x:c r="D433" s="192" t="str">
        <x:v>Comprehensive Simulation</x:v>
      </x:c>
      <x:c r="E433" s="192"/>
      <x:c r="F433" s="192"/>
      <x:c r="G433" s="192" t="str">
        <x:v>Form B</x:v>
      </x:c>
      <x:c r="H433" s="192" t="n">
        <x:v>78</x:v>
      </x:c>
      <x:c r="I433" s="192" t="str">
        <x:v>Scored-Style</x:v>
      </x:c>
      <x:c r="J433" s="192" t="str">
        <x:v>3. Managing Crisis Situations</x:v>
      </x:c>
      <x:c r="K433" s="192" t="str">
        <x:v>Safety planning</x:v>
      </x:c>
      <x:c r="L433" s="192" t="str"/>
      <x:c r="M433" s="192" t="str">
        <x:v>Easy</x:v>
      </x:c>
      <x:c r="N433" s="192" t="str">
        <x:v>Easy</x:v>
      </x:c>
      <x:c r="O433" s="192" t="str">
        <x:v>Application</x:v>
      </x:c>
      <x:c r="P433" s="192" t="str">
        <x:v>Application</x:v>
      </x:c>
      <x:c r="Q433" s="192" t="n">
        <x:v>4</x:v>
      </x:c>
      <x:c r="R433" s="192" t="str">
        <x:v>C</x:v>
      </x:c>
      <x:c r="S433" s="192" t="str">
        <x:v>Approved</x:v>
      </x:c>
      <x:c r="T433" s="192" t="str">
        <x:v>Active</x:v>
      </x:c>
      <x:c r="U433" s="192" t="n">
        <x:v>1</x:v>
      </x:c>
      <x:c r="V433" s="192" t="str">
        <x:v>LMFT-ALT-061</x:v>
      </x:c>
      <x:c r="W433" s="192" t="str">
        <x:v>No additional flag</x:v>
      </x:c>
      <x:c r="X433" s="192" t="str">
        <x:v>No structural flag</x:v>
      </x:c>
      <x:c r="Y433" s="192" t="str">
        <x:v>Not Yet Reviewed</x:v>
      </x:c>
      <x:c r="Z433" s="192" t="str">
        <x:v>CTA LMFT WB6; Pearson VUE LMFT Outline Area 3</x:v>
      </x:c>
      <x:c r="AA433" s="192" t="str">
        <x:v>CTA_LMFT_Comprehensive_Simulation_Form_B_Answer_Key_and_Detailed_Rationales_v1.0.docx</x:v>
      </x:c>
      <x:c r="AB433" s="192" t="str">
        <x:v>1.0</x:v>
      </x:c>
      <x:c r="AC433" s="193"/>
      <x:c r="AD433" s="193" t="n">
        <x:v>46228</x:v>
      </x:c>
      <x:c r="AE433" s="192" t="str">
        <x:v>Approved for Form B</x:v>
      </x:c>
      <x:c r="AF433" s="194" t="str">
        <x:v>Form B only; paired alternate retained on the other comprehensive form</x:v>
      </x:c>
    </x:row>
    <x:row r="434">
      <x:c r="A434" s="191" t="str">
        <x:v>CTA-LMFT-MQB-0433</x:v>
      </x:c>
      <x:c r="B434" s="192" t="str">
        <x:v>LMFT-MQB-FB-TX-041</x:v>
      </x:c>
      <x:c r="C434" s="192" t="str">
        <x:v>LMFT</x:v>
      </x:c>
      <x:c r="D434" s="192" t="str">
        <x:v>Comprehensive Simulation</x:v>
      </x:c>
      <x:c r="E434" s="192"/>
      <x:c r="F434" s="192"/>
      <x:c r="G434" s="192" t="str">
        <x:v>Form B</x:v>
      </x:c>
      <x:c r="H434" s="192" t="n">
        <x:v>79</x:v>
      </x:c>
      <x:c r="I434" s="192" t="str">
        <x:v>Scored-Style</x:v>
      </x:c>
      <x:c r="J434" s="192" t="str">
        <x:v>5. Treatment</x:v>
      </x:c>
      <x:c r="K434" s="192" t="str">
        <x:v>Integrated neurodiversity and couple treatment</x:v>
      </x:c>
      <x:c r="L434" s="192" t="str"/>
      <x:c r="M434" s="192" t="str">
        <x:v>Difficult</x:v>
      </x:c>
      <x:c r="N434" s="192" t="str">
        <x:v>Difficult</x:v>
      </x:c>
      <x:c r="O434" s="192" t="str">
        <x:v>Integrated reasoning</x:v>
      </x:c>
      <x:c r="P434" s="192" t="str">
        <x:v>Integrated Clinical Reasoning</x:v>
      </x:c>
      <x:c r="Q434" s="192" t="n">
        <x:v>4</x:v>
      </x:c>
      <x:c r="R434" s="192" t="str">
        <x:v>C</x:v>
      </x:c>
      <x:c r="S434" s="192" t="str">
        <x:v>Approved</x:v>
      </x:c>
      <x:c r="T434" s="192" t="str">
        <x:v>Active</x:v>
      </x:c>
      <x:c r="U434" s="192" t="n">
        <x:v>1</x:v>
      </x:c>
      <x:c r="V434" s="192" t="str">
        <x:v>LMFT-ALT-148</x:v>
      </x:c>
      <x:c r="W434" s="192" t="str">
        <x:v>No additional flag</x:v>
      </x:c>
      <x:c r="X434" s="192" t="str">
        <x:v>No structural flag</x:v>
      </x:c>
      <x:c r="Y434" s="192" t="str">
        <x:v>Not Yet Reviewed</x:v>
      </x:c>
      <x:c r="Z434" s="192" t="str">
        <x:v>CTA LMFT WB8; CTA LMFT WB10; Pearson VUE LMFT Outline Area 5</x:v>
      </x:c>
      <x:c r="AA434" s="192" t="str">
        <x:v>CTA_LMFT_Comprehensive_Simulation_Form_B_Answer_Key_and_Detailed_Rationales_v1.0.docx</x:v>
      </x:c>
      <x:c r="AB434" s="192" t="str">
        <x:v>1.0</x:v>
      </x:c>
      <x:c r="AC434" s="193"/>
      <x:c r="AD434" s="193" t="n">
        <x:v>46228</x:v>
      </x:c>
      <x:c r="AE434" s="192" t="str">
        <x:v>Approved for Form B</x:v>
      </x:c>
      <x:c r="AF434" s="194" t="str">
        <x:v>Form B only; paired alternate retained on the other comprehensive form</x:v>
      </x:c>
    </x:row>
    <x:row r="435">
      <x:c r="A435" s="191" t="str">
        <x:v>CTA-LMFT-MQB-0434</x:v>
      </x:c>
      <x:c r="B435" s="192" t="str">
        <x:v>LMFT-MQB-FB-CP-009</x:v>
      </x:c>
      <x:c r="C435" s="192" t="str">
        <x:v>LMFT</x:v>
      </x:c>
      <x:c r="D435" s="192" t="str">
        <x:v>Comprehensive Simulation</x:v>
      </x:c>
      <x:c r="E435" s="192"/>
      <x:c r="F435" s="192"/>
      <x:c r="G435" s="192" t="str">
        <x:v>Form B</x:v>
      </x:c>
      <x:c r="H435" s="192" t="n">
        <x:v>80</x:v>
      </x:c>
      <x:c r="I435" s="192" t="str">
        <x:v>Pretest-Style</x:v>
      </x:c>
      <x:c r="J435" s="192" t="str">
        <x:v>4. Case Conceptualization and Planning</x:v>
      </x:c>
      <x:c r="K435" s="192" t="str">
        <x:v>Level of care</x:v>
      </x:c>
      <x:c r="L435" s="192" t="str"/>
      <x:c r="M435" s="192" t="str">
        <x:v>Difficult</x:v>
      </x:c>
      <x:c r="N435" s="192" t="str">
        <x:v>Difficult</x:v>
      </x:c>
      <x:c r="O435" s="192" t="str">
        <x:v>Application</x:v>
      </x:c>
      <x:c r="P435" s="192" t="str">
        <x:v>Application</x:v>
      </x:c>
      <x:c r="Q435" s="192" t="n">
        <x:v>4</x:v>
      </x:c>
      <x:c r="R435" s="192" t="str">
        <x:v>A</x:v>
      </x:c>
      <x:c r="S435" s="192" t="str">
        <x:v>Approved</x:v>
      </x:c>
      <x:c r="T435" s="192" t="str">
        <x:v>Active</x:v>
      </x:c>
      <x:c r="U435" s="192" t="n">
        <x:v>1</x:v>
      </x:c>
      <x:c r="V435" s="192" t="str">
        <x:v>LMFT-ALT-050</x:v>
      </x:c>
      <x:c r="W435" s="192" t="str">
        <x:v>No additional flag</x:v>
      </x:c>
      <x:c r="X435" s="192" t="str">
        <x:v>No structural flag</x:v>
      </x:c>
      <x:c r="Y435" s="192" t="str">
        <x:v>Not Yet Reviewed</x:v>
      </x:c>
      <x:c r="Z435" s="192" t="str">
        <x:v>CTA LMFT WB6; CTA LMFT WB7; Pearson VUE LMFT Outline Area 4</x:v>
      </x:c>
      <x:c r="AA435" s="192" t="str">
        <x:v>CTA_LMFT_Comprehensive_Simulation_Form_B_Answer_Key_and_Detailed_Rationales_v1.0.docx</x:v>
      </x:c>
      <x:c r="AB435" s="192" t="str">
        <x:v>1.0</x:v>
      </x:c>
      <x:c r="AC435" s="193"/>
      <x:c r="AD435" s="193" t="n">
        <x:v>46228</x:v>
      </x:c>
      <x:c r="AE435" s="192" t="str">
        <x:v>Approved for Form B</x:v>
      </x:c>
      <x:c r="AF435" s="194" t="str">
        <x:v>Form B only; paired alternate retained on the other comprehensive form</x:v>
      </x:c>
    </x:row>
    <x:row r="436">
      <x:c r="A436" s="191" t="str">
        <x:v>CTA-LMFT-MQB-0435</x:v>
      </x:c>
      <x:c r="B436" s="192" t="str">
        <x:v>LMFT-MQB-FB-TX-033</x:v>
      </x:c>
      <x:c r="C436" s="192" t="str">
        <x:v>LMFT</x:v>
      </x:c>
      <x:c r="D436" s="192" t="str">
        <x:v>Comprehensive Simulation</x:v>
      </x:c>
      <x:c r="E436" s="192"/>
      <x:c r="F436" s="192"/>
      <x:c r="G436" s="192" t="str">
        <x:v>Form B</x:v>
      </x:c>
      <x:c r="H436" s="192" t="n">
        <x:v>81</x:v>
      </x:c>
      <x:c r="I436" s="192" t="str">
        <x:v>Scored-Style</x:v>
      </x:c>
      <x:c r="J436" s="192" t="str">
        <x:v>5. Treatment</x:v>
      </x:c>
      <x:c r="K436" s="192" t="str">
        <x:v>Coercive violence and conjoint work</x:v>
      </x:c>
      <x:c r="L436" s="192" t="str"/>
      <x:c r="M436" s="192" t="str">
        <x:v>Difficult</x:v>
      </x:c>
      <x:c r="N436" s="192" t="str">
        <x:v>Difficult</x:v>
      </x:c>
      <x:c r="O436" s="192" t="str">
        <x:v>Scenario-based sequencing</x:v>
      </x:c>
      <x:c r="P436" s="192" t="str">
        <x:v>Scenario-Based</x:v>
      </x:c>
      <x:c r="Q436" s="192" t="n">
        <x:v>4</x:v>
      </x:c>
      <x:c r="R436" s="192" t="str">
        <x:v>D</x:v>
      </x:c>
      <x:c r="S436" s="192" t="str">
        <x:v>Approved</x:v>
      </x:c>
      <x:c r="T436" s="192" t="str">
        <x:v>Active</x:v>
      </x:c>
      <x:c r="U436" s="192" t="n">
        <x:v>1</x:v>
      </x:c>
      <x:c r="V436" s="192" t="str">
        <x:v>LMFT-ALT-140</x:v>
      </x:c>
      <x:c r="W436" s="192" t="str">
        <x:v>No additional flag</x:v>
      </x:c>
      <x:c r="X436" s="192" t="str">
        <x:v>No structural flag</x:v>
      </x:c>
      <x:c r="Y436" s="192" t="str">
        <x:v>Not Yet Reviewed</x:v>
      </x:c>
      <x:c r="Z436" s="192" t="str">
        <x:v>CTA LMFT WB6; CTA LMFT WB8; Pearson VUE LMFT Outline Area 5</x:v>
      </x:c>
      <x:c r="AA436" s="192" t="str">
        <x:v>CTA_LMFT_Comprehensive_Simulation_Form_B_Answer_Key_and_Detailed_Rationales_v1.0.docx</x:v>
      </x:c>
      <x:c r="AB436" s="192" t="str">
        <x:v>1.0</x:v>
      </x:c>
      <x:c r="AC436" s="193"/>
      <x:c r="AD436" s="193" t="n">
        <x:v>46228</x:v>
      </x:c>
      <x:c r="AE436" s="192" t="str">
        <x:v>Approved for Form B</x:v>
      </x:c>
      <x:c r="AF436" s="194" t="str">
        <x:v>Form B only; paired alternate retained on the other comprehensive form</x:v>
      </x:c>
    </x:row>
    <x:row r="437">
      <x:c r="A437" s="191" t="str">
        <x:v>CTA-LMFT-MQB-0436</x:v>
      </x:c>
      <x:c r="B437" s="192" t="str">
        <x:v>LMFT-MQB-FB-CE-013</x:v>
      </x:c>
      <x:c r="C437" s="192" t="str">
        <x:v>LMFT</x:v>
      </x:c>
      <x:c r="D437" s="192" t="str">
        <x:v>Comprehensive Simulation</x:v>
      </x:c>
      <x:c r="E437" s="192"/>
      <x:c r="F437" s="192"/>
      <x:c r="G437" s="192" t="str">
        <x:v>Form B</x:v>
      </x:c>
      <x:c r="H437" s="192" t="n">
        <x:v>82</x:v>
      </x:c>
      <x:c r="I437" s="192" t="str">
        <x:v>Scored-Style</x:v>
      </x:c>
      <x:c r="J437" s="192" t="str">
        <x:v>1. Clinical Evaluation</x:v>
      </x:c>
      <x:c r="K437" s="192" t="str">
        <x:v>Developmental context</x:v>
      </x:c>
      <x:c r="L437" s="192" t="str"/>
      <x:c r="M437" s="192" t="str">
        <x:v>Moderate</x:v>
      </x:c>
      <x:c r="N437" s="192" t="str">
        <x:v>Moderate</x:v>
      </x:c>
      <x:c r="O437" s="192" t="str">
        <x:v>Application</x:v>
      </x:c>
      <x:c r="P437" s="192" t="str">
        <x:v>Application</x:v>
      </x:c>
      <x:c r="Q437" s="192" t="n">
        <x:v>4</x:v>
      </x:c>
      <x:c r="R437" s="192" t="str">
        <x:v>B</x:v>
      </x:c>
      <x:c r="S437" s="192" t="str">
        <x:v>Approved</x:v>
      </x:c>
      <x:c r="T437" s="192" t="str">
        <x:v>Active</x:v>
      </x:c>
      <x:c r="U437" s="192" t="n">
        <x:v>1</x:v>
      </x:c>
      <x:c r="V437" s="192" t="str">
        <x:v>LMFT-ALT-013</x:v>
      </x:c>
      <x:c r="W437" s="192" t="str">
        <x:v>No additional flag</x:v>
      </x:c>
      <x:c r="X437" s="192" t="str">
        <x:v>No structural flag</x:v>
      </x:c>
      <x:c r="Y437" s="192" t="str">
        <x:v>Not Yet Reviewed</x:v>
      </x:c>
      <x:c r="Z437" s="192" t="str">
        <x:v>CTA LMFT WB3; Pearson VUE LMFT Outline Area 1</x:v>
      </x:c>
      <x:c r="AA437" s="192" t="str">
        <x:v>CTA_LMFT_Comprehensive_Simulation_Form_B_Answer_Key_and_Detailed_Rationales_v1.0.docx</x:v>
      </x:c>
      <x:c r="AB437" s="192" t="str">
        <x:v>1.0</x:v>
      </x:c>
      <x:c r="AC437" s="193"/>
      <x:c r="AD437" s="193" t="n">
        <x:v>46228</x:v>
      </x:c>
      <x:c r="AE437" s="192" t="str">
        <x:v>Approved for Form B</x:v>
      </x:c>
      <x:c r="AF437" s="194" t="str">
        <x:v>Form B only; paired alternate retained on the other comprehensive form</x:v>
      </x:c>
    </x:row>
    <x:row r="438">
      <x:c r="A438" s="191" t="str">
        <x:v>CTA-LMFT-MQB-0437</x:v>
      </x:c>
      <x:c r="B438" s="192" t="str">
        <x:v>LMFT-MQB-FB-TX-037</x:v>
      </x:c>
      <x:c r="C438" s="192" t="str">
        <x:v>LMFT</x:v>
      </x:c>
      <x:c r="D438" s="192" t="str">
        <x:v>Comprehensive Simulation</x:v>
      </x:c>
      <x:c r="E438" s="192"/>
      <x:c r="F438" s="192"/>
      <x:c r="G438" s="192" t="str">
        <x:v>Form B</x:v>
      </x:c>
      <x:c r="H438" s="192" t="n">
        <x:v>83</x:v>
      </x:c>
      <x:c r="I438" s="192" t="str">
        <x:v>Scored-Style</x:v>
      </x:c>
      <x:c r="J438" s="192" t="str">
        <x:v>5. Treatment</x:v>
      </x:c>
      <x:c r="K438" s="192" t="str">
        <x:v>Integrated family treatment</x:v>
      </x:c>
      <x:c r="L438" s="192" t="str"/>
      <x:c r="M438" s="192" t="str">
        <x:v>Moderate</x:v>
      </x:c>
      <x:c r="N438" s="192" t="str">
        <x:v>Moderate</x:v>
      </x:c>
      <x:c r="O438" s="192" t="str">
        <x:v>Integrated reasoning</x:v>
      </x:c>
      <x:c r="P438" s="192" t="str">
        <x:v>Integrated Clinical Reasoning</x:v>
      </x:c>
      <x:c r="Q438" s="192" t="n">
        <x:v>4</x:v>
      </x:c>
      <x:c r="R438" s="192" t="str">
        <x:v>B</x:v>
      </x:c>
      <x:c r="S438" s="192" t="str">
        <x:v>Approved</x:v>
      </x:c>
      <x:c r="T438" s="192" t="str">
        <x:v>Active</x:v>
      </x:c>
      <x:c r="U438" s="192" t="n">
        <x:v>1</x:v>
      </x:c>
      <x:c r="V438" s="192" t="str">
        <x:v>LMFT-ALT-144</x:v>
      </x:c>
      <x:c r="W438" s="192" t="str">
        <x:v>Review Candidate</x:v>
      </x:c>
      <x:c r="X438" s="192" t="str">
        <x:v>No structural flag</x:v>
      </x:c>
      <x:c r="Y438" s="192" t="str">
        <x:v>Not Yet Reviewed</x:v>
      </x:c>
      <x:c r="Z438" s="192" t="str">
        <x:v>CTA LMFT WB6; CTA LMFT WB8; CTA LMFT WB9; Pearson VUE LMFT Outline Area 5</x:v>
      </x:c>
      <x:c r="AA438" s="192" t="str">
        <x:v>CTA_LMFT_Comprehensive_Simulation_Form_B_Answer_Key_and_Detailed_Rationales_v1.0.docx</x:v>
      </x:c>
      <x:c r="AB438" s="192" t="str">
        <x:v>1.0</x:v>
      </x:c>
      <x:c r="AC438" s="193"/>
      <x:c r="AD438" s="193" t="n">
        <x:v>46228</x:v>
      </x:c>
      <x:c r="AE438" s="192" t="str">
        <x:v>Approved for Form B</x:v>
      </x:c>
      <x:c r="AF438" s="194" t="str">
        <x:v>Form B only; paired alternate retained on the other comprehensive form</x:v>
      </x:c>
    </x:row>
    <x:row r="439">
      <x:c r="A439" s="191" t="str">
        <x:v>CTA-LMFT-MQB-0438</x:v>
      </x:c>
      <x:c r="B439" s="192" t="str">
        <x:v>LMFT-MQB-FB-DI-012</x:v>
      </x:c>
      <x:c r="C439" s="192" t="str">
        <x:v>LMFT</x:v>
      </x:c>
      <x:c r="D439" s="192" t="str">
        <x:v>Comprehensive Simulation</x:v>
      </x:c>
      <x:c r="E439" s="192"/>
      <x:c r="F439" s="192"/>
      <x:c r="G439" s="192" t="str">
        <x:v>Form B</x:v>
      </x:c>
      <x:c r="H439" s="192" t="n">
        <x:v>84</x:v>
      </x:c>
      <x:c r="I439" s="192" t="str">
        <x:v>Scored-Style</x:v>
      </x:c>
      <x:c r="J439" s="192" t="str">
        <x:v>2. Developing a Diagnostic Impression</x:v>
      </x:c>
      <x:c r="K439" s="192" t="str">
        <x:v>ADHD versus trauma</x:v>
      </x:c>
      <x:c r="L439" s="192" t="str"/>
      <x:c r="M439" s="192" t="str">
        <x:v>Moderate</x:v>
      </x:c>
      <x:c r="N439" s="192" t="str">
        <x:v>Moderate</x:v>
      </x:c>
      <x:c r="O439" s="192" t="str">
        <x:v>Scenario-based sequencing</x:v>
      </x:c>
      <x:c r="P439" s="192" t="str">
        <x:v>Scenario-Based</x:v>
      </x:c>
      <x:c r="Q439" s="192" t="n">
        <x:v>4</x:v>
      </x:c>
      <x:c r="R439" s="192" t="str">
        <x:v>D</x:v>
      </x:c>
      <x:c r="S439" s="192" t="str">
        <x:v>Approved</x:v>
      </x:c>
      <x:c r="T439" s="192" t="str">
        <x:v>Active</x:v>
      </x:c>
      <x:c r="U439" s="192" t="n">
        <x:v>1</x:v>
      </x:c>
      <x:c r="V439" s="192" t="str">
        <x:v>LMFT-ALT-087</x:v>
      </x:c>
      <x:c r="W439" s="192" t="str">
        <x:v>No additional flag</x:v>
      </x:c>
      <x:c r="X439" s="192" t="str">
        <x:v>No structural flag</x:v>
      </x:c>
      <x:c r="Y439" s="192" t="str">
        <x:v>Not Yet Reviewed</x:v>
      </x:c>
      <x:c r="Z439" s="192" t="str">
        <x:v>CTA LMFT WB3; CTA LMFT WB5; Pearson VUE LMFT Outline Area 2</x:v>
      </x:c>
      <x:c r="AA439" s="192" t="str">
        <x:v>CTA_LMFT_Comprehensive_Simulation_Form_B_Answer_Key_and_Detailed_Rationales_v1.0.docx</x:v>
      </x:c>
      <x:c r="AB439" s="192" t="str">
        <x:v>1.0</x:v>
      </x:c>
      <x:c r="AC439" s="193"/>
      <x:c r="AD439" s="193" t="n">
        <x:v>46228</x:v>
      </x:c>
      <x:c r="AE439" s="192" t="str">
        <x:v>Approved for Form B</x:v>
      </x:c>
      <x:c r="AF439" s="194" t="str">
        <x:v>Form B only; paired alternate retained on the other comprehensive form</x:v>
      </x:c>
    </x:row>
    <x:row r="440">
      <x:c r="A440" s="191" t="str">
        <x:v>CTA-LMFT-MQB-0439</x:v>
      </x:c>
      <x:c r="B440" s="192" t="str">
        <x:v>LMFT-MQB-FB-CE-019</x:v>
      </x:c>
      <x:c r="C440" s="192" t="str">
        <x:v>LMFT</x:v>
      </x:c>
      <x:c r="D440" s="192" t="str">
        <x:v>Comprehensive Simulation</x:v>
      </x:c>
      <x:c r="E440" s="192"/>
      <x:c r="F440" s="192"/>
      <x:c r="G440" s="192" t="str">
        <x:v>Form B</x:v>
      </x:c>
      <x:c r="H440" s="192" t="n">
        <x:v>85</x:v>
      </x:c>
      <x:c r="I440" s="192" t="str">
        <x:v>Pretest-Style</x:v>
      </x:c>
      <x:c r="J440" s="192" t="str">
        <x:v>1. Clinical Evaluation</x:v>
      </x:c>
      <x:c r="K440" s="192" t="str">
        <x:v>Family interaction sequence</x:v>
      </x:c>
      <x:c r="L440" s="192" t="str"/>
      <x:c r="M440" s="192" t="str">
        <x:v>Moderate</x:v>
      </x:c>
      <x:c r="N440" s="192" t="str">
        <x:v>Moderate</x:v>
      </x:c>
      <x:c r="O440" s="192" t="str">
        <x:v>Application</x:v>
      </x:c>
      <x:c r="P440" s="192" t="str">
        <x:v>Application</x:v>
      </x:c>
      <x:c r="Q440" s="192" t="n">
        <x:v>4</x:v>
      </x:c>
      <x:c r="R440" s="192" t="str">
        <x:v>A</x:v>
      </x:c>
      <x:c r="S440" s="192" t="str">
        <x:v>Approved</x:v>
      </x:c>
      <x:c r="T440" s="192" t="str">
        <x:v>Active</x:v>
      </x:c>
      <x:c r="U440" s="192" t="n">
        <x:v>1</x:v>
      </x:c>
      <x:c r="V440" s="192" t="str">
        <x:v>LMFT-ALT-019</x:v>
      </x:c>
      <x:c r="W440" s="192" t="str">
        <x:v>No additional flag</x:v>
      </x:c>
      <x:c r="X440" s="192" t="str">
        <x:v>No structural flag</x:v>
      </x:c>
      <x:c r="Y440" s="192" t="str">
        <x:v>Not Yet Reviewed</x:v>
      </x:c>
      <x:c r="Z440" s="192" t="str">
        <x:v>CTA LMFT WB4; Pearson VUE LMFT Outline Area 1</x:v>
      </x:c>
      <x:c r="AA440" s="192" t="str">
        <x:v>CTA_LMFT_Comprehensive_Simulation_Form_B_Answer_Key_and_Detailed_Rationales_v1.0.docx</x:v>
      </x:c>
      <x:c r="AB440" s="192" t="str">
        <x:v>1.0</x:v>
      </x:c>
      <x:c r="AC440" s="193"/>
      <x:c r="AD440" s="193" t="n">
        <x:v>46228</x:v>
      </x:c>
      <x:c r="AE440" s="192" t="str">
        <x:v>Approved for Form B</x:v>
      </x:c>
      <x:c r="AF440" s="194" t="str">
        <x:v>Form B only; paired alternate retained on the other comprehensive form</x:v>
      </x:c>
    </x:row>
    <x:row r="441">
      <x:c r="A441" s="191" t="str">
        <x:v>CTA-LMFT-MQB-0440</x:v>
      </x:c>
      <x:c r="B441" s="192" t="str">
        <x:v>LMFT-MQB-FB-DI-016</x:v>
      </x:c>
      <x:c r="C441" s="192" t="str">
        <x:v>LMFT</x:v>
      </x:c>
      <x:c r="D441" s="192" t="str">
        <x:v>Comprehensive Simulation</x:v>
      </x:c>
      <x:c r="E441" s="192"/>
      <x:c r="F441" s="192"/>
      <x:c r="G441" s="192" t="str">
        <x:v>Form B</x:v>
      </x:c>
      <x:c r="H441" s="192" t="n">
        <x:v>86</x:v>
      </x:c>
      <x:c r="I441" s="192" t="str">
        <x:v>Scored-Style</x:v>
      </x:c>
      <x:c r="J441" s="192" t="str">
        <x:v>2. Developing a Diagnostic Impression</x:v>
      </x:c>
      <x:c r="K441" s="192" t="str">
        <x:v>Diagnostic and systemic formulation</x:v>
      </x:c>
      <x:c r="L441" s="192" t="str"/>
      <x:c r="M441" s="192" t="str">
        <x:v>Moderate</x:v>
      </x:c>
      <x:c r="N441" s="192" t="str">
        <x:v>Moderate</x:v>
      </x:c>
      <x:c r="O441" s="192" t="str">
        <x:v>Integrated reasoning</x:v>
      </x:c>
      <x:c r="P441" s="192" t="str">
        <x:v>Integrated Clinical Reasoning</x:v>
      </x:c>
      <x:c r="Q441" s="192" t="n">
        <x:v>4</x:v>
      </x:c>
      <x:c r="R441" s="192" t="str">
        <x:v>A</x:v>
      </x:c>
      <x:c r="S441" s="192" t="str">
        <x:v>Approved</x:v>
      </x:c>
      <x:c r="T441" s="192" t="str">
        <x:v>Active</x:v>
      </x:c>
      <x:c r="U441" s="192" t="n">
        <x:v>1</x:v>
      </x:c>
      <x:c r="V441" s="192" t="str">
        <x:v>LMFT-ALT-091</x:v>
      </x:c>
      <x:c r="W441" s="192" t="str">
        <x:v>No additional flag</x:v>
      </x:c>
      <x:c r="X441" s="192" t="str">
        <x:v>No structural flag</x:v>
      </x:c>
      <x:c r="Y441" s="192" t="str">
        <x:v>Not Yet Reviewed</x:v>
      </x:c>
      <x:c r="Z441" s="192" t="str">
        <x:v>CTA LMFT WB5; CTA LMFT WB7; Pearson VUE LMFT Outline Area 2</x:v>
      </x:c>
      <x:c r="AA441" s="192" t="str">
        <x:v>CTA_LMFT_Comprehensive_Simulation_Form_B_Answer_Key_and_Detailed_Rationales_v1.0.docx</x:v>
      </x:c>
      <x:c r="AB441" s="192" t="str">
        <x:v>1.0</x:v>
      </x:c>
      <x:c r="AC441" s="193"/>
      <x:c r="AD441" s="193" t="n">
        <x:v>46228</x:v>
      </x:c>
      <x:c r="AE441" s="192" t="str">
        <x:v>Approved for Form B</x:v>
      </x:c>
      <x:c r="AF441" s="194" t="str">
        <x:v>Form B only; paired alternate retained on the other comprehensive form</x:v>
      </x:c>
    </x:row>
    <x:row r="442">
      <x:c r="A442" s="191" t="str">
        <x:v>CTA-LMFT-MQB-0441</x:v>
      </x:c>
      <x:c r="B442" s="192" t="str">
        <x:v>LMFT-MQB-FB-DI-001</x:v>
      </x:c>
      <x:c r="C442" s="192" t="str">
        <x:v>LMFT</x:v>
      </x:c>
      <x:c r="D442" s="192" t="str">
        <x:v>Comprehensive Simulation</x:v>
      </x:c>
      <x:c r="E442" s="192"/>
      <x:c r="F442" s="192"/>
      <x:c r="G442" s="192" t="str">
        <x:v>Form B</x:v>
      </x:c>
      <x:c r="H442" s="192" t="n">
        <x:v>87</x:v>
      </x:c>
      <x:c r="I442" s="192" t="str">
        <x:v>Scored-Style</x:v>
      </x:c>
      <x:c r="J442" s="192" t="str">
        <x:v>2. Developing a Diagnostic Impression</x:v>
      </x:c>
      <x:c r="K442" s="192" t="str">
        <x:v>Provisional diagnosis</x:v>
      </x:c>
      <x:c r="L442" s="192" t="str"/>
      <x:c r="M442" s="192" t="str">
        <x:v>Easy</x:v>
      </x:c>
      <x:c r="N442" s="192" t="str">
        <x:v>Easy</x:v>
      </x:c>
      <x:c r="O442" s="192" t="str">
        <x:v>Direct recognition</x:v>
      </x:c>
      <x:c r="P442" s="192" t="str">
        <x:v>Knowledge &amp; Recall</x:v>
      </x:c>
      <x:c r="Q442" s="192" t="n">
        <x:v>4</x:v>
      </x:c>
      <x:c r="R442" s="192" t="str">
        <x:v>B</x:v>
      </x:c>
      <x:c r="S442" s="192" t="str">
        <x:v>Approved</x:v>
      </x:c>
      <x:c r="T442" s="192" t="str">
        <x:v>Active</x:v>
      </x:c>
      <x:c r="U442" s="192" t="n">
        <x:v>1</x:v>
      </x:c>
      <x:c r="V442" s="192" t="str">
        <x:v>LMFT-ALT-076</x:v>
      </x:c>
      <x:c r="W442" s="192" t="str">
        <x:v>Review Candidate</x:v>
      </x:c>
      <x:c r="X442" s="192" t="str">
        <x:v>No structural flag</x:v>
      </x:c>
      <x:c r="Y442" s="192" t="str">
        <x:v>Not Yet Reviewed</x:v>
      </x:c>
      <x:c r="Z442" s="192" t="str">
        <x:v>CTA LMFT WB5; Pearson VUE LMFT Outline Area 2</x:v>
      </x:c>
      <x:c r="AA442" s="192" t="str">
        <x:v>CTA_LMFT_Comprehensive_Simulation_Form_B_Answer_Key_and_Detailed_Rationales_v1.0.docx</x:v>
      </x:c>
      <x:c r="AB442" s="192" t="str">
        <x:v>1.0</x:v>
      </x:c>
      <x:c r="AC442" s="193"/>
      <x:c r="AD442" s="193" t="n">
        <x:v>46228</x:v>
      </x:c>
      <x:c r="AE442" s="192" t="str">
        <x:v>Approved for Form B</x:v>
      </x:c>
      <x:c r="AF442" s="194" t="str">
        <x:v>Form B only; paired alternate retained on the other comprehensive form</x:v>
      </x:c>
    </x:row>
    <x:row r="443">
      <x:c r="A443" s="191" t="str">
        <x:v>CTA-LMFT-MQB-0442</x:v>
      </x:c>
      <x:c r="B443" s="192" t="str">
        <x:v>LMFT-MQB-FB-TX-020</x:v>
      </x:c>
      <x:c r="C443" s="192" t="str">
        <x:v>LMFT</x:v>
      </x:c>
      <x:c r="D443" s="192" t="str">
        <x:v>Comprehensive Simulation</x:v>
      </x:c>
      <x:c r="E443" s="192"/>
      <x:c r="F443" s="192"/>
      <x:c r="G443" s="192" t="str">
        <x:v>Form B</x:v>
      </x:c>
      <x:c r="H443" s="192" t="n">
        <x:v>88</x:v>
      </x:c>
      <x:c r="I443" s="192" t="str">
        <x:v>Pretest-Style</x:v>
      </x:c>
      <x:c r="J443" s="192" t="str">
        <x:v>5. Treatment</x:v>
      </x:c>
      <x:c r="K443" s="192" t="str">
        <x:v>Caregiver burden</x:v>
      </x:c>
      <x:c r="L443" s="192" t="str"/>
      <x:c r="M443" s="192" t="str">
        <x:v>Moderate</x:v>
      </x:c>
      <x:c r="N443" s="192" t="str">
        <x:v>Moderate</x:v>
      </x:c>
      <x:c r="O443" s="192" t="str">
        <x:v>Application</x:v>
      </x:c>
      <x:c r="P443" s="192" t="str">
        <x:v>Application</x:v>
      </x:c>
      <x:c r="Q443" s="192" t="n">
        <x:v>4</x:v>
      </x:c>
      <x:c r="R443" s="192" t="str">
        <x:v>A</x:v>
      </x:c>
      <x:c r="S443" s="192" t="str">
        <x:v>Approved</x:v>
      </x:c>
      <x:c r="T443" s="192" t="str">
        <x:v>Active</x:v>
      </x:c>
      <x:c r="U443" s="192" t="n">
        <x:v>1</x:v>
      </x:c>
      <x:c r="V443" s="192" t="str">
        <x:v>LMFT-ALT-127</x:v>
      </x:c>
      <x:c r="W443" s="192" t="str">
        <x:v>No additional flag</x:v>
      </x:c>
      <x:c r="X443" s="192" t="str">
        <x:v>No structural flag</x:v>
      </x:c>
      <x:c r="Y443" s="192" t="str">
        <x:v>Not Yet Reviewed</x:v>
      </x:c>
      <x:c r="Z443" s="192" t="str">
        <x:v>CTA LMFT WB9; CTA LMFT WB10; Pearson VUE LMFT Outline Area 5</x:v>
      </x:c>
      <x:c r="AA443" s="192" t="str">
        <x:v>CTA_LMFT_Comprehensive_Simulation_Form_B_Answer_Key_and_Detailed_Rationales_v1.0.docx</x:v>
      </x:c>
      <x:c r="AB443" s="192" t="str">
        <x:v>1.0</x:v>
      </x:c>
      <x:c r="AC443" s="193"/>
      <x:c r="AD443" s="193" t="n">
        <x:v>46228</x:v>
      </x:c>
      <x:c r="AE443" s="192" t="str">
        <x:v>Approved for Form B</x:v>
      </x:c>
      <x:c r="AF443" s="194" t="str">
        <x:v>Form B only; paired alternate retained on the other comprehensive form</x:v>
      </x:c>
    </x:row>
    <x:row r="444">
      <x:c r="A444" s="191" t="str">
        <x:v>CTA-LMFT-MQB-0443</x:v>
      </x:c>
      <x:c r="B444" s="192" t="str">
        <x:v>LMFT-MQB-FB-CE-034</x:v>
      </x:c>
      <x:c r="C444" s="192" t="str">
        <x:v>LMFT</x:v>
      </x:c>
      <x:c r="D444" s="192" t="str">
        <x:v>Comprehensive Simulation</x:v>
      </x:c>
      <x:c r="E444" s="192"/>
      <x:c r="F444" s="192"/>
      <x:c r="G444" s="192" t="str">
        <x:v>Form B</x:v>
      </x:c>
      <x:c r="H444" s="192" t="n">
        <x:v>89</x:v>
      </x:c>
      <x:c r="I444" s="192" t="str">
        <x:v>Scored-Style</x:v>
      </x:c>
      <x:c r="J444" s="192" t="str">
        <x:v>1. Clinical Evaluation</x:v>
      </x:c>
      <x:c r="K444" s="192" t="str">
        <x:v>Medical and trauma overlap</x:v>
      </x:c>
      <x:c r="L444" s="192" t="str"/>
      <x:c r="M444" s="192" t="str">
        <x:v>Difficult</x:v>
      </x:c>
      <x:c r="N444" s="192" t="str">
        <x:v>Difficult</x:v>
      </x:c>
      <x:c r="O444" s="192" t="str">
        <x:v>Scenario-based sequencing</x:v>
      </x:c>
      <x:c r="P444" s="192" t="str">
        <x:v>Scenario-Based</x:v>
      </x:c>
      <x:c r="Q444" s="192" t="n">
        <x:v>4</x:v>
      </x:c>
      <x:c r="R444" s="192" t="str">
        <x:v>D</x:v>
      </x:c>
      <x:c r="S444" s="192" t="str">
        <x:v>Approved</x:v>
      </x:c>
      <x:c r="T444" s="192" t="str">
        <x:v>Active</x:v>
      </x:c>
      <x:c r="U444" s="192" t="n">
        <x:v>1</x:v>
      </x:c>
      <x:c r="V444" s="192" t="str">
        <x:v>LMFT-ALT-034</x:v>
      </x:c>
      <x:c r="W444" s="192" t="str">
        <x:v>No additional flag</x:v>
      </x:c>
      <x:c r="X444" s="192" t="str">
        <x:v>No structural flag</x:v>
      </x:c>
      <x:c r="Y444" s="192" t="str">
        <x:v>Not Yet Reviewed</x:v>
      </x:c>
      <x:c r="Z444" s="192" t="str">
        <x:v>CTA LMFT WB2; CTA LMFT WB5; Pearson VUE LMFT Outline Area 1</x:v>
      </x:c>
      <x:c r="AA444" s="192" t="str">
        <x:v>CTA_LMFT_Comprehensive_Simulation_Form_B_Answer_Key_and_Detailed_Rationales_v1.0.docx</x:v>
      </x:c>
      <x:c r="AB444" s="192" t="str">
        <x:v>1.0</x:v>
      </x:c>
      <x:c r="AC444" s="193"/>
      <x:c r="AD444" s="193" t="n">
        <x:v>46228</x:v>
      </x:c>
      <x:c r="AE444" s="192" t="str">
        <x:v>Approved for Form B</x:v>
      </x:c>
      <x:c r="AF444" s="194" t="str">
        <x:v>Form B only; paired alternate retained on the other comprehensive form</x:v>
      </x:c>
    </x:row>
    <x:row r="445">
      <x:c r="A445" s="191" t="str">
        <x:v>CTA-LMFT-MQB-0444</x:v>
      </x:c>
      <x:c r="B445" s="192" t="str">
        <x:v>LMFT-MQB-FB-TX-010</x:v>
      </x:c>
      <x:c r="C445" s="192" t="str">
        <x:v>LMFT</x:v>
      </x:c>
      <x:c r="D445" s="192" t="str">
        <x:v>Comprehensive Simulation</x:v>
      </x:c>
      <x:c r="E445" s="192"/>
      <x:c r="F445" s="192"/>
      <x:c r="G445" s="192" t="str">
        <x:v>Form B</x:v>
      </x:c>
      <x:c r="H445" s="192" t="n">
        <x:v>90</x:v>
      </x:c>
      <x:c r="I445" s="192" t="str">
        <x:v>Scored-Style</x:v>
      </x:c>
      <x:c r="J445" s="192" t="str">
        <x:v>5. Treatment</x:v>
      </x:c>
      <x:c r="K445" s="192" t="str">
        <x:v>Parent coaching</x:v>
      </x:c>
      <x:c r="L445" s="192" t="str"/>
      <x:c r="M445" s="192" t="str">
        <x:v>Easy</x:v>
      </x:c>
      <x:c r="N445" s="192" t="str">
        <x:v>Easy</x:v>
      </x:c>
      <x:c r="O445" s="192" t="str">
        <x:v>Application</x:v>
      </x:c>
      <x:c r="P445" s="192" t="str">
        <x:v>Application</x:v>
      </x:c>
      <x:c r="Q445" s="192" t="n">
        <x:v>4</x:v>
      </x:c>
      <x:c r="R445" s="192" t="str">
        <x:v>A</x:v>
      </x:c>
      <x:c r="S445" s="192" t="str">
        <x:v>Approved</x:v>
      </x:c>
      <x:c r="T445" s="192" t="str">
        <x:v>Active</x:v>
      </x:c>
      <x:c r="U445" s="192" t="n">
        <x:v>1</x:v>
      </x:c>
      <x:c r="V445" s="192" t="str">
        <x:v>LMFT-ALT-117</x:v>
      </x:c>
      <x:c r="W445" s="192" t="str">
        <x:v>No additional flag</x:v>
      </x:c>
      <x:c r="X445" s="192" t="str">
        <x:v>No structural flag</x:v>
      </x:c>
      <x:c r="Y445" s="192" t="str">
        <x:v>Not Yet Reviewed</x:v>
      </x:c>
      <x:c r="Z445" s="192" t="str">
        <x:v>CTA LMFT WB8; CTA LMFT WB9; Pearson VUE LMFT Outline Area 5</x:v>
      </x:c>
      <x:c r="AA445" s="192" t="str">
        <x:v>CTA_LMFT_Comprehensive_Simulation_Form_B_Answer_Key_and_Detailed_Rationales_v1.0.docx</x:v>
      </x:c>
      <x:c r="AB445" s="192" t="str">
        <x:v>1.0</x:v>
      </x:c>
      <x:c r="AC445" s="193"/>
      <x:c r="AD445" s="193" t="n">
        <x:v>46228</x:v>
      </x:c>
      <x:c r="AE445" s="192" t="str">
        <x:v>Approved for Form B</x:v>
      </x:c>
      <x:c r="AF445" s="194" t="str">
        <x:v>Form B only; paired alternate retained on the other comprehensive form</x:v>
      </x:c>
    </x:row>
    <x:row r="446">
      <x:c r="A446" s="191" t="str">
        <x:v>CTA-LMFT-MQB-0445</x:v>
      </x:c>
      <x:c r="B446" s="192" t="str">
        <x:v>LMFT-MQB-FB-CE-036</x:v>
      </x:c>
      <x:c r="C446" s="192" t="str">
        <x:v>LMFT</x:v>
      </x:c>
      <x:c r="D446" s="192" t="str">
        <x:v>Comprehensive Simulation</x:v>
      </x:c>
      <x:c r="E446" s="192"/>
      <x:c r="F446" s="192"/>
      <x:c r="G446" s="192" t="str">
        <x:v>Form B</x:v>
      </x:c>
      <x:c r="H446" s="192" t="n">
        <x:v>91</x:v>
      </x:c>
      <x:c r="I446" s="192" t="str">
        <x:v>Scored-Style</x:v>
      </x:c>
      <x:c r="J446" s="192" t="str">
        <x:v>1. Clinical Evaluation</x:v>
      </x:c>
      <x:c r="K446" s="192" t="str">
        <x:v>Evaluation under cultural and language constraints</x:v>
      </x:c>
      <x:c r="L446" s="192" t="str"/>
      <x:c r="M446" s="192" t="str">
        <x:v>Difficult</x:v>
      </x:c>
      <x:c r="N446" s="192" t="str">
        <x:v>Difficult</x:v>
      </x:c>
      <x:c r="O446" s="192" t="str">
        <x:v>Scenario-based sequencing</x:v>
      </x:c>
      <x:c r="P446" s="192" t="str">
        <x:v>Scenario-Based</x:v>
      </x:c>
      <x:c r="Q446" s="192" t="n">
        <x:v>4</x:v>
      </x:c>
      <x:c r="R446" s="192" t="str">
        <x:v>D</x:v>
      </x:c>
      <x:c r="S446" s="192" t="str">
        <x:v>Approved</x:v>
      </x:c>
      <x:c r="T446" s="192" t="str">
        <x:v>Active</x:v>
      </x:c>
      <x:c r="U446" s="192" t="n">
        <x:v>1</x:v>
      </x:c>
      <x:c r="V446" s="192" t="str">
        <x:v>LMFT-ALT-036</x:v>
      </x:c>
      <x:c r="W446" s="192" t="str">
        <x:v>No additional flag</x:v>
      </x:c>
      <x:c r="X446" s="192" t="str">
        <x:v>No structural flag</x:v>
      </x:c>
      <x:c r="Y446" s="192" t="str">
        <x:v>Not Yet Reviewed</x:v>
      </x:c>
      <x:c r="Z446" s="192" t="str">
        <x:v>CTA LMFT WB3; CTA LMFT WB10; Pearson VUE LMFT Outline Area 1</x:v>
      </x:c>
      <x:c r="AA446" s="192" t="str">
        <x:v>CTA_LMFT_Comprehensive_Simulation_Form_B_Answer_Key_and_Detailed_Rationales_v1.0.docx</x:v>
      </x:c>
      <x:c r="AB446" s="192" t="str">
        <x:v>1.0</x:v>
      </x:c>
      <x:c r="AC446" s="193"/>
      <x:c r="AD446" s="193" t="n">
        <x:v>46228</x:v>
      </x:c>
      <x:c r="AE446" s="192" t="str">
        <x:v>Approved for Form B</x:v>
      </x:c>
      <x:c r="AF446" s="194" t="str">
        <x:v>Form B only; paired alternate retained on the other comprehensive form</x:v>
      </x:c>
    </x:row>
    <x:row r="447">
      <x:c r="A447" s="191" t="str">
        <x:v>CTA-LMFT-MQB-0446</x:v>
      </x:c>
      <x:c r="B447" s="192" t="str">
        <x:v>LMFT-MQB-FB-TX-029</x:v>
      </x:c>
      <x:c r="C447" s="192" t="str">
        <x:v>LMFT</x:v>
      </x:c>
      <x:c r="D447" s="192" t="str">
        <x:v>Comprehensive Simulation</x:v>
      </x:c>
      <x:c r="E447" s="192"/>
      <x:c r="F447" s="192"/>
      <x:c r="G447" s="192" t="str">
        <x:v>Form B</x:v>
      </x:c>
      <x:c r="H447" s="192" t="n">
        <x:v>92</x:v>
      </x:c>
      <x:c r="I447" s="192" t="str">
        <x:v>Scored-Style</x:v>
      </x:c>
      <x:c r="J447" s="192" t="str">
        <x:v>5. Treatment</x:v>
      </x:c>
      <x:c r="K447" s="192" t="str">
        <x:v>Group conflict</x:v>
      </x:c>
      <x:c r="L447" s="192" t="str"/>
      <x:c r="M447" s="192" t="str">
        <x:v>Moderate</x:v>
      </x:c>
      <x:c r="N447" s="192" t="str">
        <x:v>Moderate</x:v>
      </x:c>
      <x:c r="O447" s="192" t="str">
        <x:v>Scenario-based sequencing</x:v>
      </x:c>
      <x:c r="P447" s="192" t="str">
        <x:v>Scenario-Based</x:v>
      </x:c>
      <x:c r="Q447" s="192" t="n">
        <x:v>4</x:v>
      </x:c>
      <x:c r="R447" s="192" t="str">
        <x:v>C</x:v>
      </x:c>
      <x:c r="S447" s="192" t="str">
        <x:v>Approved</x:v>
      </x:c>
      <x:c r="T447" s="192" t="str">
        <x:v>Active</x:v>
      </x:c>
      <x:c r="U447" s="192" t="n">
        <x:v>1</x:v>
      </x:c>
      <x:c r="V447" s="192" t="str">
        <x:v>LMFT-ALT-136</x:v>
      </x:c>
      <x:c r="W447" s="192" t="str">
        <x:v>No additional flag</x:v>
      </x:c>
      <x:c r="X447" s="192" t="str">
        <x:v>No structural flag</x:v>
      </x:c>
      <x:c r="Y447" s="192" t="str">
        <x:v>Not Yet Reviewed</x:v>
      </x:c>
      <x:c r="Z447" s="192" t="str">
        <x:v>CTA LMFT WB11; Pearson VUE LMFT Outline Area 5</x:v>
      </x:c>
      <x:c r="AA447" s="192" t="str">
        <x:v>CTA_LMFT_Comprehensive_Simulation_Form_B_Answer_Key_and_Detailed_Rationales_v1.0.docx</x:v>
      </x:c>
      <x:c r="AB447" s="192" t="str">
        <x:v>1.0</x:v>
      </x:c>
      <x:c r="AC447" s="193"/>
      <x:c r="AD447" s="193" t="n">
        <x:v>46228</x:v>
      </x:c>
      <x:c r="AE447" s="192" t="str">
        <x:v>Approved for Form B</x:v>
      </x:c>
      <x:c r="AF447" s="194" t="str">
        <x:v>Form B only; paired alternate retained on the other comprehensive form</x:v>
      </x:c>
    </x:row>
    <x:row r="448">
      <x:c r="A448" s="191" t="str">
        <x:v>CTA-LMFT-MQB-0447</x:v>
      </x:c>
      <x:c r="B448" s="192" t="str">
        <x:v>LMFT-MQB-FB-TX-001</x:v>
      </x:c>
      <x:c r="C448" s="192" t="str">
        <x:v>LMFT</x:v>
      </x:c>
      <x:c r="D448" s="192" t="str">
        <x:v>Comprehensive Simulation</x:v>
      </x:c>
      <x:c r="E448" s="192"/>
      <x:c r="F448" s="192"/>
      <x:c r="G448" s="192" t="str">
        <x:v>Form B</x:v>
      </x:c>
      <x:c r="H448" s="192" t="n">
        <x:v>93</x:v>
      </x:c>
      <x:c r="I448" s="192" t="str">
        <x:v>Scored-Style</x:v>
      </x:c>
      <x:c r="J448" s="192" t="str">
        <x:v>5. Treatment</x:v>
      </x:c>
      <x:c r="K448" s="192" t="str">
        <x:v>Structural intervention</x:v>
      </x:c>
      <x:c r="L448" s="192" t="str"/>
      <x:c r="M448" s="192" t="str">
        <x:v>Easy</x:v>
      </x:c>
      <x:c r="N448" s="192" t="str">
        <x:v>Easy</x:v>
      </x:c>
      <x:c r="O448" s="192" t="str">
        <x:v>Direct recognition</x:v>
      </x:c>
      <x:c r="P448" s="192" t="str">
        <x:v>Knowledge &amp; Recall</x:v>
      </x:c>
      <x:c r="Q448" s="192" t="n">
        <x:v>4</x:v>
      </x:c>
      <x:c r="R448" s="192" t="str">
        <x:v>A</x:v>
      </x:c>
      <x:c r="S448" s="192" t="str">
        <x:v>Approved</x:v>
      </x:c>
      <x:c r="T448" s="192" t="str">
        <x:v>Active</x:v>
      </x:c>
      <x:c r="U448" s="192" t="n">
        <x:v>1</x:v>
      </x:c>
      <x:c r="V448" s="192" t="str">
        <x:v>LMFT-ALT-108</x:v>
      </x:c>
      <x:c r="W448" s="192" t="str">
        <x:v>No additional flag</x:v>
      </x:c>
      <x:c r="X448" s="192" t="str">
        <x:v>No structural flag</x:v>
      </x:c>
      <x:c r="Y448" s="192" t="str">
        <x:v>Not Yet Reviewed</x:v>
      </x:c>
      <x:c r="Z448" s="192" t="str">
        <x:v>CTA LMFT WB8; CTA LMFT WB11; Pearson VUE LMFT Outline Area 5</x:v>
      </x:c>
      <x:c r="AA448" s="192" t="str">
        <x:v>CTA_LMFT_Comprehensive_Simulation_Form_B_Answer_Key_and_Detailed_Rationales_v1.0.docx</x:v>
      </x:c>
      <x:c r="AB448" s="192" t="str">
        <x:v>1.0</x:v>
      </x:c>
      <x:c r="AC448" s="193"/>
      <x:c r="AD448" s="193" t="n">
        <x:v>46228</x:v>
      </x:c>
      <x:c r="AE448" s="192" t="str">
        <x:v>Approved for Form B</x:v>
      </x:c>
      <x:c r="AF448" s="194" t="str">
        <x:v>Form B only; paired alternate retained on the other comprehensive form</x:v>
      </x:c>
    </x:row>
    <x:row r="449">
      <x:c r="A449" s="191" t="str">
        <x:v>CTA-LMFT-MQB-0448</x:v>
      </x:c>
      <x:c r="B449" s="192" t="str">
        <x:v>LMFT-MQB-FB-CP-015</x:v>
      </x:c>
      <x:c r="C449" s="192" t="str">
        <x:v>LMFT</x:v>
      </x:c>
      <x:c r="D449" s="192" t="str">
        <x:v>Comprehensive Simulation</x:v>
      </x:c>
      <x:c r="E449" s="192"/>
      <x:c r="F449" s="192"/>
      <x:c r="G449" s="192" t="str">
        <x:v>Form B</x:v>
      </x:c>
      <x:c r="H449" s="192" t="n">
        <x:v>94</x:v>
      </x:c>
      <x:c r="I449" s="192" t="str">
        <x:v>Scored-Style</x:v>
      </x:c>
      <x:c r="J449" s="192" t="str">
        <x:v>4. Case Conceptualization and Planning</x:v>
      </x:c>
      <x:c r="K449" s="192" t="str">
        <x:v>Plan under uncertain diagnosis</x:v>
      </x:c>
      <x:c r="L449" s="192" t="str"/>
      <x:c r="M449" s="192" t="str">
        <x:v>Difficult</x:v>
      </x:c>
      <x:c r="N449" s="192" t="str">
        <x:v>Difficult</x:v>
      </x:c>
      <x:c r="O449" s="192" t="str">
        <x:v>Scenario-based sequencing</x:v>
      </x:c>
      <x:c r="P449" s="192" t="str">
        <x:v>Scenario-Based</x:v>
      </x:c>
      <x:c r="Q449" s="192" t="n">
        <x:v>4</x:v>
      </x:c>
      <x:c r="R449" s="192" t="str">
        <x:v>B</x:v>
      </x:c>
      <x:c r="S449" s="192" t="str">
        <x:v>Approved</x:v>
      </x:c>
      <x:c r="T449" s="192" t="str">
        <x:v>Active</x:v>
      </x:c>
      <x:c r="U449" s="192" t="n">
        <x:v>1</x:v>
      </x:c>
      <x:c r="V449" s="192" t="str">
        <x:v>LMFT-ALT-056</x:v>
      </x:c>
      <x:c r="W449" s="192" t="str">
        <x:v>No additional flag</x:v>
      </x:c>
      <x:c r="X449" s="192" t="str">
        <x:v>No structural flag</x:v>
      </x:c>
      <x:c r="Y449" s="192" t="str">
        <x:v>Not Yet Reviewed</x:v>
      </x:c>
      <x:c r="Z449" s="192" t="str">
        <x:v>CTA LMFT WB5; CTA LMFT WB7; Pearson VUE LMFT Outline Area 4</x:v>
      </x:c>
      <x:c r="AA449" s="192" t="str">
        <x:v>CTA_LMFT_Comprehensive_Simulation_Form_B_Answer_Key_and_Detailed_Rationales_v1.0.docx</x:v>
      </x:c>
      <x:c r="AB449" s="192" t="str">
        <x:v>1.0</x:v>
      </x:c>
      <x:c r="AC449" s="193"/>
      <x:c r="AD449" s="193" t="n">
        <x:v>46228</x:v>
      </x:c>
      <x:c r="AE449" s="192" t="str">
        <x:v>Approved for Form B</x:v>
      </x:c>
      <x:c r="AF449" s="194" t="str">
        <x:v>Form B only; paired alternate retained on the other comprehensive form</x:v>
      </x:c>
    </x:row>
    <x:row r="450">
      <x:c r="A450" s="191" t="str">
        <x:v>CTA-LMFT-MQB-0449</x:v>
      </x:c>
      <x:c r="B450" s="192" t="str">
        <x:v>LMFT-MQB-FB-TX-014</x:v>
      </x:c>
      <x:c r="C450" s="192" t="str">
        <x:v>LMFT</x:v>
      </x:c>
      <x:c r="D450" s="192" t="str">
        <x:v>Comprehensive Simulation</x:v>
      </x:c>
      <x:c r="E450" s="192"/>
      <x:c r="F450" s="192"/>
      <x:c r="G450" s="192" t="str">
        <x:v>Form B</x:v>
      </x:c>
      <x:c r="H450" s="192" t="n">
        <x:v>95</x:v>
      </x:c>
      <x:c r="I450" s="192" t="str">
        <x:v>Scored-Style</x:v>
      </x:c>
      <x:c r="J450" s="192" t="str">
        <x:v>5. Treatment</x:v>
      </x:c>
      <x:c r="K450" s="192" t="str">
        <x:v>Bowen differentiation</x:v>
      </x:c>
      <x:c r="L450" s="192" t="str"/>
      <x:c r="M450" s="192" t="str">
        <x:v>Moderate</x:v>
      </x:c>
      <x:c r="N450" s="192" t="str">
        <x:v>Moderate</x:v>
      </x:c>
      <x:c r="O450" s="192" t="str">
        <x:v>Application</x:v>
      </x:c>
      <x:c r="P450" s="192" t="str">
        <x:v>Application</x:v>
      </x:c>
      <x:c r="Q450" s="192" t="n">
        <x:v>4</x:v>
      </x:c>
      <x:c r="R450" s="192" t="str">
        <x:v>A</x:v>
      </x:c>
      <x:c r="S450" s="192" t="str">
        <x:v>Approved</x:v>
      </x:c>
      <x:c r="T450" s="192" t="str">
        <x:v>Active</x:v>
      </x:c>
      <x:c r="U450" s="192" t="n">
        <x:v>1</x:v>
      </x:c>
      <x:c r="V450" s="192" t="str">
        <x:v>LMFT-ALT-121</x:v>
      </x:c>
      <x:c r="W450" s="192" t="str">
        <x:v>No additional flag</x:v>
      </x:c>
      <x:c r="X450" s="192" t="str">
        <x:v>No structural flag</x:v>
      </x:c>
      <x:c r="Y450" s="192" t="str">
        <x:v>Not Yet Reviewed</x:v>
      </x:c>
      <x:c r="Z450" s="192" t="str">
        <x:v>CTA LMFT WB11; Pearson VUE LMFT Outline Area 5</x:v>
      </x:c>
      <x:c r="AA450" s="192" t="str">
        <x:v>CTA_LMFT_Comprehensive_Simulation_Form_B_Answer_Key_and_Detailed_Rationales_v1.0.docx</x:v>
      </x:c>
      <x:c r="AB450" s="192" t="str">
        <x:v>1.0</x:v>
      </x:c>
      <x:c r="AC450" s="193"/>
      <x:c r="AD450" s="193" t="n">
        <x:v>46228</x:v>
      </x:c>
      <x:c r="AE450" s="192" t="str">
        <x:v>Approved for Form B</x:v>
      </x:c>
      <x:c r="AF450" s="194" t="str">
        <x:v>Form B only; paired alternate retained on the other comprehensive form</x:v>
      </x:c>
    </x:row>
    <x:row r="451">
      <x:c r="A451" s="191" t="str">
        <x:v>CTA-LMFT-MQB-0450</x:v>
      </x:c>
      <x:c r="B451" s="192" t="str">
        <x:v>LMFT-MQB-FB-CE-017</x:v>
      </x:c>
      <x:c r="C451" s="192" t="str">
        <x:v>LMFT</x:v>
      </x:c>
      <x:c r="D451" s="192" t="str">
        <x:v>Comprehensive Simulation</x:v>
      </x:c>
      <x:c r="E451" s="192"/>
      <x:c r="F451" s="192"/>
      <x:c r="G451" s="192" t="str">
        <x:v>Form B</x:v>
      </x:c>
      <x:c r="H451" s="192" t="n">
        <x:v>96</x:v>
      </x:c>
      <x:c r="I451" s="192" t="str">
        <x:v>Scored-Style</x:v>
      </x:c>
      <x:c r="J451" s="192" t="str">
        <x:v>1. Clinical Evaluation</x:v>
      </x:c>
      <x:c r="K451" s="192" t="str">
        <x:v>Sexuality assessment</x:v>
      </x:c>
      <x:c r="L451" s="192" t="str"/>
      <x:c r="M451" s="192" t="str">
        <x:v>Moderate</x:v>
      </x:c>
      <x:c r="N451" s="192" t="str">
        <x:v>Moderate</x:v>
      </x:c>
      <x:c r="O451" s="192" t="str">
        <x:v>Application</x:v>
      </x:c>
      <x:c r="P451" s="192" t="str">
        <x:v>Application</x:v>
      </x:c>
      <x:c r="Q451" s="192" t="n">
        <x:v>4</x:v>
      </x:c>
      <x:c r="R451" s="192" t="str">
        <x:v>D</x:v>
      </x:c>
      <x:c r="S451" s="192" t="str">
        <x:v>Approved</x:v>
      </x:c>
      <x:c r="T451" s="192" t="str">
        <x:v>Active</x:v>
      </x:c>
      <x:c r="U451" s="192" t="n">
        <x:v>1</x:v>
      </x:c>
      <x:c r="V451" s="192" t="str">
        <x:v>LMFT-ALT-017</x:v>
      </x:c>
      <x:c r="W451" s="192" t="str">
        <x:v>No additional flag</x:v>
      </x:c>
      <x:c r="X451" s="192" t="str">
        <x:v>No structural flag</x:v>
      </x:c>
      <x:c r="Y451" s="192" t="str">
        <x:v>Not Yet Reviewed</x:v>
      </x:c>
      <x:c r="Z451" s="192" t="str">
        <x:v>CTA LMFT WB4; Pearson VUE LMFT Outline Area 1</x:v>
      </x:c>
      <x:c r="AA451" s="192" t="str">
        <x:v>CTA_LMFT_Comprehensive_Simulation_Form_B_Answer_Key_and_Detailed_Rationales_v1.0.docx</x:v>
      </x:c>
      <x:c r="AB451" s="192" t="str">
        <x:v>1.0</x:v>
      </x:c>
      <x:c r="AC451" s="193"/>
      <x:c r="AD451" s="193" t="n">
        <x:v>46228</x:v>
      </x:c>
      <x:c r="AE451" s="192" t="str">
        <x:v>Approved for Form B</x:v>
      </x:c>
      <x:c r="AF451" s="194" t="str">
        <x:v>Form B only; paired alternate retained on the other comprehensive form</x:v>
      </x:c>
    </x:row>
    <x:row r="452">
      <x:c r="A452" s="191" t="str">
        <x:v>CTA-LMFT-MQB-0451</x:v>
      </x:c>
      <x:c r="B452" s="192" t="str">
        <x:v>LMFT-MQB-FB-DI-003</x:v>
      </x:c>
      <x:c r="C452" s="192" t="str">
        <x:v>LMFT</x:v>
      </x:c>
      <x:c r="D452" s="192" t="str">
        <x:v>Comprehensive Simulation</x:v>
      </x:c>
      <x:c r="E452" s="192"/>
      <x:c r="F452" s="192"/>
      <x:c r="G452" s="192" t="str">
        <x:v>Form B</x:v>
      </x:c>
      <x:c r="H452" s="192" t="n">
        <x:v>97</x:v>
      </x:c>
      <x:c r="I452" s="192" t="str">
        <x:v>Scored-Style</x:v>
      </x:c>
      <x:c r="J452" s="192" t="str">
        <x:v>2. Developing a Diagnostic Impression</x:v>
      </x:c>
      <x:c r="K452" s="192" t="str">
        <x:v>Other conditions that may be a focus</x:v>
      </x:c>
      <x:c r="L452" s="192" t="str"/>
      <x:c r="M452" s="192" t="str">
        <x:v>Moderate</x:v>
      </x:c>
      <x:c r="N452" s="192" t="str">
        <x:v>Moderate</x:v>
      </x:c>
      <x:c r="O452" s="192" t="str">
        <x:v>Direct recognition</x:v>
      </x:c>
      <x:c r="P452" s="192" t="str">
        <x:v>Knowledge &amp; Recall</x:v>
      </x:c>
      <x:c r="Q452" s="192" t="n">
        <x:v>4</x:v>
      </x:c>
      <x:c r="R452" s="192" t="str">
        <x:v>D</x:v>
      </x:c>
      <x:c r="S452" s="192" t="str">
        <x:v>Approved</x:v>
      </x:c>
      <x:c r="T452" s="192" t="str">
        <x:v>Active</x:v>
      </x:c>
      <x:c r="U452" s="192" t="n">
        <x:v>1</x:v>
      </x:c>
      <x:c r="V452" s="192" t="str">
        <x:v>LMFT-ALT-078</x:v>
      </x:c>
      <x:c r="W452" s="192" t="str">
        <x:v>No additional flag</x:v>
      </x:c>
      <x:c r="X452" s="192" t="str">
        <x:v>No structural flag</x:v>
      </x:c>
      <x:c r="Y452" s="192" t="str">
        <x:v>Not Yet Reviewed</x:v>
      </x:c>
      <x:c r="Z452" s="192" t="str">
        <x:v>CTA LMFT WB5; Pearson VUE LMFT Outline Area 2</x:v>
      </x:c>
      <x:c r="AA452" s="192" t="str">
        <x:v>CTA_LMFT_Comprehensive_Simulation_Form_B_Answer_Key_and_Detailed_Rationales_v1.0.docx</x:v>
      </x:c>
      <x:c r="AB452" s="192" t="str">
        <x:v>1.0</x:v>
      </x:c>
      <x:c r="AC452" s="193"/>
      <x:c r="AD452" s="193" t="n">
        <x:v>46228</x:v>
      </x:c>
      <x:c r="AE452" s="192" t="str">
        <x:v>Approved for Form B</x:v>
      </x:c>
      <x:c r="AF452" s="194" t="str">
        <x:v>Form B only; paired alternate retained on the other comprehensive form</x:v>
      </x:c>
    </x:row>
    <x:row r="453">
      <x:c r="A453" s="191" t="str">
        <x:v>CTA-LMFT-MQB-0452</x:v>
      </x:c>
      <x:c r="B453" s="192" t="str">
        <x:v>LMFT-MQB-FB-CE-002</x:v>
      </x:c>
      <x:c r="C453" s="192" t="str">
        <x:v>LMFT</x:v>
      </x:c>
      <x:c r="D453" s="192" t="str">
        <x:v>Comprehensive Simulation</x:v>
      </x:c>
      <x:c r="E453" s="192"/>
      <x:c r="F453" s="192"/>
      <x:c r="G453" s="192" t="str">
        <x:v>Form B</x:v>
      </x:c>
      <x:c r="H453" s="192" t="n">
        <x:v>98</x:v>
      </x:c>
      <x:c r="I453" s="192" t="str">
        <x:v>Scored-Style</x:v>
      </x:c>
      <x:c r="J453" s="192" t="str">
        <x:v>1. Clinical Evaluation</x:v>
      </x:c>
      <x:c r="K453" s="192" t="str">
        <x:v>Mental status examination</x:v>
      </x:c>
      <x:c r="L453" s="192" t="str"/>
      <x:c r="M453" s="192" t="str">
        <x:v>Easy</x:v>
      </x:c>
      <x:c r="N453" s="192" t="str">
        <x:v>Easy</x:v>
      </x:c>
      <x:c r="O453" s="192" t="str">
        <x:v>Direct recognition</x:v>
      </x:c>
      <x:c r="P453" s="192" t="str">
        <x:v>Knowledge &amp; Recall</x:v>
      </x:c>
      <x:c r="Q453" s="192" t="n">
        <x:v>4</x:v>
      </x:c>
      <x:c r="R453" s="192" t="str">
        <x:v>B</x:v>
      </x:c>
      <x:c r="S453" s="192" t="str">
        <x:v>Approved</x:v>
      </x:c>
      <x:c r="T453" s="192" t="str">
        <x:v>Active</x:v>
      </x:c>
      <x:c r="U453" s="192" t="n">
        <x:v>1</x:v>
      </x:c>
      <x:c r="V453" s="192" t="str">
        <x:v>LMFT-ALT-002</x:v>
      </x:c>
      <x:c r="W453" s="192" t="str">
        <x:v>No additional flag</x:v>
      </x:c>
      <x:c r="X453" s="192" t="str">
        <x:v>No structural flag</x:v>
      </x:c>
      <x:c r="Y453" s="192" t="str">
        <x:v>Not Yet Reviewed</x:v>
      </x:c>
      <x:c r="Z453" s="192" t="str">
        <x:v>CTA LMFT WB2; Pearson VUE LMFT Outline Area 1</x:v>
      </x:c>
      <x:c r="AA453" s="192" t="str">
        <x:v>CTA_LMFT_Comprehensive_Simulation_Form_B_Answer_Key_and_Detailed_Rationales_v1.0.docx</x:v>
      </x:c>
      <x:c r="AB453" s="192" t="str">
        <x:v>1.0</x:v>
      </x:c>
      <x:c r="AC453" s="193"/>
      <x:c r="AD453" s="193" t="n">
        <x:v>46228</x:v>
      </x:c>
      <x:c r="AE453" s="192" t="str">
        <x:v>Approved for Form B</x:v>
      </x:c>
      <x:c r="AF453" s="194" t="str">
        <x:v>Form B only; paired alternate retained on the other comprehensive form</x:v>
      </x:c>
    </x:row>
    <x:row r="454">
      <x:c r="A454" s="191" t="str">
        <x:v>CTA-LMFT-MQB-0453</x:v>
      </x:c>
      <x:c r="B454" s="192" t="str">
        <x:v>LMFT-MQB-FB-DI-015</x:v>
      </x:c>
      <x:c r="C454" s="192" t="str">
        <x:v>LMFT</x:v>
      </x:c>
      <x:c r="D454" s="192" t="str">
        <x:v>Comprehensive Simulation</x:v>
      </x:c>
      <x:c r="E454" s="192"/>
      <x:c r="F454" s="192"/>
      <x:c r="G454" s="192" t="str">
        <x:v>Form B</x:v>
      </x:c>
      <x:c r="H454" s="192" t="n">
        <x:v>99</x:v>
      </x:c>
      <x:c r="I454" s="192" t="str">
        <x:v>Pretest-Style</x:v>
      </x:c>
      <x:c r="J454" s="192" t="str">
        <x:v>2. Developing a Diagnostic Impression</x:v>
      </x:c>
      <x:c r="K454" s="192" t="str">
        <x:v>Multiple overlapping syndromes</x:v>
      </x:c>
      <x:c r="L454" s="192" t="str"/>
      <x:c r="M454" s="192" t="str">
        <x:v>Difficult</x:v>
      </x:c>
      <x:c r="N454" s="192" t="str">
        <x:v>Difficult</x:v>
      </x:c>
      <x:c r="O454" s="192" t="str">
        <x:v>Scenario-based sequencing</x:v>
      </x:c>
      <x:c r="P454" s="192" t="str">
        <x:v>Scenario-Based</x:v>
      </x:c>
      <x:c r="Q454" s="192" t="n">
        <x:v>4</x:v>
      </x:c>
      <x:c r="R454" s="192" t="str">
        <x:v>C</x:v>
      </x:c>
      <x:c r="S454" s="192" t="str">
        <x:v>Approved</x:v>
      </x:c>
      <x:c r="T454" s="192" t="str">
        <x:v>Active</x:v>
      </x:c>
      <x:c r="U454" s="192" t="n">
        <x:v>1</x:v>
      </x:c>
      <x:c r="V454" s="192" t="str">
        <x:v>LMFT-ALT-090</x:v>
      </x:c>
      <x:c r="W454" s="192" t="str">
        <x:v>No additional flag</x:v>
      </x:c>
      <x:c r="X454" s="192" t="str">
        <x:v>No structural flag</x:v>
      </x:c>
      <x:c r="Y454" s="192" t="str">
        <x:v>Not Yet Reviewed</x:v>
      </x:c>
      <x:c r="Z454" s="192" t="str">
        <x:v>CTA LMFT WB5; Pearson VUE LMFT Outline Area 2</x:v>
      </x:c>
      <x:c r="AA454" s="192" t="str">
        <x:v>CTA_LMFT_Comprehensive_Simulation_Form_B_Answer_Key_and_Detailed_Rationales_v1.0.docx</x:v>
      </x:c>
      <x:c r="AB454" s="192" t="str">
        <x:v>1.0</x:v>
      </x:c>
      <x:c r="AC454" s="193"/>
      <x:c r="AD454" s="193" t="n">
        <x:v>46228</x:v>
      </x:c>
      <x:c r="AE454" s="192" t="str">
        <x:v>Approved for Form B</x:v>
      </x:c>
      <x:c r="AF454" s="194" t="str">
        <x:v>Form B only; paired alternate retained on the other comprehensive form</x:v>
      </x:c>
    </x:row>
    <x:row r="455">
      <x:c r="A455" s="191" t="str">
        <x:v>CTA-LMFT-MQB-0454</x:v>
      </x:c>
      <x:c r="B455" s="192" t="str">
        <x:v>LMFT-MQB-FB-CR-001</x:v>
      </x:c>
      <x:c r="C455" s="192" t="str">
        <x:v>LMFT</x:v>
      </x:c>
      <x:c r="D455" s="192" t="str">
        <x:v>Comprehensive Simulation</x:v>
      </x:c>
      <x:c r="E455" s="192"/>
      <x:c r="F455" s="192"/>
      <x:c r="G455" s="192" t="str">
        <x:v>Form B</x:v>
      </x:c>
      <x:c r="H455" s="192" t="n">
        <x:v>100</x:v>
      </x:c>
      <x:c r="I455" s="192" t="str">
        <x:v>Scored-Style</x:v>
      </x:c>
      <x:c r="J455" s="192" t="str">
        <x:v>3. Managing Crisis Situations</x:v>
      </x:c>
      <x:c r="K455" s="192" t="str">
        <x:v>Crisis priority</x:v>
      </x:c>
      <x:c r="L455" s="192" t="str"/>
      <x:c r="M455" s="192" t="str">
        <x:v>Easy</x:v>
      </x:c>
      <x:c r="N455" s="192" t="str">
        <x:v>Easy</x:v>
      </x:c>
      <x:c r="O455" s="192" t="str">
        <x:v>Direct recognition</x:v>
      </x:c>
      <x:c r="P455" s="192" t="str">
        <x:v>Knowledge &amp; Recall</x:v>
      </x:c>
      <x:c r="Q455" s="192" t="n">
        <x:v>4</x:v>
      </x:c>
      <x:c r="R455" s="192" t="str">
        <x:v>A</x:v>
      </x:c>
      <x:c r="S455" s="192" t="str">
        <x:v>Approved</x:v>
      </x:c>
      <x:c r="T455" s="192" t="str">
        <x:v>Active</x:v>
      </x:c>
      <x:c r="U455" s="192" t="n">
        <x:v>1</x:v>
      </x:c>
      <x:c r="V455" s="192" t="str">
        <x:v>LMFT-ALT-060</x:v>
      </x:c>
      <x:c r="W455" s="192" t="str">
        <x:v>No additional flag</x:v>
      </x:c>
      <x:c r="X455" s="192" t="str">
        <x:v>No structural flag</x:v>
      </x:c>
      <x:c r="Y455" s="192" t="str">
        <x:v>Not Yet Reviewed</x:v>
      </x:c>
      <x:c r="Z455" s="192" t="str">
        <x:v>CTA LMFT WB6; Pearson VUE LMFT Outline Area 3</x:v>
      </x:c>
      <x:c r="AA455" s="192" t="str">
        <x:v>CTA_LMFT_Comprehensive_Simulation_Form_B_Answer_Key_and_Detailed_Rationales_v1.0.docx</x:v>
      </x:c>
      <x:c r="AB455" s="192" t="str">
        <x:v>1.0</x:v>
      </x:c>
      <x:c r="AC455" s="193"/>
      <x:c r="AD455" s="193" t="n">
        <x:v>46228</x:v>
      </x:c>
      <x:c r="AE455" s="192" t="str">
        <x:v>Approved for Form B</x:v>
      </x:c>
      <x:c r="AF455" s="194" t="str">
        <x:v>Form B only; paired alternate retained on the other comprehensive form</x:v>
      </x:c>
    </x:row>
    <x:row r="456">
      <x:c r="A456" s="191" t="str">
        <x:v>CTA-LMFT-MQB-0455</x:v>
      </x:c>
      <x:c r="B456" s="192" t="str">
        <x:v>LMFT-MQB-FB-TX-005</x:v>
      </x:c>
      <x:c r="C456" s="192" t="str">
        <x:v>LMFT</x:v>
      </x:c>
      <x:c r="D456" s="192" t="str">
        <x:v>Comprehensive Simulation</x:v>
      </x:c>
      <x:c r="E456" s="192"/>
      <x:c r="F456" s="192"/>
      <x:c r="G456" s="192" t="str">
        <x:v>Form B</x:v>
      </x:c>
      <x:c r="H456" s="192" t="n">
        <x:v>101</x:v>
      </x:c>
      <x:c r="I456" s="192" t="str">
        <x:v>Scored-Style</x:v>
      </x:c>
      <x:c r="J456" s="192" t="str">
        <x:v>5. Treatment</x:v>
      </x:c>
      <x:c r="K456" s="192" t="str">
        <x:v>Reflective listening</x:v>
      </x:c>
      <x:c r="L456" s="192" t="str"/>
      <x:c r="M456" s="192" t="str">
        <x:v>Easy</x:v>
      </x:c>
      <x:c r="N456" s="192" t="str">
        <x:v>Easy</x:v>
      </x:c>
      <x:c r="O456" s="192" t="str">
        <x:v>Application</x:v>
      </x:c>
      <x:c r="P456" s="192" t="str">
        <x:v>Application</x:v>
      </x:c>
      <x:c r="Q456" s="192" t="n">
        <x:v>4</x:v>
      </x:c>
      <x:c r="R456" s="192" t="str">
        <x:v>B</x:v>
      </x:c>
      <x:c r="S456" s="192" t="str">
        <x:v>Approved</x:v>
      </x:c>
      <x:c r="T456" s="192" t="str">
        <x:v>Active</x:v>
      </x:c>
      <x:c r="U456" s="192" t="n">
        <x:v>1</x:v>
      </x:c>
      <x:c r="V456" s="192" t="str">
        <x:v>LMFT-ALT-112</x:v>
      </x:c>
      <x:c r="W456" s="192" t="str">
        <x:v>No additional flag</x:v>
      </x:c>
      <x:c r="X456" s="192" t="str">
        <x:v>No structural flag</x:v>
      </x:c>
      <x:c r="Y456" s="192" t="str">
        <x:v>Not Yet Reviewed</x:v>
      </x:c>
      <x:c r="Z456" s="192" t="str">
        <x:v>CTA LMFT WB2; CTA LMFT WB9; Pearson VUE LMFT Outline Area 5</x:v>
      </x:c>
      <x:c r="AA456" s="192" t="str">
        <x:v>CTA_LMFT_Comprehensive_Simulation_Form_B_Answer_Key_and_Detailed_Rationales_v1.0.docx</x:v>
      </x:c>
      <x:c r="AB456" s="192" t="str">
        <x:v>1.0</x:v>
      </x:c>
      <x:c r="AC456" s="193"/>
      <x:c r="AD456" s="193" t="n">
        <x:v>46228</x:v>
      </x:c>
      <x:c r="AE456" s="192" t="str">
        <x:v>Approved for Form B</x:v>
      </x:c>
      <x:c r="AF456" s="194" t="str">
        <x:v>Form B only; paired alternate retained on the other comprehensive form</x:v>
      </x:c>
    </x:row>
    <x:row r="457">
      <x:c r="A457" s="191" t="str">
        <x:v>CTA-LMFT-MQB-0456</x:v>
      </x:c>
      <x:c r="B457" s="192" t="str">
        <x:v>LMFT-MQB-FB-CE-016</x:v>
      </x:c>
      <x:c r="C457" s="192" t="str">
        <x:v>LMFT</x:v>
      </x:c>
      <x:c r="D457" s="192" t="str">
        <x:v>Comprehensive Simulation</x:v>
      </x:c>
      <x:c r="E457" s="192"/>
      <x:c r="F457" s="192"/>
      <x:c r="G457" s="192" t="str">
        <x:v>Form B</x:v>
      </x:c>
      <x:c r="H457" s="192" t="n">
        <x:v>102</x:v>
      </x:c>
      <x:c r="I457" s="192" t="str">
        <x:v>Scored-Style</x:v>
      </x:c>
      <x:c r="J457" s="192" t="str">
        <x:v>1. Clinical Evaluation</x:v>
      </x:c>
      <x:c r="K457" s="192" t="str">
        <x:v>Trauma inquiry pacing</x:v>
      </x:c>
      <x:c r="L457" s="192" t="str"/>
      <x:c r="M457" s="192" t="str">
        <x:v>Moderate</x:v>
      </x:c>
      <x:c r="N457" s="192" t="str">
        <x:v>Moderate</x:v>
      </x:c>
      <x:c r="O457" s="192" t="str">
        <x:v>Application</x:v>
      </x:c>
      <x:c r="P457" s="192" t="str">
        <x:v>Application</x:v>
      </x:c>
      <x:c r="Q457" s="192" t="n">
        <x:v>4</x:v>
      </x:c>
      <x:c r="R457" s="192" t="str">
        <x:v>D</x:v>
      </x:c>
      <x:c r="S457" s="192" t="str">
        <x:v>Approved</x:v>
      </x:c>
      <x:c r="T457" s="192" t="str">
        <x:v>Active</x:v>
      </x:c>
      <x:c r="U457" s="192" t="n">
        <x:v>1</x:v>
      </x:c>
      <x:c r="V457" s="192" t="str">
        <x:v>LMFT-ALT-016</x:v>
      </x:c>
      <x:c r="W457" s="192" t="str">
        <x:v>No additional flag</x:v>
      </x:c>
      <x:c r="X457" s="192" t="str">
        <x:v>No structural flag</x:v>
      </x:c>
      <x:c r="Y457" s="192" t="str">
        <x:v>Not Yet Reviewed</x:v>
      </x:c>
      <x:c r="Z457" s="192" t="str">
        <x:v>CTA LMFT WB4; Pearson VUE LMFT Outline Area 1</x:v>
      </x:c>
      <x:c r="AA457" s="192" t="str">
        <x:v>CTA_LMFT_Comprehensive_Simulation_Form_B_Answer_Key_and_Detailed_Rationales_v1.0.docx</x:v>
      </x:c>
      <x:c r="AB457" s="192" t="str">
        <x:v>1.0</x:v>
      </x:c>
      <x:c r="AC457" s="193"/>
      <x:c r="AD457" s="193" t="n">
        <x:v>46228</x:v>
      </x:c>
      <x:c r="AE457" s="192" t="str">
        <x:v>Approved for Form B</x:v>
      </x:c>
      <x:c r="AF457" s="194" t="str">
        <x:v>Form B only; paired alternate retained on the other comprehensive form</x:v>
      </x:c>
    </x:row>
    <x:row r="458">
      <x:c r="A458" s="191" t="str">
        <x:v>CTA-LMFT-MQB-0457</x:v>
      </x:c>
      <x:c r="B458" s="192" t="str">
        <x:v>LMFT-MQB-FB-CR-003</x:v>
      </x:c>
      <x:c r="C458" s="192" t="str">
        <x:v>LMFT</x:v>
      </x:c>
      <x:c r="D458" s="192" t="str">
        <x:v>Comprehensive Simulation</x:v>
      </x:c>
      <x:c r="E458" s="192"/>
      <x:c r="F458" s="192"/>
      <x:c r="G458" s="192" t="str">
        <x:v>Form B</x:v>
      </x:c>
      <x:c r="H458" s="192" t="n">
        <x:v>103</x:v>
      </x:c>
      <x:c r="I458" s="192" t="str">
        <x:v>Scored-Style</x:v>
      </x:c>
      <x:c r="J458" s="192" t="str">
        <x:v>3. Managing Crisis Situations</x:v>
      </x:c>
      <x:c r="K458" s="192" t="str">
        <x:v>Emergency documentation</x:v>
      </x:c>
      <x:c r="L458" s="192" t="str"/>
      <x:c r="M458" s="192" t="str">
        <x:v>Easy</x:v>
      </x:c>
      <x:c r="N458" s="192" t="str">
        <x:v>Easy</x:v>
      </x:c>
      <x:c r="O458" s="192" t="str">
        <x:v>Application</x:v>
      </x:c>
      <x:c r="P458" s="192" t="str">
        <x:v>Application</x:v>
      </x:c>
      <x:c r="Q458" s="192" t="n">
        <x:v>4</x:v>
      </x:c>
      <x:c r="R458" s="192" t="str">
        <x:v>A</x:v>
      </x:c>
      <x:c r="S458" s="192" t="str">
        <x:v>Approved</x:v>
      </x:c>
      <x:c r="T458" s="192" t="str">
        <x:v>Active</x:v>
      </x:c>
      <x:c r="U458" s="192" t="n">
        <x:v>1</x:v>
      </x:c>
      <x:c r="V458" s="192" t="str">
        <x:v>LMFT-ALT-062</x:v>
      </x:c>
      <x:c r="W458" s="192" t="str">
        <x:v>No additional flag</x:v>
      </x:c>
      <x:c r="X458" s="192" t="str">
        <x:v>No structural flag</x:v>
      </x:c>
      <x:c r="Y458" s="192" t="str">
        <x:v>Not Yet Reviewed</x:v>
      </x:c>
      <x:c r="Z458" s="192" t="str">
        <x:v>CTA LMFT WB6; Pearson VUE LMFT Outline Area 3</x:v>
      </x:c>
      <x:c r="AA458" s="192" t="str">
        <x:v>CTA_LMFT_Comprehensive_Simulation_Form_B_Answer_Key_and_Detailed_Rationales_v1.0.docx</x:v>
      </x:c>
      <x:c r="AB458" s="192" t="str">
        <x:v>1.0</x:v>
      </x:c>
      <x:c r="AC458" s="193"/>
      <x:c r="AD458" s="193" t="n">
        <x:v>46228</x:v>
      </x:c>
      <x:c r="AE458" s="192" t="str">
        <x:v>Approved for Form B</x:v>
      </x:c>
      <x:c r="AF458" s="194" t="str">
        <x:v>Form B only; paired alternate retained on the other comprehensive form</x:v>
      </x:c>
    </x:row>
    <x:row r="459">
      <x:c r="A459" s="191" t="str">
        <x:v>CTA-LMFT-MQB-0458</x:v>
      </x:c>
      <x:c r="B459" s="192" t="str">
        <x:v>LMFT-MQB-FB-CR-012</x:v>
      </x:c>
      <x:c r="C459" s="192" t="str">
        <x:v>LMFT</x:v>
      </x:c>
      <x:c r="D459" s="192" t="str">
        <x:v>Comprehensive Simulation</x:v>
      </x:c>
      <x:c r="E459" s="192"/>
      <x:c r="F459" s="192"/>
      <x:c r="G459" s="192" t="str">
        <x:v>Form B</x:v>
      </x:c>
      <x:c r="H459" s="192" t="n">
        <x:v>104</x:v>
      </x:c>
      <x:c r="I459" s="192" t="str">
        <x:v>Scored-Style</x:v>
      </x:c>
      <x:c r="J459" s="192" t="str">
        <x:v>3. Managing Crisis Situations</x:v>
      </x:c>
      <x:c r="K459" s="192" t="str">
        <x:v>Sexual assault disclosure</x:v>
      </x:c>
      <x:c r="L459" s="192" t="str"/>
      <x:c r="M459" s="192" t="str">
        <x:v>Difficult</x:v>
      </x:c>
      <x:c r="N459" s="192" t="str">
        <x:v>Difficult</x:v>
      </x:c>
      <x:c r="O459" s="192" t="str">
        <x:v>Scenario-based sequencing</x:v>
      </x:c>
      <x:c r="P459" s="192" t="str">
        <x:v>Scenario-Based</x:v>
      </x:c>
      <x:c r="Q459" s="192" t="n">
        <x:v>4</x:v>
      </x:c>
      <x:c r="R459" s="192" t="str">
        <x:v>C</x:v>
      </x:c>
      <x:c r="S459" s="192" t="str">
        <x:v>Approved</x:v>
      </x:c>
      <x:c r="T459" s="192" t="str">
        <x:v>Active</x:v>
      </x:c>
      <x:c r="U459" s="192" t="n">
        <x:v>1</x:v>
      </x:c>
      <x:c r="V459" s="192" t="str">
        <x:v>LMFT-ALT-071</x:v>
      </x:c>
      <x:c r="W459" s="192" t="str">
        <x:v>No additional flag</x:v>
      </x:c>
      <x:c r="X459" s="192" t="str">
        <x:v>No structural flag</x:v>
      </x:c>
      <x:c r="Y459" s="192" t="str">
        <x:v>Not Yet Reviewed</x:v>
      </x:c>
      <x:c r="Z459" s="192" t="str">
        <x:v>CTA LMFT WB6; Pearson VUE LMFT Outline Area 3</x:v>
      </x:c>
      <x:c r="AA459" s="192" t="str">
        <x:v>CTA_LMFT_Comprehensive_Simulation_Form_B_Answer_Key_and_Detailed_Rationales_v1.0.docx</x:v>
      </x:c>
      <x:c r="AB459" s="192" t="str">
        <x:v>1.0</x:v>
      </x:c>
      <x:c r="AC459" s="193"/>
      <x:c r="AD459" s="193" t="n">
        <x:v>46228</x:v>
      </x:c>
      <x:c r="AE459" s="192" t="str">
        <x:v>Approved for Form B</x:v>
      </x:c>
      <x:c r="AF459" s="194" t="str">
        <x:v>Form B only; paired alternate retained on the other comprehensive form</x:v>
      </x:c>
    </x:row>
    <x:row r="460">
      <x:c r="A460" s="191" t="str">
        <x:v>CTA-LMFT-MQB-0459</x:v>
      </x:c>
      <x:c r="B460" s="192" t="str">
        <x:v>LMFT-MQB-FB-DI-011</x:v>
      </x:c>
      <x:c r="C460" s="192" t="str">
        <x:v>LMFT</x:v>
      </x:c>
      <x:c r="D460" s="192" t="str">
        <x:v>Comprehensive Simulation</x:v>
      </x:c>
      <x:c r="E460" s="192"/>
      <x:c r="F460" s="192"/>
      <x:c r="G460" s="192" t="str">
        <x:v>Form B</x:v>
      </x:c>
      <x:c r="H460" s="192" t="n">
        <x:v>105</x:v>
      </x:c>
      <x:c r="I460" s="192" t="str">
        <x:v>Scored-Style</x:v>
      </x:c>
      <x:c r="J460" s="192" t="str">
        <x:v>2. Developing a Diagnostic Impression</x:v>
      </x:c>
      <x:c r="K460" s="192" t="str">
        <x:v>Depression versus grief</x:v>
      </x:c>
      <x:c r="L460" s="192" t="str"/>
      <x:c r="M460" s="192" t="str">
        <x:v>Moderate</x:v>
      </x:c>
      <x:c r="N460" s="192" t="str">
        <x:v>Moderate</x:v>
      </x:c>
      <x:c r="O460" s="192" t="str">
        <x:v>Scenario-based sequencing</x:v>
      </x:c>
      <x:c r="P460" s="192" t="str">
        <x:v>Scenario-Based</x:v>
      </x:c>
      <x:c r="Q460" s="192" t="n">
        <x:v>4</x:v>
      </x:c>
      <x:c r="R460" s="192" t="str">
        <x:v>D</x:v>
      </x:c>
      <x:c r="S460" s="192" t="str">
        <x:v>Approved</x:v>
      </x:c>
      <x:c r="T460" s="192" t="str">
        <x:v>Active</x:v>
      </x:c>
      <x:c r="U460" s="192" t="n">
        <x:v>1</x:v>
      </x:c>
      <x:c r="V460" s="192" t="str">
        <x:v>LMFT-ALT-086</x:v>
      </x:c>
      <x:c r="W460" s="192" t="str">
        <x:v>No additional flag</x:v>
      </x:c>
      <x:c r="X460" s="192" t="str">
        <x:v>No structural flag</x:v>
      </x:c>
      <x:c r="Y460" s="192" t="str">
        <x:v>Not Yet Reviewed</x:v>
      </x:c>
      <x:c r="Z460" s="192" t="str">
        <x:v>CTA LMFT WB5; Pearson VUE LMFT Outline Area 2</x:v>
      </x:c>
      <x:c r="AA460" s="192" t="str">
        <x:v>CTA_LMFT_Comprehensive_Simulation_Form_B_Answer_Key_and_Detailed_Rationales_v1.0.docx</x:v>
      </x:c>
      <x:c r="AB460" s="192" t="str">
        <x:v>1.0</x:v>
      </x:c>
      <x:c r="AC460" s="193"/>
      <x:c r="AD460" s="193" t="n">
        <x:v>46228</x:v>
      </x:c>
      <x:c r="AE460" s="192" t="str">
        <x:v>Approved for Form B</x:v>
      </x:c>
      <x:c r="AF460" s="194" t="str">
        <x:v>Form B only; paired alternate retained on the other comprehensive form</x:v>
      </x:c>
    </x:row>
    <x:row r="461">
      <x:c r="A461" s="191" t="str">
        <x:v>CTA-LMFT-MQB-0460</x:v>
      </x:c>
      <x:c r="B461" s="192" t="str">
        <x:v>LMFT-MQB-FB-CP-006</x:v>
      </x:c>
      <x:c r="C461" s="192" t="str">
        <x:v>LMFT</x:v>
      </x:c>
      <x:c r="D461" s="192" t="str">
        <x:v>Comprehensive Simulation</x:v>
      </x:c>
      <x:c r="E461" s="192"/>
      <x:c r="F461" s="192"/>
      <x:c r="G461" s="192" t="str">
        <x:v>Form B</x:v>
      </x:c>
      <x:c r="H461" s="192" t="n">
        <x:v>106</x:v>
      </x:c>
      <x:c r="I461" s="192" t="str">
        <x:v>Scored-Style</x:v>
      </x:c>
      <x:c r="J461" s="192" t="str">
        <x:v>4. Case Conceptualization and Planning</x:v>
      </x:c>
      <x:c r="K461" s="192" t="str">
        <x:v>Outcome monitoring</x:v>
      </x:c>
      <x:c r="L461" s="192" t="str"/>
      <x:c r="M461" s="192" t="str">
        <x:v>Moderate</x:v>
      </x:c>
      <x:c r="N461" s="192" t="str">
        <x:v>Moderate</x:v>
      </x:c>
      <x:c r="O461" s="192" t="str">
        <x:v>Application</x:v>
      </x:c>
      <x:c r="P461" s="192" t="str">
        <x:v>Application</x:v>
      </x:c>
      <x:c r="Q461" s="192" t="n">
        <x:v>4</x:v>
      </x:c>
      <x:c r="R461" s="192" t="str">
        <x:v>D</x:v>
      </x:c>
      <x:c r="S461" s="192" t="str">
        <x:v>Approved</x:v>
      </x:c>
      <x:c r="T461" s="192" t="str">
        <x:v>Active</x:v>
      </x:c>
      <x:c r="U461" s="192" t="n">
        <x:v>1</x:v>
      </x:c>
      <x:c r="V461" s="192" t="str">
        <x:v>LMFT-ALT-047</x:v>
      </x:c>
      <x:c r="W461" s="192" t="str">
        <x:v>No additional flag</x:v>
      </x:c>
      <x:c r="X461" s="192" t="str">
        <x:v>No structural flag</x:v>
      </x:c>
      <x:c r="Y461" s="192" t="str">
        <x:v>Not Yet Reviewed</x:v>
      </x:c>
      <x:c r="Z461" s="192" t="str">
        <x:v>CTA LMFT WB7; Pearson VUE LMFT Outline Area 4</x:v>
      </x:c>
      <x:c r="AA461" s="192" t="str">
        <x:v>CTA_LMFT_Comprehensive_Simulation_Form_B_Answer_Key_and_Detailed_Rationales_v1.0.docx</x:v>
      </x:c>
      <x:c r="AB461" s="192" t="str">
        <x:v>1.0</x:v>
      </x:c>
      <x:c r="AC461" s="193"/>
      <x:c r="AD461" s="193" t="n">
        <x:v>46228</x:v>
      </x:c>
      <x:c r="AE461" s="192" t="str">
        <x:v>Approved for Form B</x:v>
      </x:c>
      <x:c r="AF461" s="194" t="str">
        <x:v>Form B only; paired alternate retained on the other comprehensive form</x:v>
      </x:c>
    </x:row>
    <x:row r="462">
      <x:c r="A462" s="191" t="str">
        <x:v>CTA-LMFT-MQB-0461</x:v>
      </x:c>
      <x:c r="B462" s="192" t="str">
        <x:v>LMFT-MQB-FB-CP-005</x:v>
      </x:c>
      <x:c r="C462" s="192" t="str">
        <x:v>LMFT</x:v>
      </x:c>
      <x:c r="D462" s="192" t="str">
        <x:v>Comprehensive Simulation</x:v>
      </x:c>
      <x:c r="E462" s="192"/>
      <x:c r="F462" s="192"/>
      <x:c r="G462" s="192" t="str">
        <x:v>Form B</x:v>
      </x:c>
      <x:c r="H462" s="192" t="n">
        <x:v>107</x:v>
      </x:c>
      <x:c r="I462" s="192" t="str">
        <x:v>Scored-Style</x:v>
      </x:c>
      <x:c r="J462" s="192" t="str">
        <x:v>4. Case Conceptualization and Planning</x:v>
      </x:c>
      <x:c r="K462" s="192" t="str">
        <x:v>Modality selection</x:v>
      </x:c>
      <x:c r="L462" s="192" t="str"/>
      <x:c r="M462" s="192" t="str">
        <x:v>Moderate</x:v>
      </x:c>
      <x:c r="N462" s="192" t="str">
        <x:v>Moderate</x:v>
      </x:c>
      <x:c r="O462" s="192" t="str">
        <x:v>Application</x:v>
      </x:c>
      <x:c r="P462" s="192" t="str">
        <x:v>Application</x:v>
      </x:c>
      <x:c r="Q462" s="192" t="n">
        <x:v>4</x:v>
      </x:c>
      <x:c r="R462" s="192" t="str">
        <x:v>C</x:v>
      </x:c>
      <x:c r="S462" s="192" t="str">
        <x:v>Approved</x:v>
      </x:c>
      <x:c r="T462" s="192" t="str">
        <x:v>Active</x:v>
      </x:c>
      <x:c r="U462" s="192" t="n">
        <x:v>1</x:v>
      </x:c>
      <x:c r="V462" s="192" t="str">
        <x:v>LMFT-ALT-046</x:v>
      </x:c>
      <x:c r="W462" s="192" t="str">
        <x:v>No additional flag</x:v>
      </x:c>
      <x:c r="X462" s="192" t="str">
        <x:v>No structural flag</x:v>
      </x:c>
      <x:c r="Y462" s="192" t="str">
        <x:v>Not Yet Reviewed</x:v>
      </x:c>
      <x:c r="Z462" s="192" t="str">
        <x:v>CTA LMFT WB7; CTA LMFT WB8; Pearson VUE LMFT Outline Area 4</x:v>
      </x:c>
      <x:c r="AA462" s="192" t="str">
        <x:v>CTA_LMFT_Comprehensive_Simulation_Form_B_Answer_Key_and_Detailed_Rationales_v1.0.docx</x:v>
      </x:c>
      <x:c r="AB462" s="192" t="str">
        <x:v>1.0</x:v>
      </x:c>
      <x:c r="AC462" s="193"/>
      <x:c r="AD462" s="193" t="n">
        <x:v>46228</x:v>
      </x:c>
      <x:c r="AE462" s="192" t="str">
        <x:v>Approved for Form B</x:v>
      </x:c>
      <x:c r="AF462" s="194" t="str">
        <x:v>Form B only; paired alternate retained on the other comprehensive form</x:v>
      </x:c>
    </x:row>
    <x:row r="463">
      <x:c r="A463" s="191" t="str">
        <x:v>CTA-LMFT-MQB-0462</x:v>
      </x:c>
      <x:c r="B463" s="192" t="str">
        <x:v>LMFT-MQB-FB-TX-022</x:v>
      </x:c>
      <x:c r="C463" s="192" t="str">
        <x:v>LMFT</x:v>
      </x:c>
      <x:c r="D463" s="192" t="str">
        <x:v>Comprehensive Simulation</x:v>
      </x:c>
      <x:c r="E463" s="192"/>
      <x:c r="F463" s="192"/>
      <x:c r="G463" s="192" t="str">
        <x:v>Form B</x:v>
      </x:c>
      <x:c r="H463" s="192" t="n">
        <x:v>108</x:v>
      </x:c>
      <x:c r="I463" s="192" t="str">
        <x:v>Pretest-Style</x:v>
      </x:c>
      <x:c r="J463" s="192" t="str">
        <x:v>5. Treatment</x:v>
      </x:c>
      <x:c r="K463" s="192" t="str">
        <x:v>Complex couple treatment fit</x:v>
      </x:c>
      <x:c r="L463" s="192" t="str"/>
      <x:c r="M463" s="192" t="str">
        <x:v>Difficult</x:v>
      </x:c>
      <x:c r="N463" s="192" t="str">
        <x:v>Difficult</x:v>
      </x:c>
      <x:c r="O463" s="192" t="str">
        <x:v>Application</x:v>
      </x:c>
      <x:c r="P463" s="192" t="str">
        <x:v>Application</x:v>
      </x:c>
      <x:c r="Q463" s="192" t="n">
        <x:v>4</x:v>
      </x:c>
      <x:c r="R463" s="192" t="str">
        <x:v>C</x:v>
      </x:c>
      <x:c r="S463" s="192" t="str">
        <x:v>Approved</x:v>
      </x:c>
      <x:c r="T463" s="192" t="str">
        <x:v>Active</x:v>
      </x:c>
      <x:c r="U463" s="192" t="n">
        <x:v>1</x:v>
      </x:c>
      <x:c r="V463" s="192" t="str">
        <x:v>LMFT-ALT-129</x:v>
      </x:c>
      <x:c r="W463" s="192" t="str">
        <x:v>No additional flag</x:v>
      </x:c>
      <x:c r="X463" s="192" t="str">
        <x:v>No structural flag</x:v>
      </x:c>
      <x:c r="Y463" s="192" t="str">
        <x:v>Not Yet Reviewed</x:v>
      </x:c>
      <x:c r="Z463" s="192" t="str">
        <x:v>CTA LMFT WB7; CTA LMFT WB8; CTA LMFT WB9; Pearson VUE LMFT Outline Area 5</x:v>
      </x:c>
      <x:c r="AA463" s="192" t="str">
        <x:v>CTA_LMFT_Comprehensive_Simulation_Form_B_Answer_Key_and_Detailed_Rationales_v1.0.docx</x:v>
      </x:c>
      <x:c r="AB463" s="192" t="str">
        <x:v>1.0</x:v>
      </x:c>
      <x:c r="AC463" s="193"/>
      <x:c r="AD463" s="193" t="n">
        <x:v>46228</x:v>
      </x:c>
      <x:c r="AE463" s="192" t="str">
        <x:v>Approved for Form B</x:v>
      </x:c>
      <x:c r="AF463" s="194" t="str">
        <x:v>Form B only; paired alternate retained on the other comprehensive form</x:v>
      </x:c>
    </x:row>
    <x:row r="464">
      <x:c r="A464" s="191" t="str">
        <x:v>CTA-LMFT-MQB-0463</x:v>
      </x:c>
      <x:c r="B464" s="192" t="str">
        <x:v>LMFT-MQB-FB-CE-029</x:v>
      </x:c>
      <x:c r="C464" s="192" t="str">
        <x:v>LMFT</x:v>
      </x:c>
      <x:c r="D464" s="192" t="str">
        <x:v>Comprehensive Simulation</x:v>
      </x:c>
      <x:c r="E464" s="192"/>
      <x:c r="F464" s="192"/>
      <x:c r="G464" s="192" t="str">
        <x:v>Form B</x:v>
      </x:c>
      <x:c r="H464" s="192" t="n">
        <x:v>109</x:v>
      </x:c>
      <x:c r="I464" s="192" t="str">
        <x:v>Scored-Style</x:v>
      </x:c>
      <x:c r="J464" s="192" t="str">
        <x:v>1. Clinical Evaluation</x:v>
      </x:c>
      <x:c r="K464" s="192" t="str">
        <x:v>Intimate partner violence screening</x:v>
      </x:c>
      <x:c r="L464" s="192" t="str"/>
      <x:c r="M464" s="192" t="str">
        <x:v>Moderate</x:v>
      </x:c>
      <x:c r="N464" s="192" t="str">
        <x:v>Moderate</x:v>
      </x:c>
      <x:c r="O464" s="192" t="str">
        <x:v>Scenario-based sequencing</x:v>
      </x:c>
      <x:c r="P464" s="192" t="str">
        <x:v>Scenario-Based</x:v>
      </x:c>
      <x:c r="Q464" s="192" t="n">
        <x:v>4</x:v>
      </x:c>
      <x:c r="R464" s="192" t="str">
        <x:v>A</x:v>
      </x:c>
      <x:c r="S464" s="192" t="str">
        <x:v>Approved</x:v>
      </x:c>
      <x:c r="T464" s="192" t="str">
        <x:v>Active</x:v>
      </x:c>
      <x:c r="U464" s="192" t="n">
        <x:v>1</x:v>
      </x:c>
      <x:c r="V464" s="192" t="str">
        <x:v>LMFT-ALT-029</x:v>
      </x:c>
      <x:c r="W464" s="192" t="str">
        <x:v>No additional flag</x:v>
      </x:c>
      <x:c r="X464" s="192" t="str">
        <x:v>No structural flag</x:v>
      </x:c>
      <x:c r="Y464" s="192" t="str">
        <x:v>Not Yet Reviewed</x:v>
      </x:c>
      <x:c r="Z464" s="192" t="str">
        <x:v>CTA LMFT WB4; CTA LMFT WB6; Pearson VUE LMFT Outline Area 1</x:v>
      </x:c>
      <x:c r="AA464" s="192" t="str">
        <x:v>CTA_LMFT_Comprehensive_Simulation_Form_B_Answer_Key_and_Detailed_Rationales_v1.0.docx</x:v>
      </x:c>
      <x:c r="AB464" s="192" t="str">
        <x:v>1.0</x:v>
      </x:c>
      <x:c r="AC464" s="193"/>
      <x:c r="AD464" s="193" t="n">
        <x:v>46228</x:v>
      </x:c>
      <x:c r="AE464" s="192" t="str">
        <x:v>Approved for Form B</x:v>
      </x:c>
      <x:c r="AF464" s="194" t="str">
        <x:v>Form B only; paired alternate retained on the other comprehensive form</x:v>
      </x:c>
    </x:row>
    <x:row r="465">
      <x:c r="A465" s="191" t="str">
        <x:v>CTA-LMFT-MQB-0464</x:v>
      </x:c>
      <x:c r="B465" s="192" t="str">
        <x:v>LMFT-MQB-FB-TX-026</x:v>
      </x:c>
      <x:c r="C465" s="192" t="str">
        <x:v>LMFT</x:v>
      </x:c>
      <x:c r="D465" s="192" t="str">
        <x:v>Comprehensive Simulation</x:v>
      </x:c>
      <x:c r="E465" s="192"/>
      <x:c r="F465" s="192"/>
      <x:c r="G465" s="192" t="str">
        <x:v>Form B</x:v>
      </x:c>
      <x:c r="H465" s="192" t="n">
        <x:v>110</x:v>
      </x:c>
      <x:c r="I465" s="192" t="str">
        <x:v>Scored-Style</x:v>
      </x:c>
      <x:c r="J465" s="192" t="str">
        <x:v>5. Treatment</x:v>
      </x:c>
      <x:c r="K465" s="192" t="str">
        <x:v>Couple de-escalation</x:v>
      </x:c>
      <x:c r="L465" s="192" t="str"/>
      <x:c r="M465" s="192" t="str">
        <x:v>Moderate</x:v>
      </x:c>
      <x:c r="N465" s="192" t="str">
        <x:v>Moderate</x:v>
      </x:c>
      <x:c r="O465" s="192" t="str">
        <x:v>Scenario-based sequencing</x:v>
      </x:c>
      <x:c r="P465" s="192" t="str">
        <x:v>Scenario-Based</x:v>
      </x:c>
      <x:c r="Q465" s="192" t="n">
        <x:v>4</x:v>
      </x:c>
      <x:c r="R465" s="192" t="str">
        <x:v>A</x:v>
      </x:c>
      <x:c r="S465" s="192" t="str">
        <x:v>Approved</x:v>
      </x:c>
      <x:c r="T465" s="192" t="str">
        <x:v>Active</x:v>
      </x:c>
      <x:c r="U465" s="192" t="n">
        <x:v>1</x:v>
      </x:c>
      <x:c r="V465" s="192" t="str">
        <x:v>LMFT-ALT-133</x:v>
      </x:c>
      <x:c r="W465" s="192" t="str">
        <x:v>No additional flag</x:v>
      </x:c>
      <x:c r="X465" s="192" t="str">
        <x:v>No structural flag</x:v>
      </x:c>
      <x:c r="Y465" s="192" t="str">
        <x:v>Not Yet Reviewed</x:v>
      </x:c>
      <x:c r="Z465" s="192" t="str">
        <x:v>CTA LMFT WB8; Pearson VUE LMFT Outline Area 5</x:v>
      </x:c>
      <x:c r="AA465" s="192" t="str">
        <x:v>CTA_LMFT_Comprehensive_Simulation_Form_B_Answer_Key_and_Detailed_Rationales_v1.0.docx</x:v>
      </x:c>
      <x:c r="AB465" s="192" t="str">
        <x:v>1.0</x:v>
      </x:c>
      <x:c r="AC465" s="193"/>
      <x:c r="AD465" s="193" t="n">
        <x:v>46228</x:v>
      </x:c>
      <x:c r="AE465" s="192" t="str">
        <x:v>Approved for Form B</x:v>
      </x:c>
      <x:c r="AF465" s="194" t="str">
        <x:v>Form B only; paired alternate retained on the other comprehensive form</x:v>
      </x:c>
    </x:row>
    <x:row r="466">
      <x:c r="A466" s="191" t="str">
        <x:v>CTA-LMFT-MQB-0465</x:v>
      </x:c>
      <x:c r="B466" s="192" t="str">
        <x:v>LMFT-MQB-FB-TX-017</x:v>
      </x:c>
      <x:c r="C466" s="192" t="str">
        <x:v>LMFT</x:v>
      </x:c>
      <x:c r="D466" s="192" t="str">
        <x:v>Comprehensive Simulation</x:v>
      </x:c>
      <x:c r="E466" s="192"/>
      <x:c r="F466" s="192"/>
      <x:c r="G466" s="192" t="str">
        <x:v>Form B</x:v>
      </x:c>
      <x:c r="H466" s="192" t="n">
        <x:v>111</x:v>
      </x:c>
      <x:c r="I466" s="192" t="str">
        <x:v>Scored-Style</x:v>
      </x:c>
      <x:c r="J466" s="192" t="str">
        <x:v>5. Treatment</x:v>
      </x:c>
      <x:c r="K466" s="192" t="str">
        <x:v>Harm reduction</x:v>
      </x:c>
      <x:c r="L466" s="192" t="str"/>
      <x:c r="M466" s="192" t="str">
        <x:v>Moderate</x:v>
      </x:c>
      <x:c r="N466" s="192" t="str">
        <x:v>Moderate</x:v>
      </x:c>
      <x:c r="O466" s="192" t="str">
        <x:v>Application</x:v>
      </x:c>
      <x:c r="P466" s="192" t="str">
        <x:v>Application</x:v>
      </x:c>
      <x:c r="Q466" s="192" t="n">
        <x:v>4</x:v>
      </x:c>
      <x:c r="R466" s="192" t="str">
        <x:v>B</x:v>
      </x:c>
      <x:c r="S466" s="192" t="str">
        <x:v>Approved</x:v>
      </x:c>
      <x:c r="T466" s="192" t="str">
        <x:v>Active</x:v>
      </x:c>
      <x:c r="U466" s="192" t="n">
        <x:v>1</x:v>
      </x:c>
      <x:c r="V466" s="192" t="str">
        <x:v>LMFT-ALT-124</x:v>
      </x:c>
      <x:c r="W466" s="192" t="str">
        <x:v>No additional flag</x:v>
      </x:c>
      <x:c r="X466" s="192" t="str">
        <x:v>No structural flag</x:v>
      </x:c>
      <x:c r="Y466" s="192" t="str">
        <x:v>Not Yet Reviewed</x:v>
      </x:c>
      <x:c r="Z466" s="192" t="str">
        <x:v>CTA LMFT WB9; Pearson VUE LMFT Outline Area 5</x:v>
      </x:c>
      <x:c r="AA466" s="192" t="str">
        <x:v>CTA_LMFT_Comprehensive_Simulation_Form_B_Answer_Key_and_Detailed_Rationales_v1.0.docx</x:v>
      </x:c>
      <x:c r="AB466" s="192" t="str">
        <x:v>1.0</x:v>
      </x:c>
      <x:c r="AC466" s="193"/>
      <x:c r="AD466" s="193" t="n">
        <x:v>46228</x:v>
      </x:c>
      <x:c r="AE466" s="192" t="str">
        <x:v>Approved for Form B</x:v>
      </x:c>
      <x:c r="AF466" s="194" t="str">
        <x:v>Form B only; paired alternate retained on the other comprehensive form</x:v>
      </x:c>
    </x:row>
    <x:row r="467">
      <x:c r="A467" s="191" t="str">
        <x:v>CTA-LMFT-MQB-0466</x:v>
      </x:c>
      <x:c r="B467" s="192" t="str">
        <x:v>LMFT-MQB-FB-LE-007</x:v>
      </x:c>
      <x:c r="C467" s="192" t="str">
        <x:v>LMFT</x:v>
      </x:c>
      <x:c r="D467" s="192" t="str">
        <x:v>Comprehensive Simulation</x:v>
      </x:c>
      <x:c r="E467" s="192"/>
      <x:c r="F467" s="192"/>
      <x:c r="G467" s="192" t="str">
        <x:v>Form B</x:v>
      </x:c>
      <x:c r="H467" s="192" t="n">
        <x:v>112</x:v>
      </x:c>
      <x:c r="I467" s="192" t="str">
        <x:v>Pretest-Style</x:v>
      </x:c>
      <x:c r="J467" s="192" t="str">
        <x:v>6. Managing Legal and Ethical Obligations within the Therapeutic Relationship</x:v>
      </x:c>
      <x:c r="K467" s="192" t="str">
        <x:v>Court request</x:v>
      </x:c>
      <x:c r="L467" s="192" t="str"/>
      <x:c r="M467" s="192" t="str">
        <x:v>Difficult</x:v>
      </x:c>
      <x:c r="N467" s="192" t="str">
        <x:v>Difficult</x:v>
      </x:c>
      <x:c r="O467" s="192" t="str">
        <x:v>Application</x:v>
      </x:c>
      <x:c r="P467" s="192" t="str">
        <x:v>Application</x:v>
      </x:c>
      <x:c r="Q467" s="192" t="n">
        <x:v>4</x:v>
      </x:c>
      <x:c r="R467" s="192" t="str">
        <x:v>C</x:v>
      </x:c>
      <x:c r="S467" s="192" t="str">
        <x:v>Approved</x:v>
      </x:c>
      <x:c r="T467" s="192" t="str">
        <x:v>Active</x:v>
      </x:c>
      <x:c r="U467" s="192" t="n">
        <x:v>1</x:v>
      </x:c>
      <x:c r="V467" s="192" t="str">
        <x:v>LMFT-ALT-099</x:v>
      </x:c>
      <x:c r="W467" s="192" t="str">
        <x:v>Review Candidate</x:v>
      </x:c>
      <x:c r="X467" s="192" t="str">
        <x:v>No structural flag</x:v>
      </x:c>
      <x:c r="Y467" s="192" t="str">
        <x:v>Not Yet Reviewed</x:v>
      </x:c>
      <x:c r="Z467" s="192" t="str">
        <x:v>CTA LMFT WB12; Pearson VUE LMFT Outline Area 6</x:v>
      </x:c>
      <x:c r="AA467" s="192" t="str">
        <x:v>CTA_LMFT_Comprehensive_Simulation_Form_B_Answer_Key_and_Detailed_Rationales_v1.0.docx</x:v>
      </x:c>
      <x:c r="AB467" s="192" t="str">
        <x:v>1.0</x:v>
      </x:c>
      <x:c r="AC467" s="193"/>
      <x:c r="AD467" s="193" t="n">
        <x:v>46228</x:v>
      </x:c>
      <x:c r="AE467" s="192" t="str">
        <x:v>Approved for Form B</x:v>
      </x:c>
      <x:c r="AF467" s="194" t="str">
        <x:v>Form B only; paired alternate retained on the other comprehensive form</x:v>
      </x:c>
    </x:row>
    <x:row r="468">
      <x:c r="A468" s="191" t="str">
        <x:v>CTA-LMFT-MQB-0467</x:v>
      </x:c>
      <x:c r="B468" s="192" t="str">
        <x:v>LMFT-MQB-FB-CP-012</x:v>
      </x:c>
      <x:c r="C468" s="192" t="str">
        <x:v>LMFT</x:v>
      </x:c>
      <x:c r="D468" s="192" t="str">
        <x:v>Comprehensive Simulation</x:v>
      </x:c>
      <x:c r="E468" s="192"/>
      <x:c r="F468" s="192"/>
      <x:c r="G468" s="192" t="str">
        <x:v>Form B</x:v>
      </x:c>
      <x:c r="H468" s="192" t="n">
        <x:v>113</x:v>
      </x:c>
      <x:c r="I468" s="192" t="str">
        <x:v>Scored-Style</x:v>
      </x:c>
      <x:c r="J468" s="192" t="str">
        <x:v>4. Case Conceptualization and Planning</x:v>
      </x:c>
      <x:c r="K468" s="192" t="str">
        <x:v>Parent-child goal conflict</x:v>
      </x:c>
      <x:c r="L468" s="192" t="str"/>
      <x:c r="M468" s="192" t="str">
        <x:v>Moderate</x:v>
      </x:c>
      <x:c r="N468" s="192" t="str">
        <x:v>Moderate</x:v>
      </x:c>
      <x:c r="O468" s="192" t="str">
        <x:v>Scenario-based sequencing</x:v>
      </x:c>
      <x:c r="P468" s="192" t="str">
        <x:v>Scenario-Based</x:v>
      </x:c>
      <x:c r="Q468" s="192" t="n">
        <x:v>4</x:v>
      </x:c>
      <x:c r="R468" s="192" t="str">
        <x:v>D</x:v>
      </x:c>
      <x:c r="S468" s="192" t="str">
        <x:v>Approved</x:v>
      </x:c>
      <x:c r="T468" s="192" t="str">
        <x:v>Active</x:v>
      </x:c>
      <x:c r="U468" s="192" t="n">
        <x:v>1</x:v>
      </x:c>
      <x:c r="V468" s="192" t="str">
        <x:v>LMFT-ALT-053</x:v>
      </x:c>
      <x:c r="W468" s="192" t="str">
        <x:v>No additional flag</x:v>
      </x:c>
      <x:c r="X468" s="192" t="str">
        <x:v>No structural flag</x:v>
      </x:c>
      <x:c r="Y468" s="192" t="str">
        <x:v>Not Yet Reviewed</x:v>
      </x:c>
      <x:c r="Z468" s="192" t="str">
        <x:v>CTA LMFT WB7; Pearson VUE LMFT Outline Area 4</x:v>
      </x:c>
      <x:c r="AA468" s="192" t="str">
        <x:v>CTA_LMFT_Comprehensive_Simulation_Form_B_Answer_Key_and_Detailed_Rationales_v1.0.docx</x:v>
      </x:c>
      <x:c r="AB468" s="192" t="str">
        <x:v>1.0</x:v>
      </x:c>
      <x:c r="AC468" s="193"/>
      <x:c r="AD468" s="193" t="n">
        <x:v>46228</x:v>
      </x:c>
      <x:c r="AE468" s="192" t="str">
        <x:v>Approved for Form B</x:v>
      </x:c>
      <x:c r="AF468" s="194" t="str">
        <x:v>Form B only; paired alternate retained on the other comprehensive form</x:v>
      </x:c>
    </x:row>
    <x:row r="469">
      <x:c r="A469" s="191" t="str">
        <x:v>CTA-LMFT-MQB-0468</x:v>
      </x:c>
      <x:c r="B469" s="192" t="str">
        <x:v>LMFT-MQB-FB-CR-007</x:v>
      </x:c>
      <x:c r="C469" s="192" t="str">
        <x:v>LMFT</x:v>
      </x:c>
      <x:c r="D469" s="192" t="str">
        <x:v>Comprehensive Simulation</x:v>
      </x:c>
      <x:c r="E469" s="192"/>
      <x:c r="F469" s="192"/>
      <x:c r="G469" s="192" t="str">
        <x:v>Form B</x:v>
      </x:c>
      <x:c r="H469" s="192" t="n">
        <x:v>114</x:v>
      </x:c>
      <x:c r="I469" s="192" t="str">
        <x:v>Scored-Style</x:v>
      </x:c>
      <x:c r="J469" s="192" t="str">
        <x:v>3. Managing Crisis Situations</x:v>
      </x:c>
      <x:c r="K469" s="192" t="str">
        <x:v>Telehealth imminent risk</x:v>
      </x:c>
      <x:c r="L469" s="192" t="str"/>
      <x:c r="M469" s="192" t="str">
        <x:v>Moderate</x:v>
      </x:c>
      <x:c r="N469" s="192" t="str">
        <x:v>Moderate</x:v>
      </x:c>
      <x:c r="O469" s="192" t="str">
        <x:v>Scenario-based sequencing</x:v>
      </x:c>
      <x:c r="P469" s="192" t="str">
        <x:v>Scenario-Based</x:v>
      </x:c>
      <x:c r="Q469" s="192" t="n">
        <x:v>4</x:v>
      </x:c>
      <x:c r="R469" s="192" t="str">
        <x:v>A</x:v>
      </x:c>
      <x:c r="S469" s="192" t="str">
        <x:v>Approved</x:v>
      </x:c>
      <x:c r="T469" s="192" t="str">
        <x:v>Active</x:v>
      </x:c>
      <x:c r="U469" s="192" t="n">
        <x:v>1</x:v>
      </x:c>
      <x:c r="V469" s="192" t="str">
        <x:v>LMFT-ALT-066</x:v>
      </x:c>
      <x:c r="W469" s="192" t="str">
        <x:v>No additional flag</x:v>
      </x:c>
      <x:c r="X469" s="192" t="str">
        <x:v>No structural flag</x:v>
      </x:c>
      <x:c r="Y469" s="192" t="str">
        <x:v>Not Yet Reviewed</x:v>
      </x:c>
      <x:c r="Z469" s="192" t="str">
        <x:v>CTA LMFT WB6; CTA LMFT WB12; Pearson VUE LMFT Outline Area 3</x:v>
      </x:c>
      <x:c r="AA469" s="192" t="str">
        <x:v>CTA_LMFT_Comprehensive_Simulation_Form_B_Answer_Key_and_Detailed_Rationales_v1.0.docx</x:v>
      </x:c>
      <x:c r="AB469" s="192" t="str">
        <x:v>1.0</x:v>
      </x:c>
      <x:c r="AC469" s="193"/>
      <x:c r="AD469" s="193" t="n">
        <x:v>46228</x:v>
      </x:c>
      <x:c r="AE469" s="192" t="str">
        <x:v>Approved for Form B</x:v>
      </x:c>
      <x:c r="AF469" s="194" t="str">
        <x:v>Form B only; paired alternate retained on the other comprehensive form</x:v>
      </x:c>
    </x:row>
    <x:row r="470">
      <x:c r="A470" s="191" t="str">
        <x:v>CTA-LMFT-MQB-0469</x:v>
      </x:c>
      <x:c r="B470" s="192" t="str">
        <x:v>LMFT-MQB-FB-CE-031</x:v>
      </x:c>
      <x:c r="C470" s="192" t="str">
        <x:v>LMFT</x:v>
      </x:c>
      <x:c r="D470" s="192" t="str">
        <x:v>Comprehensive Simulation</x:v>
      </x:c>
      <x:c r="E470" s="192"/>
      <x:c r="F470" s="192"/>
      <x:c r="G470" s="192" t="str">
        <x:v>Form B</x:v>
      </x:c>
      <x:c r="H470" s="192" t="n">
        <x:v>115</x:v>
      </x:c>
      <x:c r="I470" s="192" t="str">
        <x:v>Scored-Style</x:v>
      </x:c>
      <x:c r="J470" s="192" t="str">
        <x:v>1. Clinical Evaluation</x:v>
      </x:c>
      <x:c r="K470" s="192" t="str">
        <x:v>Adolescent identity and family conflict</x:v>
      </x:c>
      <x:c r="L470" s="192" t="str"/>
      <x:c r="M470" s="192" t="str">
        <x:v>Moderate</x:v>
      </x:c>
      <x:c r="N470" s="192" t="str">
        <x:v>Moderate</x:v>
      </x:c>
      <x:c r="O470" s="192" t="str">
        <x:v>Scenario-based sequencing</x:v>
      </x:c>
      <x:c r="P470" s="192" t="str">
        <x:v>Scenario-Based</x:v>
      </x:c>
      <x:c r="Q470" s="192" t="n">
        <x:v>4</x:v>
      </x:c>
      <x:c r="R470" s="192" t="str">
        <x:v>A</x:v>
      </x:c>
      <x:c r="S470" s="192" t="str">
        <x:v>Approved</x:v>
      </x:c>
      <x:c r="T470" s="192" t="str">
        <x:v>Active</x:v>
      </x:c>
      <x:c r="U470" s="192" t="n">
        <x:v>1</x:v>
      </x:c>
      <x:c r="V470" s="192" t="str">
        <x:v>LMFT-ALT-031</x:v>
      </x:c>
      <x:c r="W470" s="192" t="str">
        <x:v>No additional flag</x:v>
      </x:c>
      <x:c r="X470" s="192" t="str">
        <x:v>No structural flag</x:v>
      </x:c>
      <x:c r="Y470" s="192" t="str">
        <x:v>Not Yet Reviewed</x:v>
      </x:c>
      <x:c r="Z470" s="192" t="str">
        <x:v>CTA LMFT WB3; CTA LMFT WB10; Pearson VUE LMFT Outline Area 1</x:v>
      </x:c>
      <x:c r="AA470" s="192" t="str">
        <x:v>CTA_LMFT_Comprehensive_Simulation_Form_B_Answer_Key_and_Detailed_Rationales_v1.0.docx</x:v>
      </x:c>
      <x:c r="AB470" s="192" t="str">
        <x:v>1.0</x:v>
      </x:c>
      <x:c r="AC470" s="193"/>
      <x:c r="AD470" s="193" t="n">
        <x:v>46228</x:v>
      </x:c>
      <x:c r="AE470" s="192" t="str">
        <x:v>Approved for Form B</x:v>
      </x:c>
      <x:c r="AF470" s="194" t="str">
        <x:v>Form B only; paired alternate retained on the other comprehensive form</x:v>
      </x:c>
    </x:row>
    <x:row r="471">
      <x:c r="A471" s="191" t="str">
        <x:v>CTA-LMFT-MQB-0470</x:v>
      </x:c>
      <x:c r="B471" s="192" t="str">
        <x:v>LMFT-MQB-FB-CR-011</x:v>
      </x:c>
      <x:c r="C471" s="192" t="str">
        <x:v>LMFT</x:v>
      </x:c>
      <x:c r="D471" s="192" t="str">
        <x:v>Comprehensive Simulation</x:v>
      </x:c>
      <x:c r="E471" s="192"/>
      <x:c r="F471" s="192"/>
      <x:c r="G471" s="192" t="str">
        <x:v>Form B</x:v>
      </x:c>
      <x:c r="H471" s="192" t="n">
        <x:v>116</x:v>
      </x:c>
      <x:c r="I471" s="192" t="str">
        <x:v>Pretest-Style</x:v>
      </x:c>
      <x:c r="J471" s="192" t="str">
        <x:v>3. Managing Crisis Situations</x:v>
      </x:c>
      <x:c r="K471" s="192" t="str">
        <x:v>Grave disability and basic needs</x:v>
      </x:c>
      <x:c r="L471" s="192" t="str"/>
      <x:c r="M471" s="192" t="str">
        <x:v>Moderate</x:v>
      </x:c>
      <x:c r="N471" s="192" t="str">
        <x:v>Moderate</x:v>
      </x:c>
      <x:c r="O471" s="192" t="str">
        <x:v>Scenario-based sequencing</x:v>
      </x:c>
      <x:c r="P471" s="192" t="str">
        <x:v>Scenario-Based</x:v>
      </x:c>
      <x:c r="Q471" s="192" t="n">
        <x:v>4</x:v>
      </x:c>
      <x:c r="R471" s="192" t="str">
        <x:v>B</x:v>
      </x:c>
      <x:c r="S471" s="192" t="str">
        <x:v>Approved</x:v>
      </x:c>
      <x:c r="T471" s="192" t="str">
        <x:v>Active</x:v>
      </x:c>
      <x:c r="U471" s="192" t="n">
        <x:v>1</x:v>
      </x:c>
      <x:c r="V471" s="192" t="str">
        <x:v>LMFT-ALT-070</x:v>
      </x:c>
      <x:c r="W471" s="192" t="str">
        <x:v>No additional flag</x:v>
      </x:c>
      <x:c r="X471" s="192" t="str">
        <x:v>No structural flag</x:v>
      </x:c>
      <x:c r="Y471" s="192" t="str">
        <x:v>Not Yet Reviewed</x:v>
      </x:c>
      <x:c r="Z471" s="192" t="str">
        <x:v>CTA LMFT WB6; Pearson VUE LMFT Outline Area 3</x:v>
      </x:c>
      <x:c r="AA471" s="192" t="str">
        <x:v>CTA_LMFT_Comprehensive_Simulation_Form_B_Answer_Key_and_Detailed_Rationales_v1.0.docx</x:v>
      </x:c>
      <x:c r="AB471" s="192" t="str">
        <x:v>1.0</x:v>
      </x:c>
      <x:c r="AC471" s="193"/>
      <x:c r="AD471" s="193" t="n">
        <x:v>46228</x:v>
      </x:c>
      <x:c r="AE471" s="192" t="str">
        <x:v>Approved for Form B</x:v>
      </x:c>
      <x:c r="AF471" s="194" t="str">
        <x:v>Form B only; paired alternate retained on the other comprehensive form</x:v>
      </x:c>
    </x:row>
    <x:row r="472">
      <x:c r="A472" s="191" t="str">
        <x:v>CTA-LMFT-MQB-0471</x:v>
      </x:c>
      <x:c r="B472" s="192" t="str">
        <x:v>LMFT-MQB-FB-CE-021</x:v>
      </x:c>
      <x:c r="C472" s="192" t="str">
        <x:v>LMFT</x:v>
      </x:c>
      <x:c r="D472" s="192" t="str">
        <x:v>Comprehensive Simulation</x:v>
      </x:c>
      <x:c r="E472" s="192"/>
      <x:c r="F472" s="192"/>
      <x:c r="G472" s="192" t="str">
        <x:v>Form B</x:v>
      </x:c>
      <x:c r="H472" s="192" t="n">
        <x:v>117</x:v>
      </x:c>
      <x:c r="I472" s="192" t="str">
        <x:v>Pretest-Style</x:v>
      </x:c>
      <x:c r="J472" s="192" t="str">
        <x:v>1. Clinical Evaluation</x:v>
      </x:c>
      <x:c r="K472" s="192" t="str">
        <x:v>Complex identity formulation</x:v>
      </x:c>
      <x:c r="L472" s="192" t="str"/>
      <x:c r="M472" s="192" t="str">
        <x:v>Difficult</x:v>
      </x:c>
      <x:c r="N472" s="192" t="str">
        <x:v>Difficult</x:v>
      </x:c>
      <x:c r="O472" s="192" t="str">
        <x:v>Application</x:v>
      </x:c>
      <x:c r="P472" s="192" t="str">
        <x:v>Application</x:v>
      </x:c>
      <x:c r="Q472" s="192" t="n">
        <x:v>4</x:v>
      </x:c>
      <x:c r="R472" s="192" t="str">
        <x:v>D</x:v>
      </x:c>
      <x:c r="S472" s="192" t="str">
        <x:v>Approved</x:v>
      </x:c>
      <x:c r="T472" s="192" t="str">
        <x:v>Active</x:v>
      </x:c>
      <x:c r="U472" s="192" t="n">
        <x:v>1</x:v>
      </x:c>
      <x:c r="V472" s="192" t="str">
        <x:v>LMFT-ALT-021</x:v>
      </x:c>
      <x:c r="W472" s="192" t="str">
        <x:v>No additional flag</x:v>
      </x:c>
      <x:c r="X472" s="192" t="str">
        <x:v>No structural flag</x:v>
      </x:c>
      <x:c r="Y472" s="192" t="str">
        <x:v>Not Yet Reviewed</x:v>
      </x:c>
      <x:c r="Z472" s="192" t="str">
        <x:v>CTA LMFT WB3; CTA LMFT WB10; Pearson VUE LMFT Outline Area 1</x:v>
      </x:c>
      <x:c r="AA472" s="192" t="str">
        <x:v>CTA_LMFT_Comprehensive_Simulation_Form_B_Answer_Key_and_Detailed_Rationales_v1.0.docx</x:v>
      </x:c>
      <x:c r="AB472" s="192" t="str">
        <x:v>1.0</x:v>
      </x:c>
      <x:c r="AC472" s="193"/>
      <x:c r="AD472" s="193" t="n">
        <x:v>46228</x:v>
      </x:c>
      <x:c r="AE472" s="192" t="str">
        <x:v>Approved for Form B</x:v>
      </x:c>
      <x:c r="AF472" s="194" t="str">
        <x:v>Form B only; paired alternate retained on the other comprehensive form</x:v>
      </x:c>
    </x:row>
    <x:row r="473">
      <x:c r="A473" s="191" t="str">
        <x:v>CTA-LMFT-MQB-0472</x:v>
      </x:c>
      <x:c r="B473" s="192" t="str">
        <x:v>LMFT-MQB-FB-TX-015</x:v>
      </x:c>
      <x:c r="C473" s="192" t="str">
        <x:v>LMFT</x:v>
      </x:c>
      <x:c r="D473" s="192" t="str">
        <x:v>Comprehensive Simulation</x:v>
      </x:c>
      <x:c r="E473" s="192"/>
      <x:c r="F473" s="192"/>
      <x:c r="G473" s="192" t="str">
        <x:v>Form B</x:v>
      </x:c>
      <x:c r="H473" s="192" t="n">
        <x:v>118</x:v>
      </x:c>
      <x:c r="I473" s="192" t="str">
        <x:v>Scored-Style</x:v>
      </x:c>
      <x:c r="J473" s="192" t="str">
        <x:v>5. Treatment</x:v>
      </x:c>
      <x:c r="K473" s="192" t="str">
        <x:v>Cognitive restructuring</x:v>
      </x:c>
      <x:c r="L473" s="192" t="str"/>
      <x:c r="M473" s="192" t="str">
        <x:v>Moderate</x:v>
      </x:c>
      <x:c r="N473" s="192" t="str">
        <x:v>Moderate</x:v>
      </x:c>
      <x:c r="O473" s="192" t="str">
        <x:v>Application</x:v>
      </x:c>
      <x:c r="P473" s="192" t="str">
        <x:v>Application</x:v>
      </x:c>
      <x:c r="Q473" s="192" t="n">
        <x:v>4</x:v>
      </x:c>
      <x:c r="R473" s="192" t="str">
        <x:v>B</x:v>
      </x:c>
      <x:c r="S473" s="192" t="str">
        <x:v>Approved</x:v>
      </x:c>
      <x:c r="T473" s="192" t="str">
        <x:v>Active</x:v>
      </x:c>
      <x:c r="U473" s="192" t="n">
        <x:v>1</x:v>
      </x:c>
      <x:c r="V473" s="192" t="str">
        <x:v>LMFT-ALT-122</x:v>
      </x:c>
      <x:c r="W473" s="192" t="str">
        <x:v>No additional flag</x:v>
      </x:c>
      <x:c r="X473" s="192" t="str">
        <x:v>No structural flag</x:v>
      </x:c>
      <x:c r="Y473" s="192" t="str">
        <x:v>Not Yet Reviewed</x:v>
      </x:c>
      <x:c r="Z473" s="192" t="str">
        <x:v>CTA LMFT WB9; CTA LMFT WB11; Pearson VUE LMFT Outline Area 5</x:v>
      </x:c>
      <x:c r="AA473" s="192" t="str">
        <x:v>CTA_LMFT_Comprehensive_Simulation_Form_B_Answer_Key_and_Detailed_Rationales_v1.0.docx</x:v>
      </x:c>
      <x:c r="AB473" s="192" t="str">
        <x:v>1.0</x:v>
      </x:c>
      <x:c r="AC473" s="193"/>
      <x:c r="AD473" s="193" t="n">
        <x:v>46228</x:v>
      </x:c>
      <x:c r="AE473" s="192" t="str">
        <x:v>Approved for Form B</x:v>
      </x:c>
      <x:c r="AF473" s="194" t="str">
        <x:v>Form B only; paired alternate retained on the other comprehensive form</x:v>
      </x:c>
    </x:row>
    <x:row r="474">
      <x:c r="A474" s="191" t="str">
        <x:v>CTA-LMFT-MQB-0473</x:v>
      </x:c>
      <x:c r="B474" s="192" t="str">
        <x:v>LMFT-MQB-FB-TX-039</x:v>
      </x:c>
      <x:c r="C474" s="192" t="str">
        <x:v>LMFT</x:v>
      </x:c>
      <x:c r="D474" s="192" t="str">
        <x:v>Comprehensive Simulation</x:v>
      </x:c>
      <x:c r="E474" s="192"/>
      <x:c r="F474" s="192"/>
      <x:c r="G474" s="192" t="str">
        <x:v>Form B</x:v>
      </x:c>
      <x:c r="H474" s="192" t="n">
        <x:v>119</x:v>
      </x:c>
      <x:c r="I474" s="192" t="str">
        <x:v>Pretest-Style</x:v>
      </x:c>
      <x:c r="J474" s="192" t="str">
        <x:v>5. Treatment</x:v>
      </x:c>
      <x:c r="K474" s="192" t="str">
        <x:v>Integrated culturally responsive CBT</x:v>
      </x:c>
      <x:c r="L474" s="192" t="str"/>
      <x:c r="M474" s="192" t="str">
        <x:v>Moderate</x:v>
      </x:c>
      <x:c r="N474" s="192" t="str">
        <x:v>Moderate</x:v>
      </x:c>
      <x:c r="O474" s="192" t="str">
        <x:v>Integrated reasoning</x:v>
      </x:c>
      <x:c r="P474" s="192" t="str">
        <x:v>Integrated Clinical Reasoning</x:v>
      </x:c>
      <x:c r="Q474" s="192" t="n">
        <x:v>4</x:v>
      </x:c>
      <x:c r="R474" s="192" t="str">
        <x:v>C</x:v>
      </x:c>
      <x:c r="S474" s="192" t="str">
        <x:v>Approved</x:v>
      </x:c>
      <x:c r="T474" s="192" t="str">
        <x:v>Active</x:v>
      </x:c>
      <x:c r="U474" s="192" t="n">
        <x:v>1</x:v>
      </x:c>
      <x:c r="V474" s="192" t="str">
        <x:v>LMFT-ALT-146</x:v>
      </x:c>
      <x:c r="W474" s="192" t="str">
        <x:v>No additional flag</x:v>
      </x:c>
      <x:c r="X474" s="192" t="str">
        <x:v>No structural flag</x:v>
      </x:c>
      <x:c r="Y474" s="192" t="str">
        <x:v>Not Yet Reviewed</x:v>
      </x:c>
      <x:c r="Z474" s="192" t="str">
        <x:v>CTA LMFT WB9; CTA LMFT WB10; Pearson VUE LMFT Outline Area 5</x:v>
      </x:c>
      <x:c r="AA474" s="192" t="str">
        <x:v>CTA_LMFT_Comprehensive_Simulation_Form_B_Answer_Key_and_Detailed_Rationales_v1.0.docx</x:v>
      </x:c>
      <x:c r="AB474" s="192" t="str">
        <x:v>1.0</x:v>
      </x:c>
      <x:c r="AC474" s="193"/>
      <x:c r="AD474" s="193" t="n">
        <x:v>46228</x:v>
      </x:c>
      <x:c r="AE474" s="192" t="str">
        <x:v>Approved for Form B</x:v>
      </x:c>
      <x:c r="AF474" s="194" t="str">
        <x:v>Form B only; paired alternate retained on the other comprehensive form</x:v>
      </x:c>
    </x:row>
    <x:row r="475">
      <x:c r="A475" s="191" t="str">
        <x:v>CTA-LMFT-MQB-0474</x:v>
      </x:c>
      <x:c r="B475" s="192" t="str">
        <x:v>LMFT-MQB-FB-LE-014</x:v>
      </x:c>
      <x:c r="C475" s="192" t="str">
        <x:v>LMFT</x:v>
      </x:c>
      <x:c r="D475" s="192" t="str">
        <x:v>Comprehensive Simulation</x:v>
      </x:c>
      <x:c r="E475" s="192"/>
      <x:c r="F475" s="192"/>
      <x:c r="G475" s="192" t="str">
        <x:v>Form B</x:v>
      </x:c>
      <x:c r="H475" s="192" t="n">
        <x:v>120</x:v>
      </x:c>
      <x:c r="I475" s="192" t="str">
        <x:v>Pretest-Style</x:v>
      </x:c>
      <x:c r="J475" s="192" t="str">
        <x:v>6. Managing Legal and Ethical Obligations within the Therapeutic Relationship</x:v>
      </x:c>
      <x:c r="K475" s="192" t="str">
        <x:v>Ethics, safety, and minimum disclosure</x:v>
      </x:c>
      <x:c r="L475" s="192" t="str"/>
      <x:c r="M475" s="192" t="str">
        <x:v>Moderate</x:v>
      </x:c>
      <x:c r="N475" s="192" t="str">
        <x:v>Moderate</x:v>
      </x:c>
      <x:c r="O475" s="192" t="str">
        <x:v>Integrated reasoning</x:v>
      </x:c>
      <x:c r="P475" s="192" t="str">
        <x:v>Integrated Clinical Reasoning</x:v>
      </x:c>
      <x:c r="Q475" s="192" t="n">
        <x:v>4</x:v>
      </x:c>
      <x:c r="R475" s="192" t="str">
        <x:v>C</x:v>
      </x:c>
      <x:c r="S475" s="192" t="str">
        <x:v>Approved</x:v>
      </x:c>
      <x:c r="T475" s="192" t="str">
        <x:v>Active</x:v>
      </x:c>
      <x:c r="U475" s="192" t="n">
        <x:v>1</x:v>
      </x:c>
      <x:c r="V475" s="192" t="str">
        <x:v>LMFT-ALT-106</x:v>
      </x:c>
      <x:c r="W475" s="192" t="str">
        <x:v>No additional flag</x:v>
      </x:c>
      <x:c r="X475" s="192" t="str">
        <x:v>No structural flag</x:v>
      </x:c>
      <x:c r="Y475" s="192" t="str">
        <x:v>Not Yet Reviewed</x:v>
      </x:c>
      <x:c r="Z475" s="192" t="str">
        <x:v>CTA LMFT WB6; CTA LMFT WB12; Pearson VUE LMFT Outline Area 6</x:v>
      </x:c>
      <x:c r="AA475" s="192" t="str">
        <x:v>CTA_LMFT_Comprehensive_Simulation_Form_B_Answer_Key_and_Detailed_Rationales_v1.0.docx</x:v>
      </x:c>
      <x:c r="AB475" s="192" t="str">
        <x:v>1.0</x:v>
      </x:c>
      <x:c r="AC475" s="193"/>
      <x:c r="AD475" s="193" t="n">
        <x:v>46228</x:v>
      </x:c>
      <x:c r="AE475" s="192" t="str">
        <x:v>Approved for Form B</x:v>
      </x:c>
      <x:c r="AF475" s="194" t="str">
        <x:v>Form B only; paired alternate retained on the other comprehensive form</x:v>
      </x:c>
    </x:row>
    <x:row r="476">
      <x:c r="A476" s="191" t="str">
        <x:v>CTA-LMFT-MQB-0475</x:v>
      </x:c>
      <x:c r="B476" s="192" t="str">
        <x:v>LMFT-MQB-FB-TX-040</x:v>
      </x:c>
      <x:c r="C476" s="192" t="str">
        <x:v>LMFT</x:v>
      </x:c>
      <x:c r="D476" s="192" t="str">
        <x:v>Comprehensive Simulation</x:v>
      </x:c>
      <x:c r="E476" s="192"/>
      <x:c r="F476" s="192"/>
      <x:c r="G476" s="192" t="str">
        <x:v>Form B</x:v>
      </x:c>
      <x:c r="H476" s="192" t="n">
        <x:v>121</x:v>
      </x:c>
      <x:c r="I476" s="192" t="str">
        <x:v>Scored-Style</x:v>
      </x:c>
      <x:c r="J476" s="192" t="str">
        <x:v>5. Treatment</x:v>
      </x:c>
      <x:c r="K476" s="192" t="str">
        <x:v>Integrated attachment and trauma pacing</x:v>
      </x:c>
      <x:c r="L476" s="192" t="str"/>
      <x:c r="M476" s="192" t="str">
        <x:v>Difficult</x:v>
      </x:c>
      <x:c r="N476" s="192" t="str">
        <x:v>Difficult</x:v>
      </x:c>
      <x:c r="O476" s="192" t="str">
        <x:v>Integrated reasoning</x:v>
      </x:c>
      <x:c r="P476" s="192" t="str">
        <x:v>Integrated Clinical Reasoning</x:v>
      </x:c>
      <x:c r="Q476" s="192" t="n">
        <x:v>4</x:v>
      </x:c>
      <x:c r="R476" s="192" t="str">
        <x:v>B</x:v>
      </x:c>
      <x:c r="S476" s="192" t="str">
        <x:v>Approved</x:v>
      </x:c>
      <x:c r="T476" s="192" t="str">
        <x:v>Active</x:v>
      </x:c>
      <x:c r="U476" s="192" t="n">
        <x:v>1</x:v>
      </x:c>
      <x:c r="V476" s="192" t="str">
        <x:v>LMFT-ALT-147</x:v>
      </x:c>
      <x:c r="W476" s="192" t="str">
        <x:v>No additional flag</x:v>
      </x:c>
      <x:c r="X476" s="192" t="str">
        <x:v>No structural flag</x:v>
      </x:c>
      <x:c r="Y476" s="192" t="str">
        <x:v>Not Yet Reviewed</x:v>
      </x:c>
      <x:c r="Z476" s="192" t="str">
        <x:v>CTA LMFT WB8; CTA LMFT WB9; Pearson VUE LMFT Outline Area 5</x:v>
      </x:c>
      <x:c r="AA476" s="192" t="str">
        <x:v>CTA_LMFT_Comprehensive_Simulation_Form_B_Answer_Key_and_Detailed_Rationales_v1.0.docx</x:v>
      </x:c>
      <x:c r="AB476" s="192" t="str">
        <x:v>1.0</x:v>
      </x:c>
      <x:c r="AC476" s="193"/>
      <x:c r="AD476" s="193" t="n">
        <x:v>46228</x:v>
      </x:c>
      <x:c r="AE476" s="192" t="str">
        <x:v>Approved for Form B</x:v>
      </x:c>
      <x:c r="AF476" s="194" t="str">
        <x:v>Form B only; paired alternate retained on the other comprehensive form</x:v>
      </x:c>
    </x:row>
    <x:row r="477">
      <x:c r="A477" s="191" t="str">
        <x:v>CTA-LMFT-MQB-0476</x:v>
      </x:c>
      <x:c r="B477" s="192" t="str">
        <x:v>LMFT-MQB-FB-CP-018</x:v>
      </x:c>
      <x:c r="C477" s="192" t="str">
        <x:v>LMFT</x:v>
      </x:c>
      <x:c r="D477" s="192" t="str">
        <x:v>Comprehensive Simulation</x:v>
      </x:c>
      <x:c r="E477" s="192"/>
      <x:c r="F477" s="192"/>
      <x:c r="G477" s="192" t="str">
        <x:v>Form B</x:v>
      </x:c>
      <x:c r="H477" s="192" t="n">
        <x:v>122</x:v>
      </x:c>
      <x:c r="I477" s="192" t="str">
        <x:v>Scored-Style</x:v>
      </x:c>
      <x:c r="J477" s="192" t="str">
        <x:v>4. Case Conceptualization and Planning</x:v>
      </x:c>
      <x:c r="K477" s="192" t="str">
        <x:v>Planning with trauma and coercion</x:v>
      </x:c>
      <x:c r="L477" s="192" t="str"/>
      <x:c r="M477" s="192" t="str">
        <x:v>Difficult</x:v>
      </x:c>
      <x:c r="N477" s="192" t="str">
        <x:v>Difficult</x:v>
      </x:c>
      <x:c r="O477" s="192" t="str">
        <x:v>Integrated reasoning</x:v>
      </x:c>
      <x:c r="P477" s="192" t="str">
        <x:v>Integrated Clinical Reasoning</x:v>
      </x:c>
      <x:c r="Q477" s="192" t="n">
        <x:v>4</x:v>
      </x:c>
      <x:c r="R477" s="192" t="str">
        <x:v>A</x:v>
      </x:c>
      <x:c r="S477" s="192" t="str">
        <x:v>Approved</x:v>
      </x:c>
      <x:c r="T477" s="192" t="str">
        <x:v>Active</x:v>
      </x:c>
      <x:c r="U477" s="192" t="n">
        <x:v>1</x:v>
      </x:c>
      <x:c r="V477" s="192" t="str">
        <x:v>LMFT-ALT-059</x:v>
      </x:c>
      <x:c r="W477" s="192" t="str">
        <x:v>No additional flag</x:v>
      </x:c>
      <x:c r="X477" s="192" t="str">
        <x:v>No structural flag</x:v>
      </x:c>
      <x:c r="Y477" s="192" t="str">
        <x:v>Not Yet Reviewed</x:v>
      </x:c>
      <x:c r="Z477" s="192" t="str">
        <x:v>CTA LMFT WB6; CTA LMFT WB7; CTA LMFT WB8; Pearson VUE LMFT Outline Area 4</x:v>
      </x:c>
      <x:c r="AA477" s="192" t="str">
        <x:v>CTA_LMFT_Comprehensive_Simulation_Form_B_Answer_Key_and_Detailed_Rationales_v1.0.docx</x:v>
      </x:c>
      <x:c r="AB477" s="192" t="str">
        <x:v>1.0</x:v>
      </x:c>
      <x:c r="AC477" s="193"/>
      <x:c r="AD477" s="193" t="n">
        <x:v>46228</x:v>
      </x:c>
      <x:c r="AE477" s="192" t="str">
        <x:v>Approved for Form B</x:v>
      </x:c>
      <x:c r="AF477" s="194" t="str">
        <x:v>Form B only; paired alternate retained on the other comprehensive form</x:v>
      </x:c>
    </x:row>
    <x:row r="478">
      <x:c r="A478" s="191" t="str">
        <x:v>CTA-LMFT-MQB-0477</x:v>
      </x:c>
      <x:c r="B478" s="192" t="str">
        <x:v>LMFT-MQB-FB-CE-022</x:v>
      </x:c>
      <x:c r="C478" s="192" t="str">
        <x:v>LMFT</x:v>
      </x:c>
      <x:c r="D478" s="192" t="str">
        <x:v>Comprehensive Simulation</x:v>
      </x:c>
      <x:c r="E478" s="192"/>
      <x:c r="F478" s="192"/>
      <x:c r="G478" s="192" t="str">
        <x:v>Form B</x:v>
      </x:c>
      <x:c r="H478" s="192" t="n">
        <x:v>123</x:v>
      </x:c>
      <x:c r="I478" s="192" t="str">
        <x:v>Pretest-Style</x:v>
      </x:c>
      <x:c r="J478" s="192" t="str">
        <x:v>1. Clinical Evaluation</x:v>
      </x:c>
      <x:c r="K478" s="192" t="str">
        <x:v>Initial conjoint engagement</x:v>
      </x:c>
      <x:c r="L478" s="192" t="str"/>
      <x:c r="M478" s="192" t="str">
        <x:v>Easy</x:v>
      </x:c>
      <x:c r="N478" s="192" t="str">
        <x:v>Easy</x:v>
      </x:c>
      <x:c r="O478" s="192" t="str">
        <x:v>Scenario-based sequencing</x:v>
      </x:c>
      <x:c r="P478" s="192" t="str">
        <x:v>Scenario-Based</x:v>
      </x:c>
      <x:c r="Q478" s="192" t="n">
        <x:v>4</x:v>
      </x:c>
      <x:c r="R478" s="192" t="str">
        <x:v>A</x:v>
      </x:c>
      <x:c r="S478" s="192" t="str">
        <x:v>Approved</x:v>
      </x:c>
      <x:c r="T478" s="192" t="str">
        <x:v>Active</x:v>
      </x:c>
      <x:c r="U478" s="192" t="n">
        <x:v>1</x:v>
      </x:c>
      <x:c r="V478" s="192" t="str">
        <x:v>LMFT-ALT-022</x:v>
      </x:c>
      <x:c r="W478" s="192" t="str">
        <x:v>No additional flag</x:v>
      </x:c>
      <x:c r="X478" s="192" t="str">
        <x:v>No structural flag</x:v>
      </x:c>
      <x:c r="Y478" s="192" t="str">
        <x:v>Not Yet Reviewed</x:v>
      </x:c>
      <x:c r="Z478" s="192" t="str">
        <x:v>CTA LMFT WB2; Pearson VUE LMFT Outline Area 1</x:v>
      </x:c>
      <x:c r="AA478" s="192" t="str">
        <x:v>CTA_LMFT_Comprehensive_Simulation_Form_B_Answer_Key_and_Detailed_Rationales_v1.0.docx</x:v>
      </x:c>
      <x:c r="AB478" s="192" t="str">
        <x:v>1.0</x:v>
      </x:c>
      <x:c r="AC478" s="193"/>
      <x:c r="AD478" s="193" t="n">
        <x:v>46228</x:v>
      </x:c>
      <x:c r="AE478" s="192" t="str">
        <x:v>Approved for Form B</x:v>
      </x:c>
      <x:c r="AF478" s="194" t="str">
        <x:v>Form B only; paired alternate retained on the other comprehensive form</x:v>
      </x:c>
    </x:row>
    <x:row r="479">
      <x:c r="A479" s="191" t="str">
        <x:v>CTA-LMFT-MQB-0478</x:v>
      </x:c>
      <x:c r="B479" s="192" t="str">
        <x:v>LMFT-MQB-FB-TX-008</x:v>
      </x:c>
      <x:c r="C479" s="192" t="str">
        <x:v>LMFT</x:v>
      </x:c>
      <x:c r="D479" s="192" t="str">
        <x:v>Comprehensive Simulation</x:v>
      </x:c>
      <x:c r="E479" s="192"/>
      <x:c r="F479" s="192"/>
      <x:c r="G479" s="192" t="str">
        <x:v>Form B</x:v>
      </x:c>
      <x:c r="H479" s="192" t="n">
        <x:v>124</x:v>
      </x:c>
      <x:c r="I479" s="192" t="str">
        <x:v>Scored-Style</x:v>
      </x:c>
      <x:c r="J479" s="192" t="str">
        <x:v>5. Treatment</x:v>
      </x:c>
      <x:c r="K479" s="192" t="str">
        <x:v>Solution-focused exception</x:v>
      </x:c>
      <x:c r="L479" s="192" t="str"/>
      <x:c r="M479" s="192" t="str">
        <x:v>Easy</x:v>
      </x:c>
      <x:c r="N479" s="192" t="str">
        <x:v>Easy</x:v>
      </x:c>
      <x:c r="O479" s="192" t="str">
        <x:v>Application</x:v>
      </x:c>
      <x:c r="P479" s="192" t="str">
        <x:v>Application</x:v>
      </x:c>
      <x:c r="Q479" s="192" t="n">
        <x:v>4</x:v>
      </x:c>
      <x:c r="R479" s="192" t="str">
        <x:v>D</x:v>
      </x:c>
      <x:c r="S479" s="192" t="str">
        <x:v>Approved</x:v>
      </x:c>
      <x:c r="T479" s="192" t="str">
        <x:v>Active</x:v>
      </x:c>
      <x:c r="U479" s="192" t="n">
        <x:v>1</x:v>
      </x:c>
      <x:c r="V479" s="192" t="str">
        <x:v>LMFT-ALT-115</x:v>
      </x:c>
      <x:c r="W479" s="192" t="str">
        <x:v>No additional flag</x:v>
      </x:c>
      <x:c r="X479" s="192" t="str">
        <x:v>No structural flag</x:v>
      </x:c>
      <x:c r="Y479" s="192" t="str">
        <x:v>Not Yet Reviewed</x:v>
      </x:c>
      <x:c r="Z479" s="192" t="str">
        <x:v>CTA LMFT WB11; Pearson VUE LMFT Outline Area 5</x:v>
      </x:c>
      <x:c r="AA479" s="192" t="str">
        <x:v>CTA_LMFT_Comprehensive_Simulation_Form_B_Answer_Key_and_Detailed_Rationales_v1.0.docx</x:v>
      </x:c>
      <x:c r="AB479" s="192" t="str">
        <x:v>1.0</x:v>
      </x:c>
      <x:c r="AC479" s="193"/>
      <x:c r="AD479" s="193" t="n">
        <x:v>46228</x:v>
      </x:c>
      <x:c r="AE479" s="192" t="str">
        <x:v>Approved for Form B</x:v>
      </x:c>
      <x:c r="AF479" s="194" t="str">
        <x:v>Form B only; paired alternate retained on the other comprehensive form</x:v>
      </x:c>
    </x:row>
    <x:row r="480">
      <x:c r="A480" s="191" t="str">
        <x:v>CTA-LMFT-MQB-0479</x:v>
      </x:c>
      <x:c r="B480" s="192" t="str">
        <x:v>LMFT-MQB-FB-TX-038</x:v>
      </x:c>
      <x:c r="C480" s="192" t="str">
        <x:v>LMFT</x:v>
      </x:c>
      <x:c r="D480" s="192" t="str">
        <x:v>Comprehensive Simulation</x:v>
      </x:c>
      <x:c r="E480" s="192"/>
      <x:c r="F480" s="192"/>
      <x:c r="G480" s="192" t="str">
        <x:v>Form B</x:v>
      </x:c>
      <x:c r="H480" s="192" t="n">
        <x:v>125</x:v>
      </x:c>
      <x:c r="I480" s="192" t="str">
        <x:v>Scored-Style</x:v>
      </x:c>
      <x:c r="J480" s="192" t="str">
        <x:v>5. Treatment</x:v>
      </x:c>
      <x:c r="K480" s="192" t="str">
        <x:v>Integrated addiction and couple work</x:v>
      </x:c>
      <x:c r="L480" s="192" t="str"/>
      <x:c r="M480" s="192" t="str">
        <x:v>Moderate</x:v>
      </x:c>
      <x:c r="N480" s="192" t="str">
        <x:v>Moderate</x:v>
      </x:c>
      <x:c r="O480" s="192" t="str">
        <x:v>Integrated reasoning</x:v>
      </x:c>
      <x:c r="P480" s="192" t="str">
        <x:v>Integrated Clinical Reasoning</x:v>
      </x:c>
      <x:c r="Q480" s="192" t="n">
        <x:v>4</x:v>
      </x:c>
      <x:c r="R480" s="192" t="str">
        <x:v>D</x:v>
      </x:c>
      <x:c r="S480" s="192" t="str">
        <x:v>Approved</x:v>
      </x:c>
      <x:c r="T480" s="192" t="str">
        <x:v>Active</x:v>
      </x:c>
      <x:c r="U480" s="192" t="n">
        <x:v>1</x:v>
      </x:c>
      <x:c r="V480" s="192" t="str">
        <x:v>LMFT-ALT-145</x:v>
      </x:c>
      <x:c r="W480" s="192" t="str">
        <x:v>No additional flag</x:v>
      </x:c>
      <x:c r="X480" s="192" t="str">
        <x:v>No structural flag</x:v>
      </x:c>
      <x:c r="Y480" s="192" t="str">
        <x:v>Not Yet Reviewed</x:v>
      </x:c>
      <x:c r="Z480" s="192" t="str">
        <x:v>CTA LMFT WB8; CTA LMFT WB9; Pearson VUE LMFT Outline Area 5</x:v>
      </x:c>
      <x:c r="AA480" s="192" t="str">
        <x:v>CTA_LMFT_Comprehensive_Simulation_Form_B_Answer_Key_and_Detailed_Rationales_v1.0.docx</x:v>
      </x:c>
      <x:c r="AB480" s="192" t="str">
        <x:v>1.0</x:v>
      </x:c>
      <x:c r="AC480" s="193"/>
      <x:c r="AD480" s="193" t="n">
        <x:v>46228</x:v>
      </x:c>
      <x:c r="AE480" s="192" t="str">
        <x:v>Approved for Form B</x:v>
      </x:c>
      <x:c r="AF480" s="194" t="str">
        <x:v>Form B only; paired alternate retained on the other comprehensive form</x:v>
      </x:c>
    </x:row>
    <x:row r="481">
      <x:c r="A481" s="191" t="str">
        <x:v>CTA-LMFT-MQB-0480</x:v>
      </x:c>
      <x:c r="B481" s="192" t="str">
        <x:v>LMFT-MQB-FB-CE-014</x:v>
      </x:c>
      <x:c r="C481" s="192" t="str">
        <x:v>LMFT</x:v>
      </x:c>
      <x:c r="D481" s="192" t="str">
        <x:v>Comprehensive Simulation</x:v>
      </x:c>
      <x:c r="E481" s="192"/>
      <x:c r="F481" s="192"/>
      <x:c r="G481" s="192" t="str">
        <x:v>Form B</x:v>
      </x:c>
      <x:c r="H481" s="192" t="n">
        <x:v>126</x:v>
      </x:c>
      <x:c r="I481" s="192" t="str">
        <x:v>Scored-Style</x:v>
      </x:c>
      <x:c r="J481" s="192" t="str">
        <x:v>1. Clinical Evaluation</x:v>
      </x:c>
      <x:c r="K481" s="192" t="str">
        <x:v>Standardized measure use</x:v>
      </x:c>
      <x:c r="L481" s="192" t="str"/>
      <x:c r="M481" s="192" t="str">
        <x:v>Moderate</x:v>
      </x:c>
      <x:c r="N481" s="192" t="str">
        <x:v>Moderate</x:v>
      </x:c>
      <x:c r="O481" s="192" t="str">
        <x:v>Application</x:v>
      </x:c>
      <x:c r="P481" s="192" t="str">
        <x:v>Application</x:v>
      </x:c>
      <x:c r="Q481" s="192" t="n">
        <x:v>4</x:v>
      </x:c>
      <x:c r="R481" s="192" t="str">
        <x:v>D</x:v>
      </x:c>
      <x:c r="S481" s="192" t="str">
        <x:v>Approved</x:v>
      </x:c>
      <x:c r="T481" s="192" t="str">
        <x:v>Active</x:v>
      </x:c>
      <x:c r="U481" s="192" t="n">
        <x:v>1</x:v>
      </x:c>
      <x:c r="V481" s="192" t="str">
        <x:v>LMFT-ALT-014</x:v>
      </x:c>
      <x:c r="W481" s="192" t="str">
        <x:v>No additional flag</x:v>
      </x:c>
      <x:c r="X481" s="192" t="str">
        <x:v>No structural flag</x:v>
      </x:c>
      <x:c r="Y481" s="192" t="str">
        <x:v>Not Yet Reviewed</x:v>
      </x:c>
      <x:c r="Z481" s="192" t="str">
        <x:v>CTA LMFT WB4; Pearson VUE LMFT Outline Area 1</x:v>
      </x:c>
      <x:c r="AA481" s="192" t="str">
        <x:v>CTA_LMFT_Comprehensive_Simulation_Form_B_Answer_Key_and_Detailed_Rationales_v1.0.docx</x:v>
      </x:c>
      <x:c r="AB481" s="192" t="str">
        <x:v>1.0</x:v>
      </x:c>
      <x:c r="AC481" s="193"/>
      <x:c r="AD481" s="193" t="n">
        <x:v>46228</x:v>
      </x:c>
      <x:c r="AE481" s="192" t="str">
        <x:v>Approved for Form B</x:v>
      </x:c>
      <x:c r="AF481" s="194" t="str">
        <x:v>Form B only; paired alternate retained on the other comprehensive form</x:v>
      </x:c>
    </x:row>
    <x:row r="482">
      <x:c r="A482" s="191" t="str">
        <x:v>CTA-LMFT-MQB-0481</x:v>
      </x:c>
      <x:c r="B482" s="192" t="str">
        <x:v>LMFT-MQB-FB-CR-005</x:v>
      </x:c>
      <x:c r="C482" s="192" t="str">
        <x:v>LMFT</x:v>
      </x:c>
      <x:c r="D482" s="192" t="str">
        <x:v>Comprehensive Simulation</x:v>
      </x:c>
      <x:c r="E482" s="192"/>
      <x:c r="F482" s="192"/>
      <x:c r="G482" s="192" t="str">
        <x:v>Form B</x:v>
      </x:c>
      <x:c r="H482" s="192" t="n">
        <x:v>127</x:v>
      </x:c>
      <x:c r="I482" s="192" t="str">
        <x:v>Pretest-Style</x:v>
      </x:c>
      <x:c r="J482" s="192" t="str">
        <x:v>3. Managing Crisis Situations</x:v>
      </x:c>
      <x:c r="K482" s="192" t="str">
        <x:v>Domestic violence response</x:v>
      </x:c>
      <x:c r="L482" s="192" t="str"/>
      <x:c r="M482" s="192" t="str">
        <x:v>Moderate</x:v>
      </x:c>
      <x:c r="N482" s="192" t="str">
        <x:v>Moderate</x:v>
      </x:c>
      <x:c r="O482" s="192" t="str">
        <x:v>Application</x:v>
      </x:c>
      <x:c r="P482" s="192" t="str">
        <x:v>Application</x:v>
      </x:c>
      <x:c r="Q482" s="192" t="n">
        <x:v>4</x:v>
      </x:c>
      <x:c r="R482" s="192" t="str">
        <x:v>B</x:v>
      </x:c>
      <x:c r="S482" s="192" t="str">
        <x:v>Approved</x:v>
      </x:c>
      <x:c r="T482" s="192" t="str">
        <x:v>Active</x:v>
      </x:c>
      <x:c r="U482" s="192" t="n">
        <x:v>1</x:v>
      </x:c>
      <x:c r="V482" s="192" t="str">
        <x:v>LMFT-ALT-064</x:v>
      </x:c>
      <x:c r="W482" s="192" t="str">
        <x:v>No additional flag</x:v>
      </x:c>
      <x:c r="X482" s="192" t="str">
        <x:v>No structural flag</x:v>
      </x:c>
      <x:c r="Y482" s="192" t="str">
        <x:v>Not Yet Reviewed</x:v>
      </x:c>
      <x:c r="Z482" s="192" t="str">
        <x:v>CTA LMFT WB6; Pearson VUE LMFT Outline Area 3</x:v>
      </x:c>
      <x:c r="AA482" s="192" t="str">
        <x:v>CTA_LMFT_Comprehensive_Simulation_Form_B_Answer_Key_and_Detailed_Rationales_v1.0.docx</x:v>
      </x:c>
      <x:c r="AB482" s="192" t="str">
        <x:v>1.0</x:v>
      </x:c>
      <x:c r="AC482" s="193"/>
      <x:c r="AD482" s="193" t="n">
        <x:v>46228</x:v>
      </x:c>
      <x:c r="AE482" s="192" t="str">
        <x:v>Approved for Form B</x:v>
      </x:c>
      <x:c r="AF482" s="194" t="str">
        <x:v>Form B only; paired alternate retained on the other comprehensive form</x:v>
      </x:c>
    </x:row>
    <x:row r="483">
      <x:c r="A483" s="191" t="str">
        <x:v>CTA-LMFT-MQB-0482</x:v>
      </x:c>
      <x:c r="B483" s="192" t="str">
        <x:v>LMFT-MQB-FB-TX-036</x:v>
      </x:c>
      <x:c r="C483" s="192" t="str">
        <x:v>LMFT</x:v>
      </x:c>
      <x:c r="D483" s="192" t="str">
        <x:v>Comprehensive Simulation</x:v>
      </x:c>
      <x:c r="E483" s="192"/>
      <x:c r="F483" s="192"/>
      <x:c r="G483" s="192" t="str">
        <x:v>Form B</x:v>
      </x:c>
      <x:c r="H483" s="192" t="n">
        <x:v>128</x:v>
      </x:c>
      <x:c r="I483" s="192" t="str">
        <x:v>Scored-Style</x:v>
      </x:c>
      <x:c r="J483" s="192" t="str">
        <x:v>5. Treatment</x:v>
      </x:c>
      <x:c r="K483" s="192" t="str">
        <x:v>Transfer of care</x:v>
      </x:c>
      <x:c r="L483" s="192" t="str"/>
      <x:c r="M483" s="192" t="str">
        <x:v>Difficult</x:v>
      </x:c>
      <x:c r="N483" s="192" t="str">
        <x:v>Difficult</x:v>
      </x:c>
      <x:c r="O483" s="192" t="str">
        <x:v>Scenario-based sequencing</x:v>
      </x:c>
      <x:c r="P483" s="192" t="str">
        <x:v>Scenario-Based</x:v>
      </x:c>
      <x:c r="Q483" s="192" t="n">
        <x:v>4</x:v>
      </x:c>
      <x:c r="R483" s="192" t="str">
        <x:v>B</x:v>
      </x:c>
      <x:c r="S483" s="192" t="str">
        <x:v>Approved</x:v>
      </x:c>
      <x:c r="T483" s="192" t="str">
        <x:v>Active</x:v>
      </x:c>
      <x:c r="U483" s="192" t="n">
        <x:v>1</x:v>
      </x:c>
      <x:c r="V483" s="192" t="str">
        <x:v>LMFT-ALT-143</x:v>
      </x:c>
      <x:c r="W483" s="192" t="str">
        <x:v>No additional flag</x:v>
      </x:c>
      <x:c r="X483" s="192" t="str">
        <x:v>No structural flag</x:v>
      </x:c>
      <x:c r="Y483" s="192" t="str">
        <x:v>Not Yet Reviewed</x:v>
      </x:c>
      <x:c r="Z483" s="192" t="str">
        <x:v>CTA LMFT WB11; CTA LMFT WB12; Pearson VUE LMFT Outline Area 5</x:v>
      </x:c>
      <x:c r="AA483" s="192" t="str">
        <x:v>CTA_LMFT_Comprehensive_Simulation_Form_B_Answer_Key_and_Detailed_Rationales_v1.0.docx</x:v>
      </x:c>
      <x:c r="AB483" s="192" t="str">
        <x:v>1.0</x:v>
      </x:c>
      <x:c r="AC483" s="193"/>
      <x:c r="AD483" s="193" t="n">
        <x:v>46228</x:v>
      </x:c>
      <x:c r="AE483" s="192" t="str">
        <x:v>Approved for Form B</x:v>
      </x:c>
      <x:c r="AF483" s="194" t="str">
        <x:v>Form B only; paired alternate retained on the other comprehensive form</x:v>
      </x:c>
    </x:row>
    <x:row r="484">
      <x:c r="A484" s="191" t="str">
        <x:v>CTA-LMFT-MQB-0483</x:v>
      </x:c>
      <x:c r="B484" s="192" t="str">
        <x:v>LMFT-MQB-FB-CE-035</x:v>
      </x:c>
      <x:c r="C484" s="192" t="str">
        <x:v>LMFT</x:v>
      </x:c>
      <x:c r="D484" s="192" t="str">
        <x:v>Comprehensive Simulation</x:v>
      </x:c>
      <x:c r="E484" s="192"/>
      <x:c r="F484" s="192"/>
      <x:c r="G484" s="192" t="str">
        <x:v>Form B</x:v>
      </x:c>
      <x:c r="H484" s="192" t="n">
        <x:v>129</x:v>
      </x:c>
      <x:c r="I484" s="192" t="str">
        <x:v>Scored-Style</x:v>
      </x:c>
      <x:c r="J484" s="192" t="str">
        <x:v>1. Clinical Evaluation</x:v>
      </x:c>
      <x:c r="K484" s="192" t="str">
        <x:v>Family violence and child functioning</x:v>
      </x:c>
      <x:c r="L484" s="192" t="str"/>
      <x:c r="M484" s="192" t="str">
        <x:v>Difficult</x:v>
      </x:c>
      <x:c r="N484" s="192" t="str">
        <x:v>Difficult</x:v>
      </x:c>
      <x:c r="O484" s="192" t="str">
        <x:v>Scenario-based sequencing</x:v>
      </x:c>
      <x:c r="P484" s="192" t="str">
        <x:v>Scenario-Based</x:v>
      </x:c>
      <x:c r="Q484" s="192" t="n">
        <x:v>4</x:v>
      </x:c>
      <x:c r="R484" s="192" t="str">
        <x:v>B</x:v>
      </x:c>
      <x:c r="S484" s="192" t="str">
        <x:v>Approved</x:v>
      </x:c>
      <x:c r="T484" s="192" t="str">
        <x:v>Active</x:v>
      </x:c>
      <x:c r="U484" s="192" t="n">
        <x:v>1</x:v>
      </x:c>
      <x:c r="V484" s="192" t="str">
        <x:v>LMFT-ALT-035</x:v>
      </x:c>
      <x:c r="W484" s="192" t="str">
        <x:v>No additional flag</x:v>
      </x:c>
      <x:c r="X484" s="192" t="str">
        <x:v>No structural flag</x:v>
      </x:c>
      <x:c r="Y484" s="192" t="str">
        <x:v>Not Yet Reviewed</x:v>
      </x:c>
      <x:c r="Z484" s="192" t="str">
        <x:v>CTA LMFT WB4; CTA LMFT WB6; Pearson VUE LMFT Outline Area 1</x:v>
      </x:c>
      <x:c r="AA484" s="192" t="str">
        <x:v>CTA_LMFT_Comprehensive_Simulation_Form_B_Answer_Key_and_Detailed_Rationales_v1.0.docx</x:v>
      </x:c>
      <x:c r="AB484" s="192" t="str">
        <x:v>1.0</x:v>
      </x:c>
      <x:c r="AC484" s="193"/>
      <x:c r="AD484" s="193" t="n">
        <x:v>46228</x:v>
      </x:c>
      <x:c r="AE484" s="192" t="str">
        <x:v>Approved for Form B</x:v>
      </x:c>
      <x:c r="AF484" s="194" t="str">
        <x:v>Form B only; paired alternate retained on the other comprehensive form</x:v>
      </x:c>
    </x:row>
    <x:row r="485">
      <x:c r="A485" s="191" t="str">
        <x:v>CTA-LMFT-MQB-0484</x:v>
      </x:c>
      <x:c r="B485" s="192" t="str">
        <x:v>LMFT-MQB-FB-DI-004</x:v>
      </x:c>
      <x:c r="C485" s="192" t="str">
        <x:v>LMFT</x:v>
      </x:c>
      <x:c r="D485" s="192" t="str">
        <x:v>Comprehensive Simulation</x:v>
      </x:c>
      <x:c r="E485" s="192"/>
      <x:c r="F485" s="192"/>
      <x:c r="G485" s="192" t="str">
        <x:v>Form B</x:v>
      </x:c>
      <x:c r="H485" s="192" t="n">
        <x:v>130</x:v>
      </x:c>
      <x:c r="I485" s="192" t="str">
        <x:v>Pretest-Style</x:v>
      </x:c>
      <x:c r="J485" s="192" t="str">
        <x:v>2. Developing a Diagnostic Impression</x:v>
      </x:c>
      <x:c r="K485" s="192" t="str">
        <x:v>Chronology in diagnosis</x:v>
      </x:c>
      <x:c r="L485" s="192" t="str"/>
      <x:c r="M485" s="192" t="str">
        <x:v>Moderate</x:v>
      </x:c>
      <x:c r="N485" s="192" t="str">
        <x:v>Moderate</x:v>
      </x:c>
      <x:c r="O485" s="192" t="str">
        <x:v>Direct recognition</x:v>
      </x:c>
      <x:c r="P485" s="192" t="str">
        <x:v>Knowledge &amp; Recall</x:v>
      </x:c>
      <x:c r="Q485" s="192" t="n">
        <x:v>4</x:v>
      </x:c>
      <x:c r="R485" s="192" t="str">
        <x:v>D</x:v>
      </x:c>
      <x:c r="S485" s="192" t="str">
        <x:v>Approved</x:v>
      </x:c>
      <x:c r="T485" s="192" t="str">
        <x:v>Active</x:v>
      </x:c>
      <x:c r="U485" s="192" t="n">
        <x:v>1</x:v>
      </x:c>
      <x:c r="V485" s="192" t="str">
        <x:v>LMFT-ALT-079</x:v>
      </x:c>
      <x:c r="W485" s="192" t="str">
        <x:v>No additional flag</x:v>
      </x:c>
      <x:c r="X485" s="192" t="str">
        <x:v>No structural flag</x:v>
      </x:c>
      <x:c r="Y485" s="192" t="str">
        <x:v>Not Yet Reviewed</x:v>
      </x:c>
      <x:c r="Z485" s="192" t="str">
        <x:v>CTA LMFT WB5; Pearson VUE LMFT Outline Area 2</x:v>
      </x:c>
      <x:c r="AA485" s="192" t="str">
        <x:v>CTA_LMFT_Comprehensive_Simulation_Form_B_Answer_Key_and_Detailed_Rationales_v1.0.docx</x:v>
      </x:c>
      <x:c r="AB485" s="192" t="str">
        <x:v>1.0</x:v>
      </x:c>
      <x:c r="AC485" s="193"/>
      <x:c r="AD485" s="193" t="n">
        <x:v>46228</x:v>
      </x:c>
      <x:c r="AE485" s="192" t="str">
        <x:v>Approved for Form B</x:v>
      </x:c>
      <x:c r="AF485" s="194" t="str">
        <x:v>Form B only; paired alternate retained on the other comprehensive form</x:v>
      </x:c>
    </x:row>
    <x:row r="486">
      <x:c r="A486" s="191" t="str">
        <x:v>CTA-LMFT-MQB-0485</x:v>
      </x:c>
      <x:c r="B486" s="192" t="str">
        <x:v>LMFT-MQB-FB-TX-031</x:v>
      </x:c>
      <x:c r="C486" s="192" t="str">
        <x:v>LMFT</x:v>
      </x:c>
      <x:c r="D486" s="192" t="str">
        <x:v>Comprehensive Simulation</x:v>
      </x:c>
      <x:c r="E486" s="192"/>
      <x:c r="F486" s="192"/>
      <x:c r="G486" s="192" t="str">
        <x:v>Form B</x:v>
      </x:c>
      <x:c r="H486" s="192" t="n">
        <x:v>131</x:v>
      </x:c>
      <x:c r="I486" s="192" t="str">
        <x:v>Pretest-Style</x:v>
      </x:c>
      <x:c r="J486" s="192" t="str">
        <x:v>5. Treatment</x:v>
      </x:c>
      <x:c r="K486" s="192" t="str">
        <x:v>Reunification pacing</x:v>
      </x:c>
      <x:c r="L486" s="192" t="str"/>
      <x:c r="M486" s="192" t="str">
        <x:v>Moderate</x:v>
      </x:c>
      <x:c r="N486" s="192" t="str">
        <x:v>Moderate</x:v>
      </x:c>
      <x:c r="O486" s="192" t="str">
        <x:v>Scenario-based sequencing</x:v>
      </x:c>
      <x:c r="P486" s="192" t="str">
        <x:v>Scenario-Based</x:v>
      </x:c>
      <x:c r="Q486" s="192" t="n">
        <x:v>4</x:v>
      </x:c>
      <x:c r="R486" s="192" t="str">
        <x:v>A</x:v>
      </x:c>
      <x:c r="S486" s="192" t="str">
        <x:v>Approved</x:v>
      </x:c>
      <x:c r="T486" s="192" t="str">
        <x:v>Active</x:v>
      </x:c>
      <x:c r="U486" s="192" t="n">
        <x:v>1</x:v>
      </x:c>
      <x:c r="V486" s="192" t="str">
        <x:v>LMFT-ALT-138</x:v>
      </x:c>
      <x:c r="W486" s="192" t="str">
        <x:v>No additional flag</x:v>
      </x:c>
      <x:c r="X486" s="192" t="str">
        <x:v>No structural flag</x:v>
      </x:c>
      <x:c r="Y486" s="192" t="str">
        <x:v>Not Yet Reviewed</x:v>
      </x:c>
      <x:c r="Z486" s="192" t="str">
        <x:v>CTA LMFT WB8; CTA LMFT WB10; Pearson VUE LMFT Outline Area 5</x:v>
      </x:c>
      <x:c r="AA486" s="192" t="str">
        <x:v>CTA_LMFT_Comprehensive_Simulation_Form_B_Answer_Key_and_Detailed_Rationales_v1.0.docx</x:v>
      </x:c>
      <x:c r="AB486" s="192" t="str">
        <x:v>1.0</x:v>
      </x:c>
      <x:c r="AC486" s="193"/>
      <x:c r="AD486" s="193" t="n">
        <x:v>46228</x:v>
      </x:c>
      <x:c r="AE486" s="192" t="str">
        <x:v>Approved for Form B</x:v>
      </x:c>
      <x:c r="AF486" s="194" t="str">
        <x:v>Form B only; paired alternate retained on the other comprehensive form</x:v>
      </x:c>
    </x:row>
    <x:row r="487">
      <x:c r="A487" s="191" t="str">
        <x:v>CTA-LMFT-MQB-0486</x:v>
      </x:c>
      <x:c r="B487" s="192" t="str">
        <x:v>LMFT-MQB-FB-CE-010</x:v>
      </x:c>
      <x:c r="C487" s="192" t="str">
        <x:v>LMFT</x:v>
      </x:c>
      <x:c r="D487" s="192" t="str">
        <x:v>Comprehensive Simulation</x:v>
      </x:c>
      <x:c r="E487" s="192"/>
      <x:c r="F487" s="192"/>
      <x:c r="G487" s="192" t="str">
        <x:v>Form B</x:v>
      </x:c>
      <x:c r="H487" s="192" t="n">
        <x:v>132</x:v>
      </x:c>
      <x:c r="I487" s="192" t="str">
        <x:v>Scored-Style</x:v>
      </x:c>
      <x:c r="J487" s="192" t="str">
        <x:v>1. Clinical Evaluation</x:v>
      </x:c>
      <x:c r="K487" s="192" t="str">
        <x:v>Strengths assessment</x:v>
      </x:c>
      <x:c r="L487" s="192" t="str"/>
      <x:c r="M487" s="192" t="str">
        <x:v>Easy</x:v>
      </x:c>
      <x:c r="N487" s="192" t="str">
        <x:v>Easy</x:v>
      </x:c>
      <x:c r="O487" s="192" t="str">
        <x:v>Application</x:v>
      </x:c>
      <x:c r="P487" s="192" t="str">
        <x:v>Application</x:v>
      </x:c>
      <x:c r="Q487" s="192" t="n">
        <x:v>4</x:v>
      </x:c>
      <x:c r="R487" s="192" t="str">
        <x:v>B</x:v>
      </x:c>
      <x:c r="S487" s="192" t="str">
        <x:v>Approved</x:v>
      </x:c>
      <x:c r="T487" s="192" t="str">
        <x:v>Active</x:v>
      </x:c>
      <x:c r="U487" s="192" t="n">
        <x:v>1</x:v>
      </x:c>
      <x:c r="V487" s="192" t="str">
        <x:v>LMFT-ALT-010</x:v>
      </x:c>
      <x:c r="W487" s="192" t="str">
        <x:v>No additional flag</x:v>
      </x:c>
      <x:c r="X487" s="192" t="str">
        <x:v>No structural flag</x:v>
      </x:c>
      <x:c r="Y487" s="192" t="str">
        <x:v>Not Yet Reviewed</x:v>
      </x:c>
      <x:c r="Z487" s="192" t="str">
        <x:v>CTA LMFT WB4; Pearson VUE LMFT Outline Area 1</x:v>
      </x:c>
      <x:c r="AA487" s="192" t="str">
        <x:v>CTA_LMFT_Comprehensive_Simulation_Form_B_Answer_Key_and_Detailed_Rationales_v1.0.docx</x:v>
      </x:c>
      <x:c r="AB487" s="192" t="str">
        <x:v>1.0</x:v>
      </x:c>
      <x:c r="AC487" s="193"/>
      <x:c r="AD487" s="193" t="n">
        <x:v>46228</x:v>
      </x:c>
      <x:c r="AE487" s="192" t="str">
        <x:v>Approved for Form B</x:v>
      </x:c>
      <x:c r="AF487" s="194" t="str">
        <x:v>Form B only; paired alternate retained on the other comprehensive form</x:v>
      </x:c>
    </x:row>
    <x:row r="488">
      <x:c r="A488" s="191" t="str">
        <x:v>CTA-LMFT-MQB-0487</x:v>
      </x:c>
      <x:c r="B488" s="192" t="str">
        <x:v>LMFT-MQB-FB-CP-008</x:v>
      </x:c>
      <x:c r="C488" s="192" t="str">
        <x:v>LMFT</x:v>
      </x:c>
      <x:c r="D488" s="192" t="str">
        <x:v>Comprehensive Simulation</x:v>
      </x:c>
      <x:c r="E488" s="192"/>
      <x:c r="F488" s="192"/>
      <x:c r="G488" s="192" t="str">
        <x:v>Form B</x:v>
      </x:c>
      <x:c r="H488" s="192" t="n">
        <x:v>133</x:v>
      </x:c>
      <x:c r="I488" s="192" t="str">
        <x:v>Scored-Style</x:v>
      </x:c>
      <x:c r="J488" s="192" t="str">
        <x:v>4. Case Conceptualization and Planning</x:v>
      </x:c>
      <x:c r="K488" s="192" t="str">
        <x:v>Third-party constraints</x:v>
      </x:c>
      <x:c r="L488" s="192" t="str"/>
      <x:c r="M488" s="192" t="str">
        <x:v>Moderate</x:v>
      </x:c>
      <x:c r="N488" s="192" t="str">
        <x:v>Moderate</x:v>
      </x:c>
      <x:c r="O488" s="192" t="str">
        <x:v>Application</x:v>
      </x:c>
      <x:c r="P488" s="192" t="str">
        <x:v>Application</x:v>
      </x:c>
      <x:c r="Q488" s="192" t="n">
        <x:v>4</x:v>
      </x:c>
      <x:c r="R488" s="192" t="str">
        <x:v>D</x:v>
      </x:c>
      <x:c r="S488" s="192" t="str">
        <x:v>Approved</x:v>
      </x:c>
      <x:c r="T488" s="192" t="str">
        <x:v>Active</x:v>
      </x:c>
      <x:c r="U488" s="192" t="n">
        <x:v>1</x:v>
      </x:c>
      <x:c r="V488" s="192" t="str">
        <x:v>LMFT-ALT-049</x:v>
      </x:c>
      <x:c r="W488" s="192" t="str">
        <x:v>No additional flag</x:v>
      </x:c>
      <x:c r="X488" s="192" t="str">
        <x:v>No structural flag</x:v>
      </x:c>
      <x:c r="Y488" s="192" t="str">
        <x:v>Not Yet Reviewed</x:v>
      </x:c>
      <x:c r="Z488" s="192" t="str">
        <x:v>CTA LMFT WB7; CTA LMFT WB12; Pearson VUE LMFT Outline Area 4</x:v>
      </x:c>
      <x:c r="AA488" s="192" t="str">
        <x:v>CTA_LMFT_Comprehensive_Simulation_Form_B_Answer_Key_and_Detailed_Rationales_v1.0.docx</x:v>
      </x:c>
      <x:c r="AB488" s="192" t="str">
        <x:v>1.0</x:v>
      </x:c>
      <x:c r="AC488" s="193"/>
      <x:c r="AD488" s="193" t="n">
        <x:v>46228</x:v>
      </x:c>
      <x:c r="AE488" s="192" t="str">
        <x:v>Approved for Form B</x:v>
      </x:c>
      <x:c r="AF488" s="194" t="str">
        <x:v>Form B only; paired alternate retained on the other comprehensive form</x:v>
      </x:c>
    </x:row>
    <x:row r="489">
      <x:c r="A489" s="191" t="str">
        <x:v>CTA-LMFT-MQB-0488</x:v>
      </x:c>
      <x:c r="B489" s="192" t="str">
        <x:v>LMFT-MQB-FB-CR-010</x:v>
      </x:c>
      <x:c r="C489" s="192" t="str">
        <x:v>LMFT</x:v>
      </x:c>
      <x:c r="D489" s="192" t="str">
        <x:v>Comprehensive Simulation</x:v>
      </x:c>
      <x:c r="E489" s="192"/>
      <x:c r="F489" s="192"/>
      <x:c r="G489" s="192" t="str">
        <x:v>Form B</x:v>
      </x:c>
      <x:c r="H489" s="192" t="n">
        <x:v>134</x:v>
      </x:c>
      <x:c r="I489" s="192" t="str">
        <x:v>Scored-Style</x:v>
      </x:c>
      <x:c r="J489" s="192" t="str">
        <x:v>3. Managing Crisis Situations</x:v>
      </x:c>
      <x:c r="K489" s="192" t="str">
        <x:v>Withdrawal emergency</x:v>
      </x:c>
      <x:c r="L489" s="192" t="str"/>
      <x:c r="M489" s="192" t="str">
        <x:v>Moderate</x:v>
      </x:c>
      <x:c r="N489" s="192" t="str">
        <x:v>Moderate</x:v>
      </x:c>
      <x:c r="O489" s="192" t="str">
        <x:v>Scenario-based sequencing</x:v>
      </x:c>
      <x:c r="P489" s="192" t="str">
        <x:v>Scenario-Based</x:v>
      </x:c>
      <x:c r="Q489" s="192" t="n">
        <x:v>4</x:v>
      </x:c>
      <x:c r="R489" s="192" t="str">
        <x:v>C</x:v>
      </x:c>
      <x:c r="S489" s="192" t="str">
        <x:v>Approved</x:v>
      </x:c>
      <x:c r="T489" s="192" t="str">
        <x:v>Active</x:v>
      </x:c>
      <x:c r="U489" s="192" t="n">
        <x:v>1</x:v>
      </x:c>
      <x:c r="V489" s="192" t="str">
        <x:v>LMFT-ALT-069</x:v>
      </x:c>
      <x:c r="W489" s="192" t="str">
        <x:v>No additional flag</x:v>
      </x:c>
      <x:c r="X489" s="192" t="str">
        <x:v>No structural flag</x:v>
      </x:c>
      <x:c r="Y489" s="192" t="str">
        <x:v>Not Yet Reviewed</x:v>
      </x:c>
      <x:c r="Z489" s="192" t="str">
        <x:v>CTA LMFT WB6; Pearson VUE LMFT Outline Area 3</x:v>
      </x:c>
      <x:c r="AA489" s="192" t="str">
        <x:v>CTA_LMFT_Comprehensive_Simulation_Form_B_Answer_Key_and_Detailed_Rationales_v1.0.docx</x:v>
      </x:c>
      <x:c r="AB489" s="192" t="str">
        <x:v>1.0</x:v>
      </x:c>
      <x:c r="AC489" s="193"/>
      <x:c r="AD489" s="193" t="n">
        <x:v>46228</x:v>
      </x:c>
      <x:c r="AE489" s="192" t="str">
        <x:v>Approved for Form B</x:v>
      </x:c>
      <x:c r="AF489" s="194" t="str">
        <x:v>Form B only; paired alternate retained on the other comprehensive form</x:v>
      </x:c>
    </x:row>
    <x:row r="490">
      <x:c r="A490" s="191" t="str">
        <x:v>CTA-LMFT-MQB-0489</x:v>
      </x:c>
      <x:c r="B490" s="192" t="str">
        <x:v>LMFT-MQB-FB-TX-034</x:v>
      </x:c>
      <x:c r="C490" s="192" t="str">
        <x:v>LMFT</x:v>
      </x:c>
      <x:c r="D490" s="192" t="str">
        <x:v>Comprehensive Simulation</x:v>
      </x:c>
      <x:c r="E490" s="192"/>
      <x:c r="F490" s="192"/>
      <x:c r="G490" s="192" t="str">
        <x:v>Form B</x:v>
      </x:c>
      <x:c r="H490" s="192" t="n">
        <x:v>135</x:v>
      </x:c>
      <x:c r="I490" s="192" t="str">
        <x:v>Scored-Style</x:v>
      </x:c>
      <x:c r="J490" s="192" t="str">
        <x:v>5. Treatment</x:v>
      </x:c>
      <x:c r="K490" s="192" t="str">
        <x:v>High-risk group member</x:v>
      </x:c>
      <x:c r="L490" s="192" t="str"/>
      <x:c r="M490" s="192" t="str">
        <x:v>Difficult</x:v>
      </x:c>
      <x:c r="N490" s="192" t="str">
        <x:v>Difficult</x:v>
      </x:c>
      <x:c r="O490" s="192" t="str">
        <x:v>Scenario-based sequencing</x:v>
      </x:c>
      <x:c r="P490" s="192" t="str">
        <x:v>Scenario-Based</x:v>
      </x:c>
      <x:c r="Q490" s="192" t="n">
        <x:v>4</x:v>
      </x:c>
      <x:c r="R490" s="192" t="str">
        <x:v>A</x:v>
      </x:c>
      <x:c r="S490" s="192" t="str">
        <x:v>Approved</x:v>
      </x:c>
      <x:c r="T490" s="192" t="str">
        <x:v>Active</x:v>
      </x:c>
      <x:c r="U490" s="192" t="n">
        <x:v>1</x:v>
      </x:c>
      <x:c r="V490" s="192" t="str">
        <x:v>LMFT-ALT-141</x:v>
      </x:c>
      <x:c r="W490" s="192" t="str">
        <x:v>No additional flag</x:v>
      </x:c>
      <x:c r="X490" s="192" t="str">
        <x:v>No structural flag</x:v>
      </x:c>
      <x:c r="Y490" s="192" t="str">
        <x:v>Not Yet Reviewed</x:v>
      </x:c>
      <x:c r="Z490" s="192" t="str">
        <x:v>CTA LMFT WB6; CTA LMFT WB11; Pearson VUE LMFT Outline Area 5</x:v>
      </x:c>
      <x:c r="AA490" s="192" t="str">
        <x:v>CTA_LMFT_Comprehensive_Simulation_Form_B_Answer_Key_and_Detailed_Rationales_v1.0.docx</x:v>
      </x:c>
      <x:c r="AB490" s="192" t="str">
        <x:v>1.0</x:v>
      </x:c>
      <x:c r="AC490" s="193"/>
      <x:c r="AD490" s="193" t="n">
        <x:v>46228</x:v>
      </x:c>
      <x:c r="AE490" s="192" t="str">
        <x:v>Approved for Form B</x:v>
      </x:c>
      <x:c r="AF490" s="194" t="str">
        <x:v>Form B only; paired alternate retained on the other comprehensive form</x:v>
      </x:c>
    </x:row>
    <x:row r="491">
      <x:c r="A491" s="191" t="str">
        <x:v>CTA-LMFT-MQB-0490</x:v>
      </x:c>
      <x:c r="B491" s="192" t="str">
        <x:v>LMFT-MQB-FB-DI-002</x:v>
      </x:c>
      <x:c r="C491" s="192" t="str">
        <x:v>LMFT</x:v>
      </x:c>
      <x:c r="D491" s="192" t="str">
        <x:v>Comprehensive Simulation</x:v>
      </x:c>
      <x:c r="E491" s="192"/>
      <x:c r="F491" s="192"/>
      <x:c r="G491" s="192" t="str">
        <x:v>Form B</x:v>
      </x:c>
      <x:c r="H491" s="192" t="n">
        <x:v>136</x:v>
      </x:c>
      <x:c r="I491" s="192" t="str">
        <x:v>Scored-Style</x:v>
      </x:c>
      <x:c r="J491" s="192" t="str">
        <x:v>2. Developing a Diagnostic Impression</x:v>
      </x:c>
      <x:c r="K491" s="192" t="str">
        <x:v>Differential diagnosis</x:v>
      </x:c>
      <x:c r="L491" s="192" t="str"/>
      <x:c r="M491" s="192" t="str">
        <x:v>Easy</x:v>
      </x:c>
      <x:c r="N491" s="192" t="str">
        <x:v>Easy</x:v>
      </x:c>
      <x:c r="O491" s="192" t="str">
        <x:v>Direct recognition</x:v>
      </x:c>
      <x:c r="P491" s="192" t="str">
        <x:v>Knowledge &amp; Recall</x:v>
      </x:c>
      <x:c r="Q491" s="192" t="n">
        <x:v>4</x:v>
      </x:c>
      <x:c r="R491" s="192" t="str">
        <x:v>B</x:v>
      </x:c>
      <x:c r="S491" s="192" t="str">
        <x:v>Approved</x:v>
      </x:c>
      <x:c r="T491" s="192" t="str">
        <x:v>Active</x:v>
      </x:c>
      <x:c r="U491" s="192" t="n">
        <x:v>1</x:v>
      </x:c>
      <x:c r="V491" s="192" t="str">
        <x:v>LMFT-ALT-077</x:v>
      </x:c>
      <x:c r="W491" s="192" t="str">
        <x:v>No additional flag</x:v>
      </x:c>
      <x:c r="X491" s="192" t="str">
        <x:v>No structural flag</x:v>
      </x:c>
      <x:c r="Y491" s="192" t="str">
        <x:v>Not Yet Reviewed</x:v>
      </x:c>
      <x:c r="Z491" s="192" t="str">
        <x:v>CTA LMFT WB5; Pearson VUE LMFT Outline Area 2</x:v>
      </x:c>
      <x:c r="AA491" s="192" t="str">
        <x:v>CTA_LMFT_Comprehensive_Simulation_Form_B_Answer_Key_and_Detailed_Rationales_v1.0.docx</x:v>
      </x:c>
      <x:c r="AB491" s="192" t="str">
        <x:v>1.0</x:v>
      </x:c>
      <x:c r="AC491" s="193"/>
      <x:c r="AD491" s="193" t="n">
        <x:v>46228</x:v>
      </x:c>
      <x:c r="AE491" s="192" t="str">
        <x:v>Approved for Form B</x:v>
      </x:c>
      <x:c r="AF491" s="194" t="str">
        <x:v>Form B only; paired alternate retained on the other comprehensive form</x:v>
      </x:c>
    </x:row>
    <x:row r="492">
      <x:c r="A492" s="191" t="str">
        <x:v>CTA-LMFT-MQB-0491</x:v>
      </x:c>
      <x:c r="B492" s="192" t="str">
        <x:v>LMFT-MQB-FB-CE-005</x:v>
      </x:c>
      <x:c r="C492" s="192" t="str">
        <x:v>LMFT</x:v>
      </x:c>
      <x:c r="D492" s="192" t="str">
        <x:v>Comprehensive Simulation</x:v>
      </x:c>
      <x:c r="E492" s="192"/>
      <x:c r="F492" s="192"/>
      <x:c r="G492" s="192" t="str">
        <x:v>Form B</x:v>
      </x:c>
      <x:c r="H492" s="192" t="n">
        <x:v>137</x:v>
      </x:c>
      <x:c r="I492" s="192" t="str">
        <x:v>Pretest-Style</x:v>
      </x:c>
      <x:c r="J492" s="192" t="str">
        <x:v>1. Clinical Evaluation</x:v>
      </x:c>
      <x:c r="K492" s="192" t="str">
        <x:v>Collateral information</x:v>
      </x:c>
      <x:c r="L492" s="192" t="str"/>
      <x:c r="M492" s="192" t="str">
        <x:v>Moderate</x:v>
      </x:c>
      <x:c r="N492" s="192" t="str">
        <x:v>Moderate</x:v>
      </x:c>
      <x:c r="O492" s="192" t="str">
        <x:v>Direct recognition</x:v>
      </x:c>
      <x:c r="P492" s="192" t="str">
        <x:v>Knowledge &amp; Recall</x:v>
      </x:c>
      <x:c r="Q492" s="192" t="n">
        <x:v>4</x:v>
      </x:c>
      <x:c r="R492" s="192" t="str">
        <x:v>C</x:v>
      </x:c>
      <x:c r="S492" s="192" t="str">
        <x:v>Approved</x:v>
      </x:c>
      <x:c r="T492" s="192" t="str">
        <x:v>Active</x:v>
      </x:c>
      <x:c r="U492" s="192" t="n">
        <x:v>1</x:v>
      </x:c>
      <x:c r="V492" s="192" t="str">
        <x:v>LMFT-ALT-005</x:v>
      </x:c>
      <x:c r="W492" s="192" t="str">
        <x:v>No additional flag</x:v>
      </x:c>
      <x:c r="X492" s="192" t="str">
        <x:v>No structural flag</x:v>
      </x:c>
      <x:c r="Y492" s="192" t="str">
        <x:v>Not Yet Reviewed</x:v>
      </x:c>
      <x:c r="Z492" s="192" t="str">
        <x:v>CTA LMFT WB2; Pearson VUE LMFT Outline Area 1</x:v>
      </x:c>
      <x:c r="AA492" s="192" t="str">
        <x:v>CTA_LMFT_Comprehensive_Simulation_Form_B_Answer_Key_and_Detailed_Rationales_v1.0.docx</x:v>
      </x:c>
      <x:c r="AB492" s="192" t="str">
        <x:v>1.0</x:v>
      </x:c>
      <x:c r="AC492" s="193"/>
      <x:c r="AD492" s="193" t="n">
        <x:v>46228</x:v>
      </x:c>
      <x:c r="AE492" s="192" t="str">
        <x:v>Approved for Form B</x:v>
      </x:c>
      <x:c r="AF492" s="194" t="str">
        <x:v>Form B only; paired alternate retained on the other comprehensive form</x:v>
      </x:c>
    </x:row>
    <x:row r="493">
      <x:c r="A493" s="191" t="str">
        <x:v>CTA-LMFT-MQB-0492</x:v>
      </x:c>
      <x:c r="B493" s="192" t="str">
        <x:v>LMFT-MQB-FB-CE-009</x:v>
      </x:c>
      <x:c r="C493" s="192" t="str">
        <x:v>LMFT</x:v>
      </x:c>
      <x:c r="D493" s="192" t="str">
        <x:v>Comprehensive Simulation</x:v>
      </x:c>
      <x:c r="E493" s="192"/>
      <x:c r="F493" s="192"/>
      <x:c r="G493" s="192" t="str">
        <x:v>Form B</x:v>
      </x:c>
      <x:c r="H493" s="192" t="n">
        <x:v>138</x:v>
      </x:c>
      <x:c r="I493" s="192" t="str">
        <x:v>Scored-Style</x:v>
      </x:c>
      <x:c r="J493" s="192" t="str">
        <x:v>1. Clinical Evaluation</x:v>
      </x:c>
      <x:c r="K493" s="192" t="str">
        <x:v>Medication assessment</x:v>
      </x:c>
      <x:c r="L493" s="192" t="str"/>
      <x:c r="M493" s="192" t="str">
        <x:v>Easy</x:v>
      </x:c>
      <x:c r="N493" s="192" t="str">
        <x:v>Easy</x:v>
      </x:c>
      <x:c r="O493" s="192" t="str">
        <x:v>Application</x:v>
      </x:c>
      <x:c r="P493" s="192" t="str">
        <x:v>Application</x:v>
      </x:c>
      <x:c r="Q493" s="192" t="n">
        <x:v>4</x:v>
      </x:c>
      <x:c r="R493" s="192" t="str">
        <x:v>C</x:v>
      </x:c>
      <x:c r="S493" s="192" t="str">
        <x:v>Approved</x:v>
      </x:c>
      <x:c r="T493" s="192" t="str">
        <x:v>Active</x:v>
      </x:c>
      <x:c r="U493" s="192" t="n">
        <x:v>1</x:v>
      </x:c>
      <x:c r="V493" s="192" t="str">
        <x:v>LMFT-ALT-009</x:v>
      </x:c>
      <x:c r="W493" s="192" t="str">
        <x:v>No additional flag</x:v>
      </x:c>
      <x:c r="X493" s="192" t="str">
        <x:v>No structural flag</x:v>
      </x:c>
      <x:c r="Y493" s="192" t="str">
        <x:v>Not Yet Reviewed</x:v>
      </x:c>
      <x:c r="Z493" s="192" t="str">
        <x:v>CTA LMFT WB2; Pearson VUE LMFT Outline Area 1</x:v>
      </x:c>
      <x:c r="AA493" s="192" t="str">
        <x:v>CTA_LMFT_Comprehensive_Simulation_Form_B_Answer_Key_and_Detailed_Rationales_v1.0.docx</x:v>
      </x:c>
      <x:c r="AB493" s="192" t="str">
        <x:v>1.0</x:v>
      </x:c>
      <x:c r="AC493" s="193"/>
      <x:c r="AD493" s="193" t="n">
        <x:v>46228</x:v>
      </x:c>
      <x:c r="AE493" s="192" t="str">
        <x:v>Approved for Form B</x:v>
      </x:c>
      <x:c r="AF493" s="194" t="str">
        <x:v>Form B only; paired alternate retained on the other comprehensive form</x:v>
      </x:c>
    </x:row>
    <x:row r="494">
      <x:c r="A494" s="191" t="str">
        <x:v>CTA-LMFT-MQB-0493</x:v>
      </x:c>
      <x:c r="B494" s="192" t="str">
        <x:v>LMFT-MQB-FB-CP-016</x:v>
      </x:c>
      <x:c r="C494" s="192" t="str">
        <x:v>LMFT</x:v>
      </x:c>
      <x:c r="D494" s="192" t="str">
        <x:v>Comprehensive Simulation</x:v>
      </x:c>
      <x:c r="E494" s="192"/>
      <x:c r="F494" s="192"/>
      <x:c r="G494" s="192" t="str">
        <x:v>Form B</x:v>
      </x:c>
      <x:c r="H494" s="192" t="n">
        <x:v>139</x:v>
      </x:c>
      <x:c r="I494" s="192" t="str">
        <x:v>Scored-Style</x:v>
      </x:c>
      <x:c r="J494" s="192" t="str">
        <x:v>4. Case Conceptualization and Planning</x:v>
      </x:c>
      <x:c r="K494" s="192" t="str">
        <x:v>Competing systems and treatment goals</x:v>
      </x:c>
      <x:c r="L494" s="192" t="str"/>
      <x:c r="M494" s="192" t="str">
        <x:v>Difficult</x:v>
      </x:c>
      <x:c r="N494" s="192" t="str">
        <x:v>Difficult</x:v>
      </x:c>
      <x:c r="O494" s="192" t="str">
        <x:v>Scenario-based sequencing</x:v>
      </x:c>
      <x:c r="P494" s="192" t="str">
        <x:v>Scenario-Based</x:v>
      </x:c>
      <x:c r="Q494" s="192" t="n">
        <x:v>4</x:v>
      </x:c>
      <x:c r="R494" s="192" t="str">
        <x:v>A</x:v>
      </x:c>
      <x:c r="S494" s="192" t="str">
        <x:v>Approved</x:v>
      </x:c>
      <x:c r="T494" s="192" t="str">
        <x:v>Active</x:v>
      </x:c>
      <x:c r="U494" s="192" t="n">
        <x:v>1</x:v>
      </x:c>
      <x:c r="V494" s="192" t="str">
        <x:v>LMFT-ALT-057</x:v>
      </x:c>
      <x:c r="W494" s="192" t="str">
        <x:v>No additional flag</x:v>
      </x:c>
      <x:c r="X494" s="192" t="str">
        <x:v>No structural flag</x:v>
      </x:c>
      <x:c r="Y494" s="192" t="str">
        <x:v>Not Yet Reviewed</x:v>
      </x:c>
      <x:c r="Z494" s="192" t="str">
        <x:v>CTA LMFT WB7; CTA LMFT WB12; Pearson VUE LMFT Outline Area 4</x:v>
      </x:c>
      <x:c r="AA494" s="192" t="str">
        <x:v>CTA_LMFT_Comprehensive_Simulation_Form_B_Answer_Key_and_Detailed_Rationales_v1.0.docx</x:v>
      </x:c>
      <x:c r="AB494" s="192" t="str">
        <x:v>1.0</x:v>
      </x:c>
      <x:c r="AC494" s="193"/>
      <x:c r="AD494" s="193" t="n">
        <x:v>46228</x:v>
      </x:c>
      <x:c r="AE494" s="192" t="str">
        <x:v>Approved for Form B</x:v>
      </x:c>
      <x:c r="AF494" s="194" t="str">
        <x:v>Form B only; paired alternate retained on the other comprehensive form</x:v>
      </x:c>
    </x:row>
    <x:row r="495">
      <x:c r="A495" s="191" t="str">
        <x:v>CTA-LMFT-MQB-0494</x:v>
      </x:c>
      <x:c r="B495" s="192" t="str">
        <x:v>LMFT-MQB-FB-CP-011</x:v>
      </x:c>
      <x:c r="C495" s="192" t="str">
        <x:v>LMFT</x:v>
      </x:c>
      <x:c r="D495" s="192" t="str">
        <x:v>Comprehensive Simulation</x:v>
      </x:c>
      <x:c r="E495" s="192"/>
      <x:c r="F495" s="192"/>
      <x:c r="G495" s="192" t="str">
        <x:v>Form B</x:v>
      </x:c>
      <x:c r="H495" s="192" t="n">
        <x:v>140</x:v>
      </x:c>
      <x:c r="I495" s="192" t="str">
        <x:v>Scored-Style</x:v>
      </x:c>
      <x:c r="J495" s="192" t="str">
        <x:v>4. Case Conceptualization and Planning</x:v>
      </x:c>
      <x:c r="K495" s="192" t="str">
        <x:v>No progress after initial treatment</x:v>
      </x:c>
      <x:c r="L495" s="192" t="str"/>
      <x:c r="M495" s="192" t="str">
        <x:v>Moderate</x:v>
      </x:c>
      <x:c r="N495" s="192" t="str">
        <x:v>Moderate</x:v>
      </x:c>
      <x:c r="O495" s="192" t="str">
        <x:v>Scenario-based sequencing</x:v>
      </x:c>
      <x:c r="P495" s="192" t="str">
        <x:v>Scenario-Based</x:v>
      </x:c>
      <x:c r="Q495" s="192" t="n">
        <x:v>4</x:v>
      </x:c>
      <x:c r="R495" s="192" t="str">
        <x:v>B</x:v>
      </x:c>
      <x:c r="S495" s="192" t="str">
        <x:v>Approved</x:v>
      </x:c>
      <x:c r="T495" s="192" t="str">
        <x:v>Active</x:v>
      </x:c>
      <x:c r="U495" s="192" t="n">
        <x:v>1</x:v>
      </x:c>
      <x:c r="V495" s="192" t="str">
        <x:v>LMFT-ALT-052</x:v>
      </x:c>
      <x:c r="W495" s="192" t="str">
        <x:v>No additional flag</x:v>
      </x:c>
      <x:c r="X495" s="192" t="str">
        <x:v>No structural flag</x:v>
      </x:c>
      <x:c r="Y495" s="192" t="str">
        <x:v>Not Yet Reviewed</x:v>
      </x:c>
      <x:c r="Z495" s="192" t="str">
        <x:v>CTA LMFT WB7; Pearson VUE LMFT Outline Area 4</x:v>
      </x:c>
      <x:c r="AA495" s="192" t="str">
        <x:v>CTA_LMFT_Comprehensive_Simulation_Form_B_Answer_Key_and_Detailed_Rationales_v1.0.docx</x:v>
      </x:c>
      <x:c r="AB495" s="192" t="str">
        <x:v>1.0</x:v>
      </x:c>
      <x:c r="AC495" s="193"/>
      <x:c r="AD495" s="193" t="n">
        <x:v>46228</x:v>
      </x:c>
      <x:c r="AE495" s="192" t="str">
        <x:v>Approved for Form B</x:v>
      </x:c>
      <x:c r="AF495" s="194" t="str">
        <x:v>Form B only; paired alternate retained on the other comprehensive form</x:v>
      </x:c>
    </x:row>
    <x:row r="496">
      <x:c r="A496" s="191" t="str">
        <x:v>CTA-LMFT-MQB-0495</x:v>
      </x:c>
      <x:c r="B496" s="192" t="str">
        <x:v>LMFT-MQB-FB-LE-012</x:v>
      </x:c>
      <x:c r="C496" s="192" t="str">
        <x:v>LMFT</x:v>
      </x:c>
      <x:c r="D496" s="192" t="str">
        <x:v>Comprehensive Simulation</x:v>
      </x:c>
      <x:c r="E496" s="192"/>
      <x:c r="F496" s="192"/>
      <x:c r="G496" s="192" t="str">
        <x:v>Form B</x:v>
      </x:c>
      <x:c r="H496" s="192" t="n">
        <x:v>141</x:v>
      </x:c>
      <x:c r="I496" s="192" t="str">
        <x:v>Scored-Style</x:v>
      </x:c>
      <x:c r="J496" s="192" t="str">
        <x:v>6. Managing Legal and Ethical Obligations within the Therapeutic Relationship</x:v>
      </x:c>
      <x:c r="K496" s="192" t="str">
        <x:v>Third-party payer request</x:v>
      </x:c>
      <x:c r="L496" s="192" t="str"/>
      <x:c r="M496" s="192" t="str">
        <x:v>Difficult</x:v>
      </x:c>
      <x:c r="N496" s="192" t="str">
        <x:v>Difficult</x:v>
      </x:c>
      <x:c r="O496" s="192" t="str">
        <x:v>Scenario-based sequencing</x:v>
      </x:c>
      <x:c r="P496" s="192" t="str">
        <x:v>Scenario-Based</x:v>
      </x:c>
      <x:c r="Q496" s="192" t="n">
        <x:v>4</x:v>
      </x:c>
      <x:c r="R496" s="192" t="str">
        <x:v>C</x:v>
      </x:c>
      <x:c r="S496" s="192" t="str">
        <x:v>Approved</x:v>
      </x:c>
      <x:c r="T496" s="192" t="str">
        <x:v>Active</x:v>
      </x:c>
      <x:c r="U496" s="192" t="n">
        <x:v>1</x:v>
      </x:c>
      <x:c r="V496" s="192" t="str">
        <x:v>LMFT-ALT-104</x:v>
      </x:c>
      <x:c r="W496" s="192" t="str">
        <x:v>No additional flag</x:v>
      </x:c>
      <x:c r="X496" s="192" t="str">
        <x:v>No structural flag</x:v>
      </x:c>
      <x:c r="Y496" s="192" t="str">
        <x:v>Not Yet Reviewed</x:v>
      </x:c>
      <x:c r="Z496" s="192" t="str">
        <x:v>CTA LMFT WB12; Pearson VUE LMFT Outline Area 6</x:v>
      </x:c>
      <x:c r="AA496" s="192" t="str">
        <x:v>CTA_LMFT_Comprehensive_Simulation_Form_B_Answer_Key_and_Detailed_Rationales_v1.0.docx</x:v>
      </x:c>
      <x:c r="AB496" s="192" t="str">
        <x:v>1.0</x:v>
      </x:c>
      <x:c r="AC496" s="193"/>
      <x:c r="AD496" s="193" t="n">
        <x:v>46228</x:v>
      </x:c>
      <x:c r="AE496" s="192" t="str">
        <x:v>Approved for Form B</x:v>
      </x:c>
      <x:c r="AF496" s="194" t="str">
        <x:v>Form B only; paired alternate retained on the other comprehensive form</x:v>
      </x:c>
    </x:row>
    <x:row r="497">
      <x:c r="A497" s="191" t="str">
        <x:v>CTA-LMFT-MQB-0496</x:v>
      </x:c>
      <x:c r="B497" s="192" t="str">
        <x:v>LMFT-MQB-FB-TX-027</x:v>
      </x:c>
      <x:c r="C497" s="192" t="str">
        <x:v>LMFT</x:v>
      </x:c>
      <x:c r="D497" s="192" t="str">
        <x:v>Comprehensive Simulation</x:v>
      </x:c>
      <x:c r="E497" s="192"/>
      <x:c r="F497" s="192"/>
      <x:c r="G497" s="192" t="str">
        <x:v>Form B</x:v>
      </x:c>
      <x:c r="H497" s="192" t="n">
        <x:v>142</x:v>
      </x:c>
      <x:c r="I497" s="192" t="str">
        <x:v>Scored-Style</x:v>
      </x:c>
      <x:c r="J497" s="192" t="str">
        <x:v>5. Treatment</x:v>
      </x:c>
      <x:c r="K497" s="192" t="str">
        <x:v>MI with mandated client</x:v>
      </x:c>
      <x:c r="L497" s="192" t="str"/>
      <x:c r="M497" s="192" t="str">
        <x:v>Moderate</x:v>
      </x:c>
      <x:c r="N497" s="192" t="str">
        <x:v>Moderate</x:v>
      </x:c>
      <x:c r="O497" s="192" t="str">
        <x:v>Scenario-based sequencing</x:v>
      </x:c>
      <x:c r="P497" s="192" t="str">
        <x:v>Scenario-Based</x:v>
      </x:c>
      <x:c r="Q497" s="192" t="n">
        <x:v>4</x:v>
      </x:c>
      <x:c r="R497" s="192" t="str">
        <x:v>B</x:v>
      </x:c>
      <x:c r="S497" s="192" t="str">
        <x:v>Approved</x:v>
      </x:c>
      <x:c r="T497" s="192" t="str">
        <x:v>Active</x:v>
      </x:c>
      <x:c r="U497" s="192" t="n">
        <x:v>1</x:v>
      </x:c>
      <x:c r="V497" s="192" t="str">
        <x:v>LMFT-ALT-134</x:v>
      </x:c>
      <x:c r="W497" s="192" t="str">
        <x:v>No additional flag</x:v>
      </x:c>
      <x:c r="X497" s="192" t="str">
        <x:v>No structural flag</x:v>
      </x:c>
      <x:c r="Y497" s="192" t="str">
        <x:v>Not Yet Reviewed</x:v>
      </x:c>
      <x:c r="Z497" s="192" t="str">
        <x:v>CTA LMFT WB9; CTA LMFT WB12; Pearson VUE LMFT Outline Area 5</x:v>
      </x:c>
      <x:c r="AA497" s="192" t="str">
        <x:v>CTA_LMFT_Comprehensive_Simulation_Form_B_Answer_Key_and_Detailed_Rationales_v1.0.docx</x:v>
      </x:c>
      <x:c r="AB497" s="192" t="str">
        <x:v>1.0</x:v>
      </x:c>
      <x:c r="AC497" s="193"/>
      <x:c r="AD497" s="193" t="n">
        <x:v>46228</x:v>
      </x:c>
      <x:c r="AE497" s="192" t="str">
        <x:v>Approved for Form B</x:v>
      </x:c>
      <x:c r="AF497" s="194" t="str">
        <x:v>Form B only; paired alternate retained on the other comprehensive form</x:v>
      </x:c>
    </x:row>
    <x:row r="498">
      <x:c r="A498" s="191" t="str">
        <x:v>CTA-LMFT-MQB-0497</x:v>
      </x:c>
      <x:c r="B498" s="192" t="str">
        <x:v>LMFT-MQB-FB-DI-017</x:v>
      </x:c>
      <x:c r="C498" s="192" t="str">
        <x:v>LMFT</x:v>
      </x:c>
      <x:c r="D498" s="192" t="str">
        <x:v>Comprehensive Simulation</x:v>
      </x:c>
      <x:c r="E498" s="192"/>
      <x:c r="F498" s="192"/>
      <x:c r="G498" s="192" t="str">
        <x:v>Form B</x:v>
      </x:c>
      <x:c r="H498" s="192" t="n">
        <x:v>143</x:v>
      </x:c>
      <x:c r="I498" s="192" t="str">
        <x:v>Scored-Style</x:v>
      </x:c>
      <x:c r="J498" s="192" t="str">
        <x:v>2. Developing a Diagnostic Impression</x:v>
      </x:c>
      <x:c r="K498" s="192" t="str">
        <x:v>Diagnostic uncertainty with safety risk</x:v>
      </x:c>
      <x:c r="L498" s="192" t="str"/>
      <x:c r="M498" s="192" t="str">
        <x:v>Difficult</x:v>
      </x:c>
      <x:c r="N498" s="192" t="str">
        <x:v>Difficult</x:v>
      </x:c>
      <x:c r="O498" s="192" t="str">
        <x:v>Integrated reasoning</x:v>
      </x:c>
      <x:c r="P498" s="192" t="str">
        <x:v>Integrated Clinical Reasoning</x:v>
      </x:c>
      <x:c r="Q498" s="192" t="n">
        <x:v>4</x:v>
      </x:c>
      <x:c r="R498" s="192" t="str">
        <x:v>C</x:v>
      </x:c>
      <x:c r="S498" s="192" t="str">
        <x:v>Approved</x:v>
      </x:c>
      <x:c r="T498" s="192" t="str">
        <x:v>Active</x:v>
      </x:c>
      <x:c r="U498" s="192" t="n">
        <x:v>1</x:v>
      </x:c>
      <x:c r="V498" s="192" t="str">
        <x:v>LMFT-ALT-092</x:v>
      </x:c>
      <x:c r="W498" s="192" t="str">
        <x:v>No additional flag</x:v>
      </x:c>
      <x:c r="X498" s="192" t="str">
        <x:v>No structural flag</x:v>
      </x:c>
      <x:c r="Y498" s="192" t="str">
        <x:v>Not Yet Reviewed</x:v>
      </x:c>
      <x:c r="Z498" s="192" t="str">
        <x:v>CTA LMFT WB5; CTA LMFT WB6; Pearson VUE LMFT Outline Area 2</x:v>
      </x:c>
      <x:c r="AA498" s="192" t="str">
        <x:v>CTA_LMFT_Comprehensive_Simulation_Form_B_Answer_Key_and_Detailed_Rationales_v1.0.docx</x:v>
      </x:c>
      <x:c r="AB498" s="192" t="str">
        <x:v>1.0</x:v>
      </x:c>
      <x:c r="AC498" s="193"/>
      <x:c r="AD498" s="193" t="n">
        <x:v>46228</x:v>
      </x:c>
      <x:c r="AE498" s="192" t="str">
        <x:v>Approved for Form B</x:v>
      </x:c>
      <x:c r="AF498" s="194" t="str">
        <x:v>Form B only; paired alternate retained on the other comprehensive form</x:v>
      </x:c>
    </x:row>
    <x:row r="499">
      <x:c r="A499" s="191" t="str">
        <x:v>CTA-LMFT-MQB-0498</x:v>
      </x:c>
      <x:c r="B499" s="192" t="str">
        <x:v>LMFT-MQB-FB-CP-007</x:v>
      </x:c>
      <x:c r="C499" s="192" t="str">
        <x:v>LMFT</x:v>
      </x:c>
      <x:c r="D499" s="192" t="str">
        <x:v>Comprehensive Simulation</x:v>
      </x:c>
      <x:c r="E499" s="192"/>
      <x:c r="F499" s="192"/>
      <x:c r="G499" s="192" t="str">
        <x:v>Form B</x:v>
      </x:c>
      <x:c r="H499" s="192" t="n">
        <x:v>144</x:v>
      </x:c>
      <x:c r="I499" s="192" t="str">
        <x:v>Scored-Style</x:v>
      </x:c>
      <x:c r="J499" s="192" t="str">
        <x:v>4. Case Conceptualization and Planning</x:v>
      </x:c>
      <x:c r="K499" s="192" t="str">
        <x:v>Theory-informed planning</x:v>
      </x:c>
      <x:c r="L499" s="192" t="str"/>
      <x:c r="M499" s="192" t="str">
        <x:v>Moderate</x:v>
      </x:c>
      <x:c r="N499" s="192" t="str">
        <x:v>Moderate</x:v>
      </x:c>
      <x:c r="O499" s="192" t="str">
        <x:v>Application</x:v>
      </x:c>
      <x:c r="P499" s="192" t="str">
        <x:v>Application</x:v>
      </x:c>
      <x:c r="Q499" s="192" t="n">
        <x:v>4</x:v>
      </x:c>
      <x:c r="R499" s="192" t="str">
        <x:v>A</x:v>
      </x:c>
      <x:c r="S499" s="192" t="str">
        <x:v>Approved</x:v>
      </x:c>
      <x:c r="T499" s="192" t="str">
        <x:v>Active</x:v>
      </x:c>
      <x:c r="U499" s="192" t="n">
        <x:v>1</x:v>
      </x:c>
      <x:c r="V499" s="192" t="str">
        <x:v>LMFT-ALT-048</x:v>
      </x:c>
      <x:c r="W499" s="192" t="str">
        <x:v>No additional flag</x:v>
      </x:c>
      <x:c r="X499" s="192" t="str">
        <x:v>No structural flag</x:v>
      </x:c>
      <x:c r="Y499" s="192" t="str">
        <x:v>Not Yet Reviewed</x:v>
      </x:c>
      <x:c r="Z499" s="192" t="str">
        <x:v>CTA LMFT WB7; CTA LMFT WB8; Pearson VUE LMFT Outline Area 4</x:v>
      </x:c>
      <x:c r="AA499" s="192" t="str">
        <x:v>CTA_LMFT_Comprehensive_Simulation_Form_B_Answer_Key_and_Detailed_Rationales_v1.0.docx</x:v>
      </x:c>
      <x:c r="AB499" s="192" t="str">
        <x:v>1.0</x:v>
      </x:c>
      <x:c r="AC499" s="193"/>
      <x:c r="AD499" s="193" t="n">
        <x:v>46228</x:v>
      </x:c>
      <x:c r="AE499" s="192" t="str">
        <x:v>Approved for Form B</x:v>
      </x:c>
      <x:c r="AF499" s="194" t="str">
        <x:v>Form B only; paired alternate retained on the other comprehensive form</x:v>
      </x:c>
    </x:row>
    <x:row r="500">
      <x:c r="A500" s="191" t="str">
        <x:v>CTA-LMFT-MQB-0499</x:v>
      </x:c>
      <x:c r="B500" s="192" t="str">
        <x:v>LMFT-MQB-FB-DI-005</x:v>
      </x:c>
      <x:c r="C500" s="192" t="str">
        <x:v>LMFT</x:v>
      </x:c>
      <x:c r="D500" s="192" t="str">
        <x:v>Comprehensive Simulation</x:v>
      </x:c>
      <x:c r="E500" s="192"/>
      <x:c r="F500" s="192"/>
      <x:c r="G500" s="192" t="str">
        <x:v>Form B</x:v>
      </x:c>
      <x:c r="H500" s="192" t="n">
        <x:v>145</x:v>
      </x:c>
      <x:c r="I500" s="192" t="str">
        <x:v>Scored-Style</x:v>
      </x:c>
      <x:c r="J500" s="192" t="str">
        <x:v>2. Developing a Diagnostic Impression</x:v>
      </x:c>
      <x:c r="K500" s="192" t="str">
        <x:v>Adjustment-related presentation</x:v>
      </x:c>
      <x:c r="L500" s="192" t="str"/>
      <x:c r="M500" s="192" t="str">
        <x:v>Easy</x:v>
      </x:c>
      <x:c r="N500" s="192" t="str">
        <x:v>Easy</x:v>
      </x:c>
      <x:c r="O500" s="192" t="str">
        <x:v>Application</x:v>
      </x:c>
      <x:c r="P500" s="192" t="str">
        <x:v>Application</x:v>
      </x:c>
      <x:c r="Q500" s="192" t="n">
        <x:v>4</x:v>
      </x:c>
      <x:c r="R500" s="192" t="str">
        <x:v>A</x:v>
      </x:c>
      <x:c r="S500" s="192" t="str">
        <x:v>Approved</x:v>
      </x:c>
      <x:c r="T500" s="192" t="str">
        <x:v>Active</x:v>
      </x:c>
      <x:c r="U500" s="192" t="n">
        <x:v>1</x:v>
      </x:c>
      <x:c r="V500" s="192" t="str">
        <x:v>LMFT-ALT-080</x:v>
      </x:c>
      <x:c r="W500" s="192" t="str">
        <x:v>No additional flag</x:v>
      </x:c>
      <x:c r="X500" s="192" t="str">
        <x:v>No structural flag</x:v>
      </x:c>
      <x:c r="Y500" s="192" t="str">
        <x:v>Not Yet Reviewed</x:v>
      </x:c>
      <x:c r="Z500" s="192" t="str">
        <x:v>CTA LMFT WB5; Pearson VUE LMFT Outline Area 2</x:v>
      </x:c>
      <x:c r="AA500" s="192" t="str">
        <x:v>CTA_LMFT_Comprehensive_Simulation_Form_B_Answer_Key_and_Detailed_Rationales_v1.0.docx</x:v>
      </x:c>
      <x:c r="AB500" s="192" t="str">
        <x:v>1.0</x:v>
      </x:c>
      <x:c r="AC500" s="193"/>
      <x:c r="AD500" s="193" t="n">
        <x:v>46228</x:v>
      </x:c>
      <x:c r="AE500" s="192" t="str">
        <x:v>Approved for Form B</x:v>
      </x:c>
      <x:c r="AF500" s="194" t="str">
        <x:v>Form B only; paired alternate retained on the other comprehensive form</x:v>
      </x:c>
    </x:row>
    <x:row r="501">
      <x:c r="A501" s="191" t="str">
        <x:v>CTA-LMFT-MQB-0500</x:v>
      </x:c>
      <x:c r="B501" s="192" t="str">
        <x:v>LMFT-MQB-FB-CE-011</x:v>
      </x:c>
      <x:c r="C501" s="192" t="str">
        <x:v>LMFT</x:v>
      </x:c>
      <x:c r="D501" s="192" t="str">
        <x:v>Comprehensive Simulation</x:v>
      </x:c>
      <x:c r="E501" s="192"/>
      <x:c r="F501" s="192"/>
      <x:c r="G501" s="192" t="str">
        <x:v>Form B</x:v>
      </x:c>
      <x:c r="H501" s="192" t="n">
        <x:v>146</x:v>
      </x:c>
      <x:c r="I501" s="192" t="str">
        <x:v>Scored-Style</x:v>
      </x:c>
      <x:c r="J501" s="192" t="str">
        <x:v>1. Clinical Evaluation</x:v>
      </x:c>
      <x:c r="K501" s="192" t="str">
        <x:v>Substance-use screening</x:v>
      </x:c>
      <x:c r="L501" s="192" t="str"/>
      <x:c r="M501" s="192" t="str">
        <x:v>Moderate</x:v>
      </x:c>
      <x:c r="N501" s="192" t="str">
        <x:v>Moderate</x:v>
      </x:c>
      <x:c r="O501" s="192" t="str">
        <x:v>Application</x:v>
      </x:c>
      <x:c r="P501" s="192" t="str">
        <x:v>Application</x:v>
      </x:c>
      <x:c r="Q501" s="192" t="n">
        <x:v>4</x:v>
      </x:c>
      <x:c r="R501" s="192" t="str">
        <x:v>D</x:v>
      </x:c>
      <x:c r="S501" s="192" t="str">
        <x:v>Approved</x:v>
      </x:c>
      <x:c r="T501" s="192" t="str">
        <x:v>Active</x:v>
      </x:c>
      <x:c r="U501" s="192" t="n">
        <x:v>1</x:v>
      </x:c>
      <x:c r="V501" s="192" t="str">
        <x:v>LMFT-ALT-011</x:v>
      </x:c>
      <x:c r="W501" s="192" t="str">
        <x:v>No additional flag</x:v>
      </x:c>
      <x:c r="X501" s="192" t="str">
        <x:v>No structural flag</x:v>
      </x:c>
      <x:c r="Y501" s="192" t="str">
        <x:v>Not Yet Reviewed</x:v>
      </x:c>
      <x:c r="Z501" s="192" t="str">
        <x:v>CTA LMFT WB2; Pearson VUE LMFT Outline Area 1</x:v>
      </x:c>
      <x:c r="AA501" s="192" t="str">
        <x:v>CTA_LMFT_Comprehensive_Simulation_Form_B_Answer_Key_and_Detailed_Rationales_v1.0.docx</x:v>
      </x:c>
      <x:c r="AB501" s="192" t="str">
        <x:v>1.0</x:v>
      </x:c>
      <x:c r="AC501" s="193"/>
      <x:c r="AD501" s="193" t="n">
        <x:v>46228</x:v>
      </x:c>
      <x:c r="AE501" s="192" t="str">
        <x:v>Approved for Form B</x:v>
      </x:c>
      <x:c r="AF501" s="194" t="str">
        <x:v>Form B only; paired alternate retained on the other comprehensive form</x:v>
      </x:c>
    </x:row>
    <x:row r="502">
      <x:c r="A502" s="191" t="str">
        <x:v>CTA-LMFT-MQB-0501</x:v>
      </x:c>
      <x:c r="B502" s="192" t="str">
        <x:v>LMFT-MQB-FB-CE-028</x:v>
      </x:c>
      <x:c r="C502" s="192" t="str">
        <x:v>LMFT</x:v>
      </x:c>
      <x:c r="D502" s="192" t="str">
        <x:v>Comprehensive Simulation</x:v>
      </x:c>
      <x:c r="E502" s="192"/>
      <x:c r="F502" s="192"/>
      <x:c r="G502" s="192" t="str">
        <x:v>Form B</x:v>
      </x:c>
      <x:c r="H502" s="192" t="n">
        <x:v>147</x:v>
      </x:c>
      <x:c r="I502" s="192" t="str">
        <x:v>Scored-Style</x:v>
      </x:c>
      <x:c r="J502" s="192" t="str">
        <x:v>1. Clinical Evaluation</x:v>
      </x:c>
      <x:c r="K502" s="192" t="str">
        <x:v>Possible mania or stimulant effect</x:v>
      </x:c>
      <x:c r="L502" s="192" t="str"/>
      <x:c r="M502" s="192" t="str">
        <x:v>Moderate</x:v>
      </x:c>
      <x:c r="N502" s="192" t="str">
        <x:v>Moderate</x:v>
      </x:c>
      <x:c r="O502" s="192" t="str">
        <x:v>Scenario-based sequencing</x:v>
      </x:c>
      <x:c r="P502" s="192" t="str">
        <x:v>Scenario-Based</x:v>
      </x:c>
      <x:c r="Q502" s="192" t="n">
        <x:v>4</x:v>
      </x:c>
      <x:c r="R502" s="192" t="str">
        <x:v>C</x:v>
      </x:c>
      <x:c r="S502" s="192" t="str">
        <x:v>Approved</x:v>
      </x:c>
      <x:c r="T502" s="192" t="str">
        <x:v>Active</x:v>
      </x:c>
      <x:c r="U502" s="192" t="n">
        <x:v>1</x:v>
      </x:c>
      <x:c r="V502" s="192" t="str">
        <x:v>LMFT-ALT-028</x:v>
      </x:c>
      <x:c r="W502" s="192" t="str">
        <x:v>No additional flag</x:v>
      </x:c>
      <x:c r="X502" s="192" t="str">
        <x:v>No structural flag</x:v>
      </x:c>
      <x:c r="Y502" s="192" t="str">
        <x:v>Not Yet Reviewed</x:v>
      </x:c>
      <x:c r="Z502" s="192" t="str">
        <x:v>CTA LMFT WB2; CTA LMFT WB5; Pearson VUE LMFT Outline Area 1</x:v>
      </x:c>
      <x:c r="AA502" s="192" t="str">
        <x:v>CTA_LMFT_Comprehensive_Simulation_Form_B_Answer_Key_and_Detailed_Rationales_v1.0.docx</x:v>
      </x:c>
      <x:c r="AB502" s="192" t="str">
        <x:v>1.0</x:v>
      </x:c>
      <x:c r="AC502" s="193"/>
      <x:c r="AD502" s="193" t="n">
        <x:v>46228</x:v>
      </x:c>
      <x:c r="AE502" s="192" t="str">
        <x:v>Approved for Form B</x:v>
      </x:c>
      <x:c r="AF502" s="194" t="str">
        <x:v>Form B only; paired alternate retained on the other comprehensive form</x:v>
      </x:c>
    </x:row>
    <x:row r="503">
      <x:c r="A503" s="191" t="str">
        <x:v>CTA-LMFT-MQB-0502</x:v>
      </x:c>
      <x:c r="B503" s="192" t="str">
        <x:v>LMFT-MQB-FB-DI-010</x:v>
      </x:c>
      <x:c r="C503" s="192" t="str">
        <x:v>LMFT</x:v>
      </x:c>
      <x:c r="D503" s="192" t="str">
        <x:v>Comprehensive Simulation</x:v>
      </x:c>
      <x:c r="E503" s="192"/>
      <x:c r="F503" s="192"/>
      <x:c r="G503" s="192" t="str">
        <x:v>Form B</x:v>
      </x:c>
      <x:c r="H503" s="192" t="n">
        <x:v>148</x:v>
      </x:c>
      <x:c r="I503" s="192" t="str">
        <x:v>Scored-Style</x:v>
      </x:c>
      <x:c r="J503" s="192" t="str">
        <x:v>2. Developing a Diagnostic Impression</x:v>
      </x:c>
      <x:c r="K503" s="192" t="str">
        <x:v>Medical mimic</x:v>
      </x:c>
      <x:c r="L503" s="192" t="str"/>
      <x:c r="M503" s="192" t="str">
        <x:v>Difficult</x:v>
      </x:c>
      <x:c r="N503" s="192" t="str">
        <x:v>Difficult</x:v>
      </x:c>
      <x:c r="O503" s="192" t="str">
        <x:v>Application</x:v>
      </x:c>
      <x:c r="P503" s="192" t="str">
        <x:v>Application</x:v>
      </x:c>
      <x:c r="Q503" s="192" t="n">
        <x:v>4</x:v>
      </x:c>
      <x:c r="R503" s="192" t="str">
        <x:v>D</x:v>
      </x:c>
      <x:c r="S503" s="192" t="str">
        <x:v>Approved</x:v>
      </x:c>
      <x:c r="T503" s="192" t="str">
        <x:v>Active</x:v>
      </x:c>
      <x:c r="U503" s="192" t="n">
        <x:v>1</x:v>
      </x:c>
      <x:c r="V503" s="192" t="str">
        <x:v>LMFT-ALT-085</x:v>
      </x:c>
      <x:c r="W503" s="192" t="str">
        <x:v>No additional flag</x:v>
      </x:c>
      <x:c r="X503" s="192" t="str">
        <x:v>No structural flag</x:v>
      </x:c>
      <x:c r="Y503" s="192" t="str">
        <x:v>Not Yet Reviewed</x:v>
      </x:c>
      <x:c r="Z503" s="192" t="str">
        <x:v>CTA LMFT WB5; Pearson VUE LMFT Outline Area 2</x:v>
      </x:c>
      <x:c r="AA503" s="192" t="str">
        <x:v>CTA_LMFT_Comprehensive_Simulation_Form_B_Answer_Key_and_Detailed_Rationales_v1.0.docx</x:v>
      </x:c>
      <x:c r="AB503" s="192" t="str">
        <x:v>1.0</x:v>
      </x:c>
      <x:c r="AC503" s="193"/>
      <x:c r="AD503" s="193" t="n">
        <x:v>46228</x:v>
      </x:c>
      <x:c r="AE503" s="192" t="str">
        <x:v>Approved for Form B</x:v>
      </x:c>
      <x:c r="AF503" s="194" t="str">
        <x:v>Form B only; paired alternate retained on the other comprehensive form</x:v>
      </x:c>
    </x:row>
    <x:row r="504">
      <x:c r="A504" s="191" t="str">
        <x:v>CTA-LMFT-MQB-0503</x:v>
      </x:c>
      <x:c r="B504" s="192" t="str">
        <x:v>LMFT-MQB-FB-TX-042</x:v>
      </x:c>
      <x:c r="C504" s="192" t="str">
        <x:v>LMFT</x:v>
      </x:c>
      <x:c r="D504" s="192" t="str">
        <x:v>Comprehensive Simulation</x:v>
      </x:c>
      <x:c r="E504" s="192"/>
      <x:c r="F504" s="192"/>
      <x:c r="G504" s="192" t="str">
        <x:v>Form B</x:v>
      </x:c>
      <x:c r="H504" s="192" t="n">
        <x:v>149</x:v>
      </x:c>
      <x:c r="I504" s="192" t="str">
        <x:v>Scored-Style</x:v>
      </x:c>
      <x:c r="J504" s="192" t="str">
        <x:v>5. Treatment</x:v>
      </x:c>
      <x:c r="K504" s="192" t="str">
        <x:v>Integrated multidisciplinary care</x:v>
      </x:c>
      <x:c r="L504" s="192" t="str"/>
      <x:c r="M504" s="192" t="str">
        <x:v>Difficult</x:v>
      </x:c>
      <x:c r="N504" s="192" t="str">
        <x:v>Difficult</x:v>
      </x:c>
      <x:c r="O504" s="192" t="str">
        <x:v>Integrated reasoning</x:v>
      </x:c>
      <x:c r="P504" s="192" t="str">
        <x:v>Integrated Clinical Reasoning</x:v>
      </x:c>
      <x:c r="Q504" s="192" t="n">
        <x:v>4</x:v>
      </x:c>
      <x:c r="R504" s="192" t="str">
        <x:v>B</x:v>
      </x:c>
      <x:c r="S504" s="192" t="str">
        <x:v>Approved</x:v>
      </x:c>
      <x:c r="T504" s="192" t="str">
        <x:v>Active</x:v>
      </x:c>
      <x:c r="U504" s="192" t="n">
        <x:v>1</x:v>
      </x:c>
      <x:c r="V504" s="192" t="str">
        <x:v>LMFT-ALT-149</x:v>
      </x:c>
      <x:c r="W504" s="192" t="str">
        <x:v>No additional flag</x:v>
      </x:c>
      <x:c r="X504" s="192" t="str">
        <x:v>No structural flag</x:v>
      </x:c>
      <x:c r="Y504" s="192" t="str">
        <x:v>Not Yet Reviewed</x:v>
      </x:c>
      <x:c r="Z504" s="192" t="str">
        <x:v>CTA LMFT WB9; CTA LMFT WB11; Pearson VUE LMFT Outline Area 5</x:v>
      </x:c>
      <x:c r="AA504" s="192" t="str">
        <x:v>CTA_LMFT_Comprehensive_Simulation_Form_B_Answer_Key_and_Detailed_Rationales_v1.0.docx</x:v>
      </x:c>
      <x:c r="AB504" s="192" t="str">
        <x:v>1.0</x:v>
      </x:c>
      <x:c r="AC504" s="193"/>
      <x:c r="AD504" s="193" t="n">
        <x:v>46228</x:v>
      </x:c>
      <x:c r="AE504" s="192" t="str">
        <x:v>Approved for Form B</x:v>
      </x:c>
      <x:c r="AF504" s="194" t="str">
        <x:v>Form B only; paired alternate retained on the other comprehensive form</x:v>
      </x:c>
    </x:row>
    <x:row r="505">
      <x:c r="A505" s="195" t="str">
        <x:v>CTA-LMFT-MQB-0504</x:v>
      </x:c>
      <x:c r="B505" s="196" t="str">
        <x:v>LMFT-MQB-FB-TX-023</x:v>
      </x:c>
      <x:c r="C505" s="196" t="str">
        <x:v>LMFT</x:v>
      </x:c>
      <x:c r="D505" s="196" t="str">
        <x:v>Comprehensive Simulation</x:v>
      </x:c>
      <x:c r="E505" s="196"/>
      <x:c r="F505" s="196"/>
      <x:c r="G505" s="196" t="str">
        <x:v>Form B</x:v>
      </x:c>
      <x:c r="H505" s="196" t="n">
        <x:v>150</x:v>
      </x:c>
      <x:c r="I505" s="196" t="str">
        <x:v>Pretest-Style</x:v>
      </x:c>
      <x:c r="J505" s="196" t="str">
        <x:v>5. Treatment</x:v>
      </x:c>
      <x:c r="K505" s="196" t="str">
        <x:v>Alliance rupture</x:v>
      </x:c>
      <x:c r="L505" s="196" t="str"/>
      <x:c r="M505" s="196" t="str">
        <x:v>Easy</x:v>
      </x:c>
      <x:c r="N505" s="196" t="str">
        <x:v>Easy</x:v>
      </x:c>
      <x:c r="O505" s="196" t="str">
        <x:v>Scenario-based sequencing</x:v>
      </x:c>
      <x:c r="P505" s="196" t="str">
        <x:v>Scenario-Based</x:v>
      </x:c>
      <x:c r="Q505" s="196" t="n">
        <x:v>4</x:v>
      </x:c>
      <x:c r="R505" s="196" t="str">
        <x:v>A</x:v>
      </x:c>
      <x:c r="S505" s="196" t="str">
        <x:v>Approved</x:v>
      </x:c>
      <x:c r="T505" s="196" t="str">
        <x:v>Active</x:v>
      </x:c>
      <x:c r="U505" s="196" t="n">
        <x:v>1</x:v>
      </x:c>
      <x:c r="V505" s="196" t="str">
        <x:v>LMFT-ALT-130</x:v>
      </x:c>
      <x:c r="W505" s="196" t="str">
        <x:v>No additional flag</x:v>
      </x:c>
      <x:c r="X505" s="196" t="str">
        <x:v>No structural flag</x:v>
      </x:c>
      <x:c r="Y505" s="196" t="str">
        <x:v>Not Yet Reviewed</x:v>
      </x:c>
      <x:c r="Z505" s="196" t="str">
        <x:v>CTA LMFT WB2; Pearson VUE LMFT Outline Area 5</x:v>
      </x:c>
      <x:c r="AA505" s="196" t="str">
        <x:v>CTA_LMFT_Comprehensive_Simulation_Form_B_Answer_Key_and_Detailed_Rationales_v1.0.docx</x:v>
      </x:c>
      <x:c r="AB505" s="196" t="str">
        <x:v>1.0</x:v>
      </x:c>
      <x:c r="AC505" s="197"/>
      <x:c r="AD505" s="197" t="n">
        <x:v>46228</x:v>
      </x:c>
      <x:c r="AE505" s="196" t="str">
        <x:v>Approved for Form B</x:v>
      </x:c>
      <x:c r="AF505" s="198" t="str">
        <x:v>Form B only; paired alternate retained on the other comprehensive form</x:v>
      </x:c>
    </x:row>
  </x:sheetData>
  <x:conditionalFormatting sqref="S2:S505">
    <x:cfRule type="expression" dxfId="0" priority="1">
      <x:formula>$S2="Approved"</x:formula>
    </x:cfRule>
    <x:cfRule type="expression" dxfId="1" priority="2">
      <x:formula>OR($S2="Revise",$S2="Hold")</x:formula>
    </x:cfRule>
    <x:cfRule type="expression" dxfId="2" priority="3">
      <x:formula>$S2="Retire"</x:formula>
    </x:cfRule>
  </x:conditionalFormatting>
  <x:conditionalFormatting sqref="W2:W505">
    <x:cfRule type="expression" dxfId="3" priority="4">
      <x:formula>$W2="Review Candidate"</x:formula>
    </x:cfRule>
  </x:conditionalFormatting>
  <x:conditionalFormatting sqref="V2:V505">
    <x:cfRule type="expression" dxfId="4" priority="5">
      <x:formula>$V2&lt;&gt;""</x:formula>
    </x:cfRule>
  </x:conditionalFormatting>
  <x:conditionalFormatting sqref="X2:X505">
    <x:cfRule type="expression" dxfId="5" priority="6">
      <x:formula>$X2&lt;&gt;"No structural flag"</x:formula>
    </x:cfRule>
  </x:conditionalFormatting>
  <x:dataValidations count="6">
    <x:dataValidation type="list" sqref="N2:N505">
      <x:formula1>"Easy,Moderate,Difficult"</x:formula1>
    </x:dataValidation>
    <x:dataValidation type="list" sqref="P2:P505">
      <x:formula1>"Knowledge &amp; Recall,Application,Scenario-Based,Integrated Clinical Reasoning"</x:formula1>
    </x:dataValidation>
    <x:dataValidation type="list" sqref="S2:S505">
      <x:formula1>"Approved,Revise,Hold,Retire"</x:formula1>
    </x:dataValidation>
    <x:dataValidation type="list" sqref="T2:T505">
      <x:formula1>"Active,Reserve,Retired"</x:formula1>
    </x:dataValidation>
    <x:dataValidation type="list" sqref="W2:W505">
      <x:formula1>"No additional flag,Review Candidate,Reviewed"</x:formula1>
    </x:dataValidation>
    <x:dataValidation type="list" sqref="Y2:Y505">
      <x:formula1>"Not Yet Reviewed,Reviewed - No Concern,Review Needed"</x:formula1>
    </x:dataValidation>
  </x:dataValidations>
  <x:pageMargins left="0.7" right="0.7" top="0.75" bottom="0.75" header="0.3" footer="0.3"/>
  <x:tableParts count="1">
    <x:tablePart xmlns:r="http://schemas.openxmlformats.org/officeDocument/2006/relationships" r:id="R5c4dc200160f410e"/>
  </x:tableParts>
</x:worksheet>
</file>

<file path=xl/worksheets/sheet3.xml><?xml version="1.0" encoding="utf-8"?>
<x:worksheet xmlns:x="http://schemas.openxmlformats.org/spreadsheetml/2006/main">
  <x:sheetFormatPr defaultRowHeight="15"/>
  <x:cols>
    <x:col min="1" max="1" width="20" hidden="0" customWidth="1"/>
    <x:col min="2" max="2" width="24" hidden="0" customWidth="1"/>
    <x:col min="3" max="3" width="24" hidden="0" customWidth="1"/>
    <x:col min="4" max="4" width="16" hidden="0" customWidth="1"/>
    <x:col min="5" max="5" width="48" hidden="0" customWidth="1"/>
    <x:col min="6" max="6" width="38" hidden="0" customWidth="1"/>
    <x:col min="7" max="7" width="38" hidden="0" customWidth="1"/>
    <x:col min="8" max="8" width="38" hidden="0" customWidth="1"/>
    <x:col min="9" max="9" width="38" hidden="0" customWidth="1"/>
    <x:col min="10" max="10" width="11" hidden="0" customWidth="1"/>
    <x:col min="11" max="11" width="42" hidden="0" customWidth="1"/>
    <x:col min="12" max="12" width="42" hidden="0" customWidth="1"/>
    <x:col min="13" max="13" width="42" hidden="0" customWidth="1"/>
    <x:col min="14" max="14" width="42" hidden="0" customWidth="1"/>
    <x:col min="15" max="15" width="58" hidden="0" customWidth="1"/>
    <x:col min="16" max="16" width="44" hidden="0" customWidth="1"/>
    <x:col min="17" max="17" width="44" hidden="0" customWidth="1"/>
  </x:cols>
  <x:sheetData>
    <x:row r="1" ht="34" customHeight="1">
      <x:c r="A1" s="138" t="str">
        <x:v>Master Question ID</x:v>
      </x:c>
      <x:c r="B1" s="138" t="str">
        <x:v>Original Question ID</x:v>
      </x:c>
      <x:c r="C1" s="138" t="str">
        <x:v>Source Type</x:v>
      </x:c>
      <x:c r="D1" s="138" t="str">
        <x:v>Workbook / Form</x:v>
      </x:c>
      <x:c r="E1" s="138" t="str">
        <x:v>Question Stem</x:v>
      </x:c>
      <x:c r="F1" s="138" t="str">
        <x:v>Option A</x:v>
      </x:c>
      <x:c r="G1" s="138" t="str">
        <x:v>Option B</x:v>
      </x:c>
      <x:c r="H1" s="138" t="str">
        <x:v>Option C</x:v>
      </x:c>
      <x:c r="I1" s="138" t="str">
        <x:v>Option D</x:v>
      </x:c>
      <x:c r="J1" s="138" t="str">
        <x:v>Correct Answer</x:v>
      </x:c>
      <x:c r="K1" s="138" t="str">
        <x:v>Rationale A</x:v>
      </x:c>
      <x:c r="L1" s="138" t="str">
        <x:v>Rationale B</x:v>
      </x:c>
      <x:c r="M1" s="138" t="str">
        <x:v>Rationale C</x:v>
      </x:c>
      <x:c r="N1" s="138" t="str">
        <x:v>Rationale D</x:v>
      </x:c>
      <x:c r="O1" s="138" t="str">
        <x:v>Full Rationale Block</x:v>
      </x:c>
      <x:c r="P1" s="138" t="str">
        <x:v>CTA Exam Strategy</x:v>
      </x:c>
      <x:c r="Q1" s="138" t="str">
        <x:v>Source Alignment</x:v>
      </x:c>
    </x:row>
    <x:row r="2">
      <x:c r="A2" s="187" t="str">
        <x:v>CTA-LMFT-MQB-0001</x:v>
      </x:c>
      <x:c r="B2" s="188" t="str">
        <x:v>LMFT-WB01-QB-Q001</x:v>
      </x:c>
      <x:c r="C2" s="188" t="str">
        <x:v>Workbook Question Bank</x:v>
      </x:c>
      <x:c r="D2" s="188" t="str">
        <x:v>Workbook 1</x:v>
      </x:c>
      <x:c r="E2" s="188" t="str">
        <x:v>In a clinical examination question, what does the qualifier FIRST require the candidate to identify?</x:v>
      </x:c>
      <x:c r="F2" s="188" t="str">
        <x:v>The intervention that would produce the fastest symptom relief.</x:v>
      </x:c>
      <x:c r="G2" s="188" t="str">
        <x:v>The earliest clinically necessary action supported by the facts.</x:v>
      </x:c>
      <x:c r="H2" s="188" t="str">
        <x:v>The most comprehensive treatment plan available.</x:v>
      </x:c>
      <x:c r="I2" s="188" t="str">
        <x:v>The action the therapist personally prefers.</x:v>
      </x:c>
      <x:c r="J2" s="188" t="str">
        <x:v>B</x:v>
      </x:c>
      <x:c r="K2" s="188" t="str">
        <x:v>Incorrect. Speed alone does not determine clinical priority; a fast intervention may skip safety, role clarification, or assessment.</x:v>
      </x:c>
      <x:c r="L2" s="188" t="str">
        <x:v>Correct. FIRST is a sequencing word. The best response is the action that must occur before later assessment, planning, intervention, or referral steps.</x:v>
      </x:c>
      <x:c r="M2" s="188" t="str">
        <x:v>Incorrect. A comprehensive plan may be appropriate later, but FIRST asks for the earliest required step.</x:v>
      </x:c>
      <x:c r="N2" s="188" t="str">
        <x:v>Incorrect. Licensing questions test professionally supported reasoning, not personal preference.</x:v>
      </x:c>
      <x:c r="O2" s="188" t="str">
        <x:v>A. Incorrect. Speed alone does not determine clinical priority; a fast intervention may skip safety, role clarification, or assessment.
B. Correct. FIRST is a sequencing word. The best response is the action that must occur before later assessment, planning, intervention, or referral steps.
C. Incorrect. A comprehensive plan may be appropriate later, but FIRST asks for the earliest required step.
D. Incorrect. Licensing questions test professionally supported reasoning, not personal preference.</x:v>
      </x:c>
      <x:c r="P2" s="188" t="str">
        <x:v>Translate the qualifier before evaluating the options. FIRST is about order, not intensity or personal preference.</x:v>
      </x:c>
      <x:c r="Q2" s="190" t="str">
        <x:v>CTA LMFT Workbook 1</x:v>
      </x:c>
    </x:row>
    <x:row r="3">
      <x:c r="A3" s="191" t="str">
        <x:v>CTA-LMFT-MQB-0002</x:v>
      </x:c>
      <x:c r="B3" s="192" t="str">
        <x:v>LMFT-WB01-QB-Q002</x:v>
      </x:c>
      <x:c r="C3" s="192" t="str">
        <x:v>Workbook Question Bank</x:v>
      </x:c>
      <x:c r="D3" s="192" t="str">
        <x:v>Workbook 1</x:v>
      </x:c>
      <x:c r="E3" s="192" t="str">
        <x:v>When a question asks for the BEST response, what should control the candidate’s choice?</x:v>
      </x:c>
      <x:c r="F3" s="192" t="str">
        <x:v>Overall fit with the exact task, clinical facts, timing, safety, role, and client system.</x:v>
      </x:c>
      <x:c r="G3" s="192" t="str">
        <x:v>The answer containing the most technical terminology.</x:v>
      </x:c>
      <x:c r="H3" s="192" t="str">
        <x:v>The longest and most detailed option.</x:v>
      </x:c>
      <x:c r="I3" s="192" t="str">
        <x:v>The option that uses the most intensive intervention.</x:v>
      </x:c>
      <x:c r="J3" s="192" t="str">
        <x:v>A</x:v>
      </x:c>
      <x:c r="K3" s="192" t="str">
        <x:v>Correct. BEST requires comparison among plausible options. The strongest response fits the whole vignette and the stage of care while minimizing unsupported assumptions.</x:v>
      </x:c>
      <x:c r="L3" s="192" t="str">
        <x:v>Incorrect. Technical language does not make an option clinically superior.</x:v>
      </x:c>
      <x:c r="M3" s="192" t="str">
        <x:v>Incorrect. Length is not evidence of correctness and may conceal unnecessary or mistimed actions.</x:v>
      </x:c>
      <x:c r="N3" s="192" t="str">
        <x:v>Incorrect. Greater intensity can be inappropriate when a less intrusive, better-sequenced response fits the facts.</x:v>
      </x:c>
      <x:c r="O3" s="192" t="str">
        <x:v>A. Correct. BEST requires comparison among plausible options. The strongest response fits the whole vignette and the stage of care while minimizing unsupported assumptions.
B. Incorrect. Technical language does not make an option clinically superior.
C. Incorrect. Length is not evidence of correctness and may conceal unnecessary or mistimed actions.
D. Incorrect. Greater intensity can be inappropriate when a less intrusive, better-sequenced response fits the facts.</x:v>
      </x:c>
      <x:c r="P3" s="192" t="str">
        <x:v>Compare each option against the exact task, not against an imagined ideal treatment plan.</x:v>
      </x:c>
      <x:c r="Q3" s="194" t="str">
        <x:v>CTA LMFT Workbook 1</x:v>
      </x:c>
    </x:row>
    <x:row r="4">
      <x:c r="A4" s="191" t="str">
        <x:v>CTA-LMFT-MQB-0003</x:v>
      </x:c>
      <x:c r="B4" s="192" t="str">
        <x:v>LMFT-WB01-QB-Q003</x:v>
      </x:c>
      <x:c r="C4" s="192" t="str">
        <x:v>Workbook Question Bank</x:v>
      </x:c>
      <x:c r="D4" s="192" t="str">
        <x:v>Workbook 1</x:v>
      </x:c>
      <x:c r="E4" s="192" t="str">
        <x:v>Which statement BEST describes use of a systemic lens on the LMFT examination?</x:v>
      </x:c>
      <x:c r="F4" s="192" t="str">
        <x:v>Always choose conjoint treatment before individual assessment.</x:v>
      </x:c>
      <x:c r="G4" s="192" t="str">
        <x:v>Assume every symptom is caused by family interaction.</x:v>
      </x:c>
      <x:c r="H4" s="192" t="str">
        <x:v>Consider relationships and reciprocal patterns while still prioritizing individual safety, medical needs, and required assessment.</x:v>
      </x:c>
      <x:c r="I4" s="192" t="str">
        <x:v>Avoid diagnosis because systemic therapists do not assess individuals.</x:v>
      </x:c>
      <x:c r="J4" s="192" t="str">
        <x:v>C</x:v>
      </x:c>
      <x:c r="K4" s="192" t="str">
        <x:v>Incorrect. Conjoint work may be unsafe, involuntary, or premature.</x:v>
      </x:c>
      <x:c r="L4" s="192" t="str">
        <x:v>Incorrect. Symptoms can involve medical, developmental, individual, environmental, and relational factors.</x:v>
      </x:c>
      <x:c r="M4" s="192" t="str">
        <x:v>Correct. Systemic reasoning expands the formulation beyond one person without using the family lens to delay urgent individual or medical action.</x:v>
      </x:c>
      <x:c r="N4" s="192" t="str">
        <x:v>Incorrect. LMFT practice includes individual assessment and diagnosis when clinically appropriate.</x:v>
      </x:c>
      <x:c r="O4" s="192" t="str">
        <x:v>A. Incorrect. Conjoint work may be unsafe, involuntary, or premature.
B. Incorrect. Symptoms can involve medical, developmental, individual, environmental, and relational factors.
C. Correct. Systemic reasoning expands the formulation beyond one person without using the family lens to delay urgent individual or medical action.
D. Incorrect. LMFT practice includes individual assessment and diagnosis when clinically appropriate.</x:v>
      </x:c>
      <x:c r="P4" s="192" t="str">
        <x:v>Use both/and reasoning: map the relationship system, but do not let systemic language override safety or missing individual assessment.</x:v>
      </x:c>
      <x:c r="Q4" s="194" t="str">
        <x:v>CTA LMFT Workbook 1</x:v>
      </x:c>
    </x:row>
    <x:row r="5">
      <x:c r="A5" s="191" t="str">
        <x:v>CTA-LMFT-MQB-0004</x:v>
      </x:c>
      <x:c r="B5" s="192" t="str">
        <x:v>LMFT-WB01-QB-Q004</x:v>
      </x:c>
      <x:c r="C5" s="192" t="str">
        <x:v>Workbook Question Bank</x:v>
      </x:c>
      <x:c r="D5" s="192" t="str">
        <x:v>Workbook 1</x:v>
      </x:c>
      <x:c r="E5" s="192" t="str">
        <x:v>A vignette contains extensive history, but the final sentence asks, “Which action should the therapist take NEXT?” What should the candidate do before comparing options?</x:v>
      </x:c>
      <x:c r="F5" s="192" t="str">
        <x:v>Select the option that addresses the most facts in the history.</x:v>
      </x:c>
      <x:c r="G5" s="192" t="str">
        <x:v>Choose the intervention associated with the most familiar theory.</x:v>
      </x:c>
      <x:c r="H5" s="192" t="str">
        <x:v>Ignore the final sentence and summarize the case.</x:v>
      </x:c>
      <x:c r="I5" s="192" t="str">
        <x:v>Identify the stage of care and what the therapist has already completed.</x:v>
      </x:c>
      <x:c r="J5" s="192" t="str">
        <x:v>D</x:v>
      </x:c>
      <x:c r="K5" s="192" t="str">
        <x:v>Incorrect. An option can mention many facts yet answer the wrong stage or task.</x:v>
      </x:c>
      <x:c r="L5" s="192" t="str">
        <x:v>Incorrect. Familiarity does not establish timing or fit.</x:v>
      </x:c>
      <x:c r="M5" s="192" t="str">
        <x:v>Incorrect. The final question defines the decision the candidate must make.</x:v>
      </x:c>
      <x:c r="N5" s="192" t="str">
        <x:v>Correct. NEXT is controlled by sequence. The candidate must first determine the current stage and avoid repeating a completed action or jumping ahead.</x:v>
      </x:c>
      <x:c r="O5" s="192" t="str">
        <x:v>A. Incorrect. An option can mention many facts yet answer the wrong stage or task.
B. Incorrect. Familiarity does not establish timing or fit.
C. Incorrect. The final question defines the decision the candidate must make.
D. Correct. NEXT is controlled by sequence. The candidate must first determine the current stage and avoid repeating a completed action or jumping ahead.</x:v>
      </x:c>
      <x:c r="P5" s="192" t="str">
        <x:v>Read the final question first, then locate what has already happened and what remains to be done.</x:v>
      </x:c>
      <x:c r="Q5" s="194" t="str">
        <x:v>CTA LMFT Workbook 1</x:v>
      </x:c>
    </x:row>
    <x:row r="6">
      <x:c r="A6" s="191" t="str">
        <x:v>CTA-LMFT-MQB-0005</x:v>
      </x:c>
      <x:c r="B6" s="192" t="str">
        <x:v>LMFT-WB01-QB-Q005</x:v>
      </x:c>
      <x:c r="C6" s="192" t="str">
        <x:v>Workbook Question Bank</x:v>
      </x:c>
      <x:c r="D6" s="192" t="str">
        <x:v>Workbook 1</x:v>
      </x:c>
      <x:c r="E6" s="192" t="str">
        <x:v>An adult client reports new restlessness, insomnia, and racing thoughts beginning two days after a medication dose was increased. What should the therapist do FIRST?</x:v>
      </x:c>
      <x:c r="F6" s="192" t="str">
        <x:v>Assess immediate safety and coordinate prompt medical or prescribing-provider evaluation.</x:v>
      </x:c>
      <x:c r="G6" s="192" t="str">
        <x:v>Begin exposure therapy for the client’s insomnia.</x:v>
      </x:c>
      <x:c r="H6" s="192" t="str">
        <x:v>Advise the client to return to the prior dose.</x:v>
      </x:c>
      <x:c r="I6" s="192" t="str">
        <x:v>Wait several sessions to see whether the symptoms resolve.</x:v>
      </x:c>
      <x:c r="J6" s="192" t="str">
        <x:v>A</x:v>
      </x:c>
      <x:c r="K6" s="192" t="str">
        <x:v>Correct. A sudden change linked to medication can have medical and psychiatric significance. The therapist should assess risk and facilitate appropriate evaluation rather than interpret the change solely as psychotherapy material.</x:v>
      </x:c>
      <x:c r="L6" s="192" t="str">
        <x:v>Incorrect. Exposure does not address a potentially medication-related acute change.</x:v>
      </x:c>
      <x:c r="M6" s="192" t="str">
        <x:v>Incorrect. Medication changes are outside the therapist’s prescribing role.</x:v>
      </x:c>
      <x:c r="N6" s="192" t="str">
        <x:v>Incorrect. Delay can be unsafe when activation follows a medication change.</x:v>
      </x:c>
      <x:c r="O6" s="192" t="str">
        <x:v>A. Correct. A sudden change linked to medication can have medical and psychiatric significance. The therapist should assess risk and facilitate appropriate evaluation rather than interpret the change solely as psychotherapy material.
B. Incorrect. Exposure does not address a potentially medication-related acute change.
C. Incorrect. Medication changes are outside the therapist’s prescribing role.
D. Incorrect. Delay can be unsafe when activation follows a medication change.</x:v>
      </x:c>
      <x:c r="P6" s="192" t="str">
        <x:v>A sudden change after a medication adjustment moves medical and safety assessment ahead of routine psychotherapy.</x:v>
      </x:c>
      <x:c r="Q6" s="194" t="str">
        <x:v>CTA LMFT Workbook 1</x:v>
      </x:c>
    </x:row>
    <x:row r="7">
      <x:c r="A7" s="191" t="str">
        <x:v>CTA-LMFT-MQB-0006</x:v>
      </x:c>
      <x:c r="B7" s="192" t="str">
        <x:v>LMFT-WB01-QB-Q006</x:v>
      </x:c>
      <x:c r="C7" s="192" t="str">
        <x:v>Workbook Question Bank</x:v>
      </x:c>
      <x:c r="D7" s="192" t="str">
        <x:v>Workbook 1</x:v>
      </x:c>
      <x:c r="E7" s="192" t="str">
        <x:v>During an individual session, a client says, “I bought a gun last week because I may need a way out,” then changes the subject. What should the therapist do FIRST?</x:v>
      </x:c>
      <x:c r="F7" s="192" t="str">
        <x:v>Explore the symbolic meaning of purchasing the gun.</x:v>
      </x:c>
      <x:c r="G7" s="192" t="str">
        <x:v>Conduct a direct suicide risk assessment, including intent, plan, access, timing, history, and protective factors.</x:v>
      </x:c>
      <x:c r="H7" s="192" t="str">
        <x:v>Promise not to involve anyone so the client remains open.</x:v>
      </x:c>
      <x:c r="I7" s="192" t="str">
        <x:v>Schedule an extra session next week.</x:v>
      </x:c>
      <x:c r="J7" s="192" t="str">
        <x:v>B</x:v>
      </x:c>
      <x:c r="K7" s="192" t="str">
        <x:v>Incorrect. Meaning may be explored later, but it does not replace immediate risk assessment.</x:v>
      </x:c>
      <x:c r="L7" s="192" t="str">
        <x:v>Correct. The statement and firearm access create a supported safety concern. Direct risk assessment must occur before routine exploration or treatment planning.</x:v>
      </x:c>
      <x:c r="M7" s="192" t="str">
        <x:v>Incorrect. Confidentiality cannot be promised without assessing the level of danger.</x:v>
      </x:c>
      <x:c r="N7" s="192" t="str">
        <x:v>Incorrect. A future appointment is insufficient when current access and possible intent are unknown.</x:v>
      </x:c>
      <x:c r="O7" s="192" t="str">
        <x:v>A. Incorrect. Meaning may be explored later, but it does not replace immediate risk assessment.
B. Correct. The statement and firearm access create a supported safety concern. Direct risk assessment must occur before routine exploration or treatment planning.
C. Incorrect. Confidentiality cannot be promised without assessing the level of danger.
D. Incorrect. A future appointment is insufficient when current access and possible intent are unknown.</x:v>
      </x:c>
      <x:c r="P7" s="192" t="str">
        <x:v>When a client links a lethal means to escape or death, assess directly before interpreting, reassuring, or delaying.</x:v>
      </x:c>
      <x:c r="Q7" s="194" t="str">
        <x:v>CTA LMFT Workbook 1</x:v>
      </x:c>
    </x:row>
    <x:row r="8">
      <x:c r="A8" s="191" t="str">
        <x:v>CTA-LMFT-MQB-0007</x:v>
      </x:c>
      <x:c r="B8" s="192" t="str">
        <x:v>LMFT-WB01-QB-Q007</x:v>
      </x:c>
      <x:c r="C8" s="192" t="str">
        <x:v>Workbook Question Bank</x:v>
      </x:c>
      <x:c r="D8" s="192" t="str">
        <x:v>Workbook 1</x:v>
      </x:c>
      <x:c r="E8" s="192" t="str">
        <x:v>Which formulation BEST reflects systemic clinical reasoning?</x:v>
      </x:c>
      <x:c r="F8" s="192" t="str">
        <x:v>One partner is the cause because that partner raises difficult topics.</x:v>
      </x:c>
      <x:c r="G8" s="192" t="str">
        <x:v>The family should stop discussing the problem until symptoms disappear.</x:v>
      </x:c>
      <x:c r="H8" s="192" t="str">
        <x:v>Each partner’s protective response unintentionally cues the other’s feared response, creating a reciprocal cycle.</x:v>
      </x:c>
      <x:c r="I8" s="192" t="str">
        <x:v>The identified client’s diagnosis fully explains every family interaction.</x:v>
      </x:c>
      <x:c r="J8" s="192" t="str">
        <x:v>C</x:v>
      </x:c>
      <x:c r="K8" s="192" t="str">
        <x:v>Incorrect. This is linear and blame-based rather than reciprocal.</x:v>
      </x:c>
      <x:c r="L8" s="192" t="str">
        <x:v>Incorrect. Avoidance is an intervention suggestion, not a formulation, and may maintain the pattern.</x:v>
      </x:c>
      <x:c r="M8" s="192" t="str">
        <x:v>Correct. A systemic formulation describes reciprocal influence and the function of interaction without reducing the problem to one person’s defect.</x:v>
      </x:c>
      <x:c r="N8" s="192" t="str">
        <x:v>Incorrect. Diagnosis may be relevant but does not by itself explain the relational cycle.</x:v>
      </x:c>
      <x:c r="O8" s="192" t="str">
        <x:v>A. Incorrect. This is linear and blame-based rather than reciprocal.
B. Incorrect. Avoidance is an intervention suggestion, not a formulation, and may maintain the pattern.
C. Correct. A systemic formulation describes reciprocal influence and the function of interaction without reducing the problem to one person’s defect.
D. Incorrect. Diagnosis may be relevant but does not by itself explain the relational cycle.</x:v>
      </x:c>
      <x:c r="P8" s="192" t="str">
        <x:v>Prefer descriptions of reciprocal sequences, functions, and context over single-cause blame.</x:v>
      </x:c>
      <x:c r="Q8" s="194" t="str">
        <x:v>CTA LMFT Workbook 1</x:v>
      </x:c>
    </x:row>
    <x:row r="9">
      <x:c r="A9" s="191" t="str">
        <x:v>CTA-LMFT-MQB-0008</x:v>
      </x:c>
      <x:c r="B9" s="192" t="str">
        <x:v>LMFT-WB01-QB-Q008</x:v>
      </x:c>
      <x:c r="C9" s="192" t="str">
        <x:v>Workbook Question Bank</x:v>
      </x:c>
      <x:c r="D9" s="192" t="str">
        <x:v>Workbook 1</x:v>
      </x:c>
      <x:c r="E9" s="192" t="str">
        <x:v>At the start of couple therapy, one partner asks whether information shared in an individual check-in will be kept secret from the other partner. What should the therapist do FIRST?</x:v>
      </x:c>
      <x:c r="F9" s="192" t="str">
        <x:v>Promise secrecy so both partners will disclose more.</x:v>
      </x:c>
      <x:c r="G9" s="192" t="str">
        <x:v>Refuse all individual contact under every circumstance.</x:v>
      </x:c>
      <x:c r="H9" s="192" t="str">
        <x:v>Ask the other partner to decide the policy.</x:v>
      </x:c>
      <x:c r="I9" s="192" t="str">
        <x:v>Explain and document the therapist’s policy for individual contacts, confidentiality, and information relevant to conjoint treatment.</x:v>
      </x:c>
      <x:c r="J9" s="192" t="str">
        <x:v>D</x:v>
      </x:c>
      <x:c r="K9" s="192" t="str">
        <x:v>Incorrect. An automatic secrecy promise may conflict with the structure of conjoint treatment and must not precede informed policy.</x:v>
      </x:c>
      <x:c r="L9" s="192" t="str">
        <x:v>Incorrect. Individual contacts may be clinically useful; the issue is clarity and informed agreement, not an absolute ban.</x:v>
      </x:c>
      <x:c r="M9" s="192" t="str">
        <x:v>Incorrect. The therapist is responsible for establishing an ethical treatment framework, while obtaining informed agreement from participants.</x:v>
      </x:c>
      <x:c r="N9" s="192" t="str">
        <x:v>Correct. The therapist should establish a clear, informed framework before receiving material that could create hidden alliances or later disputes.</x:v>
      </x:c>
      <x:c r="O9" s="192" t="str">
        <x:v>A. Incorrect. An automatic secrecy promise may conflict with the structure of conjoint treatment and must not precede informed policy.
B. Incorrect. Individual contacts may be clinically useful; the issue is clarity and informed agreement, not an absolute ban.
C. Incorrect. The therapist is responsible for establishing an ethical treatment framework, while obtaining informed agreement from participants.
D. Correct. The therapist should establish a clear, informed framework before receiving material that could create hidden alliances or later disputes.</x:v>
      </x:c>
      <x:c r="P9" s="192" t="str">
        <x:v>Clarify the information policy before collecting private material; do not create rules after a disclosure occurs.</x:v>
      </x:c>
      <x:c r="Q9" s="194" t="str">
        <x:v>CTA LMFT Workbook 1</x:v>
      </x:c>
    </x:row>
    <x:row r="10">
      <x:c r="A10" s="191" t="str">
        <x:v>CTA-LMFT-MQB-0009</x:v>
      </x:c>
      <x:c r="B10" s="192" t="str">
        <x:v>LMFT-WB01-QB-Q009</x:v>
      </x:c>
      <x:c r="C10" s="192" t="str">
        <x:v>Workbook Question Bank</x:v>
      </x:c>
      <x:c r="D10" s="192" t="str">
        <x:v>Workbook 1</x:v>
      </x:c>
      <x:c r="E10" s="192" t="str">
        <x:v>A multigenerational family says that major decisions are traditionally made with elders, while the adult client wants more privacy in therapy. What should the therapist do FIRST?</x:v>
      </x:c>
      <x:c r="F10" s="192" t="str">
        <x:v>Explore the client’s preferences, the family’s cultural meanings, decision roles, and acceptable boundaries without assuming either model is superior.</x:v>
      </x:c>
      <x:c r="G10" s="192" t="str">
        <x:v>Tell the family that adult clients must make all decisions alone.</x:v>
      </x:c>
      <x:c r="H10" s="192" t="str">
        <x:v>Automatically include every elder in all sessions.</x:v>
      </x:c>
      <x:c r="I10" s="192" t="str">
        <x:v>Avoid discussing culture to prevent stereotyping.</x:v>
      </x:c>
      <x:c r="J10" s="192" t="str">
        <x:v>A</x:v>
      </x:c>
      <x:c r="K10" s="192" t="str">
        <x:v>Correct. Cultural humility requires inquiry and collaborative boundary clarification rather than imposing individualism or assuming the client rejects family involvement.</x:v>
      </x:c>
      <x:c r="L10" s="192" t="str">
        <x:v>Incorrect. This imposes one cultural model and may ignore the client’s own preferences.</x:v>
      </x:c>
      <x:c r="M10" s="192" t="str">
        <x:v>Incorrect. Family tradition does not replace the adult client’s informed choice and confidentiality rights.</x:v>
      </x:c>
      <x:c r="N10" s="192" t="str">
        <x:v>Incorrect. Respectful inquiry reduces assumptions; silence can leave important meanings and expectations unexamined.</x:v>
      </x:c>
      <x:c r="O10" s="192" t="str">
        <x:v>A. Correct. Cultural humility requires inquiry and collaborative boundary clarification rather than imposing individualism or assuming the client rejects family involvement.
B. Incorrect. This imposes one cultural model and may ignore the client’s own preferences.
C. Incorrect. Family tradition does not replace the adult client’s informed choice and confidentiality rights.
D. Incorrect. Respectful inquiry reduces assumptions; silence can leave important meanings and expectations unexamined.</x:v>
      </x:c>
      <x:c r="P10" s="192" t="str">
        <x:v>Ask, do not assume: clarify meaning, preference, power, privacy, and how the client wants culture and family included.</x:v>
      </x:c>
      <x:c r="Q10" s="194" t="str">
        <x:v>CTA LMFT Workbook 1</x:v>
      </x:c>
    </x:row>
    <x:row r="11">
      <x:c r="A11" s="191" t="str">
        <x:v>CTA-LMFT-MQB-0010</x:v>
      </x:c>
      <x:c r="B11" s="192" t="str">
        <x:v>LMFT-WB01-QB-Q010</x:v>
      </x:c>
      <x:c r="C11" s="192" t="str">
        <x:v>Workbook Question Bank</x:v>
      </x:c>
      <x:c r="D11" s="192" t="str">
        <x:v>Workbook 1</x:v>
      </x:c>
      <x:c r="E11" s="192" t="str">
        <x:v>During review, a candidate is uncertain between two plausible answers. Which action is MOST useful?</x:v>
      </x:c>
      <x:c r="F11" s="192" t="str">
        <x:v>Choose the option with the most reassuring tone.</x:v>
      </x:c>
      <x:c r="G11" s="192" t="str">
        <x:v>Return to the qualifier and identify the single fact that makes one option better timed or better supported.</x:v>
      </x:c>
      <x:c r="H11" s="192" t="str">
        <x:v>Select whichever answer letter has appeared least often.</x:v>
      </x:c>
      <x:c r="I11" s="192" t="str">
        <x:v>Add facts that would make the preferred option correct.</x:v>
      </x:c>
      <x:c r="J11" s="192" t="str">
        <x:v>B</x:v>
      </x:c>
      <x:c r="K11" s="192" t="str">
        <x:v>Incorrect. Tone alone does not establish clinical correctness.</x:v>
      </x:c>
      <x:c r="L11" s="192" t="str">
        <x:v>Correct. A focused review uses the exact task and distinguishing evidence rather than restarting the entire case from personal intuition.</x:v>
      </x:c>
      <x:c r="M11" s="192" t="str">
        <x:v>Incorrect. Visible answer-frequency balancing is not a valid reasoning method.</x:v>
      </x:c>
      <x:c r="N11" s="192" t="str">
        <x:v>Incorrect. The candidate must use only the stated facts and avoid unsupported assumptions.</x:v>
      </x:c>
      <x:c r="O11" s="192" t="str">
        <x:v>A. Incorrect. Tone alone does not establish clinical correctness.
B. Correct. A focused review uses the exact task and distinguishing evidence rather than restarting the entire case from personal intuition.
C. Incorrect. Visible answer-frequency balancing is not a valid reasoning method.
D. Incorrect. The candidate must use only the stated facts and avoid unsupported assumptions.</x:v>
      </x:c>
      <x:c r="P11" s="192" t="str">
        <x:v>When two options seem reasonable, ask which one matches the exact stage and requires the fewest assumptions.</x:v>
      </x:c>
      <x:c r="Q11" s="194" t="str">
        <x:v>CTA LMFT Workbook 1</x:v>
      </x:c>
    </x:row>
    <x:row r="12">
      <x:c r="A12" s="191" t="str">
        <x:v>CTA-LMFT-MQB-0011</x:v>
      </x:c>
      <x:c r="B12" s="192" t="str">
        <x:v>LMFT-WB01-QB-Q011</x:v>
      </x:c>
      <x:c r="C12" s="192" t="str">
        <x:v>Workbook Question Bank</x:v>
      </x:c>
      <x:c r="D12" s="192" t="str">
        <x:v>Workbook 1</x:v>
      </x:c>
      <x:c r="E12" s="192" t="str">
        <x:v>A partner requests conjoint therapy but privately reports that the other partner monitors their phone, controls money, and becomes threatening when separation is mentioned. What should the therapist do NEXT?</x:v>
      </x:c>
      <x:c r="F12" s="192" t="str">
        <x:v>Begin conjoint communication training so both partners can express needs.</x:v>
      </x:c>
      <x:c r="G12" s="192" t="str">
        <x:v>Tell the client to disclose the private report during the first joint session.</x:v>
      </x:c>
      <x:c r="H12" s="192" t="str">
        <x:v>Assess danger, coercive control, privacy, and the client’s ability to participate safely and voluntarily before beginning conjoint work.</x:v>
      </x:c>
      <x:c r="I12" s="192" t="str">
        <x:v>Refuse all services without offering assessment or resources.</x:v>
      </x:c>
      <x:c r="J12" s="192" t="str">
        <x:v>C</x:v>
      </x:c>
      <x:c r="K12" s="192" t="str">
        <x:v>Incorrect. Communication work may be unsafe and can falsely frame coercion as a mutual skills problem.</x:v>
      </x:c>
      <x:c r="L12" s="192" t="str">
        <x:v>Incorrect. Forced disclosure can increase retaliation risk and violates safety planning.</x:v>
      </x:c>
      <x:c r="M12" s="192" t="str">
        <x:v>Correct. Conjoint therapy can increase risk when coercive control is present. Safety and voluntariness must be evaluated before communication interventions or joint disclosure.</x:v>
      </x:c>
      <x:c r="N12" s="192" t="str">
        <x:v>Incorrect. An automatic refusal can abandon the client and misses opportunities for safety support and appropriate referral.</x:v>
      </x:c>
      <x:c r="O12" s="192" t="str">
        <x:v>A. Incorrect. Communication work may be unsafe and can falsely frame coercion as a mutual skills problem.
B. Incorrect. Forced disclosure can increase retaliation risk and violates safety planning.
C. Correct. Conjoint therapy can increase risk when coercive control is present. Safety and voluntariness must be evaluated before communication interventions or joint disclosure.
D. Incorrect. An automatic refusal can abandon the client and misses opportunities for safety support and appropriate referral.</x:v>
      </x:c>
      <x:c r="P12" s="192" t="str">
        <x:v>Before treating the relationship, determine whether both people can speak, disagree, and leave safely.</x:v>
      </x:c>
      <x:c r="Q12" s="194" t="str">
        <x:v>CTA LMFT Workbook 1</x:v>
      </x:c>
    </x:row>
    <x:row r="13">
      <x:c r="A13" s="191" t="str">
        <x:v>CTA-LMFT-MQB-0012</x:v>
      </x:c>
      <x:c r="B13" s="192" t="str">
        <x:v>LMFT-WB01-QB-Q012</x:v>
      </x:c>
      <x:c r="C13" s="192" t="str">
        <x:v>Workbook Question Bank</x:v>
      </x:c>
      <x:c r="D13" s="192" t="str">
        <x:v>Workbook 1</x:v>
      </x:c>
      <x:c r="E13" s="192" t="str">
        <x:v>After six sessions, couple conflict is worsening and one partner says the therapist consistently sides with the other. What should the therapist do NEXT?</x:v>
      </x:c>
      <x:c r="F13" s="192" t="str">
        <x:v>Defend the therapist’s neutrality and continue the same plan.</x:v>
      </x:c>
      <x:c r="G13" s="192" t="str">
        <x:v>Remove the dissatisfied partner from treatment.</x:v>
      </x:c>
      <x:c r="H13" s="192" t="str">
        <x:v>Assign more communication homework.</x:v>
      </x:c>
      <x:c r="I13" s="192" t="str">
        <x:v>Assess safety and alliance rupture, review the formulation and goals with both partners, and evaluate whether the treatment structure or intervention is contributing to the problem.</x:v>
      </x:c>
      <x:c r="J13" s="192" t="str">
        <x:v>D</x:v>
      </x:c>
      <x:c r="K13" s="192" t="str">
        <x:v>Incorrect. Defensiveness misses possible alliance rupture and treatment mismatch.</x:v>
      </x:c>
      <x:c r="L13" s="192" t="str">
        <x:v>Incorrect. Exclusion is premature and may confirm the perceived coalition.</x:v>
      </x:c>
      <x:c r="M13" s="192" t="str">
        <x:v>Incorrect. More of the same intervention does not address worsening, bias concerns, or formulation fit.</x:v>
      </x:c>
      <x:c r="N13" s="192" t="str">
        <x:v>Correct. Worsening and perceived bias are outcome data. The therapist should reassess alliance, safety, formulation, and fit before adding techniques or blaming the couple.</x:v>
      </x:c>
      <x:c r="O13" s="192" t="str">
        <x:v>A. Incorrect. Defensiveness misses possible alliance rupture and treatment mismatch.
B. Incorrect. Exclusion is premature and may confirm the perceived coalition.
C. Incorrect. More of the same intervention does not address worsening, bias concerns, or formulation fit.
D. Correct. Worsening and perceived bias are outcome data. The therapist should reassess alliance, safety, formulation, and fit before adding techniques or blaming the couple.</x:v>
      </x:c>
      <x:c r="P13" s="192" t="str">
        <x:v>Treat worsening and perceived alignment as assessment data, not as proof that the clients are resistant.</x:v>
      </x:c>
      <x:c r="Q13" s="194" t="str">
        <x:v>CTA LMFT Workbook 1</x:v>
      </x:c>
    </x:row>
    <x:row r="14">
      <x:c r="A14" s="191" t="str">
        <x:v>CTA-LMFT-MQB-0013</x:v>
      </x:c>
      <x:c r="B14" s="192" t="str">
        <x:v>LMFT-WB01-QB-Q013</x:v>
      </x:c>
      <x:c r="C14" s="192" t="str">
        <x:v>Workbook Question Bank</x:v>
      </x:c>
      <x:c r="D14" s="192" t="str">
        <x:v>Workbook 1</x:v>
      </x:c>
      <x:c r="E14" s="192" t="str">
        <x:v>A client reports a specific suicide plan for tonight, access to the means, and intent to act, but refuses permission to contact anyone. What should the therapist do FIRST?</x:v>
      </x:c>
      <x:c r="F14" s="192" t="str">
        <x:v>Take immediate protective action to secure emergency evaluation and reduce access to lethal means consistent with law and setting.</x:v>
      </x:c>
      <x:c r="G14" s="192" t="str">
        <x:v>Respect the refusal and schedule a session tomorrow.</x:v>
      </x:c>
      <x:c r="H14" s="192" t="str">
        <x:v>Continue exploring childhood causes of suicidality.</x:v>
      </x:c>
      <x:c r="I14" s="192" t="str">
        <x:v>Ask the client to promise not to act and end the session.</x:v>
      </x:c>
      <x:c r="J14" s="192" t="str">
        <x:v>A</x:v>
      </x:c>
      <x:c r="K14" s="192" t="str">
        <x:v>Correct. Specific plan, means, timing, and intent indicate imminent danger. Emergency protection overrides routine confidentiality and collaborative pacing.</x:v>
      </x:c>
      <x:c r="L14" s="192" t="str">
        <x:v>Incorrect. Self-determination does not require passivity in the presence of imminent danger.</x:v>
      </x:c>
      <x:c r="M14" s="192" t="str">
        <x:v>Incorrect. Etiological exploration is not the priority during an imminent crisis.</x:v>
      </x:c>
      <x:c r="N14" s="192" t="str">
        <x:v>Incorrect. A no-harm promise is not sufficient protection for imminent risk.</x:v>
      </x:c>
      <x:c r="O14" s="192" t="str">
        <x:v>A. Correct. Specific plan, means, timing, and intent indicate imminent danger. Emergency protection overrides routine confidentiality and collaborative pacing.
B. Incorrect. Self-determination does not require passivity in the presence of imminent danger.
C. Incorrect. Etiological exploration is not the priority during an imminent crisis.
D. Incorrect. A no-harm promise is not sufficient protection for imminent risk.</x:v>
      </x:c>
      <x:c r="P14" s="192" t="str">
        <x:v>Plan + means + timing + intent moves the case from assessment to immediate protective action.</x:v>
      </x:c>
      <x:c r="Q14" s="194" t="str">
        <x:v>CTA LMFT Workbook 1</x:v>
      </x:c>
    </x:row>
    <x:row r="15">
      <x:c r="A15" s="191" t="str">
        <x:v>CTA-LMFT-MQB-0014</x:v>
      </x:c>
      <x:c r="B15" s="192" t="str">
        <x:v>LMFT-WB01-QB-Q014</x:v>
      </x:c>
      <x:c r="C15" s="192" t="str">
        <x:v>Workbook Question Bank</x:v>
      </x:c>
      <x:c r="D15" s="192" t="str">
        <x:v>Workbook 1</x:v>
      </x:c>
      <x:c r="E15" s="192" t="str">
        <x:v>While describing a traumatic event, a client becomes disoriented, stares through the therapist, and cannot identify the current date or location. What should the therapist do NEXT?</x:v>
      </x:c>
      <x:c r="F15" s="192" t="str">
        <x:v>Encourage the client to finish the narrative so avoidance is not reinforced.</x:v>
      </x:c>
      <x:c r="G15" s="192" t="str">
        <x:v>Stop detailed processing, orient the client to the present, support grounding, and assess stabilization and safety needs.</x:v>
      </x:c>
      <x:c r="H15" s="192" t="str">
        <x:v>Interpret the reaction as resistance to treatment.</x:v>
      </x:c>
      <x:c r="I15" s="192" t="str">
        <x:v>End all trauma treatment permanently.</x:v>
      </x:c>
      <x:c r="J15" s="192" t="str">
        <x:v>B</x:v>
      </x:c>
      <x:c r="K15" s="192" t="str">
        <x:v>Incorrect. Continuing detailed processing during disorientation can increase dysregulation and re-traumatization.</x:v>
      </x:c>
      <x:c r="L15" s="192" t="str">
        <x:v>Correct. Acute dissociation requires present-focused stabilization and restoration of choice before returning to trauma processing.</x:v>
      </x:c>
      <x:c r="M15" s="192" t="str">
        <x:v>Incorrect. The observable state calls for stabilization, not a blaming interpretation.</x:v>
      </x:c>
      <x:c r="N15" s="192" t="str">
        <x:v>Incorrect. The need for pacing and stabilization does not mean trauma treatment can never resume.</x:v>
      </x:c>
      <x:c r="O15" s="192" t="str">
        <x:v>A. Incorrect. Continuing detailed processing during disorientation can increase dysregulation and re-traumatization.
B. Correct. Acute dissociation requires present-focused stabilization and restoration of choice before returning to trauma processing.
C. Incorrect. The observable state calls for stabilization, not a blaming interpretation.
D. Incorrect. The need for pacing and stabilization does not mean trauma treatment can never resume.</x:v>
      </x:c>
      <x:c r="P15" s="192" t="str">
        <x:v>Loss of present orientation means slow down, ground, restore choice, and reassess readiness.</x:v>
      </x:c>
      <x:c r="Q15" s="194" t="str">
        <x:v>CTA LMFT Workbook 1</x:v>
      </x:c>
    </x:row>
    <x:row r="16">
      <x:c r="A16" s="191" t="str">
        <x:v>CTA-LMFT-MQB-0015</x:v>
      </x:c>
      <x:c r="B16" s="192" t="str">
        <x:v>LMFT-WB01-QB-Q015</x:v>
      </x:c>
      <x:c r="C16" s="192" t="str">
        <x:v>Workbook Question Bank</x:v>
      </x:c>
      <x:c r="D16" s="192" t="str">
        <x:v>Workbook 1</x:v>
      </x:c>
      <x:c r="E16" s="192" t="str">
        <x:v>A family seeks therapy after a parent loses employment, utility shutoff notices arrive, and a child develops panic at school. What is the BEST initial plan?</x:v>
      </x:c>
      <x:c r="F16" s="192" t="str">
        <x:v>Treat the child’s panic individually and avoid discussing finances.</x:v>
      </x:c>
      <x:c r="G16" s="192" t="str">
        <x:v>Focus only on utility assistance because symptoms will resolve automatically.</x:v>
      </x:c>
      <x:c r="H16" s="192" t="str">
        <x:v>Assess safety, panic symptoms, family interaction, financial stress, school functioning, strengths, and urgent resource needs, then collaborate on prioritized clinical and practical goals.</x:v>
      </x:c>
      <x:c r="I16" s="192" t="str">
        <x:v>Tell the family to return after employment is restored.</x:v>
      </x:c>
      <x:c r="J16" s="192" t="str">
        <x:v>C</x:v>
      </x:c>
      <x:c r="K16" s="192" t="str">
        <x:v>Incorrect. This ignores major contextual and family factors affecting symptoms and feasibility.</x:v>
      </x:c>
      <x:c r="L16" s="192" t="str">
        <x:v>Incorrect. Resource support is important but does not replace assessment and treatment of panic and family functioning.</x:v>
      </x:c>
      <x:c r="M16" s="192" t="str">
        <x:v>Correct. The presentation requires integrated systemic and contextual assessment, with urgent basic needs and clinical concerns addressed in a coordinated plan.</x:v>
      </x:c>
      <x:c r="N16" s="192" t="str">
        <x:v>Incorrect. Delaying care overlooks current distress, risk, and opportunities for support.</x:v>
      </x:c>
      <x:c r="O16" s="192" t="str">
        <x:v>A. Incorrect. This ignores major contextual and family factors affecting symptoms and feasibility.
B. Incorrect. Resource support is important but does not replace assessment and treatment of panic and family functioning.
C. Correct. The presentation requires integrated systemic and contextual assessment, with urgent basic needs and clinical concerns addressed in a coordinated plan.
D. Incorrect. Delaying care overlooks current distress, risk, and opportunities for support.</x:v>
      </x:c>
      <x:c r="P16" s="192" t="str">
        <x:v>Integrate, do not split: urgent resources, individual symptoms, family patterns, school functioning, and client-defined priorities.</x:v>
      </x:c>
      <x:c r="Q16" s="194" t="str">
        <x:v>CTA LMFT Workbook 1</x:v>
      </x:c>
    </x:row>
    <x:row r="17">
      <x:c r="A17" s="191" t="str">
        <x:v>CTA-LMFT-MQB-0016</x:v>
      </x:c>
      <x:c r="B17" s="192" t="str">
        <x:v>LMFT-WB01-QB-Q016</x:v>
      </x:c>
      <x:c r="C17" s="192" t="str">
        <x:v>Workbook Question Bank</x:v>
      </x:c>
      <x:c r="D17" s="192" t="str">
        <x:v>Workbook 1</x:v>
      </x:c>
      <x:c r="E17" s="192" t="str">
        <x:v>A client reports hearing command voices to harm a neighbor, appears frightened, and explains the experience through a spiritual belief shared by the client’s community. What should the therapist do FIRST?</x:v>
      </x:c>
      <x:c r="F17" s="192" t="str">
        <x:v>Tell the client the spiritual explanation is delusional and incorrect.</x:v>
      </x:c>
      <x:c r="G17" s="192" t="str">
        <x:v>Accept the spiritual explanation and avoid asking about danger.</x:v>
      </x:c>
      <x:c r="H17" s="192" t="str">
        <x:v>Begin long-term family-of-origin exploration before discussing the voices.</x:v>
      </x:c>
      <x:c r="I17" s="192" t="str">
        <x:v>Respectfully assess command content, intent, access, control, mental status, substance or medical factors, and need for urgent evaluation while exploring the client’s cultural meaning.</x:v>
      </x:c>
      <x:c r="J17" s="192" t="str">
        <x:v>D</x:v>
      </x:c>
      <x:c r="K17" s="192" t="str">
        <x:v>Incorrect. This is culturally dismissive and may damage engagement without completing assessment.</x:v>
      </x:c>
      <x:c r="L17" s="192" t="str">
        <x:v>Incorrect. Cultural humility does not mean ignoring command content or possible risk.</x:v>
      </x:c>
      <x:c r="M17" s="192" t="str">
        <x:v>Incorrect. Etiological exploration is mistimed when current danger, mental status, and medical factors are unknown.</x:v>
      </x:c>
      <x:c r="N17" s="192" t="str">
        <x:v>Correct. Cultural respect and urgent risk assessment are both required. The therapist should not dismiss the belief or allow cultural explanation to replace evaluation of danger and mental status.</x:v>
      </x:c>
      <x:c r="O17" s="192" t="str">
        <x:v>A. Incorrect. This is culturally dismissive and may damage engagement without completing assessment.
B. Incorrect. Cultural humility does not mean ignoring command content or possible risk.
C. Incorrect. Etiological exploration is mistimed when current danger, mental status, and medical factors are unknown.
D. Correct. Cultural respect and urgent risk assessment are both required. The therapist should not dismiss the belief or allow cultural explanation to replace evaluation of danger and mental status.</x:v>
      </x:c>
      <x:c r="P17" s="192" t="str">
        <x:v>Use both/and reasoning: respect meaning and assess danger, control, function, and urgent-care need.</x:v>
      </x:c>
      <x:c r="Q17" s="194" t="str">
        <x:v>CTA LMFT Workbook 1</x:v>
      </x:c>
    </x:row>
    <x:row r="18">
      <x:c r="A18" s="191" t="str">
        <x:v>CTA-LMFT-MQB-0017</x:v>
      </x:c>
      <x:c r="B18" s="192" t="str">
        <x:v>LMFT-WB01-QB-Q017</x:v>
      </x:c>
      <x:c r="C18" s="192" t="str">
        <x:v>Workbook Question Bank</x:v>
      </x:c>
      <x:c r="D18" s="192" t="str">
        <x:v>Workbook 1</x:v>
      </x:c>
      <x:c r="E18" s="192" t="str">
        <x:v>A family reports no progress after eight sessions. One member says the therapist stereotypes their culture, another cannot read the written homework, and the therapist notices growing frustration with the family. What should the therapist do NEXT?</x:v>
      </x:c>
      <x:c r="F18" s="192" t="str">
        <x:v>Address the alliance concern, assess bias and access barriers, seek consultation, revisit the formulation and goals with the family, and adapt the treatment plan and materials.</x:v>
      </x:c>
      <x:c r="G18" s="192" t="str">
        <x:v>Conclude that the family is resistant and document noncompliance.</x:v>
      </x:c>
      <x:c r="H18" s="192" t="str">
        <x:v>Assign more of the same written homework to increase accountability.</x:v>
      </x:c>
      <x:c r="I18" s="192" t="str">
        <x:v>Terminate immediately without discussing the concerns.</x:v>
      </x:c>
      <x:c r="J18" s="192" t="str">
        <x:v>A</x:v>
      </x:c>
      <x:c r="K18" s="192" t="str">
        <x:v>Correct. Nonresponse may reflect alliance rupture, cultural mismatch, literacy barriers, therapist reactions, or formulation problems. The therapist should respond transparently and revise care rather than blame or intensify the same method.</x:v>
      </x:c>
      <x:c r="L18" s="192" t="str">
        <x:v>Incorrect. This shifts blame and ignores clear alliance, access, and clinician factors.</x:v>
      </x:c>
      <x:c r="M18" s="192" t="str">
        <x:v>Incorrect. The existing material is inaccessible and has not produced progress.</x:v>
      </x:c>
      <x:c r="N18" s="192" t="str">
        <x:v>Incorrect. Abrupt ending avoids repair, reassessment, consultation, and continuity planning.</x:v>
      </x:c>
      <x:c r="O18" s="192" t="str">
        <x:v>A. Correct. Nonresponse may reflect alliance rupture, cultural mismatch, literacy barriers, therapist reactions, or formulation problems. The therapist should respond transparently and revise care rather than blame or intensify the same method.
B. Incorrect. This shifts blame and ignores clear alliance, access, and clinician factors.
C. Incorrect. The existing material is inaccessible and has not produced progress.
D. Incorrect. Abrupt ending avoids repair, reassessment, consultation, and continuity planning.</x:v>
      </x:c>
      <x:c r="P18" s="192" t="str">
        <x:v>When treatment stalls, examine client, context, alliance, access, therapist factors, and formulation before blaming or abandoning.</x:v>
      </x:c>
      <x:c r="Q18" s="194" t="str">
        <x:v>CTA LMFT Workbook 1</x:v>
      </x:c>
    </x:row>
    <x:row r="19">
      <x:c r="A19" s="191" t="str">
        <x:v>CTA-LMFT-MQB-0018</x:v>
      </x:c>
      <x:c r="B19" s="192" t="str">
        <x:v>LMFT-WB02-QB-Q001</x:v>
      </x:c>
      <x:c r="C19" s="192" t="str">
        <x:v>Workbook Question Bank</x:v>
      </x:c>
      <x:c r="D19" s="192" t="str">
        <x:v>Workbook 2</x:v>
      </x:c>
      <x:c r="E19" s="192" t="str">
        <x:v>What is the PRIMARY clinical value of engagement during an initial LMFT contact?</x:v>
      </x:c>
      <x:c r="F19" s="192" t="str">
        <x:v>It replaces the need for structured assessment.</x:v>
      </x:c>
      <x:c r="G19" s="192" t="str">
        <x:v>It creates a working alliance while also providing information about trust, readiness, expectations, and relational context.</x:v>
      </x:c>
      <x:c r="H19" s="192" t="str">
        <x:v>It requires the therapist to agree with every participant.</x:v>
      </x:c>
      <x:c r="I19" s="192" t="str">
        <x:v>It is mainly a method for persuading reluctant clients to accept treatment.</x:v>
      </x:c>
      <x:c r="J19" s="192" t="str">
        <x:v>B</x:v>
      </x:c>
      <x:c r="K19" s="192" t="str">
        <x:v>Incorrect. Engagement supports but does not replace a thorough assessment.</x:v>
      </x:c>
      <x:c r="L19" s="192" t="str">
        <x:v>Correct. Engagement is both relational and diagnostic; the client system's responses to pacing, transparency, and boundaries become assessment data.</x:v>
      </x:c>
      <x:c r="M19" s="192" t="str">
        <x:v>Incorrect. Alliance does not require endorsement of every conclusion or behavior.</x:v>
      </x:c>
      <x:c r="N19" s="192" t="str">
        <x:v>Incorrect. Persuasion can increase resistance and does not define collaborative engagement.</x:v>
      </x:c>
      <x:c r="O19" s="192" t="str">
        <x:v>A. Incorrect. Engagement supports but does not replace a thorough assessment.
B. Correct. Engagement is both relational and diagnostic; the client system's responses to pacing, transparency, and boundaries become assessment data.
C. Incorrect. Alliance does not require endorsement of every conclusion or behavior.
D. Incorrect. Persuasion can increase resistance and does not define collaborative engagement.</x:v>
      </x:c>
      <x:c r="P19" s="192" t="str">
        <x:v>Remember that engagement is not separate from assessment; it generates clinically useful information.</x:v>
      </x:c>
      <x:c r="Q19" s="194" t="str">
        <x:v>CTA LMFT Workbook 2</x:v>
      </x:c>
    </x:row>
    <x:row r="20">
      <x:c r="A20" s="191" t="str">
        <x:v>CTA-LMFT-MQB-0019</x:v>
      </x:c>
      <x:c r="B20" s="192" t="str">
        <x:v>LMFT-WB02-QB-Q002</x:v>
      </x:c>
      <x:c r="C20" s="192" t="str">
        <x:v>Workbook Question Bank</x:v>
      </x:c>
      <x:c r="D20" s="192" t="str">
        <x:v>Workbook 2</x:v>
      </x:c>
      <x:c r="E20" s="192" t="str">
        <x:v>Which mental-status term refers to the client's observed range and expression of emotion during the interview?</x:v>
      </x:c>
      <x:c r="F20" s="192" t="str">
        <x:v>Affect.</x:v>
      </x:c>
      <x:c r="G20" s="192" t="str">
        <x:v>Mood.</x:v>
      </x:c>
      <x:c r="H20" s="192" t="str">
        <x:v>Thought content.</x:v>
      </x:c>
      <x:c r="I20" s="192" t="str">
        <x:v>Orientation.</x:v>
      </x:c>
      <x:c r="J20" s="192" t="str">
        <x:v>A</x:v>
      </x:c>
      <x:c r="K20" s="192" t="str">
        <x:v>Correct. Affect is the clinician-observed emotional expression, including range, intensity, stability, and congruence.</x:v>
      </x:c>
      <x:c r="L20" s="192" t="str">
        <x:v>Incorrect. Mood is primarily the client's reported sustained emotional state.</x:v>
      </x:c>
      <x:c r="M20" s="192" t="str">
        <x:v>Incorrect. Thought content concerns themes, beliefs, preoccupations, or delusions.</x:v>
      </x:c>
      <x:c r="N20" s="192" t="str">
        <x:v>Incorrect. Orientation concerns awareness of person, place, time, and situation.</x:v>
      </x:c>
      <x:c r="O20" s="192" t="str">
        <x:v>A. Correct. Affect is the clinician-observed emotional expression, including range, intensity, stability, and congruence.
B. Incorrect. Mood is primarily the client's reported sustained emotional state.
C. Incorrect. Thought content concerns themes, beliefs, preoccupations, or delusions.
D. Incorrect. Orientation concerns awareness of person, place, time, and situation.</x:v>
      </x:c>
      <x:c r="P20" s="192" t="str">
        <x:v>Separate what the client reports from what the therapist observes.</x:v>
      </x:c>
      <x:c r="Q20" s="194" t="str">
        <x:v>CTA LMFT Workbook 2</x:v>
      </x:c>
    </x:row>
    <x:row r="21">
      <x:c r="A21" s="191" t="str">
        <x:v>CTA-LMFT-MQB-0020</x:v>
      </x:c>
      <x:c r="B21" s="192" t="str">
        <x:v>LMFT-WB02-QB-Q003</x:v>
      </x:c>
      <x:c r="C21" s="192" t="str">
        <x:v>Workbook Question Bank</x:v>
      </x:c>
      <x:c r="D21" s="192" t="str">
        <x:v>Workbook 2</x:v>
      </x:c>
      <x:c r="E21" s="192" t="str">
        <x:v>Why is comparison with baseline especially important when interpreting a new mental-status finding?</x:v>
      </x:c>
      <x:c r="F21" s="192" t="str">
        <x:v>Baseline determines the diagnosis automatically.</x:v>
      </x:c>
      <x:c r="G21" s="192" t="str">
        <x:v>Baseline makes collateral information unnecessary.</x:v>
      </x:c>
      <x:c r="H21" s="192" t="str">
        <x:v>It helps distinguish a new or acute change from the person's usual functioning.</x:v>
      </x:c>
      <x:c r="I21" s="192" t="str">
        <x:v>Baseline eliminates the need for current observation.</x:v>
      </x:c>
      <x:c r="J21" s="192" t="str">
        <x:v>C</x:v>
      </x:c>
      <x:c r="K21" s="192" t="str">
        <x:v>Incorrect. Baseline informs assessment but does not independently establish a diagnosis.</x:v>
      </x:c>
      <x:c r="L21" s="192" t="str">
        <x:v>Incorrect. Collateral information may still be important when authorized and clinically indicated.</x:v>
      </x:c>
      <x:c r="M21" s="192" t="str">
        <x:v>Correct. A sudden deviation from baseline can signal medical, neurological, medication, intoxication, withdrawal, or psychiatric urgency.</x:v>
      </x:c>
      <x:c r="N21" s="192" t="str">
        <x:v>Incorrect. Current findings must still be observed and documented.</x:v>
      </x:c>
      <x:c r="O21" s="192" t="str">
        <x:v>A. Incorrect. Baseline informs assessment but does not independently establish a diagnosis.
B. Incorrect. Collateral information may still be important when authorized and clinically indicated.
C. Correct. A sudden deviation from baseline can signal medical, neurological, medication, intoxication, withdrawal, or psychiatric urgency.
D. Incorrect. Current findings must still be observed and documented.</x:v>
      </x:c>
      <x:c r="P21" s="192" t="str">
        <x:v>Newness and chronology often matter more than the label attached to a symptom.</x:v>
      </x:c>
      <x:c r="Q21" s="194" t="str">
        <x:v>CTA LMFT Workbook 2</x:v>
      </x:c>
    </x:row>
    <x:row r="22">
      <x:c r="A22" s="191" t="str">
        <x:v>CTA-LMFT-MQB-0021</x:v>
      </x:c>
      <x:c r="B22" s="192" t="str">
        <x:v>LMFT-WB02-QB-Q004</x:v>
      </x:c>
      <x:c r="C22" s="192" t="str">
        <x:v>Workbook Question Bank</x:v>
      </x:c>
      <x:c r="D22" s="192" t="str">
        <x:v>Workbook 2</x:v>
      </x:c>
      <x:c r="E22" s="192" t="str">
        <x:v>A school counselor refers a child for family therapy and asks the therapist to report whether the parents are following recommendations. What should the therapist do FIRST?</x:v>
      </x:c>
      <x:c r="F22" s="192" t="str">
        <x:v>Promise weekly reports because the school initiated the referral.</x:v>
      </x:c>
      <x:c r="G22" s="192" t="str">
        <x:v>Refuse the case because third-party referrals are always unethical.</x:v>
      </x:c>
      <x:c r="H22" s="192" t="str">
        <x:v>Ask the child to decide all disclosure rules without involving legal decision-makers.</x:v>
      </x:c>
      <x:c r="I22" s="192" t="str">
        <x:v>Clarify the therapist's role, who the client system is, the referral purpose, consent, and what information may be shared.</x:v>
      </x:c>
      <x:c r="J22" s="192" t="str">
        <x:v>D</x:v>
      </x:c>
      <x:c r="K22" s="192" t="str">
        <x:v>Incorrect. Referral status does not automatically authorize ongoing disclosure.</x:v>
      </x:c>
      <x:c r="L22" s="192" t="str">
        <x:v>Incorrect. Third-party referrals can be appropriate when roles and information limits are clear.</x:v>
      </x:c>
      <x:c r="M22" s="192" t="str">
        <x:v>Incorrect. The framework requires appropriate consent and role clarification, not unilateral delegation to the child.</x:v>
      </x:c>
      <x:c r="N22" s="192" t="str">
        <x:v>Correct. Role and information boundaries must be established before the therapist promises updates or begins assessment.</x:v>
      </x:c>
      <x:c r="O22" s="192" t="str">
        <x:v>A. Incorrect. Referral status does not automatically authorize ongoing disclosure.
B. Incorrect. Third-party referrals can be appropriate when roles and information limits are clear.
C. Incorrect. The framework requires appropriate consent and role clarification, not unilateral delegation to the child.
D. Correct. Role and information boundaries must be established before the therapist promises updates or begins assessment.</x:v>
      </x:c>
      <x:c r="P22" s="192" t="str">
        <x:v>Clarify role, client, authority, purpose, and information flow before making commitments.</x:v>
      </x:c>
      <x:c r="Q22" s="194" t="str">
        <x:v>CTA LMFT Workbook 2</x:v>
      </x:c>
    </x:row>
    <x:row r="23">
      <x:c r="A23" s="191" t="str">
        <x:v>CTA-LMFT-MQB-0022</x:v>
      </x:c>
      <x:c r="B23" s="192" t="str">
        <x:v>LMFT-WB02-QB-Q005</x:v>
      </x:c>
      <x:c r="C23" s="192" t="str">
        <x:v>Workbook Question Bank</x:v>
      </x:c>
      <x:c r="D23" s="192" t="str">
        <x:v>Workbook 2</x:v>
      </x:c>
      <x:c r="E23" s="192" t="str">
        <x:v>An adult client attends because a partner threatened to leave unless the client enters therapy. The client says, "I do not think I need this." What is the therapist's BEST response?</x:v>
      </x:c>
      <x:c r="F23" s="192" t="str">
        <x:v>Clarify the client's own concerns, goals, perceived pressure, and what choices remain while also understanding the partner's concerns.</x:v>
      </x:c>
      <x:c r="G23" s="192" t="str">
        <x:v>Explain that treatment will fail unless the client admits having a problem.</x:v>
      </x:c>
      <x:c r="H23" s="192" t="str">
        <x:v>Contact the partner immediately for a full report without consent.</x:v>
      </x:c>
      <x:c r="I23" s="192" t="str">
        <x:v>Terminate the intake because motivation is absent.</x:v>
      </x:c>
      <x:c r="J23" s="192" t="str">
        <x:v>A</x:v>
      </x:c>
      <x:c r="K23" s="192" t="str">
        <x:v>Correct. Reluctance is information about motivation, coercion, and context; engagement begins with the client's perspective.</x:v>
      </x:c>
      <x:c r="L23" s="192" t="str">
        <x:v>Incorrect. This escalates coercion and imposes the therapist's conclusion.</x:v>
      </x:c>
      <x:c r="M23" s="192" t="str">
        <x:v>Incorrect. The therapist should not assume authorization for collateral contact.</x:v>
      </x:c>
      <x:c r="N23" s="192" t="str">
        <x:v>Incorrect. Motivation is situation-specific and can be explored rather than treated as a fixed prerequisite.</x:v>
      </x:c>
      <x:c r="O23" s="192" t="str">
        <x:v>A. Correct. Reluctance is information about motivation, coercion, and context; engagement begins with the client's perspective.
B. Incorrect. This escalates coercion and imposes the therapist's conclusion.
C. Incorrect. The therapist should not assume authorization for collateral contact.
D. Incorrect. Motivation is situation-specific and can be explored rather than treated as a fixed prerequisite.</x:v>
      </x:c>
      <x:c r="P23" s="192" t="str">
        <x:v>Separate attendance pressure from the client's own goals and available choices.</x:v>
      </x:c>
      <x:c r="Q23" s="194" t="str">
        <x:v>CTA LMFT Workbook 2</x:v>
      </x:c>
    </x:row>
    <x:row r="24">
      <x:c r="A24" s="191" t="str">
        <x:v>CTA-LMFT-MQB-0023</x:v>
      </x:c>
      <x:c r="B24" s="192" t="str">
        <x:v>LMFT-WB02-QB-Q006</x:v>
      </x:c>
      <x:c r="C24" s="192" t="str">
        <x:v>Workbook Question Bank</x:v>
      </x:c>
      <x:c r="D24" s="192" t="str">
        <x:v>Workbook 2</x:v>
      </x:c>
      <x:c r="E24" s="192" t="str">
        <x:v>A client says, "Sometimes I think everyone would be better without me," then changes the subject. What should the therapist do NEXT?</x:v>
      </x:c>
      <x:c r="F24" s="192" t="str">
        <x:v>Follow the client's new topic to preserve rapport.</x:v>
      </x:c>
      <x:c r="G24" s="192" t="str">
        <x:v>Ask direct questions about current suicidal thoughts, intent, plan, means, past behavior, and protective factors.</x:v>
      </x:c>
      <x:c r="H24" s="192" t="str">
        <x:v>Reassure the client that family members would be devastated.</x:v>
      </x:c>
      <x:c r="I24" s="192" t="str">
        <x:v>Ask only whether the client promises to stay safe.</x:v>
      </x:c>
      <x:c r="J24" s="192" t="str">
        <x:v>B</x:v>
      </x:c>
      <x:c r="K24" s="192" t="str">
        <x:v>Incorrect. Rapport does not justify leaving possible suicide risk unassessed.</x:v>
      </x:c>
      <x:c r="L24" s="192" t="str">
        <x:v>Correct. The statement is a supported safety signal; direct assessment is clearer and safer than indirect exploration.</x:v>
      </x:c>
      <x:c r="M24" s="192" t="str">
        <x:v>Incorrect. Reassurance can feel dismissive and does not establish risk level.</x:v>
      </x:c>
      <x:c r="N24" s="192" t="str">
        <x:v>Incorrect. A promise does not substitute for a structured risk assessment.</x:v>
      </x:c>
      <x:c r="O24" s="192" t="str">
        <x:v>A. Incorrect. Rapport does not justify leaving possible suicide risk unassessed.
B. Correct. The statement is a supported safety signal; direct assessment is clearer and safer than indirect exploration.
C. Incorrect. Reassurance can feel dismissive and does not establish risk level.
D. Incorrect. A promise does not substitute for a structured risk assessment.</x:v>
      </x:c>
      <x:c r="P24" s="192" t="str">
        <x:v>When a statement suggests self-harm, move from broad empathy to direct, specific safety assessment.</x:v>
      </x:c>
      <x:c r="Q24" s="194" t="str">
        <x:v>CTA LMFT Workbook 2</x:v>
      </x:c>
    </x:row>
    <x:row r="25">
      <x:c r="A25" s="191" t="str">
        <x:v>CTA-LMFT-MQB-0024</x:v>
      </x:c>
      <x:c r="B25" s="192" t="str">
        <x:v>LMFT-WB02-QB-Q007</x:v>
      </x:c>
      <x:c r="C25" s="192" t="str">
        <x:v>Workbook Question Bank</x:v>
      </x:c>
      <x:c r="D25" s="192" t="str">
        <x:v>Workbook 2</x:v>
      </x:c>
      <x:c r="E25" s="192" t="str">
        <x:v>A client who was coherent at intake suddenly becomes confused and cannot state the current month. What is the BEST next action?</x:v>
      </x:c>
      <x:c r="F25" s="192" t="str">
        <x:v>Continue the interview to see whether the confusion resolves.</x:v>
      </x:c>
      <x:c r="G25" s="192" t="str">
        <x:v>Diagnose dementia.</x:v>
      </x:c>
      <x:c r="H25" s="192" t="str">
        <x:v>Assess immediate safety and possible medical or substance causes and arrange urgent medical evaluation.</x:v>
      </x:c>
      <x:c r="I25" s="192" t="str">
        <x:v>Ask a family member to explain the confusion and then resume therapy.</x:v>
      </x:c>
      <x:c r="J25" s="192" t="str">
        <x:v>C</x:v>
      </x:c>
      <x:c r="K25" s="192" t="str">
        <x:v>Incorrect. Delay may be unsafe when an acute cognitive change is present.</x:v>
      </x:c>
      <x:c r="L25" s="192" t="str">
        <x:v>Incorrect. Dementia is not established by a sudden change during one contact.</x:v>
      </x:c>
      <x:c r="M25" s="192" t="str">
        <x:v>Correct. An acute change in orientation can signal delirium, neurological illness, intoxication, withdrawal, or another medical emergency.</x:v>
      </x:c>
      <x:c r="N25" s="192" t="str">
        <x:v>Incorrect. Collateral information may help, but urgent medical assessment remains the priority.</x:v>
      </x:c>
      <x:c r="O25" s="192" t="str">
        <x:v>A. Incorrect. Delay may be unsafe when an acute cognitive change is present.
B. Incorrect. Dementia is not established by a sudden change during one contact.
C. Correct. An acute change in orientation can signal delirium, neurological illness, intoxication, withdrawal, or another medical emergency.
D. Incorrect. Collateral information may help, but urgent medical assessment remains the priority.</x:v>
      </x:c>
      <x:c r="P25" s="192" t="str">
        <x:v>Sudden departure from baseline is a medical-safety problem until assessed otherwise.</x:v>
      </x:c>
      <x:c r="Q25" s="194" t="str">
        <x:v>CTA LMFT Workbook 2</x:v>
      </x:c>
    </x:row>
    <x:row r="26">
      <x:c r="A26" s="191" t="str">
        <x:v>CTA-LMFT-MQB-0025</x:v>
      </x:c>
      <x:c r="B26" s="192" t="str">
        <x:v>LMFT-WB02-QB-Q008</x:v>
      </x:c>
      <x:c r="C26" s="192" t="str">
        <x:v>Workbook Question Bank</x:v>
      </x:c>
      <x:c r="D26" s="192" t="str">
        <x:v>Workbook 2</x:v>
      </x:c>
      <x:c r="E26" s="192" t="str">
        <x:v>One partner reports fear of retaliation if concerns are discussed in conjoint therapy. What should the therapist do FIRST?</x:v>
      </x:c>
      <x:c r="F26" s="192" t="str">
        <x:v>Encourage immediate honesty in front of the partner.</x:v>
      </x:c>
      <x:c r="G26" s="192" t="str">
        <x:v>Teach communication skills to both partners.</x:v>
      </x:c>
      <x:c r="H26" s="192" t="str">
        <x:v>Assume the fear is ordinary conflict avoidance.</x:v>
      </x:c>
      <x:c r="I26" s="192" t="str">
        <x:v>Assess safety, coercion, and whether conjoint treatment is appropriate before facilitating direct disclosure.</x:v>
      </x:c>
      <x:c r="J26" s="192" t="str">
        <x:v>D</x:v>
      </x:c>
      <x:c r="K26" s="192" t="str">
        <x:v>Incorrect. Forced disclosure may increase danger.</x:v>
      </x:c>
      <x:c r="L26" s="192" t="str">
        <x:v>Incorrect. Skills work is premature until safety and coercion are assessed.</x:v>
      </x:c>
      <x:c r="M26" s="192" t="str">
        <x:v>Incorrect. The statement requires direct assessment rather than minimization.</x:v>
      </x:c>
      <x:c r="N26" s="192" t="str">
        <x:v>Correct. Voluntariness and safety control the treatment format when retaliation is feared.</x:v>
      </x:c>
      <x:c r="O26" s="192" t="str">
        <x:v>A. Incorrect. Forced disclosure may increase danger.
B. Incorrect. Skills work is premature until safety and coercion are assessed.
C. Incorrect. The statement requires direct assessment rather than minimization.
D. Correct. Voluntariness and safety control the treatment format when retaliation is feared.</x:v>
      </x:c>
      <x:c r="P26" s="192" t="str">
        <x:v>Do not use conjoint process when disclosure may increase danger; assess safety and format first.</x:v>
      </x:c>
      <x:c r="Q26" s="194" t="str">
        <x:v>CTA LMFT Workbook 2</x:v>
      </x:c>
    </x:row>
    <x:row r="27">
      <x:c r="A27" s="191" t="str">
        <x:v>CTA-LMFT-MQB-0026</x:v>
      </x:c>
      <x:c r="B27" s="192" t="str">
        <x:v>LMFT-WB02-QB-Q009</x:v>
      </x:c>
      <x:c r="C27" s="192" t="str">
        <x:v>Workbook Question Bank</x:v>
      </x:c>
      <x:c r="D27" s="192" t="str">
        <x:v>Workbook 2</x:v>
      </x:c>
      <x:c r="E27" s="192" t="str">
        <x:v>A client becomes noticeably withdrawn after the therapist summarizes the couple's conflict. What should the therapist do NEXT?</x:v>
      </x:c>
      <x:c r="F27" s="192" t="str">
        <x:v>Name the change, invite feedback about the summary, and repair any misunderstanding before continuing.</x:v>
      </x:c>
      <x:c r="G27" s="192" t="str">
        <x:v>Continue because interrupting the assessment would waste time.</x:v>
      </x:c>
      <x:c r="H27" s="192" t="str">
        <x:v>Explain that the client is being defensive.</x:v>
      </x:c>
      <x:c r="I27" s="192" t="str">
        <x:v>Shift all attention to the other partner.</x:v>
      </x:c>
      <x:c r="J27" s="192" t="str">
        <x:v>A</x:v>
      </x:c>
      <x:c r="K27" s="192" t="str">
        <x:v>Correct. A possible alliance rupture should be addressed directly and collaboratively.</x:v>
      </x:c>
      <x:c r="L27" s="192" t="str">
        <x:v>Incorrect. Ignoring the rupture can reduce trust and distort later information.</x:v>
      </x:c>
      <x:c r="M27" s="192" t="str">
        <x:v>Incorrect. This labels the client instead of exploring the therapist's possible contribution.</x:v>
      </x:c>
      <x:c r="N27" s="192" t="str">
        <x:v>Incorrect. This may reinforce the client's sense of exclusion.</x:v>
      </x:c>
      <x:c r="O27" s="192" t="str">
        <x:v>A. Correct. A possible alliance rupture should be addressed directly and collaboratively.
B. Incorrect. Ignoring the rupture can reduce trust and distort later information.
C. Incorrect. This labels the client instead of exploring the therapist's possible contribution.
D. Incorrect. This may reinforce the client's sense of exclusion.</x:v>
      </x:c>
      <x:c r="P27" s="192" t="str">
        <x:v>When engagement changes after a therapist action, check impact before moving on.</x:v>
      </x:c>
      <x:c r="Q27" s="194" t="str">
        <x:v>CTA LMFT Workbook 2</x:v>
      </x:c>
    </x:row>
    <x:row r="28">
      <x:c r="A28" s="191" t="str">
        <x:v>CTA-LMFT-MQB-0027</x:v>
      </x:c>
      <x:c r="B28" s="192" t="str">
        <x:v>LMFT-WB02-QB-Q010</x:v>
      </x:c>
      <x:c r="C28" s="192" t="str">
        <x:v>Workbook Question Bank</x:v>
      </x:c>
      <x:c r="D28" s="192" t="str">
        <x:v>Workbook 2</x:v>
      </x:c>
      <x:c r="E28" s="192" t="str">
        <x:v>A client reports a recent bicycle crash and now has worsening headache, nausea, and difficulty following questions. What should the therapist do FIRST?</x:v>
      </x:c>
      <x:c r="F28" s="192" t="str">
        <x:v>Complete the MSE and schedule a follow-up next week.</x:v>
      </x:c>
      <x:c r="G28" s="192" t="str">
        <x:v>Arrange urgent medical evaluation and address immediate safety rather than continuing routine intake.</x:v>
      </x:c>
      <x:c r="H28" s="192" t="str">
        <x:v>Interpret the difficulty concentrating as anxiety about therapy.</x:v>
      </x:c>
      <x:c r="I28" s="192" t="str">
        <x:v>Ask the partner to observe the client at home overnight.</x:v>
      </x:c>
      <x:c r="J28" s="192" t="str">
        <x:v>B</x:v>
      </x:c>
      <x:c r="K28" s="192" t="str">
        <x:v>Incorrect. Assessment should not delay urgent medical care.</x:v>
      </x:c>
      <x:c r="L28" s="192" t="str">
        <x:v>Correct. Post-injury neurological symptoms and cognitive change may indicate a medical emergency.</x:v>
      </x:c>
      <x:c r="M28" s="192" t="str">
        <x:v>Incorrect. The recent injury and physical symptoms require medical prioritization.</x:v>
      </x:c>
      <x:c r="N28" s="192" t="str">
        <x:v>Incorrect. Home observation alone is insufficient for worsening post-injury symptoms.</x:v>
      </x:c>
      <x:c r="O28" s="192" t="str">
        <x:v>A. Incorrect. Assessment should not delay urgent medical care.
B. Correct. Post-injury neurological symptoms and cognitive change may indicate a medical emergency.
C. Incorrect. The recent injury and physical symptoms require medical prioritization.
D. Incorrect. Home observation alone is insufficient for worsening post-injury symptoms.</x:v>
      </x:c>
      <x:c r="P28" s="192" t="str">
        <x:v>When new cognitive findings follow injury, prioritize urgent medical evaluation.</x:v>
      </x:c>
      <x:c r="Q28" s="194" t="str">
        <x:v>CTA LMFT Workbook 2</x:v>
      </x:c>
    </x:row>
    <x:row r="29">
      <x:c r="A29" s="191" t="str">
        <x:v>CTA-LMFT-MQB-0028</x:v>
      </x:c>
      <x:c r="B29" s="192" t="str">
        <x:v>LMFT-WB02-QB-Q011</x:v>
      </x:c>
      <x:c r="C29" s="192" t="str">
        <x:v>Workbook Question Bank</x:v>
      </x:c>
      <x:c r="D29" s="192" t="str">
        <x:v>Workbook 2</x:v>
      </x:c>
      <x:c r="E29" s="192" t="str">
        <x:v>A 16-year-old says a previous therapist disclosed private details to the parents without warning. The adolescent now refuses to answer questions. What should the therapist do FIRST?</x:v>
      </x:c>
      <x:c r="F29" s="192" t="str">
        <x:v>Tell the adolescent that parents are always entitled to everything.</x:v>
      </x:c>
      <x:c r="G29" s="192" t="str">
        <x:v>Insist on completing the full history before discussing confidentiality.</x:v>
      </x:c>
      <x:c r="H29" s="192" t="str">
        <x:v>Acknowledge the prior experience, explain current confidentiality and its limits clearly, invite questions, and ask what would support enough trust to proceed.</x:v>
      </x:c>
      <x:c r="I29" s="192" t="str">
        <x:v>Conclude that the adolescent is oppositional.</x:v>
      </x:c>
      <x:c r="J29" s="192" t="str">
        <x:v>C</x:v>
      </x:c>
      <x:c r="K29" s="192" t="str">
        <x:v>Incorrect. This is overly broad and undermines informed consent.</x:v>
      </x:c>
      <x:c r="L29" s="192" t="str">
        <x:v>Incorrect. The frame should be clarified before sensitive disclosure is requested.</x:v>
      </x:c>
      <x:c r="M29" s="192" t="str">
        <x:v>Correct. Transparency and repair-oriented engagement address the reason for reluctance before demanding disclosure.</x:v>
      </x:c>
      <x:c r="N29" s="192" t="str">
        <x:v>Incorrect. The refusal is understandable in light of the prior breach experience.</x:v>
      </x:c>
      <x:c r="O29" s="192" t="str">
        <x:v>A. Incorrect. This is overly broad and undermines informed consent.
B. Incorrect. The frame should be clarified before sensitive disclosure is requested.
C. Correct. Transparency and repair-oriented engagement address the reason for reluctance before demanding disclosure.
D. Incorrect. The refusal is understandable in light of the prior breach experience.</x:v>
      </x:c>
      <x:c r="P29" s="192" t="str">
        <x:v>Clarify the privacy frame before asking a reluctant client to risk disclosure.</x:v>
      </x:c>
      <x:c r="Q29" s="194" t="str">
        <x:v>CTA LMFT Workbook 2</x:v>
      </x:c>
    </x:row>
    <x:row r="30">
      <x:c r="A30" s="191" t="str">
        <x:v>CTA-LMFT-MQB-0029</x:v>
      </x:c>
      <x:c r="B30" s="192" t="str">
        <x:v>LMFT-WB02-QB-Q012</x:v>
      </x:c>
      <x:c r="C30" s="192" t="str">
        <x:v>Workbook Question Bank</x:v>
      </x:c>
      <x:c r="D30" s="192" t="str">
        <x:v>Workbook 2</x:v>
      </x:c>
      <x:c r="E30" s="192" t="str">
        <x:v>A court-referred parent believes the therapist will decide custody and asks what to say to "look cooperative." What should the therapist do FIRST?</x:v>
      </x:c>
      <x:c r="F30" s="192" t="str">
        <x:v>Coach the parent on statements that will appear favorable.</x:v>
      </x:c>
      <x:c r="G30" s="192" t="str">
        <x:v>Refuse to see any court-referred client.</x:v>
      </x:c>
      <x:c r="H30" s="192" t="str">
        <x:v>Promise that nothing from treatment can ever be disclosed.</x:v>
      </x:c>
      <x:c r="I30" s="192" t="str">
        <x:v>Clarify the therapist's treatment role, the limits of confidentiality, who receives information, and what choices remain in the referral.</x:v>
      </x:c>
      <x:c r="J30" s="192" t="str">
        <x:v>D</x:v>
      </x:c>
      <x:c r="K30" s="192" t="str">
        <x:v>Incorrect. This compromises integrity and confuses treatment with forensic advocacy.</x:v>
      </x:c>
      <x:c r="L30" s="192" t="str">
        <x:v>Incorrect. Court referral does not automatically make treatment inappropriate.</x:v>
      </x:c>
      <x:c r="M30" s="192" t="str">
        <x:v>Incorrect. The actual limits and reporting arrangements must be explained accurately.</x:v>
      </x:c>
      <x:c r="N30" s="192" t="str">
        <x:v>Correct. Role confusion can distort engagement and disclosure and must be addressed before clinical interviewing proceeds.</x:v>
      </x:c>
      <x:c r="O30" s="192" t="str">
        <x:v>A. Incorrect. This compromises integrity and confuses treatment with forensic advocacy.
B. Incorrect. Court referral does not automatically make treatment inappropriate.
C. Incorrect. The actual limits and reporting arrangements must be explained accurately.
D. Correct. Role confusion can distort engagement and disclosure and must be addressed before clinical interviewing proceeds.</x:v>
      </x:c>
      <x:c r="P30" s="192" t="str">
        <x:v>When a referral creates evaluation anxiety, clarify exactly what the therapist does and does not control.</x:v>
      </x:c>
      <x:c r="Q30" s="194" t="str">
        <x:v>CTA LMFT Workbook 2</x:v>
      </x:c>
    </x:row>
    <x:row r="31">
      <x:c r="A31" s="191" t="str">
        <x:v>CTA-LMFT-MQB-0030</x:v>
      </x:c>
      <x:c r="B31" s="192" t="str">
        <x:v>LMFT-WB02-QB-Q013</x:v>
      </x:c>
      <x:c r="C31" s="192" t="str">
        <x:v>Workbook Question Bank</x:v>
      </x:c>
      <x:c r="D31" s="192" t="str">
        <x:v>Workbook 2</x:v>
      </x:c>
      <x:c r="E31" s="192" t="str">
        <x:v>A couple requests conjoint therapy, but one partner privately reports monitoring, threats, and fear of punishment after disagreements. The partner asks the therapist not to mention the disclosure. What is the BEST next step?</x:v>
      </x:c>
      <x:c r="F31" s="192" t="str">
        <x:v>Assess immediate safety and coercive control, explain the limits of the current treatment structure, and determine a safer plan before continuing conjoint work.</x:v>
      </x:c>
      <x:c r="G31" s="192" t="str">
        <x:v>Continue conjoint therapy while avoiding the topic.</x:v>
      </x:c>
      <x:c r="H31" s="192" t="str">
        <x:v>Confront the other partner in the next joint session.</x:v>
      </x:c>
      <x:c r="I31" s="192" t="str">
        <x:v>Promise absolute secrecy and continue as though nothing changed.</x:v>
      </x:c>
      <x:c r="J31" s="192" t="str">
        <x:v>A</x:v>
      </x:c>
      <x:c r="K31" s="192" t="str">
        <x:v>Correct. Conjoint therapy may increase danger when disclosure is not voluntary and retaliation is feared.</x:v>
      </x:c>
      <x:c r="L31" s="192" t="str">
        <x:v>Incorrect. Avoidance does not resolve the safety and treatment-appropriateness problem.</x:v>
      </x:c>
      <x:c r="M31" s="192" t="str">
        <x:v>Incorrect. Unplanned confrontation may increase danger.</x:v>
      </x:c>
      <x:c r="N31" s="192" t="str">
        <x:v>Incorrect. The therapist must clarify how private disclosures affect the viability of conjoint treatment.</x:v>
      </x:c>
      <x:c r="O31" s="192" t="str">
        <x:v>A. Correct. Conjoint therapy may increase danger when disclosure is not voluntary and retaliation is feared.
B. Incorrect. Avoidance does not resolve the safety and treatment-appropriateness problem.
C. Incorrect. Unplanned confrontation may increase danger.
D. Incorrect. The therapist must clarify how private disclosures affect the viability of conjoint treatment.</x:v>
      </x:c>
      <x:c r="P31" s="192" t="str">
        <x:v>When private information makes conjoint work unsafe or unworkable, reassess the treatment structure before processing content.</x:v>
      </x:c>
      <x:c r="Q31" s="194" t="str">
        <x:v>CTA LMFT Workbook 2</x:v>
      </x:c>
    </x:row>
    <x:row r="32">
      <x:c r="A32" s="191" t="str">
        <x:v>CTA-LMFT-MQB-0031</x:v>
      </x:c>
      <x:c r="B32" s="192" t="str">
        <x:v>LMFT-WB02-QB-Q014</x:v>
      </x:c>
      <x:c r="C32" s="192" t="str">
        <x:v>Workbook Question Bank</x:v>
      </x:c>
      <x:c r="D32" s="192" t="str">
        <x:v>Workbook 2</x:v>
      </x:c>
      <x:c r="E32" s="192" t="str">
        <x:v>An older client with no prior cognitive problems becomes intermittently disoriented after a urinary illness. The adult child insists the client has dementia and should sign over finances immediately. What should the therapist do FIRST?</x:v>
      </x:c>
      <x:c r="F32" s="192" t="str">
        <x:v>Support the financial transfer because the adult child appears responsible.</x:v>
      </x:c>
      <x:c r="G32" s="192" t="str">
        <x:v>Assess the acute change, medical status, cognition, decision-specific capacity, safety, and possible financial pressure, and arrange medical evaluation.</x:v>
      </x:c>
      <x:c r="H32" s="192" t="str">
        <x:v>Diagnose dementia based on the adult child's report.</x:v>
      </x:c>
      <x:c r="I32" s="192" t="str">
        <x:v>Treat only the family conflict about independence.</x:v>
      </x:c>
      <x:c r="J32" s="192" t="str">
        <x:v>B</x:v>
      </x:c>
      <x:c r="K32" s="192" t="str">
        <x:v>Incorrect. The client's capacity, voluntariness, and possible exploitation have not been assessed.</x:v>
      </x:c>
      <x:c r="L32" s="192" t="str">
        <x:v>Correct. The fluctuating onset after illness may indicate delirium or another reversible cause, while the financial request raises exploitation concerns.</x:v>
      </x:c>
      <x:c r="M32" s="192" t="str">
        <x:v>Incorrect. Acute fluctuating confusion after illness requires medical differential assessment.</x:v>
      </x:c>
      <x:c r="N32" s="192" t="str">
        <x:v>Incorrect. The medical and exploitation risks control the first response.</x:v>
      </x:c>
      <x:c r="O32" s="192" t="str">
        <x:v>A. Incorrect. The client's capacity, voluntariness, and possible exploitation have not been assessed.
B. Correct. The fluctuating onset after illness may indicate delirium or another reversible cause, while the financial request raises exploitation concerns.
C. Incorrect. Acute fluctuating confusion after illness requires medical differential assessment.
D. Incorrect. The medical and exploitation risks control the first response.</x:v>
      </x:c>
      <x:c r="P32" s="192" t="str">
        <x:v>Acute cognitive change plus pressure over assets requires medical, capacity, safety, and exploitation assessment together.</x:v>
      </x:c>
      <x:c r="Q32" s="194" t="str">
        <x:v>CTA LMFT Workbook 2</x:v>
      </x:c>
    </x:row>
    <x:row r="33">
      <x:c r="A33" s="191" t="str">
        <x:v>CTA-LMFT-MQB-0032</x:v>
      </x:c>
      <x:c r="B33" s="192" t="str">
        <x:v>LMFT-WB02-QB-Q015</x:v>
      </x:c>
      <x:c r="C33" s="192" t="str">
        <x:v>Workbook Question Bank</x:v>
      </x:c>
      <x:c r="D33" s="192" t="str">
        <x:v>Workbook 2</x:v>
      </x:c>
      <x:c r="E33" s="192" t="str">
        <x:v>An older adult and two adult children begin family therapy after a sudden decline in memory, missed bills, and suspiciousness. One child wants guardianship; the other suspects medication side effects. The client wants to remain at home. What should the therapist do FIRST?</x:v>
      </x:c>
      <x:c r="F33" s="192" t="str">
        <x:v>Recommend guardianship because bills were missed.</x:v>
      </x:c>
      <x:c r="G33" s="192" t="str">
        <x:v>Support the client's home plan without further assessment.</x:v>
      </x:c>
      <x:c r="H33" s="192" t="str">
        <x:v>Assess current cognition, safety, onset and course, medications, medical conditions, daily functioning, decision-specific capacity, possible exploitation, and each person's goals, then coordinate medical evaluation.</x:v>
      </x:c>
      <x:c r="I33" s="192" t="str">
        <x:v>Begin sibling mediation and postpone health questions.</x:v>
      </x:c>
      <x:c r="J33" s="192" t="str">
        <x:v>C</x:v>
      </x:c>
      <x:c r="K33" s="192" t="str">
        <x:v>Incorrect. Guardianship is a major restriction and cannot be based on limited information.</x:v>
      </x:c>
      <x:c r="L33" s="192" t="str">
        <x:v>Incorrect. Self-determination requires informed assessment of capacity, safety, and available supports.</x:v>
      </x:c>
      <x:c r="M33" s="192" t="str">
        <x:v>Correct. The case requires integrated medical, cognitive, autonomy, safety, and family-system assessment before legal or relational recommendations.</x:v>
      </x:c>
      <x:c r="N33" s="192" t="str">
        <x:v>Incorrect. Family conflict matters, but possible acute or reversible cognitive change is the first priority.</x:v>
      </x:c>
      <x:c r="O33" s="192" t="str">
        <x:v>A. Incorrect. Guardianship is a major restriction and cannot be based on limited information.
B. Incorrect. Self-determination requires informed assessment of capacity, safety, and available supports.
C. Correct. The case requires integrated medical, cognitive, autonomy, safety, and family-system assessment before legal or relational recommendations.
D. Incorrect. Family conflict matters, but possible acute or reversible cognitive change is the first priority.</x:v>
      </x:c>
      <x:c r="P33" s="192" t="str">
        <x:v>Assess the client's functioning and possible reversible causes before choosing a restrictive legal or family solution.</x:v>
      </x:c>
      <x:c r="Q33" s="194" t="str">
        <x:v>CTA LMFT Workbook 2</x:v>
      </x:c>
    </x:row>
    <x:row r="34">
      <x:c r="A34" s="191" t="str">
        <x:v>CTA-LMFT-MQB-0033</x:v>
      </x:c>
      <x:c r="B34" s="192" t="str">
        <x:v>LMFT-WB02-QB-Q016</x:v>
      </x:c>
      <x:c r="C34" s="192" t="str">
        <x:v>Workbook Question Bank</x:v>
      </x:c>
      <x:c r="D34" s="192" t="str">
        <x:v>Workbook 2</x:v>
      </x:c>
      <x:c r="E34" s="192" t="str">
        <x:v>Parents bring a 16-year-old after finding cannabis, a message saying "I cannot do this anymore," and failing grades. The adolescent says the parents are overreacting and will not answer questions in front of them. What should the therapist do FIRST?</x:v>
      </x:c>
      <x:c r="F34" s="192" t="str">
        <x:v>Confront the adolescent about dishonesty in front of the parents.</x:v>
      </x:c>
      <x:c r="G34" s="192" t="str">
        <x:v>Focus first on a family contract for grades and cannabis.</x:v>
      </x:c>
      <x:c r="H34" s="192" t="str">
        <x:v>Tell the parents everything the adolescent says to preserve parental authority.</x:v>
      </x:c>
      <x:c r="I34" s="192" t="str">
        <x:v>Clarify confidentiality and the treatment frame, create a safe opportunity for direct suicide and substance assessment, and gather each family member's perspective.</x:v>
      </x:c>
      <x:c r="J34" s="192" t="str">
        <x:v>D</x:v>
      </x:c>
      <x:c r="K34" s="192" t="str">
        <x:v>Incorrect. Confrontation may shut down disclosure and does not assess suicide risk.</x:v>
      </x:c>
      <x:c r="L34" s="192" t="str">
        <x:v>Incorrect. Behavioral planning is premature until safety and substance risk are assessed.</x:v>
      </x:c>
      <x:c r="M34" s="192" t="str">
        <x:v>Incorrect. An overly broad promise undermines informed consent and may reduce safety disclosure.</x:v>
      </x:c>
      <x:c r="N34" s="192" t="str">
        <x:v>Correct. The self-harm signal controls urgency, while privacy and balanced engagement are necessary to obtain valid information.</x:v>
      </x:c>
      <x:c r="O34" s="192" t="str">
        <x:v>A. Incorrect. Confrontation may shut down disclosure and does not assess suicide risk.
B. Incorrect. Behavioral planning is premature until safety and substance risk are assessed.
C. Incorrect. An overly broad promise undermines informed consent and may reduce safety disclosure.
D. Correct. The self-harm signal controls urgency, while privacy and balanced engagement are necessary to obtain valid information.</x:v>
      </x:c>
      <x:c r="P34" s="192" t="str">
        <x:v>Use the treatment frame to create enough privacy for direct safety assessment while preserving appropriate family involvement.</x:v>
      </x:c>
      <x:c r="Q34" s="194" t="str">
        <x:v>CTA LMFT Workbook 2</x:v>
      </x:c>
    </x:row>
    <x:row r="35">
      <x:c r="A35" s="191" t="str">
        <x:v>CTA-LMFT-MQB-0034</x:v>
      </x:c>
      <x:c r="B35" s="192" t="str">
        <x:v>LMFT-WB02-QB-Q017</x:v>
      </x:c>
      <x:c r="C35" s="192" t="str">
        <x:v>Workbook Question Bank</x:v>
      </x:c>
      <x:c r="D35" s="192" t="str">
        <x:v>Workbook 2</x:v>
      </x:c>
      <x:c r="E35" s="192" t="str">
        <x:v>A recently immigrated client attends couple intake with limited English, reports hearing a deceased relative during severe insomnia, has untreated thyroid disease, and says the partner controls transportation and appointments. What should the therapist do FIRST?</x:v>
      </x:c>
      <x:c r="F35" s="192" t="str">
        <x:v>Establish qualified language access and privacy, assess immediate safety and coercion, clarify the perceptual experience and sleep, review medical factors, and determine whether urgent medical or psychiatric evaluation is needed before conjoint treatment.</x:v>
      </x:c>
      <x:c r="G35" s="192" t="str">
        <x:v>Treat the experience as a culturally normal grief response and continue conjoint therapy.</x:v>
      </x:c>
      <x:c r="H35" s="192" t="str">
        <x:v>Diagnose psychosis and exclude the partner immediately.</x:v>
      </x:c>
      <x:c r="I35" s="192" t="str">
        <x:v>Ask the partner to interpret and provide all medical history.</x:v>
      </x:c>
      <x:c r="J35" s="192" t="str">
        <x:v>A</x:v>
      </x:c>
      <x:c r="K35" s="192" t="str">
        <x:v>Correct. The therapist must integrate access, safety, medical, perceptual, cultural, and treatment-format concerns without assuming a single explanation.</x:v>
      </x:c>
      <x:c r="L35" s="192" t="str">
        <x:v>Incorrect. Cultural meaning should be explored, but safety, medical, and coercion concerns still require assessment.</x:v>
      </x:c>
      <x:c r="M35" s="192" t="str">
        <x:v>Incorrect. The available information does not establish diagnosis or the safest treatment structure.</x:v>
      </x:c>
      <x:c r="N35" s="192" t="str">
        <x:v>Incorrect. This compromises privacy and may intensify the reported control dynamic.</x:v>
      </x:c>
      <x:c r="O35" s="192" t="str">
        <x:v>A. Correct. The therapist must integrate access, safety, medical, perceptual, cultural, and treatment-format concerns without assuming a single explanation.
B. Incorrect. Cultural meaning should be explored, but safety, medical, and coercion concerns still require assessment.
C. Incorrect. The available information does not establish diagnosis or the safest treatment structure.
D. Incorrect. This compromises privacy and may intensify the reported control dynamic.</x:v>
      </x:c>
      <x:c r="P35" s="192" t="str">
        <x:v>Create valid communication and safety first, then differentiate cultural, medical, substance, and psychiatric explanations.</x:v>
      </x:c>
      <x:c r="Q35" s="194" t="str">
        <x:v>CTA LMFT Workbook 2</x:v>
      </x:c>
    </x:row>
    <x:row r="36">
      <x:c r="A36" s="191" t="str">
        <x:v>CTA-LMFT-MQB-0035</x:v>
      </x:c>
      <x:c r="B36" s="192" t="str">
        <x:v>LMFT-WB03-QB-Q001</x:v>
      </x:c>
      <x:c r="C36" s="192" t="str">
        <x:v>Workbook Question Bank</x:v>
      </x:c>
      <x:c r="D36" s="192" t="str">
        <x:v>Workbook 3</x:v>
      </x:c>
      <x:c r="E36" s="192" t="str">
        <x:v>Which source of information MOST directly establishes a client's developmental level?</x:v>
      </x:c>
      <x:c r="F36" s="192" t="str">
        <x:v>They are interchangeable whenever the client has no formal diagnosis.</x:v>
      </x:c>
      <x:c r="G36" s="192" t="str">
        <x:v>Chronological age records time since birth, while developmental level reflects demonstrated capacities and functioning across domains.</x:v>
      </x:c>
      <x:c r="H36" s="192" t="str">
        <x:v>Developmental level is determined entirely by school grade.</x:v>
      </x:c>
      <x:c r="I36" s="192" t="str">
        <x:v>Chronological age always determines capacity and treatment readiness.</x:v>
      </x:c>
      <x:c r="J36" s="192" t="str">
        <x:v>B</x:v>
      </x:c>
      <x:c r="K36" s="192" t="str">
        <x:v>Incorrect. The concepts remain distinct regardless of diagnostic status.</x:v>
      </x:c>
      <x:c r="L36" s="192" t="str">
        <x:v>Correct. Age provides context, but developmental level is inferred from actual cognitive, emotional, social, behavioral, and adaptive functioning.</x:v>
      </x:c>
      <x:c r="M36" s="192" t="str">
        <x:v>Incorrect. School placement is only one source of information.</x:v>
      </x:c>
      <x:c r="N36" s="192" t="str">
        <x:v>Incorrect. Capacity and readiness require functional assessment rather than age alone.</x:v>
      </x:c>
      <x:c r="O36" s="192" t="str">
        <x:v>A. Incorrect. The concepts remain distinct regardless of diagnostic status.
B. Correct. Age provides context, but developmental level is inferred from actual cognitive, emotional, social, behavioral, and adaptive functioning.
C. Incorrect. School placement is only one source of information.
D. Incorrect. Capacity and readiness require functional assessment rather than age alone.</x:v>
      </x:c>
      <x:c r="P36" s="192" t="str">
        <x:v>When an item contrasts age with functioning, choose the option grounded in observed capacities and context.</x:v>
      </x:c>
      <x:c r="Q36" s="194" t="str">
        <x:v>CTA LMFT Workbook 3</x:v>
      </x:c>
    </x:row>
    <x:row r="37">
      <x:c r="A37" s="191" t="str">
        <x:v>CTA-LMFT-MQB-0036</x:v>
      </x:c>
      <x:c r="B37" s="192" t="str">
        <x:v>LMFT-WB03-QB-Q002</x:v>
      </x:c>
      <x:c r="C37" s="192" t="str">
        <x:v>Workbook Question Bank</x:v>
      </x:c>
      <x:c r="D37" s="192" t="str">
        <x:v>Workbook 3</x:v>
      </x:c>
      <x:c r="E37" s="192" t="str">
        <x:v>Why is change from baseline especially important in developmental and psychosocial assessment?</x:v>
      </x:c>
      <x:c r="F37" s="192" t="str">
        <x:v>A sudden or marked departure from usual functioning may indicate recent stress, trauma, illness, medication effects, substance use, or environmental disruption.</x:v>
      </x:c>
      <x:c r="G37" s="192" t="str">
        <x:v>Baseline comparison eliminates the need for current observation.</x:v>
      </x:c>
      <x:c r="H37" s="192" t="str">
        <x:v>Any change from baseline proves a psychiatric disorder.</x:v>
      </x:c>
      <x:c r="I37" s="192" t="str">
        <x:v>Only caregivers can define the client's baseline.</x:v>
      </x:c>
      <x:c r="J37" s="192" t="str">
        <x:v>A</x:v>
      </x:c>
      <x:c r="K37" s="192" t="str">
        <x:v>Correct. Baseline comparison helps distinguish longstanding variation from an acute or clinically meaningful change.</x:v>
      </x:c>
      <x:c r="L37" s="192" t="str">
        <x:v>Incorrect. Current behavior and functioning still must be assessed.</x:v>
      </x:c>
      <x:c r="M37" s="192" t="str">
        <x:v>Incorrect. Change prompts assessment but does not establish a diagnosis.</x:v>
      </x:c>
      <x:c r="N37" s="192" t="str">
        <x:v>Incorrect. Client, observation, records, and collateral sources may all contribute when appropriate.</x:v>
      </x:c>
      <x:c r="O37" s="192" t="str">
        <x:v>A. Correct. Baseline comparison helps distinguish longstanding variation from an acute or clinically meaningful change.
B. Incorrect. Current behavior and functioning still must be assessed.
C. Incorrect. Change prompts assessment but does not establish a diagnosis.
D. Incorrect. Client, observation, records, and collateral sources may all contribute when appropriate.</x:v>
      </x:c>
      <x:c r="P37" s="192" t="str">
        <x:v>Newness, timing, and functional impact often control the next assessment step.</x:v>
      </x:c>
      <x:c r="Q37" s="194" t="str">
        <x:v>CTA LMFT Workbook 3</x:v>
      </x:c>
    </x:row>
    <x:row r="38">
      <x:c r="A38" s="191" t="str">
        <x:v>CTA-LMFT-MQB-0037</x:v>
      </x:c>
      <x:c r="B38" s="192" t="str">
        <x:v>LMFT-WB03-QB-Q003</x:v>
      </x:c>
      <x:c r="C38" s="192" t="str">
        <x:v>Workbook Question Bank</x:v>
      </x:c>
      <x:c r="D38" s="192" t="str">
        <x:v>Workbook 3</x:v>
      </x:c>
      <x:c r="E38" s="192" t="str">
        <x:v>A therapist recognizes that a cultural assumption may be shaping the assessment. Which response BEST demonstrates cultural humility?</x:v>
      </x:c>
      <x:c r="F38" s="192" t="str">
        <x:v>Use cultural group information to predict the client's beliefs.</x:v>
      </x:c>
      <x:c r="G38" s="192" t="str">
        <x:v>Avoid discussing culture so that stereotypes cannot arise.</x:v>
      </x:c>
      <x:c r="H38" s="192" t="str">
        <x:v>Ask how the client understands relevant identities, communities, traditions, power, and experiences, while remaining open to correction.</x:v>
      </x:c>
      <x:c r="I38" s="192" t="str">
        <x:v>Assume clients with the same identity have similar family roles.</x:v>
      </x:c>
      <x:c r="J38" s="192" t="str">
        <x:v>C</x:v>
      </x:c>
      <x:c r="K38" s="192" t="str">
        <x:v>Incorrect. Group knowledge cannot replace individual assessment.</x:v>
      </x:c>
      <x:c r="L38" s="192" t="str">
        <x:v>Incorrect. Avoidance may omit clinically important context.</x:v>
      </x:c>
      <x:c r="M38" s="192" t="str">
        <x:v>Correct. Cultural humility relies on curiosity, self-reflection, and the client's meaning rather than presumed group knowledge.</x:v>
      </x:c>
      <x:c r="N38" s="192" t="str">
        <x:v>Incorrect. Within-group differences are substantial and must be explored.</x:v>
      </x:c>
      <x:c r="O38" s="192" t="str">
        <x:v>A. Incorrect. Group knowledge cannot replace individual assessment.
B. Incorrect. Avoidance may omit clinically important context.
C. Correct. Cultural humility relies on curiosity, self-reflection, and the client's meaning rather than presumed group knowledge.
D. Incorrect. Within-group differences are substantial and must be explored.</x:v>
      </x:c>
      <x:c r="P38" s="192" t="str">
        <x:v>Ask rather than assume; treat identity and culture as domains for inquiry, not automatic explanations.</x:v>
      </x:c>
      <x:c r="Q38" s="194" t="str">
        <x:v>CTA LMFT Workbook 3</x:v>
      </x:c>
    </x:row>
    <x:row r="39">
      <x:c r="A39" s="191" t="str">
        <x:v>CTA-LMFT-MQB-0038</x:v>
      </x:c>
      <x:c r="B39" s="192" t="str">
        <x:v>LMFT-WB03-QB-Q004</x:v>
      </x:c>
      <x:c r="C39" s="192" t="str">
        <x:v>Workbook Question Bank</x:v>
      </x:c>
      <x:c r="D39" s="192" t="str">
        <x:v>Workbook 3</x:v>
      </x:c>
      <x:c r="E39" s="192" t="str">
        <x:v>When behavior appears in only one setting, the therapist should FIRST consider that:</x:v>
      </x:c>
      <x:c r="F39" s="192" t="str">
        <x:v>The behavior is intentionally manipulative.</x:v>
      </x:c>
      <x:c r="G39" s="192" t="str">
        <x:v>A diagnosis is already established.</x:v>
      </x:c>
      <x:c r="H39" s="192" t="str">
        <x:v>The behavior should be ignored outside that setting.</x:v>
      </x:c>
      <x:c r="I39" s="192" t="str">
        <x:v>The setting, demands, relationships, access, or environmental conditions may be contributing to the pattern.</x:v>
      </x:c>
      <x:c r="J39" s="192" t="str">
        <x:v>D</x:v>
      </x:c>
      <x:c r="K39" s="192" t="str">
        <x:v>Incorrect. Intent cannot be inferred from one-setting occurrence.</x:v>
      </x:c>
      <x:c r="L39" s="192" t="str">
        <x:v>Incorrect. Diagnosis requires broader evidence, duration, and impairment.</x:v>
      </x:c>
      <x:c r="M39" s="192" t="str">
        <x:v>Incorrect. The pattern still warrants contextual assessment and collaboration as appropriate.</x:v>
      </x:c>
      <x:c r="N39" s="192" t="str">
        <x:v>Correct. Cross-setting comparison helps determine whether the concern is pervasive or context-specific.</x:v>
      </x:c>
      <x:c r="O39" s="192" t="str">
        <x:v>A. Incorrect. Intent cannot be inferred from one-setting occurrence.
B. Incorrect. Diagnosis requires broader evidence, duration, and impairment.
C. Incorrect. The pattern still warrants contextual assessment and collaboration as appropriate.
D. Correct. Cross-setting comparison helps determine whether the concern is pervasive or context-specific.</x:v>
      </x:c>
      <x:c r="P39" s="192" t="str">
        <x:v>A context-limited pattern directs attention to environmental fit before global conclusions.</x:v>
      </x:c>
      <x:c r="Q39" s="194" t="str">
        <x:v>CTA LMFT Workbook 3</x:v>
      </x:c>
    </x:row>
    <x:row r="40">
      <x:c r="A40" s="191" t="str">
        <x:v>CTA-LMFT-MQB-0039</x:v>
      </x:c>
      <x:c r="B40" s="192" t="str">
        <x:v>LMFT-WB03-QB-Q005</x:v>
      </x:c>
      <x:c r="C40" s="192" t="str">
        <x:v>Workbook Question Bank</x:v>
      </x:c>
      <x:c r="D40" s="192" t="str">
        <x:v>Workbook 3</x:v>
      </x:c>
      <x:c r="E40" s="192" t="str">
        <x:v>An adult client suddenly loses the ability to manage a familiar household task. What should the therapist do FIRST?</x:v>
      </x:c>
      <x:c r="F40" s="192" t="str">
        <x:v>Clarify onset and associated changes, assess immediate safety, and consider urgent medical, neurological, medication, substance, or trauma-related causes.</x:v>
      </x:c>
      <x:c r="G40" s="192" t="str">
        <x:v>Begin cognitive-behavioral homework for low motivation.</x:v>
      </x:c>
      <x:c r="H40" s="192" t="str">
        <x:v>Assume normal aging.</x:v>
      </x:c>
      <x:c r="I40" s="192" t="str">
        <x:v>Ask family members to permanently take over all tasks.</x:v>
      </x:c>
      <x:c r="J40" s="192" t="str">
        <x:v>A</x:v>
      </x:c>
      <x:c r="K40" s="192" t="str">
        <x:v>Correct. Sudden loss of an established skill is a change from baseline that can signal a health or safety concern.</x:v>
      </x:c>
      <x:c r="L40" s="192" t="str">
        <x:v>Incorrect. A motivational explanation is premature.</x:v>
      </x:c>
      <x:c r="M40" s="192" t="str">
        <x:v>Incorrect. Acute loss should not be attributed to age without assessment.</x:v>
      </x:c>
      <x:c r="N40" s="192" t="str">
        <x:v>Incorrect. Support may be needed, but permanent role transfer is premature before evaluation.</x:v>
      </x:c>
      <x:c r="O40" s="192" t="str">
        <x:v>A. Correct. Sudden loss of an established skill is a change from baseline that can signal a health or safety concern.
B. Incorrect. A motivational explanation is premature.
C. Incorrect. Acute loss should not be attributed to age without assessment.
D. Incorrect. Support may be needed, but permanent role transfer is premature before evaluation.</x:v>
      </x:c>
      <x:c r="P40" s="192" t="str">
        <x:v>Acute loss from baseline calls for safety and medical assessment before psychotherapy.</x:v>
      </x:c>
      <x:c r="Q40" s="194" t="str">
        <x:v>CTA LMFT Workbook 3</x:v>
      </x:c>
    </x:row>
    <x:row r="41">
      <x:c r="A41" s="191" t="str">
        <x:v>CTA-LMFT-MQB-0040</x:v>
      </x:c>
      <x:c r="B41" s="192" t="str">
        <x:v>LMFT-WB03-QB-Q006</x:v>
      </x:c>
      <x:c r="C41" s="192" t="str">
        <x:v>Workbook Question Bank</x:v>
      </x:c>
      <x:c r="D41" s="192" t="str">
        <x:v>Workbook 3</x:v>
      </x:c>
      <x:c r="E41" s="192" t="str">
        <x:v>Parents request that the therapist report everything their 16-year-old says in individual sessions. What should the therapist do FIRST?</x:v>
      </x:c>
      <x:c r="F41" s="192" t="str">
        <x:v>Promise complete secrecy to the adolescent.</x:v>
      </x:c>
      <x:c r="G41" s="192" t="str">
        <x:v>Clarify consent, confidentiality and its limits, the treatment structure, developmental needs, safety exceptions, and how information will be shared.</x:v>
      </x:c>
      <x:c r="H41" s="192" t="str">
        <x:v>Agree to provide parents a full session summary after every visit.</x:v>
      </x:c>
      <x:c r="I41" s="192" t="str">
        <x:v>Refuse all parent involvement.</x:v>
      </x:c>
      <x:c r="J41" s="192" t="str">
        <x:v>B</x:v>
      </x:c>
      <x:c r="K41" s="192" t="str">
        <x:v>Incorrect. Confidentiality has limits and depends on the treatment and legal context.</x:v>
      </x:c>
      <x:c r="L41" s="192" t="str">
        <x:v>Correct. A transparent framework supports adolescent participation while respecting legal authority and safety obligations.</x:v>
      </x:c>
      <x:c r="M41" s="192" t="str">
        <x:v>Incorrect. Automatic full disclosure may undermine treatment and exceed what is appropriate.</x:v>
      </x:c>
      <x:c r="N41" s="192" t="str">
        <x:v>Incorrect. Parents may have important roles and information; involvement should be structured rather than eliminated.</x:v>
      </x:c>
      <x:c r="O41" s="192" t="str">
        <x:v>A. Incorrect. Confidentiality has limits and depends on the treatment and legal context.
B. Correct. A transparent framework supports adolescent participation while respecting legal authority and safety obligations.
C. Incorrect. Automatic full disclosure may undermine treatment and exceed what is appropriate.
D. Incorrect. Parents may have important roles and information; involvement should be structured rather than eliminated.</x:v>
      </x:c>
      <x:c r="P41" s="192" t="str">
        <x:v>Set expectations before sensitive disclosure begins; avoid both absolute secrecy and unlimited reporting.</x:v>
      </x:c>
      <x:c r="Q41" s="194" t="str">
        <x:v>CTA LMFT Workbook 3</x:v>
      </x:c>
    </x:row>
    <x:row r="42">
      <x:c r="A42" s="191" t="str">
        <x:v>CTA-LMFT-MQB-0041</x:v>
      </x:c>
      <x:c r="B42" s="192" t="str">
        <x:v>LMFT-WB03-QB-Q007</x:v>
      </x:c>
      <x:c r="C42" s="192" t="str">
        <x:v>Workbook Question Bank</x:v>
      </x:c>
      <x:c r="D42" s="192" t="str">
        <x:v>Workbook 3</x:v>
      </x:c>
      <x:c r="E42" s="192" t="str">
        <x:v>A recently immigrated parent and adolescent disagree about independence and family obligations. What is the MOST appropriate assessment approach?</x:v>
      </x:c>
      <x:c r="F42" s="192" t="str">
        <x:v>Tell the parent that U.S. adolescent norms must control.</x:v>
      </x:c>
      <x:c r="G42" s="192" t="str">
        <x:v>Tell the adolescent that family tradition must control.</x:v>
      </x:c>
      <x:c r="H42" s="192" t="str">
        <x:v>Explore each person's developmental expectations, migration and acculturation experiences, family roles, losses, supports, power, and preferred balance of connection and autonomy.</x:v>
      </x:c>
      <x:c r="I42" s="192" t="str">
        <x:v>Avoid discussing culture because it may create conflict.</x:v>
      </x:c>
      <x:c r="J42" s="192" t="str">
        <x:v>C</x:v>
      </x:c>
      <x:c r="K42" s="192" t="str">
        <x:v>Incorrect. This imposes one cultural model and may damage alliance.</x:v>
      </x:c>
      <x:c r="L42" s="192" t="str">
        <x:v>Incorrect. This ignores the adolescent's perspective and developmental needs.</x:v>
      </x:c>
      <x:c r="M42" s="192" t="str">
        <x:v>Correct. The therapist should understand meanings and transition demands without imposing either individualistic or collectivist assumptions.</x:v>
      </x:c>
      <x:c r="N42" s="192" t="str">
        <x:v>Incorrect. Culture and migration are already relevant to the disagreement and should be explored respectfully.</x:v>
      </x:c>
      <x:c r="O42" s="192" t="str">
        <x:v>A. Incorrect. This imposes one cultural model and may damage alliance.
B. Incorrect. This ignores the adolescent's perspective and developmental needs.
C. Correct. The therapist should understand meanings and transition demands without imposing either individualistic or collectivist assumptions.
D. Incorrect. Culture and migration are already relevant to the disagreement and should be explored respectfully.</x:v>
      </x:c>
      <x:c r="P42" s="192" t="str">
        <x:v>Explore both meanings and power; do not choose a cultural side before assessment.</x:v>
      </x:c>
      <x:c r="Q42" s="194" t="str">
        <x:v>CTA LMFT Workbook 3</x:v>
      </x:c>
    </x:row>
    <x:row r="43">
      <x:c r="A43" s="191" t="str">
        <x:v>CTA-LMFT-MQB-0042</x:v>
      </x:c>
      <x:c r="B43" s="192" t="str">
        <x:v>LMFT-WB03-QB-Q008</x:v>
      </x:c>
      <x:c r="C43" s="192" t="str">
        <x:v>Workbook Question Bank</x:v>
      </x:c>
      <x:c r="D43" s="192" t="str">
        <x:v>Workbook 3</x:v>
      </x:c>
      <x:c r="E43" s="192" t="str">
        <x:v>Parents describe an autistic child's withdrawal at crowded family events as disrespectful. What should the therapist assess FIRST?</x:v>
      </x:c>
      <x:c r="F43" s="192" t="str">
        <x:v>Teach consequences for disrespect.</x:v>
      </x:c>
      <x:c r="G43" s="192" t="str">
        <x:v>Require longer attendance to build tolerance.</x:v>
      </x:c>
      <x:c r="H43" s="192" t="str">
        <x:v>Explain that autism makes family participation impossible.</x:v>
      </x:c>
      <x:c r="I43" s="192" t="str">
        <x:v>Sensory demands, communication style, fatigue, predictability, social expectations, the child's perspective, family meaning, and possible accommodations.</x:v>
      </x:c>
      <x:c r="J43" s="192" t="str">
        <x:v>D</x:v>
      </x:c>
      <x:c r="K43" s="192" t="str">
        <x:v>Incorrect. Consequences are premature before assessing function and access.</x:v>
      </x:c>
      <x:c r="L43" s="192" t="str">
        <x:v>Incorrect. Forced exposure without assessment may increase distress.</x:v>
      </x:c>
      <x:c r="M43" s="192" t="str">
        <x:v>Incorrect. This is an absolute and ignores individualized supports and preferences.</x:v>
      </x:c>
      <x:c r="N43" s="192" t="str">
        <x:v>Correct. The behavior may reflect environmental mismatch rather than intentional defiance.</x:v>
      </x:c>
      <x:c r="O43" s="192" t="str">
        <x:v>A. Incorrect. Consequences are premature before assessing function and access.
B. Incorrect. Forced exposure without assessment may increase distress.
C. Incorrect. This is an absolute and ignores individualized supports and preferences.
D. Correct. The behavior may reflect environmental mismatch rather than intentional defiance.</x:v>
      </x:c>
      <x:c r="P43" s="192" t="str">
        <x:v>Before labeling behavior, assess what the environment demands and what supports participation.</x:v>
      </x:c>
      <x:c r="Q43" s="194" t="str">
        <x:v>CTA LMFT Workbook 3</x:v>
      </x:c>
    </x:row>
    <x:row r="44">
      <x:c r="A44" s="191" t="str">
        <x:v>CTA-LMFT-MQB-0043</x:v>
      </x:c>
      <x:c r="B44" s="192" t="str">
        <x:v>LMFT-WB03-QB-Q009</x:v>
      </x:c>
      <x:c r="C44" s="192" t="str">
        <x:v>Workbook Question Bank</x:v>
      </x:c>
      <x:c r="D44" s="192" t="str">
        <x:v>Workbook 3</x:v>
      </x:c>
      <x:c r="E44" s="192" t="str">
        <x:v>After a parent loses employment, a child develops stomachaches before school and the couple argues about money. What is the BEST initial formulation?</x:v>
      </x:c>
      <x:c r="F44" s="192" t="str">
        <x:v>The child's symptoms may be interacting with family stress, financial insecurity, parental conflict, school functioning, health factors, and coping resources.</x:v>
      </x:c>
      <x:c r="G44" s="192" t="str">
        <x:v>The child is manipulating the parents to avoid school.</x:v>
      </x:c>
      <x:c r="H44" s="192" t="str">
        <x:v>The couple conflict is unrelated because the child is the identified client.</x:v>
      </x:c>
      <x:c r="I44" s="192" t="str">
        <x:v>The family should focus only on obtaining employment before therapy can help.</x:v>
      </x:c>
      <x:c r="J44" s="192" t="str">
        <x:v>A</x:v>
      </x:c>
      <x:c r="K44" s="192" t="str">
        <x:v>Correct. A systemic developmental formulation connects the child's presentation with the family and environmental transition while preserving medical assessment.</x:v>
      </x:c>
      <x:c r="L44" s="192" t="str">
        <x:v>Incorrect. Intent is unsupported and ignores contextual stress.</x:v>
      </x:c>
      <x:c r="M44" s="192" t="str">
        <x:v>Incorrect. Family and environmental conditions may directly affect the symptom pattern.</x:v>
      </x:c>
      <x:c r="N44" s="192" t="str">
        <x:v>Incorrect. Material needs matter, but clinical and relational assessment can proceed concurrently.</x:v>
      </x:c>
      <x:c r="O44" s="192" t="str">
        <x:v>A. Correct. A systemic developmental formulation connects the child's presentation with the family and environmental transition while preserving medical assessment.
B. Incorrect. Intent is unsupported and ignores contextual stress.
C. Incorrect. Family and environmental conditions may directly affect the symptom pattern.
D. Incorrect. Material needs matter, but clinical and relational assessment can proceed concurrently.</x:v>
      </x:c>
      <x:c r="P44" s="192" t="str">
        <x:v>Connect the symptom to health, development, relationships, and material stress without reducing it to one cause.</x:v>
      </x:c>
      <x:c r="Q44" s="194" t="str">
        <x:v>CTA LMFT Workbook 3</x:v>
      </x:c>
    </x:row>
    <x:row r="45">
      <x:c r="A45" s="191" t="str">
        <x:v>CTA-LMFT-MQB-0044</x:v>
      </x:c>
      <x:c r="B45" s="192" t="str">
        <x:v>LMFT-WB03-QB-Q010</x:v>
      </x:c>
      <x:c r="C45" s="192" t="str">
        <x:v>Workbook Question Bank</x:v>
      </x:c>
      <x:c r="D45" s="192" t="str">
        <x:v>Workbook 3</x:v>
      </x:c>
      <x:c r="E45" s="192" t="str">
        <x:v>A new parent reports exhaustion, tearfulness, and feeling detached while a partner says, "Everyone is tired after a baby." What should the therapist do NEXT?</x:v>
      </x:c>
      <x:c r="F45" s="192" t="str">
        <x:v>Reassure the client that the feelings are expected.</x:v>
      </x:c>
      <x:c r="G45" s="192" t="str">
        <x:v>Assess mood, sleep, functioning, safety, medical factors, caregiving load, support, infant care, and the couple's responses.</x:v>
      </x:c>
      <x:c r="H45" s="192" t="str">
        <x:v>Tell the partner to take over all parenting.</x:v>
      </x:c>
      <x:c r="I45" s="192" t="str">
        <x:v>Begin couple communication exercises without individual screening.</x:v>
      </x:c>
      <x:c r="J45" s="192" t="str">
        <x:v>B</x:v>
      </x:c>
      <x:c r="K45" s="192" t="str">
        <x:v>Incorrect. Normalization without assessment may miss significant risk or impairment.</x:v>
      </x:c>
      <x:c r="L45" s="192" t="str">
        <x:v>Correct. Postpartum distress should not be minimized; both individual safety and family-system functioning require assessment.</x:v>
      </x:c>
      <x:c r="M45" s="192" t="str">
        <x:v>Incorrect. Role changes may help but should be collaborative and based on assessment.</x:v>
      </x:c>
      <x:c r="N45" s="192" t="str">
        <x:v>Incorrect. Individual mood and safety assessment is needed first.</x:v>
      </x:c>
      <x:c r="O45" s="192" t="str">
        <x:v>A. Incorrect. Normalization without assessment may miss significant risk or impairment.
B. Correct. Postpartum distress should not be minimized; both individual safety and family-system functioning require assessment.
C. Incorrect. Role changes may help but should be collaborative and based on assessment.
D. Incorrect. Individual mood and safety assessment is needed first.</x:v>
      </x:c>
      <x:c r="P45" s="192" t="str">
        <x:v>Do not let a common transition obscure clinically significant symptoms.</x:v>
      </x:c>
      <x:c r="Q45" s="194" t="str">
        <x:v>CTA LMFT Workbook 3</x:v>
      </x:c>
    </x:row>
    <x:row r="46">
      <x:c r="A46" s="191" t="str">
        <x:v>CTA-LMFT-MQB-0045</x:v>
      </x:c>
      <x:c r="B46" s="192" t="str">
        <x:v>LMFT-WB03-QB-Q011</x:v>
      </x:c>
      <x:c r="C46" s="192" t="str">
        <x:v>Workbook Question Bank</x:v>
      </x:c>
      <x:c r="D46" s="192" t="str">
        <x:v>Workbook 3</x:v>
      </x:c>
      <x:c r="E46" s="192" t="str">
        <x:v>A youth entering a fourth foster placement becomes guarded and refuses to unpack belongings. What should the therapist do NEXT?</x:v>
      </x:c>
      <x:c r="F46" s="192" t="str">
        <x:v>Confront the youth about resistance.</x:v>
      </x:c>
      <x:c r="G46" s="192" t="str">
        <x:v>Require unpacking as evidence of commitment.</x:v>
      </x:c>
      <x:c r="H46" s="192" t="str">
        <x:v>Assess safety, placement history, losses, attachment disruptions, expectations, current supports, control, and the youth's preferred pace of engagement.</x:v>
      </x:c>
      <x:c r="I46" s="192" t="str">
        <x:v>Assure the youth that this placement will be permanent.</x:v>
      </x:c>
      <x:c r="J46" s="192" t="str">
        <x:v>C</x:v>
      </x:c>
      <x:c r="K46" s="192" t="str">
        <x:v>Incorrect. This may reproduce coercion and ignore the protective function.</x:v>
      </x:c>
      <x:c r="L46" s="192" t="str">
        <x:v>Incorrect. Forced compliance may undermine safety and agency.</x:v>
      </x:c>
      <x:c r="M46" s="192" t="str">
        <x:v>Correct. The behavior may be an adaptive response to repeated instability and should be understood before being challenged.</x:v>
      </x:c>
      <x:c r="N46" s="192" t="str">
        <x:v>Incorrect. The therapist should not make promises beyond available facts.</x:v>
      </x:c>
      <x:c r="O46" s="192" t="str">
        <x:v>A. Incorrect. This may reproduce coercion and ignore the protective function.
B. Incorrect. Forced compliance may undermine safety and agency.
C. Correct. The behavior may be an adaptive response to repeated instability and should be understood before being challenged.
D. Incorrect. The therapist should not make promises beyond available facts.</x:v>
      </x:c>
      <x:c r="P46" s="192" t="str">
        <x:v>Ask what the behavior protects before trying to remove it.</x:v>
      </x:c>
      <x:c r="Q46" s="194" t="str">
        <x:v>CTA LMFT Workbook 3</x:v>
      </x:c>
    </x:row>
    <x:row r="47">
      <x:c r="A47" s="191" t="str">
        <x:v>CTA-LMFT-MQB-0046</x:v>
      </x:c>
      <x:c r="B47" s="192" t="str">
        <x:v>LMFT-WB03-QB-Q012</x:v>
      </x:c>
      <x:c r="C47" s="192" t="str">
        <x:v>Workbook Question Bank</x:v>
      </x:c>
      <x:c r="D47" s="192" t="str">
        <x:v>Workbook 3</x:v>
      </x:c>
      <x:c r="E47" s="192" t="str">
        <x:v>A Deaf client and hearing partner seek couple therapy. The hearing partner offers to interpret. What should the therapist do FIRST?</x:v>
      </x:c>
      <x:c r="F47" s="192" t="str">
        <x:v>Accept the partner as interpreter because it is convenient.</x:v>
      </x:c>
      <x:c r="G47" s="192" t="str">
        <x:v>Conduct sessions only with the hearing partner.</x:v>
      </x:c>
      <x:c r="H47" s="192" t="str">
        <x:v>Refer the couple automatically without exploring accessible options.</x:v>
      </x:c>
      <x:c r="I47" s="192" t="str">
        <x:v>Ask the Deaf client about preferred communication, explain confidentiality and interpreter options, assess therapist competence, and arrange qualified access.</x:v>
      </x:c>
      <x:c r="J47" s="192" t="str">
        <x:v>D</x:v>
      </x:c>
      <x:c r="K47" s="192" t="str">
        <x:v>Incorrect. This can distort communication and compromise confidentiality and balance.</x:v>
      </x:c>
      <x:c r="L47" s="192" t="str">
        <x:v>Incorrect. This excludes the client and invalidates couple assessment.</x:v>
      </x:c>
      <x:c r="M47" s="192" t="str">
        <x:v>Incorrect. Referral may be needed if competence cannot be established, but access should first be assessed.</x:v>
      </x:c>
      <x:c r="N47" s="192" t="str">
        <x:v>Correct. Direct and confidential participation should not depend on the partner who is also part of the clinical relationship.</x:v>
      </x:c>
      <x:c r="O47" s="192" t="str">
        <x:v>A. Incorrect. This can distort communication and compromise confidentiality and balance.
B. Incorrect. This excludes the client and invalidates couple assessment.
C. Incorrect. Referral may be needed if competence cannot be established, but access should first be assessed.
D. Correct. Direct and confidential participation should not depend on the partner who is also part of the clinical relationship.</x:v>
      </x:c>
      <x:c r="P47" s="192" t="str">
        <x:v>In multi-client treatment, do not make one participant the communication gatekeeper for another.</x:v>
      </x:c>
      <x:c r="Q47" s="194" t="str">
        <x:v>CTA LMFT Workbook 3</x:v>
      </x:c>
    </x:row>
    <x:row r="48">
      <x:c r="A48" s="191" t="str">
        <x:v>CTA-LMFT-MQB-0047</x:v>
      </x:c>
      <x:c r="B48" s="192" t="str">
        <x:v>LMFT-WB03-QB-Q013</x:v>
      </x:c>
      <x:c r="C48" s="192" t="str">
        <x:v>Workbook Question Bank</x:v>
      </x:c>
      <x:c r="D48" s="192" t="str">
        <x:v>Workbook 3</x:v>
      </x:c>
      <x:c r="E48" s="192" t="str">
        <x:v>A 17-year-old asks the therapist not to tell parents about a dating relationship. The adolescent also says the partner monitors messages and threatens self-harm when boundaries are set. What should the therapist do FIRST?</x:v>
      </x:c>
      <x:c r="F48" s="192" t="str">
        <x:v>Assess coercion, violence and self-harm risk, the adolescent's safety and developmental capacity, confidentiality limits, supports, and the safest plan for involvement.</x:v>
      </x:c>
      <x:c r="G48" s="192" t="str">
        <x:v>Promise secrecy to preserve trust.</x:v>
      </x:c>
      <x:c r="H48" s="192" t="str">
        <x:v>Immediately tell the parents every detail.</x:v>
      </x:c>
      <x:c r="I48" s="192" t="str">
        <x:v>Invite the dating partner to the next session.</x:v>
      </x:c>
      <x:c r="J48" s="192" t="str">
        <x:v>A</x:v>
      </x:c>
      <x:c r="K48" s="192" t="str">
        <x:v>Correct. Safety and coercive-control assessment must precede routine privacy negotiation or conjoint work.</x:v>
      </x:c>
      <x:c r="L48" s="192" t="str">
        <x:v>Incorrect. The therapist cannot promise secrecy before assessing risk and legal or ethical limits.</x:v>
      </x:c>
      <x:c r="M48" s="192" t="str">
        <x:v>Incorrect. Disclosure decisions require assessment of risk, authority, necessity, and likely impact.</x:v>
      </x:c>
      <x:c r="N48" s="192" t="str">
        <x:v>Incorrect. Conjoint contact may increase danger and is premature.</x:v>
      </x:c>
      <x:c r="O48" s="192" t="str">
        <x:v>A. Correct. Safety and coercive-control assessment must precede routine privacy negotiation or conjoint work.
B. Incorrect. The therapist cannot promise secrecy before assessing risk and legal or ethical limits.
C. Incorrect. Disclosure decisions require assessment of risk, authority, necessity, and likely impact.
D. Incorrect. Conjoint contact may increase danger and is premature.</x:v>
      </x:c>
      <x:c r="P48" s="192" t="str">
        <x:v>When privacy and safety compete, assess the danger and disclosure framework before acting.</x:v>
      </x:c>
      <x:c r="Q48" s="194" t="str">
        <x:v>CTA LMFT Workbook 3</x:v>
      </x:c>
    </x:row>
    <x:row r="49">
      <x:c r="A49" s="191" t="str">
        <x:v>CTA-LMFT-MQB-0048</x:v>
      </x:c>
      <x:c r="B49" s="192" t="str">
        <x:v>LMFT-WB03-QB-Q014</x:v>
      </x:c>
      <x:c r="C49" s="192" t="str">
        <x:v>Workbook Question Bank</x:v>
      </x:c>
      <x:c r="D49" s="192" t="str">
        <x:v>Workbook 3</x:v>
      </x:c>
      <x:c r="E49" s="192" t="str">
        <x:v>An older adult in couple therapy becomes suddenly disoriented, while the spouse insists on continuing because conflict has finally surfaced. What should the therapist do NEXT?</x:v>
      </x:c>
      <x:c r="F49" s="192" t="str">
        <x:v>Continue because the spouse has valuable information.</x:v>
      </x:c>
      <x:c r="G49" s="192" t="str">
        <x:v>Pause therapy, assess immediate safety and acute change, and arrange urgent medical evaluation while supporting the spouse with clear next steps.</x:v>
      </x:c>
      <x:c r="H49" s="192" t="str">
        <x:v>Interpret the confusion as avoidance of conflict.</x:v>
      </x:c>
      <x:c r="I49" s="192" t="str">
        <x:v>Schedule an individual session next week.</x:v>
      </x:c>
      <x:c r="J49" s="192" t="str">
        <x:v>B</x:v>
      </x:c>
      <x:c r="K49" s="192" t="str">
        <x:v>Incorrect. Collateral information may help, but the acute change requires immediate health response.</x:v>
      </x:c>
      <x:c r="L49" s="192" t="str">
        <x:v>Correct. Sudden disorientation is a possible medical emergency and takes priority over relational processing.</x:v>
      </x:c>
      <x:c r="M49" s="192" t="str">
        <x:v>Incorrect. A psychological explanation is unsafe before medical causes are assessed.</x:v>
      </x:c>
      <x:c r="N49" s="192" t="str">
        <x:v>Incorrect. The timing is too delayed for an acute change.</x:v>
      </x:c>
      <x:c r="O49" s="192" t="str">
        <x:v>A. Incorrect. Collateral information may help, but the acute change requires immediate health response.
B. Correct. Sudden disorientation is a possible medical emergency and takes priority over relational processing.
C. Incorrect. A psychological explanation is unsafe before medical causes are assessed.
D. Incorrect. The timing is too delayed for an acute change.</x:v>
      </x:c>
      <x:c r="P49" s="192" t="str">
        <x:v>Medical urgency can temporarily supersede the planned treatment unit and agenda.</x:v>
      </x:c>
      <x:c r="Q49" s="194" t="str">
        <x:v>CTA LMFT Workbook 3</x:v>
      </x:c>
    </x:row>
    <x:row r="50">
      <x:c r="A50" s="191" t="str">
        <x:v>CTA-LMFT-MQB-0049</x:v>
      </x:c>
      <x:c r="B50" s="192" t="str">
        <x:v>LMFT-WB03-QB-Q015</x:v>
      </x:c>
      <x:c r="C50" s="192" t="str">
        <x:v>Workbook Question Bank</x:v>
      </x:c>
      <x:c r="D50" s="192" t="str">
        <x:v>Workbook 3</x:v>
      </x:c>
      <x:c r="E50" s="192" t="str">
        <x:v>A recently immigrated multigenerational family seeks therapy for a 16-year-old who is failing school, working late in the family business, and arguing with grandparents about independence. The adolescent also reports being mocked for an accent. What should the therapist do FIRST?</x:v>
      </x:c>
      <x:c r="F50" s="192" t="str">
        <x:v>Begin behavior modification for defiance.</x:v>
      </x:c>
      <x:c r="G50" s="192" t="str">
        <x:v>Tell the family that adolescent independence must take priority.</x:v>
      </x:c>
      <x:c r="H50" s="192" t="str">
        <x:v>Assess developmental and academic functioning, sleep and work demands, migration and language experiences, discrimination, family roles and power, safety, supports, access, and all members' goals.</x:v>
      </x:c>
      <x:c r="I50" s="192" t="str">
        <x:v>Contact the school and employer immediately without clarifying consent or goals.</x:v>
      </x:c>
      <x:c r="J50" s="192" t="str">
        <x:v>C</x:v>
      </x:c>
      <x:c r="K50" s="192" t="str">
        <x:v>Incorrect. This accepts a narrow referral label and ignores contextual demands.</x:v>
      </x:c>
      <x:c r="L50" s="192" t="str">
        <x:v>Incorrect. This imposes a cultural value and bypasses negotiation.</x:v>
      </x:c>
      <x:c r="M50" s="192" t="str">
        <x:v>Correct. The case requires integrated developmental, cultural, school, work, discrimination, and family-system assessment before intervention.</x:v>
      </x:c>
      <x:c r="N50" s="192" t="str">
        <x:v>Incorrect. Coordination may be useful, but authority, purpose, and client participation must first be established.</x:v>
      </x:c>
      <x:c r="O50" s="192" t="str">
        <x:v>A. Incorrect. This accepts a narrow referral label and ignores contextual demands.
B. Incorrect. This imposes a cultural value and bypasses negotiation.
C. Correct. The case requires integrated developmental, cultural, school, work, discrimination, and family-system assessment before intervention.
D. Incorrect. Coordination may be useful, but authority, purpose, and client participation must first be established.</x:v>
      </x:c>
      <x:c r="P50" s="192" t="str">
        <x:v>In complex cases, map all interacting systems before selecting one intervention target.</x:v>
      </x:c>
      <x:c r="Q50" s="194" t="str">
        <x:v>CTA LMFT Workbook 3</x:v>
      </x:c>
    </x:row>
    <x:row r="51">
      <x:c r="A51" s="191" t="str">
        <x:v>CTA-LMFT-MQB-0050</x:v>
      </x:c>
      <x:c r="B51" s="192" t="str">
        <x:v>LMFT-WB03-QB-Q016</x:v>
      </x:c>
      <x:c r="C51" s="192" t="str">
        <x:v>Workbook Question Bank</x:v>
      </x:c>
      <x:c r="D51" s="192" t="str">
        <x:v>Workbook 3</x:v>
      </x:c>
      <x:c r="E51" s="192" t="str">
        <x:v>A family displaced by wildfire is living with grandparents. A child has regressed, one parent lost employment, and conflict has increased over household rules. What should the therapist do FIRST?</x:v>
      </x:c>
      <x:c r="F51" s="192" t="str">
        <x:v>Treat the child individually for regression.</x:v>
      </x:c>
      <x:c r="G51" s="192" t="str">
        <x:v>Tell the grandparents to defer to the parents on every rule.</x:v>
      </x:c>
      <x:c r="H51" s="192" t="str">
        <x:v>Postpone therapy until permanent housing is found.</x:v>
      </x:c>
      <x:c r="I51" s="192" t="str">
        <x:v>Assess current safety and basic needs, health and trauma symptoms, the child's regression, financial and housing stress, multigenerational roles, supports, and each person's priorities.</x:v>
      </x:c>
      <x:c r="J51" s="192" t="str">
        <x:v>D</x:v>
      </x:c>
      <x:c r="K51" s="192" t="str">
        <x:v>Incorrect. The child may need support, but the family and environmental conditions must also be assessed.</x:v>
      </x:c>
      <x:c r="L51" s="192" t="str">
        <x:v>Incorrect. A rigid hierarchy recommendation is premature and may ignore practical caregiving roles.</x:v>
      </x:c>
      <x:c r="M51" s="192" t="str">
        <x:v>Incorrect. Clinical and practical support can proceed during instability.</x:v>
      </x:c>
      <x:c r="N51" s="192" t="str">
        <x:v>Correct. The crisis combines disaster exposure, developmental regression, economic loss, and family reorganization.</x:v>
      </x:c>
      <x:c r="O51" s="192" t="str">
        <x:v>A. Incorrect. The child may need support, but the family and environmental conditions must also be assessed.
B. Incorrect. A rigid hierarchy recommendation is premature and may ignore practical caregiving roles.
C. Incorrect. Clinical and practical support can proceed during instability.
D. Correct. The crisis combines disaster exposure, developmental regression, economic loss, and family reorganization.</x:v>
      </x:c>
      <x:c r="P51" s="192" t="str">
        <x:v>In disaster cases, address safety and concrete instability while assessing relational and developmental effects.</x:v>
      </x:c>
      <x:c r="Q51" s="194" t="str">
        <x:v>CTA LMFT Workbook 3</x:v>
      </x:c>
    </x:row>
    <x:row r="52">
      <x:c r="A52" s="191" t="str">
        <x:v>CTA-LMFT-MQB-0051</x:v>
      </x:c>
      <x:c r="B52" s="192" t="str">
        <x:v>LMFT-WB03-QB-Q017</x:v>
      </x:c>
      <x:c r="C52" s="192" t="str">
        <x:v>Workbook Question Bank</x:v>
      </x:c>
      <x:c r="D52" s="192" t="str">
        <x:v>Workbook 3</x:v>
      </x:c>
      <x:c r="E52" s="192" t="str">
        <x:v>An older couple is caring for one spouse with possible cognitive decline. Adult children disagree about placement, the caregiving spouse is exhausted, and finances are limited. What should the therapist do FIRST?</x:v>
      </x:c>
      <x:c r="F52" s="192" t="str">
        <x:v>Assess safety and medical evaluation needs, decision-making capacity, caregiving burden, finances, family roles and conflict, the older adults' preferences, supports, and continuity options.</x:v>
      </x:c>
      <x:c r="G52" s="192" t="str">
        <x:v>Support the adult child who offers the most expensive placement.</x:v>
      </x:c>
      <x:c r="H52" s="192" t="str">
        <x:v>Tell the caregiving spouse to continue until the family agrees.</x:v>
      </x:c>
      <x:c r="I52" s="192" t="str">
        <x:v>Ask the therapist to decide whether placement is necessary.</x:v>
      </x:c>
      <x:c r="J52" s="192" t="str">
        <x:v>A</x:v>
      </x:c>
      <x:c r="K52" s="192" t="str">
        <x:v>Correct. The case requires coordination of health, autonomy, caregiver safety, resources, and family decision-making without prematurely choosing placement.</x:v>
      </x:c>
      <x:c r="L52" s="192" t="str">
        <x:v>Incorrect. Cost or confidence does not determine the best plan.</x:v>
      </x:c>
      <x:c r="M52" s="192" t="str">
        <x:v>Incorrect. Ongoing exhaustion may be unsafe and requires immediate support assessment.</x:v>
      </x:c>
      <x:c r="N52" s="192" t="str">
        <x:v>Incorrect. The therapist should facilitate assessment and informed planning rather than make the family's legal and medical decision.</x:v>
      </x:c>
      <x:c r="O52" s="192" t="str">
        <x:v>A. Correct. The case requires coordination of health, autonomy, caregiver safety, resources, and family decision-making without prematurely choosing placement.
B. Incorrect. Cost or confidence does not determine the best plan.
C. Incorrect. Ongoing exhaustion may be unsafe and requires immediate support assessment.
D. Incorrect. The therapist should facilitate assessment and informed planning rather than make the family's legal and medical decision.</x:v>
      </x:c>
      <x:c r="P52" s="192" t="str">
        <x:v>Before choosing placement, clarify capacity, safety, preferences, burden, and feasible supports.</x:v>
      </x:c>
      <x:c r="Q52" s="194" t="str">
        <x:v>CTA LMFT Workbook 3</x:v>
      </x:c>
    </x:row>
    <x:row r="53">
      <x:c r="A53" s="191" t="str">
        <x:v>CTA-LMFT-MQB-0052</x:v>
      </x:c>
      <x:c r="B53" s="192" t="str">
        <x:v>LMFT-WB04-QB-Q001</x:v>
      </x:c>
      <x:c r="C53" s="192" t="str">
        <x:v>Workbook Question Bank</x:v>
      </x:c>
      <x:c r="D53" s="192" t="str">
        <x:v>Workbook 4</x:v>
      </x:c>
      <x:c r="E53" s="192" t="str">
        <x:v>A client reports having only two close relationships but describes both as dependable, reciprocal, and emotionally safe. Which conclusion is MOST appropriate?</x:v>
      </x:c>
      <x:c r="F53" s="192" t="str">
        <x:v>The client is socially isolated because a healthy network must include many people.</x:v>
      </x:c>
      <x:c r="G53" s="192" t="str">
        <x:v>The size of the network alone does not establish impairment; the therapist should evaluate whether the relationships meet the client's needs and support functioning.</x:v>
      </x:c>
      <x:c r="H53" s="192" t="str">
        <x:v>The therapist should require the client to join a group before completing the assessment.</x:v>
      </x:c>
      <x:c r="I53" s="192" t="str">
        <x:v>The two relationships should be considered inadequate unless they involve family members.</x:v>
      </x:c>
      <x:c r="J53" s="192" t="str">
        <x:v>B</x:v>
      </x:c>
      <x:c r="K53" s="192" t="str">
        <x:v>Incorrect. A small network is not automatically deficient when it is safe, dependable, and satisfactory to the client.</x:v>
      </x:c>
      <x:c r="L53" s="192" t="str">
        <x:v>Correct. Support quality, reciprocity, safety, and fit are more clinically meaningful than a simple count of contacts.</x:v>
      </x:c>
      <x:c r="M53" s="192" t="str">
        <x:v>Incorrect. A prescribed intervention is premature before clarifying distress, goals, and functioning.</x:v>
      </x:c>
      <x:c r="N53" s="192" t="str">
        <x:v>Incorrect. Support can come from family, friends, community, or other chosen relationships.</x:v>
      </x:c>
      <x:c r="O53" s="192" t="str">
        <x:v>A. Incorrect. A small network is not automatically deficient when it is safe, dependable, and satisfactory to the client.
B. Correct. Support quality, reciprocity, safety, and fit are more clinically meaningful than a simple count of contacts.
C. Incorrect. A prescribed intervention is premature before clarifying distress, goals, and functioning.
D. Incorrect. Support can come from family, friends, community, or other chosen relationships.</x:v>
      </x:c>
      <x:c r="P53" s="192" t="str">
        <x:v>Do not equate network size with support quality; assess function, safety, reciprocity, and client preference.</x:v>
      </x:c>
      <x:c r="Q53" s="194" t="str">
        <x:v>CTA LMFT Workbook 4</x:v>
      </x:c>
    </x:row>
    <x:row r="54">
      <x:c r="A54" s="191" t="str">
        <x:v>CTA-LMFT-MQB-0053</x:v>
      </x:c>
      <x:c r="B54" s="192" t="str">
        <x:v>LMFT-WB04-QB-Q002</x:v>
      </x:c>
      <x:c r="C54" s="192" t="str">
        <x:v>Workbook Question Bank</x:v>
      </x:c>
      <x:c r="D54" s="192" t="str">
        <x:v>Workbook 4</x:v>
      </x:c>
      <x:c r="E54" s="192" t="str">
        <x:v>What is the PRIMARY clinical purpose of a genogram in an LMFT assessment?</x:v>
      </x:c>
      <x:c r="F54" s="192" t="str">
        <x:v>To organize multigenerational relationships, roles, transitions, patterns, and significant events that may inform the current formulation.</x:v>
      </x:c>
      <x:c r="G54" s="192" t="str">
        <x:v>To prove that a present symptom was caused by one family member.</x:v>
      </x:c>
      <x:c r="H54" s="192" t="str">
        <x:v>To replace direct assessment of current family interactions.</x:v>
      </x:c>
      <x:c r="I54" s="192" t="str">
        <x:v>To determine which family member should control treatment decisions.</x:v>
      </x:c>
      <x:c r="J54" s="192" t="str">
        <x:v>A</x:v>
      </x:c>
      <x:c r="K54" s="192" t="str">
        <x:v>Correct. A genogram is a structured aid for identifying patterns and context; it does not establish causation by itself.</x:v>
      </x:c>
      <x:c r="L54" s="192" t="str">
        <x:v>Incorrect. A diagram cannot establish a single cause or assign blame.</x:v>
      </x:c>
      <x:c r="M54" s="192" t="str">
        <x:v>Incorrect. Current observation and participant perspectives remain essential.</x:v>
      </x:c>
      <x:c r="N54" s="192" t="str">
        <x:v>Incorrect. The tool describes relationships and history; it does not assign treatment authority.</x:v>
      </x:c>
      <x:c r="O54" s="192" t="str">
        <x:v>A. Correct. A genogram is a structured aid for identifying patterns and context; it does not establish causation by itself.
B. Incorrect. A diagram cannot establish a single cause or assign blame.
C. Incorrect. Current observation and participant perspectives remain essential.
D. Incorrect. The tool describes relationships and history; it does not assign treatment authority.</x:v>
      </x:c>
      <x:c r="P54" s="192" t="str">
        <x:v>Use a genogram to organize hypotheses, not to prove causation or replace current assessment.</x:v>
      </x:c>
      <x:c r="Q54" s="194" t="str">
        <x:v>CTA LMFT Workbook 4</x:v>
      </x:c>
    </x:row>
    <x:row r="55">
      <x:c r="A55" s="191" t="str">
        <x:v>CTA-LMFT-MQB-0054</x:v>
      </x:c>
      <x:c r="B55" s="192" t="str">
        <x:v>LMFT-WB04-QB-Q003</x:v>
      </x:c>
      <x:c r="C55" s="192" t="str">
        <x:v>Workbook Question Bank</x:v>
      </x:c>
      <x:c r="D55" s="192" t="str">
        <x:v>Workbook 4</x:v>
      </x:c>
      <x:c r="E55" s="192" t="str">
        <x:v>Which statement BEST distinguishes a screening measure from specialized psychological testing?</x:v>
      </x:c>
      <x:c r="F55" s="192" t="str">
        <x:v>A screening measure always produces a diagnosis, while specialized testing only describes symptoms.</x:v>
      </x:c>
      <x:c r="G55" s="192" t="str">
        <x:v>Both are interchangeable whenever the therapist has access to the instrument.</x:v>
      </x:c>
      <x:c r="H55" s="192" t="str">
        <x:v>A screening measure identifies whether additional assessment may be indicated, while specialized testing answers a more specific question and may require distinct training or referral.</x:v>
      </x:c>
      <x:c r="I55" s="192" t="str">
        <x:v>Specialized testing eliminates the need to integrate interview and contextual data.</x:v>
      </x:c>
      <x:c r="J55" s="192" t="str">
        <x:v>C</x:v>
      </x:c>
      <x:c r="K55" s="192" t="str">
        <x:v>Incorrect. Screening does not automatically establish diagnosis.</x:v>
      </x:c>
      <x:c r="L55" s="192" t="str">
        <x:v>Incorrect. Availability does not establish appropriate purpose or competence.</x:v>
      </x:c>
      <x:c r="M55" s="192" t="str">
        <x:v>Correct. The distinction rests on purpose, scope, interpretation, and required competence.</x:v>
      </x:c>
      <x:c r="N55" s="192" t="str">
        <x:v>Incorrect. Testing findings still require clinical and contextual integration.</x:v>
      </x:c>
      <x:c r="O55" s="192" t="str">
        <x:v>A. Incorrect. Screening does not automatically establish diagnosis.
B. Incorrect. Availability does not establish appropriate purpose or competence.
C. Correct. The distinction rests on purpose, scope, interpretation, and required competence.
D. Incorrect. Testing findings still require clinical and contextual integration.</x:v>
      </x:c>
      <x:c r="P55" s="192" t="str">
        <x:v>Ask what question the instrument is designed to answer and whether the clinician is qualified to use and interpret it.</x:v>
      </x:c>
      <x:c r="Q55" s="194" t="str">
        <x:v>CTA LMFT Workbook 4</x:v>
      </x:c>
    </x:row>
    <x:row r="56">
      <x:c r="A56" s="191" t="str">
        <x:v>CTA-LMFT-MQB-0055</x:v>
      </x:c>
      <x:c r="B56" s="192" t="str">
        <x:v>LMFT-WB04-QB-Q004</x:v>
      </x:c>
      <x:c r="C56" s="192" t="str">
        <x:v>Workbook Question Bank</x:v>
      </x:c>
      <x:c r="D56" s="192" t="str">
        <x:v>Workbook 4</x:v>
      </x:c>
      <x:c r="E56" s="192" t="str">
        <x:v>Which finding is the STRONGEST example of resilience within a family system?</x:v>
      </x:c>
      <x:c r="F56" s="192" t="str">
        <x:v>The family says conflict never occurs.</x:v>
      </x:c>
      <x:c r="G56" s="192" t="str">
        <x:v>One member insists that the family should handle every problem privately.</x:v>
      </x:c>
      <x:c r="H56" s="192" t="str">
        <x:v>The therapist describes the family as strong without identifying specific behaviors.</x:v>
      </x:c>
      <x:c r="I56" s="192" t="str">
        <x:v>After prior crises, family members developed a shared plan for seeking help, adjusted responsibilities, and used supportive community relationships.</x:v>
      </x:c>
      <x:c r="J56" s="192" t="str">
        <x:v>D</x:v>
      </x:c>
      <x:c r="K56" s="192" t="str">
        <x:v>Incorrect. Absence of reported conflict is not evidence of adaptive coping.</x:v>
      </x:c>
      <x:c r="L56" s="192" t="str">
        <x:v>Incorrect. Rigid self-reliance can reduce access to support.</x:v>
      </x:c>
      <x:c r="M56" s="192" t="str">
        <x:v>Incorrect. A general impression is less useful than demonstrated coping and resources.</x:v>
      </x:c>
      <x:c r="N56" s="192" t="str">
        <x:v>Correct. Resilience is demonstrated through adaptive actions, flexibility, and usable relational or community resources.</x:v>
      </x:c>
      <x:c r="O56" s="192" t="str">
        <x:v>A. Incorrect. Absence of reported conflict is not evidence of adaptive coping.
B. Incorrect. Rigid self-reliance can reduce access to support.
C. Incorrect. A general impression is less useful than demonstrated coping and resources.
D. Correct. Resilience is demonstrated through adaptive actions, flexibility, and usable relational or community resources.</x:v>
      </x:c>
      <x:c r="P56" s="192" t="str">
        <x:v>Choose observable coping and support patterns, not generic praise or denial of difficulty.</x:v>
      </x:c>
      <x:c r="Q56" s="194" t="str">
        <x:v>CTA LMFT Workbook 4</x:v>
      </x:c>
    </x:row>
    <x:row r="57">
      <x:c r="A57" s="191" t="str">
        <x:v>CTA-LMFT-MQB-0056</x:v>
      </x:c>
      <x:c r="B57" s="192" t="str">
        <x:v>LMFT-WB04-QB-Q005</x:v>
      </x:c>
      <x:c r="C57" s="192" t="str">
        <x:v>Workbook Question Bank</x:v>
      </x:c>
      <x:c r="D57" s="192" t="str">
        <x:v>Workbook 4</x:v>
      </x:c>
      <x:c r="E57" s="192" t="str">
        <x:v>Which statement BEST reflects the distinction between anger and violence in clinical assessment?</x:v>
      </x:c>
      <x:c r="F57" s="192" t="str">
        <x:v>Anger is an emotional state; violence involves behavior or credible risk and requires assessment of actions, intent, pattern, escalation, and safety.</x:v>
      </x:c>
      <x:c r="G57" s="192" t="str">
        <x:v>Any expression of anger proves that conjoint treatment is unsafe.</x:v>
      </x:c>
      <x:c r="H57" s="192" t="str">
        <x:v>Violence can be ruled out when the client appears calm in session.</x:v>
      </x:c>
      <x:c r="I57" s="192" t="str">
        <x:v>Past property destruction automatically proves current intent to harm a person.</x:v>
      </x:c>
      <x:c r="J57" s="192" t="str">
        <x:v>A</x:v>
      </x:c>
      <x:c r="K57" s="192" t="str">
        <x:v>Correct. Emotional intensity alone does not establish violent behavior, while calm presentation does not rule out risk.</x:v>
      </x:c>
      <x:c r="L57" s="192" t="str">
        <x:v>Incorrect. Safety depends on behavior, coercion, risk, and treatment suitability, not anger alone.</x:v>
      </x:c>
      <x:c r="M57" s="192" t="str">
        <x:v>Incorrect. Risk assessment must include history, behavior, pattern, and context.</x:v>
      </x:c>
      <x:c r="N57" s="192" t="str">
        <x:v>Incorrect. Past behavior is relevant but does not by itself establish current intent.</x:v>
      </x:c>
      <x:c r="O57" s="192" t="str">
        <x:v>A. Correct. Emotional intensity alone does not establish violent behavior, while calm presentation does not rule out risk.
B. Incorrect. Safety depends on behavior, coercion, risk, and treatment suitability, not anger alone.
C. Incorrect. Risk assessment must include history, behavior, pattern, and context.
D. Incorrect. Past behavior is relevant but does not by itself establish current intent.</x:v>
      </x:c>
      <x:c r="P57" s="192" t="str">
        <x:v>Separate emotion from behavior and assess the actual pattern, intent, escalation, access, and current safety.</x:v>
      </x:c>
      <x:c r="Q57" s="194" t="str">
        <x:v>CTA LMFT Workbook 4</x:v>
      </x:c>
    </x:row>
    <x:row r="58">
      <x:c r="A58" s="191" t="str">
        <x:v>CTA-LMFT-MQB-0057</x:v>
      </x:c>
      <x:c r="B58" s="192" t="str">
        <x:v>LMFT-WB04-QB-Q006</x:v>
      </x:c>
      <x:c r="C58" s="192" t="str">
        <x:v>Workbook Question Bank</x:v>
      </x:c>
      <x:c r="D58" s="192" t="str">
        <x:v>Workbook 4</x:v>
      </x:c>
      <x:c r="E58" s="192" t="str">
        <x:v>A client in a consensually nonmonogamous relationship reports jealousy and asks whether the relationship structure is unhealthy. What should the therapist do FIRST?</x:v>
      </x:c>
      <x:c r="F58" s="192" t="str">
        <x:v>Explain that jealousy proves the relationship structure is clinically inappropriate.</x:v>
      </x:c>
      <x:c r="G58" s="192" t="str">
        <x:v>Explore the client's meanings, agreements, consent, boundaries, safety, satisfaction, conflict patterns, and goals without assuming the relationship structure is pathological.</x:v>
      </x:c>
      <x:c r="H58" s="192" t="str">
        <x:v>Recommend immediate conversion to monogamy.</x:v>
      </x:c>
      <x:c r="I58" s="192" t="str">
        <x:v>Avoid discussing relationship agreements because they are private.</x:v>
      </x:c>
      <x:c r="J58" s="192" t="str">
        <x:v>B</x:v>
      </x:c>
      <x:c r="K58" s="192" t="str">
        <x:v>Incorrect. Jealousy can occur in many relationship structures and requires contextual assessment.</x:v>
      </x:c>
      <x:c r="L58" s="192" t="str">
        <x:v>Correct. Inclusive assessment focuses on functioning, consent, power, distress, and the client's goals rather than imposing a relationship norm.</x:v>
      </x:c>
      <x:c r="M58" s="192" t="str">
        <x:v>Incorrect. This is directive and not supported by the available information.</x:v>
      </x:c>
      <x:c r="N58" s="192" t="str">
        <x:v>Incorrect. The concern is clinically relevant and can be explored respectfully with permission.</x:v>
      </x:c>
      <x:c r="O58" s="192" t="str">
        <x:v>A. Incorrect. Jealousy can occur in many relationship structures and requires contextual assessment.
B. Correct. Inclusive assessment focuses on functioning, consent, power, distress, and the client's goals rather than imposing a relationship norm.
C. Incorrect. This is directive and not supported by the available information.
D. Incorrect. The concern is clinically relevant and can be explored respectfully with permission.</x:v>
      </x:c>
      <x:c r="P58" s="192" t="str">
        <x:v>Assess consent, safety, meaning, functioning, and goals; do not treat one relationship structure as the default standard.</x:v>
      </x:c>
      <x:c r="Q58" s="194" t="str">
        <x:v>CTA LMFT Workbook 4</x:v>
      </x:c>
    </x:row>
    <x:row r="59">
      <x:c r="A59" s="191" t="str">
        <x:v>CTA-LMFT-MQB-0058</x:v>
      </x:c>
      <x:c r="B59" s="192" t="str">
        <x:v>LMFT-WB04-QB-Q007</x:v>
      </x:c>
      <x:c r="C59" s="192" t="str">
        <x:v>Workbook Question Bank</x:v>
      </x:c>
      <x:c r="D59" s="192" t="str">
        <x:v>Workbook 4</x:v>
      </x:c>
      <x:c r="E59" s="192" t="str">
        <x:v>A multigenerational household shares caregiving and financial responsibilities. The therapist notices close involvement among family members. What is the BEST assessment response?</x:v>
      </x:c>
      <x:c r="F59" s="192" t="str">
        <x:v>Label the family enmeshed because adults do not live independently.</x:v>
      </x:c>
      <x:c r="G59" s="192" t="str">
        <x:v>Advise the adult children to separate financially from the household.</x:v>
      </x:c>
      <x:c r="H59" s="192" t="str">
        <x:v>Ask how roles, privacy, decision-making, support, burden, and boundaries function within the family's cultural and practical context.</x:v>
      </x:c>
      <x:c r="I59" s="192" t="str">
        <x:v>Assume the arrangement is healthy because it reflects cultural tradition.</x:v>
      </x:c>
      <x:c r="J59" s="192" t="str">
        <x:v>C</x:v>
      </x:c>
      <x:c r="K59" s="192" t="str">
        <x:v>Incorrect. Living arrangements and closeness require contextual and cultural interpretation.</x:v>
      </x:c>
      <x:c r="L59" s="192" t="str">
        <x:v>Incorrect. This is premature and directive.</x:v>
      </x:c>
      <x:c r="M59" s="192" t="str">
        <x:v>Correct. Cultural closeness should be assessed for meaning and function before being labeled as enmeshment or dysfunction.</x:v>
      </x:c>
      <x:c r="N59" s="192" t="str">
        <x:v>Incorrect. Tradition does not eliminate the need to assess burden, choice, power, and functioning.</x:v>
      </x:c>
      <x:c r="O59" s="192" t="str">
        <x:v>A. Incorrect. Living arrangements and closeness require contextual and cultural interpretation.
B. Incorrect. This is premature and directive.
C. Correct. Cultural closeness should be assessed for meaning and function before being labeled as enmeshment or dysfunction.
D. Incorrect. Tradition does not eliminate the need to assess burden, choice, power, and functioning.</x:v>
      </x:c>
      <x:c r="P59" s="192" t="str">
        <x:v>Describe how the pattern functions before applying a pathology label.</x:v>
      </x:c>
      <x:c r="Q59" s="194" t="str">
        <x:v>CTA LMFT Workbook 4</x:v>
      </x:c>
    </x:row>
    <x:row r="60">
      <x:c r="A60" s="191" t="str">
        <x:v>CTA-LMFT-MQB-0059</x:v>
      </x:c>
      <x:c r="B60" s="192" t="str">
        <x:v>LMFT-WB04-QB-Q008</x:v>
      </x:c>
      <x:c r="C60" s="192" t="str">
        <x:v>Workbook Question Bank</x:v>
      </x:c>
      <x:c r="D60" s="192" t="str">
        <x:v>Workbook 4</x:v>
      </x:c>
      <x:c r="E60" s="192" t="str">
        <x:v>A client reports intense grief six months after the death of a sibling and participates in daily cultural mourning practices. What should the therapist assess NEXT?</x:v>
      </x:c>
      <x:c r="F60" s="192" t="str">
        <x:v>Conclude that the mourning practice is maintaining a disorder.</x:v>
      </x:c>
      <x:c r="G60" s="192" t="str">
        <x:v>Ask the client to discontinue the rituals before further assessment.</x:v>
      </x:c>
      <x:c r="H60" s="192" t="str">
        <x:v>Reassure the client that no assessment is needed because grief is always normal.</x:v>
      </x:c>
      <x:c r="I60" s="192" t="str">
        <x:v>The meaning of the loss and rituals, current functioning, support, guilt, trauma exposure, safety, and whether the grief pattern is changing or causing significant impairment.</x:v>
      </x:c>
      <x:c r="J60" s="192" t="str">
        <x:v>D</x:v>
      </x:c>
      <x:c r="K60" s="192" t="str">
        <x:v>Incorrect. The practice may be culturally meaningful and cannot be judged without context.</x:v>
      </x:c>
      <x:c r="L60" s="192" t="str">
        <x:v>Incorrect. This is directive and may undermine culturally relevant support.</x:v>
      </x:c>
      <x:c r="M60" s="192" t="str">
        <x:v>Incorrect. Grief can coexist with safety concerns, trauma, or significant impairment that require assessment.</x:v>
      </x:c>
      <x:c r="N60" s="192" t="str">
        <x:v>Correct. Time and intensity alone are insufficient; grief must be understood within culture, meaning, functioning, and safety.</x:v>
      </x:c>
      <x:c r="O60" s="192" t="str">
        <x:v>A. Incorrect. The practice may be culturally meaningful and cannot be judged without context.
B. Incorrect. This is directive and may undermine culturally relevant support.
C. Incorrect. Grief can coexist with safety concerns, trauma, or significant impairment that require assessment.
D. Correct. Time and intensity alone are insufficient; grief must be understood within culture, meaning, functioning, and safety.</x:v>
      </x:c>
      <x:c r="P60" s="192" t="str">
        <x:v>Do not diagnose or normalize from time alone; assess meaning, culture, function, support, and risk.</x:v>
      </x:c>
      <x:c r="Q60" s="194" t="str">
        <x:v>CTA LMFT Workbook 4</x:v>
      </x:c>
    </x:row>
    <x:row r="61">
      <x:c r="A61" s="191" t="str">
        <x:v>CTA-LMFT-MQB-0060</x:v>
      </x:c>
      <x:c r="B61" s="192" t="str">
        <x:v>LMFT-WB04-QB-Q009</x:v>
      </x:c>
      <x:c r="C61" s="192" t="str">
        <x:v>Workbook Question Bank</x:v>
      </x:c>
      <x:c r="D61" s="192" t="str">
        <x:v>Workbook 4</x:v>
      </x:c>
      <x:c r="E61" s="192" t="str">
        <x:v>A parent reports that a teenager punched a wall during one argument but has not threatened anyone. What should the therapist assess FIRST?</x:v>
      </x:c>
      <x:c r="F61" s="192" t="str">
        <x:v>The sequence, triggers, frequency, intent, escalation, injuries, access to weapons, substance involvement, remorse, accountability, and current safety.</x:v>
      </x:c>
      <x:c r="G61" s="192" t="str">
        <x:v>Diagnose an impulse-control disorder from the single incident.</x:v>
      </x:c>
      <x:c r="H61" s="192" t="str">
        <x:v>Treat the event as harmless because no person was struck.</x:v>
      </x:c>
      <x:c r="I61" s="192" t="str">
        <x:v>Begin family communication training before asking about safety.</x:v>
      </x:c>
      <x:c r="J61" s="192" t="str">
        <x:v>A</x:v>
      </x:c>
      <x:c r="K61" s="192" t="str">
        <x:v>Correct. A behaviorally specific risk assessment is needed before minimizing the event or assuming imminent violence.</x:v>
      </x:c>
      <x:c r="L61" s="192" t="str">
        <x:v>Incorrect. One event does not establish a diagnosis.</x:v>
      </x:c>
      <x:c r="M61" s="192" t="str">
        <x:v>Incorrect. Property destruction may signal escalation and warrants assessment.</x:v>
      </x:c>
      <x:c r="N61" s="192" t="str">
        <x:v>Incorrect. Safety and risk pattern come before conjoint skills work.</x:v>
      </x:c>
      <x:c r="O61" s="192" t="str">
        <x:v>A. Correct. A behaviorally specific risk assessment is needed before minimizing the event or assuming imminent violence.
B. Incorrect. One event does not establish a diagnosis.
C. Incorrect. Property destruction may signal escalation and warrants assessment.
D. Incorrect. Safety and risk pattern come before conjoint skills work.</x:v>
      </x:c>
      <x:c r="P61" s="192" t="str">
        <x:v>Use behaviorally specific questions and establish current safety before interpreting or intervening.</x:v>
      </x:c>
      <x:c r="Q61" s="194" t="str">
        <x:v>CTA LMFT Workbook 4</x:v>
      </x:c>
    </x:row>
    <x:row r="62">
      <x:c r="A62" s="191" t="str">
        <x:v>CTA-LMFT-MQB-0061</x:v>
      </x:c>
      <x:c r="B62" s="192" t="str">
        <x:v>LMFT-WB04-QB-Q010</x:v>
      </x:c>
      <x:c r="C62" s="192" t="str">
        <x:v>Workbook Question Bank</x:v>
      </x:c>
      <x:c r="D62" s="192" t="str">
        <x:v>Workbook 4</x:v>
      </x:c>
      <x:c r="E62" s="192" t="str">
        <x:v>During a trauma-history interview, a client becomes glassy-eyed, stops responding, and appears disoriented. What should the therapist do NEXT?</x:v>
      </x:c>
      <x:c r="F62" s="192" t="str">
        <x:v>Continue asking questions so the client can complete the narrative.</x:v>
      </x:c>
      <x:c r="G62" s="192" t="str">
        <x:v>Pause the trauma inquiry, orient the client to the present, assess immediate safety and dissociation, support stabilization, and collaboratively decide whether to continue.</x:v>
      </x:c>
      <x:c r="H62" s="192" t="str">
        <x:v>Interpret the behavior as resistance and confront it.</x:v>
      </x:c>
      <x:c r="I62" s="192" t="str">
        <x:v>End treatment permanently because trauma assessment is not possible.</x:v>
      </x:c>
      <x:c r="J62" s="192" t="str">
        <x:v>B</x:v>
      </x:c>
      <x:c r="K62" s="192" t="str">
        <x:v>Incorrect. Pressing for detail may intensify dysregulation and undermine control.</x:v>
      </x:c>
      <x:c r="L62" s="192" t="str">
        <x:v>Correct. The client's current regulation and safety take priority over obtaining additional historical detail.</x:v>
      </x:c>
      <x:c r="M62" s="192" t="str">
        <x:v>Incorrect. The presentation may reflect dissociation or overwhelm and requires assessment, not confrontation.</x:v>
      </x:c>
      <x:c r="N62" s="192" t="str">
        <x:v>Incorrect. The immediate need is stabilization and pacing, not automatic termination.</x:v>
      </x:c>
      <x:c r="O62" s="192" t="str">
        <x:v>A. Incorrect. Pressing for detail may intensify dysregulation and undermine control.
B. Correct. The client's current regulation and safety take priority over obtaining additional historical detail.
C. Incorrect. The presentation may reflect dissociation or overwhelm and requires assessment, not confrontation.
D. Incorrect. The immediate need is stabilization and pacing, not automatic termination.</x:v>
      </x:c>
      <x:c r="P62" s="192" t="str">
        <x:v>When regulation deteriorates, pause content gathering and restore orientation, safety, and choice.</x:v>
      </x:c>
      <x:c r="Q62" s="194" t="str">
        <x:v>CTA LMFT Workbook 4</x:v>
      </x:c>
    </x:row>
    <x:row r="63">
      <x:c r="A63" s="191" t="str">
        <x:v>CTA-LMFT-MQB-0062</x:v>
      </x:c>
      <x:c r="B63" s="192" t="str">
        <x:v>LMFT-WB04-QB-Q011</x:v>
      </x:c>
      <x:c r="C63" s="192" t="str">
        <x:v>Workbook Question Bank</x:v>
      </x:c>
      <x:c r="D63" s="192" t="str">
        <x:v>Workbook 4</x:v>
      </x:c>
      <x:c r="E63" s="192" t="str">
        <x:v>An LMFT plans to use a relationship measure that has not been validated in the client's preferred language. What is the BEST next step?</x:v>
      </x:c>
      <x:c r="F63" s="192" t="str">
        <x:v>Ask a family member to translate each item during administration.</x:v>
      </x:c>
      <x:c r="G63" s="192" t="str">
        <x:v>Use the measure unchanged because standardized tools are culturally neutral.</x:v>
      </x:c>
      <x:c r="H63" s="192" t="str">
        <x:v>Determine whether an appropriate validated version or qualified language-access method exists, review limitations, and decide whether another assessment approach would better answer the clinical question.</x:v>
      </x:c>
      <x:c r="I63" s="192" t="str">
        <x:v>Score the measure but omit the language limitation from interpretation.</x:v>
      </x:c>
      <x:c r="J63" s="192" t="str">
        <x:v>C</x:v>
      </x:c>
      <x:c r="K63" s="192" t="str">
        <x:v>Incorrect. This can introduce accuracy, confidentiality, and influence concerns.</x:v>
      </x:c>
      <x:c r="L63" s="192" t="str">
        <x:v>Incorrect. Standardization does not guarantee fit across languages and populations.</x:v>
      </x:c>
      <x:c r="M63" s="192" t="str">
        <x:v>Correct. Language and cultural fit affect validity and interpretation; informal translation may distort results.</x:v>
      </x:c>
      <x:c r="N63" s="192" t="str">
        <x:v>Incorrect. Limitations must be considered and documented.</x:v>
      </x:c>
      <x:c r="O63" s="192" t="str">
        <x:v>A. Incorrect. This can introduce accuracy, confidentiality, and influence concerns.
B. Incorrect. Standardization does not guarantee fit across languages and populations.
C. Correct. Language and cultural fit affect validity and interpretation; informal translation may distort results.
D. Incorrect. Limitations must be considered and documented.</x:v>
      </x:c>
      <x:c r="P63" s="192" t="str">
        <x:v>A measure is useful only when its population, language, administration, and interpretation support the clinical decision.</x:v>
      </x:c>
      <x:c r="Q63" s="194" t="str">
        <x:v>CTA LMFT Workbook 4</x:v>
      </x:c>
    </x:row>
    <x:row r="64">
      <x:c r="A64" s="191" t="str">
        <x:v>CTA-LMFT-MQB-0063</x:v>
      </x:c>
      <x:c r="B64" s="192" t="str">
        <x:v>LMFT-WB04-QB-Q012</x:v>
      </x:c>
      <x:c r="C64" s="192" t="str">
        <x:v>Workbook Question Bank</x:v>
      </x:c>
      <x:c r="D64" s="192" t="str">
        <x:v>Workbook 4</x:v>
      </x:c>
      <x:c r="E64" s="192" t="str">
        <x:v>A child has persistent reading difficulties despite appropriate instruction, and the family wants to know whether a learning disorder is present. What should the LMFT do?</x:v>
      </x:c>
      <x:c r="F64" s="192" t="str">
        <x:v>Diagnose the learning disorder based on the family's description.</x:v>
      </x:c>
      <x:c r="G64" s="192" t="str">
        <x:v>Refer the family out of therapy and end all LMFT involvement.</x:v>
      </x:c>
      <x:c r="H64" s="192" t="str">
        <x:v>Administer any available academic test without regard to competence.</x:v>
      </x:c>
      <x:c r="I64" s="192" t="str">
        <x:v>Continue relevant relational and psychosocial assessment while referring for an educational or psychological evaluation that can answer the specific learning question.</x:v>
      </x:c>
      <x:c r="J64" s="192" t="str">
        <x:v>D</x:v>
      </x:c>
      <x:c r="K64" s="192" t="str">
        <x:v>Incorrect. Specialized educational or psychological data are needed.</x:v>
      </x:c>
      <x:c r="L64" s="192" t="str">
        <x:v>Incorrect. Referral need not eliminate ongoing appropriate clinical support.</x:v>
      </x:c>
      <x:c r="M64" s="192" t="str">
        <x:v>Incorrect. Access to a test does not establish qualification to use it.</x:v>
      </x:c>
      <x:c r="N64" s="192" t="str">
        <x:v>Correct. The LMFT retains responsibility for the clinical context while obtaining specialized testing from a qualified professional.</x:v>
      </x:c>
      <x:c r="O64" s="192" t="str">
        <x:v>A. Incorrect. Specialized educational or psychological data are needed.
B. Incorrect. Referral need not eliminate ongoing appropriate clinical support.
C. Incorrect. Access to a test does not establish qualification to use it.
D. Correct. The LMFT retains responsibility for the clinical context while obtaining specialized testing from a qualified professional.</x:v>
      </x:c>
      <x:c r="P64" s="192" t="str">
        <x:v>Match the unresolved question to the right evaluator while maintaining appropriate clinical continuity.</x:v>
      </x:c>
      <x:c r="Q64" s="194" t="str">
        <x:v>CTA LMFT Workbook 4</x:v>
      </x:c>
    </x:row>
    <x:row r="65">
      <x:c r="A65" s="191" t="str">
        <x:v>CTA-LMFT-MQB-0064</x:v>
      </x:c>
      <x:c r="B65" s="192" t="str">
        <x:v>LMFT-WB04-QB-Q013</x:v>
      </x:c>
      <x:c r="C65" s="192" t="str">
        <x:v>Workbook Question Bank</x:v>
      </x:c>
      <x:c r="D65" s="192" t="str">
        <x:v>Workbook 4</x:v>
      </x:c>
      <x:c r="E65" s="192" t="str">
        <x:v>A family seeks therapy after a grandparent's stroke. One parent has become the primary caregiver, the other works two jobs, and their adolescent has begun skipping school. What should the therapist do FIRST?</x:v>
      </x:c>
      <x:c r="F65" s="192" t="str">
        <x:v>Assess the stroke-related care demands, caregiver burden, role redistribution, couple and parent-child patterns, the adolescent's functioning and safety, available supports, and each person's priorities.</x:v>
      </x:c>
      <x:c r="G65" s="192" t="str">
        <x:v>Focus only on the adolescent's truancy because it is the identified problem.</x:v>
      </x:c>
      <x:c r="H65" s="192" t="str">
        <x:v>Tell the primary caregiver to reduce involvement with the grandparent.</x:v>
      </x:c>
      <x:c r="I65" s="192" t="str">
        <x:v>Begin couple communication training without assessing the adolescent.</x:v>
      </x:c>
      <x:c r="J65" s="192" t="str">
        <x:v>A</x:v>
      </x:c>
      <x:c r="K65" s="192" t="str">
        <x:v>Correct. The presenting behavior may be embedded in a family transition and resource strain that require systemic assessment before assigning blame or selecting an intervention.</x:v>
      </x:c>
      <x:c r="L65" s="192" t="str">
        <x:v>Incorrect. This ignores the transition, caregiving system, and reciprocal family effects.</x:v>
      </x:c>
      <x:c r="M65" s="192" t="str">
        <x:v>Incorrect. This is directive and does not assess obligations, preferences, or resources.</x:v>
      </x:c>
      <x:c r="N65" s="192" t="str">
        <x:v>Incorrect. The family system and the adolescent's functioning and safety all require assessment.</x:v>
      </x:c>
      <x:c r="O65" s="192" t="str">
        <x:v>A. Correct. The presenting behavior may be embedded in a family transition and resource strain that require systemic assessment before assigning blame or selecting an intervention.
B. Incorrect. This ignores the transition, caregiving system, and reciprocal family effects.
C. Incorrect. This is directive and does not assess obligations, preferences, or resources.
D. Incorrect. The family system and the adolescent's functioning and safety all require assessment.</x:v>
      </x:c>
      <x:c r="P65" s="192" t="str">
        <x:v>When one symptom emerges during a major transition, assess the role changes, resources, reciprocal patterns, and each participant's functioning.</x:v>
      </x:c>
      <x:c r="Q65" s="194" t="str">
        <x:v>CTA LMFT Workbook 4</x:v>
      </x:c>
    </x:row>
    <x:row r="66">
      <x:c r="A66" s="191" t="str">
        <x:v>CTA-LMFT-MQB-0065</x:v>
      </x:c>
      <x:c r="B66" s="192" t="str">
        <x:v>LMFT-WB04-QB-Q014</x:v>
      </x:c>
      <x:c r="C66" s="192" t="str">
        <x:v>Workbook Question Bank</x:v>
      </x:c>
      <x:c r="D66" s="192" t="str">
        <x:v>Workbook 4</x:v>
      </x:c>
      <x:c r="E66" s="192" t="str">
        <x:v>In separate meetings, one partner reports fear and stalking after attempted separation, while the other describes the behavior as efforts to repair the relationship. What should the therapist do NEXT?</x:v>
      </x:c>
      <x:c r="F66" s="192" t="str">
        <x:v>Bring both partners together immediately to determine whose account is accurate.</x:v>
      </x:c>
      <x:c r="G66" s="192" t="str">
        <x:v>Conduct an individualized safety and coercive-control assessment, clarify escalation and access, evaluate the suitability of conjoint contact, and develop an appropriate safety-focused plan.</x:v>
      </x:c>
      <x:c r="H66" s="192" t="str">
        <x:v>Treat the behavior as ordinary attachment protest because the intent is reconciliation.</x:v>
      </x:c>
      <x:c r="I66" s="192" t="str">
        <x:v>Require the fearful partner to disclose all concerns in a joint session.</x:v>
      </x:c>
      <x:c r="J66" s="192" t="str">
        <x:v>B</x:v>
      </x:c>
      <x:c r="K66" s="192" t="str">
        <x:v>Incorrect. Confrontation may increase danger and is not the first safety step.</x:v>
      </x:c>
      <x:c r="L66" s="192" t="str">
        <x:v>Correct. Differing narratives do not neutralize risk; behavior, pattern, fear, control, and current safety must be assessed before conjoint work.</x:v>
      </x:c>
      <x:c r="M66" s="192" t="str">
        <x:v>Incorrect. Claimed intent does not negate coercion, stalking, or fear.</x:v>
      </x:c>
      <x:c r="N66" s="192" t="str">
        <x:v>Incorrect. Forced disclosure can increase risk and undermine autonomy.</x:v>
      </x:c>
      <x:c r="O66" s="192" t="str">
        <x:v>A. Incorrect. Confrontation may increase danger and is not the first safety step.
B. Correct. Differing narratives do not neutralize risk; behavior, pattern, fear, control, and current safety must be assessed before conjoint work.
C. Incorrect. Claimed intent does not negate coercion, stalking, or fear.
D. Incorrect. Forced disclosure can increase risk and undermine autonomy.</x:v>
      </x:c>
      <x:c r="P66" s="192" t="str">
        <x:v>Prioritize behavior and safety over competing relationship narratives; conjoint processing comes only after suitability is established.</x:v>
      </x:c>
      <x:c r="Q66" s="194" t="str">
        <x:v>CTA LMFT Workbook 4</x:v>
      </x:c>
    </x:row>
    <x:row r="67">
      <x:c r="A67" s="191" t="str">
        <x:v>CTA-LMFT-MQB-0066</x:v>
      </x:c>
      <x:c r="B67" s="192" t="str">
        <x:v>LMFT-WB04-QB-Q015</x:v>
      </x:c>
      <x:c r="C67" s="192" t="str">
        <x:v>Workbook Question Bank</x:v>
      </x:c>
      <x:c r="D67" s="192" t="str">
        <x:v>Workbook 4</x:v>
      </x:c>
      <x:c r="E67" s="192" t="str">
        <x:v>A nine-year-old begins reenacting sexually explicit scenes with toys after spending weekends in a new household. The child gives no clear explanation and appears anxious. What is the BEST initial clinical response?</x:v>
      </x:c>
      <x:c r="F67" s="192" t="str">
        <x:v>Question the child repeatedly until a specific perpetrator is identified.</x:v>
      </x:c>
      <x:c r="G67" s="192" t="str">
        <x:v>Assume the behavior is normal because children are curious.</x:v>
      </x:c>
      <x:c r="H67" s="192" t="str">
        <x:v>Assess immediate safety, the behavior's developmental context and onset, exposure possibilities, coercion or abuse indicators, functioning, and the need for specialized consultation or protective action.</x:v>
      </x:c>
      <x:c r="I67" s="192" t="str">
        <x:v>Confront the adults in the new household before clarifying safety and consultation needs.</x:v>
      </x:c>
      <x:c r="J67" s="192" t="str">
        <x:v>C</x:v>
      </x:c>
      <x:c r="K67" s="192" t="str">
        <x:v>Incorrect. Repeated or leading questioning can increase distress and contaminate information.</x:v>
      </x:c>
      <x:c r="L67" s="192" t="str">
        <x:v>Incorrect. The explicit, new, and anxious presentation requires assessment.</x:v>
      </x:c>
      <x:c r="M67" s="192" t="str">
        <x:v>Correct. The behavior warrants careful, nonleading assessment and appropriate consultation without assuming either abuse or harmless curiosity.</x:v>
      </x:c>
      <x:c r="N67" s="192" t="str">
        <x:v>Incorrect. Premature confrontation may increase risk and interfere with appropriate assessment.</x:v>
      </x:c>
      <x:c r="O67" s="192" t="str">
        <x:v>A. Incorrect. Repeated or leading questioning can increase distress and contaminate information.
B. Incorrect. The explicit, new, and anxious presentation requires assessment.
C. Correct. The behavior warrants careful, nonleading assessment and appropriate consultation without assuming either abuse or harmless curiosity.
D. Incorrect. Premature confrontation may increase risk and interfere with appropriate assessment.</x:v>
      </x:c>
      <x:c r="P67" s="192" t="str">
        <x:v>Do not jump to certainty; assess safety, developmental fit, onset, exposure, coercion, and the need for specialized help.</x:v>
      </x:c>
      <x:c r="Q67" s="194" t="str">
        <x:v>CTA LMFT Workbook 4</x:v>
      </x:c>
    </x:row>
    <x:row r="68">
      <x:c r="A68" s="191" t="str">
        <x:v>CTA-LMFT-MQB-0067</x:v>
      </x:c>
      <x:c r="B68" s="192" t="str">
        <x:v>LMFT-WB04-QB-Q016</x:v>
      </x:c>
      <x:c r="C68" s="192" t="str">
        <x:v>Workbook Question Bank</x:v>
      </x:c>
      <x:c r="D68" s="192" t="str">
        <x:v>Workbook 4</x:v>
      </x:c>
      <x:c r="E68" s="192" t="str">
        <x:v>An older client develops sudden irritability and suspiciousness after a medication change. Adult children disagree about whether the client should move out of the home. What should the therapist do FIRST?</x:v>
      </x:c>
      <x:c r="F68" s="192" t="str">
        <x:v>Interpret the suspiciousness as a longstanding family-system role.</x:v>
      </x:c>
      <x:c r="G68" s="192" t="str">
        <x:v>Ask the adult children to vote on the living arrangement.</x:v>
      </x:c>
      <x:c r="H68" s="192" t="str">
        <x:v>Begin family-of-origin work before coordinating medical evaluation.</x:v>
      </x:c>
      <x:c r="I68" s="192" t="str">
        <x:v>Arrange prompt medical or medication evaluation while assessing immediate safety, baseline change, cognition, family conflict, supports, and the client's preferences and participation.</x:v>
      </x:c>
      <x:c r="J68" s="192" t="str">
        <x:v>D</x:v>
      </x:c>
      <x:c r="K68" s="192" t="str">
        <x:v>Incorrect. The sudden onset and medication change require medical consideration.</x:v>
      </x:c>
      <x:c r="L68" s="192" t="str">
        <x:v>Incorrect. The client's preferences, decision-making ability, safety, and professional assessment are required.</x:v>
      </x:c>
      <x:c r="M68" s="192" t="str">
        <x:v>Incorrect. The possible medical cause and immediate safety take priority.</x:v>
      </x:c>
      <x:c r="N68" s="192" t="str">
        <x:v>Correct. Abrupt change after a medication adjustment raises a medical question that must be integrated with relational and safety assessment.</x:v>
      </x:c>
      <x:c r="O68" s="192" t="str">
        <x:v>A. Incorrect. The sudden onset and medication change require medical consideration.
B. Incorrect. The client's preferences, decision-making ability, safety, and professional assessment are required.
C. Incorrect. The possible medical cause and immediate safety take priority.
D. Correct. Abrupt change after a medication adjustment raises a medical question that must be integrated with relational and safety assessment.</x:v>
      </x:c>
      <x:c r="P68" s="192" t="str">
        <x:v>Sudden cognitive or behavioral change controls the sequence: address medical urgency while preserving systemic assessment and client participation.</x:v>
      </x:c>
      <x:c r="Q68" s="194" t="str">
        <x:v>CTA LMFT Workbook 4</x:v>
      </x:c>
    </x:row>
    <x:row r="69">
      <x:c r="A69" s="191" t="str">
        <x:v>CTA-LMFT-MQB-0068</x:v>
      </x:c>
      <x:c r="B69" s="192" t="str">
        <x:v>LMFT-WB04-QB-Q017</x:v>
      </x:c>
      <x:c r="C69" s="192" t="str">
        <x:v>Workbook Question Bank</x:v>
      </x:c>
      <x:c r="D69" s="192" t="str">
        <x:v>Workbook 4</x:v>
      </x:c>
      <x:c r="E69" s="192" t="str">
        <x:v>A recently resettled family seeks help for a teenager's school refusal, nightmares, and conflict with parents. The family uses an interpreter, fears authorities, and relies heavily on a faith community. What is the BEST next assessment plan?</x:v>
      </x:c>
      <x:c r="F69" s="192" t="str">
        <x:v>Clarify roles and confidentiality through qualified language access; assess present safety, trauma and loss with careful pacing, school and family patterns, developmental and cultural meanings, strengths and faith supports, access barriers, and the need for coordinated consultation.</x:v>
      </x:c>
      <x:c r="G69" s="192" t="str">
        <x:v>Use the teenager as interpreter so the parents will feel more comfortable.</x:v>
      </x:c>
      <x:c r="H69" s="192" t="str">
        <x:v>Assume school refusal is caused by trauma and begin exposure immediately.</x:v>
      </x:c>
      <x:c r="I69" s="192" t="str">
        <x:v>Avoid asking about migration or faith because those topics may be sensitive.</x:v>
      </x:c>
      <x:c r="J69" s="192" t="str">
        <x:v>A</x:v>
      </x:c>
      <x:c r="K69" s="192" t="str">
        <x:v>Correct. The plan integrates safety, trauma, development, culture, language, family systems, strengths, and service access without making one factor the sole explanation.</x:v>
      </x:c>
      <x:c r="L69" s="192" t="str">
        <x:v>Incorrect. This burdens the teenager and can compromise accuracy, confidentiality, and family roles.</x:v>
      </x:c>
      <x:c r="M69" s="192" t="str">
        <x:v>Incorrect. The cause and treatment fit require broader assessment.</x:v>
      </x:c>
      <x:c r="N69" s="192" t="str">
        <x:v>Incorrect. Relevant topics can be explored transparently and respectfully with client choice.</x:v>
      </x:c>
      <x:c r="O69" s="192" t="str">
        <x:v>A. Correct. The plan integrates safety, trauma, development, culture, language, family systems, strengths, and service access without making one factor the sole explanation.
B. Incorrect. This burdens the teenager and can compromise accuracy, confidentiality, and family roles.
C. Incorrect. The cause and treatment fit require broader assessment.
D. Incorrect. Relevant topics can be explored transparently and respectfully with client choice.</x:v>
      </x:c>
      <x:c r="P69" s="192" t="str">
        <x:v>Use an integrated sequence: access and role clarity, safety, client meanings, systemic pattern, strengths, barriers, and targeted consultation.</x:v>
      </x:c>
      <x:c r="Q69" s="194" t="str">
        <x:v>CTA LMFT Workbook 4</x:v>
      </x:c>
    </x:row>
    <x:row r="70">
      <x:c r="A70" s="191" t="str">
        <x:v>CTA-LMFT-MQB-0069</x:v>
      </x:c>
      <x:c r="B70" s="192" t="str">
        <x:v>LMFT-WB05-QB-Q001</x:v>
      </x:c>
      <x:c r="C70" s="192" t="str">
        <x:v>Workbook Question Bank</x:v>
      </x:c>
      <x:c r="D70" s="192" t="str">
        <x:v>Workbook 5</x:v>
      </x:c>
      <x:c r="E70" s="192" t="str">
        <x:v>A therapist has a strong working impression but is still awaiting records needed to confirm episode duration and exclude a substance-related cause. Which statement about diagnostic status is MOST accurate?</x:v>
      </x:c>
      <x:c r="F70" s="192" t="str">
        <x:v>Whenever the therapist has no meaningful diagnostic information.</x:v>
      </x:c>
      <x:c r="G70" s="192" t="str">
        <x:v>When the current presentation substantially fits a diagnosis but essential confirmation, duration, history, or exclusion information is still pending.</x:v>
      </x:c>
      <x:c r="H70" s="192" t="str">
        <x:v>Whenever the client disagrees with the therapist's impression.</x:v>
      </x:c>
      <x:c r="I70" s="192" t="str">
        <x:v>Whenever the therapist wants to avoid documenting symptoms and impairment.</x:v>
      </x:c>
      <x:c r="J70" s="192" t="str">
        <x:v>B</x:v>
      </x:c>
      <x:c r="K70" s="192" t="str">
        <x:v>Incorrect. A provisional diagnosis still requires evidence supporting a likely diagnostic direction.</x:v>
      </x:c>
      <x:c r="L70" s="192" t="str">
        <x:v>Correct. Provisional language communicates a supported working impression while accurately preserving uncertainty.</x:v>
      </x:c>
      <x:c r="M70" s="192" t="str">
        <x:v>Incorrect. Client disagreement may require further discussion but does not define provisional status.</x:v>
      </x:c>
      <x:c r="N70" s="192" t="str">
        <x:v>Incorrect. Provisional language does not replace clear documentation of the evidence and remaining questions.</x:v>
      </x:c>
      <x:c r="O70" s="192" t="str">
        <x:v>A. Incorrect. A provisional diagnosis still requires evidence supporting a likely diagnostic direction.
B. Correct. Provisional language communicates a supported working impression while accurately preserving uncertainty.
C. Incorrect. Client disagreement may require further discussion but does not define provisional status.
D. Incorrect. Provisional language does not replace clear documentation of the evidence and remaining questions.</x:v>
      </x:c>
      <x:c r="P70" s="192" t="str">
        <x:v>Choose the level of certainty the evidence supports; provisional means supported but not fully confirmed.</x:v>
      </x:c>
      <x:c r="Q70" s="194" t="str">
        <x:v>CTA LMFT Workbook 5</x:v>
      </x:c>
    </x:row>
    <x:row r="71">
      <x:c r="A71" s="191" t="str">
        <x:v>CTA-LMFT-MQB-0070</x:v>
      </x:c>
      <x:c r="B71" s="192" t="str">
        <x:v>LMFT-WB05-QB-Q002</x:v>
      </x:c>
      <x:c r="C71" s="192" t="str">
        <x:v>Workbook Question Bank</x:v>
      </x:c>
      <x:c r="D71" s="192" t="str">
        <x:v>Workbook 5</x:v>
      </x:c>
      <x:c r="E71" s="192" t="str">
        <x:v>Which statement BEST describes diagnostic parsimony?</x:v>
      </x:c>
      <x:c r="F71" s="192" t="str">
        <x:v>Use no more diagnoses than the evidence supports while allowing genuine co-occurring conditions when each has independent clinical significance.</x:v>
      </x:c>
      <x:c r="G71" s="192" t="str">
        <x:v>Select the single most severe diagnosis and place every symptom under it.</x:v>
      </x:c>
      <x:c r="H71" s="192" t="str">
        <x:v>Assign a separate diagnosis for every reported symptom.</x:v>
      </x:c>
      <x:c r="I71" s="192" t="str">
        <x:v>Avoid diagnosing co-occurring conditions because only one diagnosis can be correct.</x:v>
      </x:c>
      <x:c r="J71" s="192" t="str">
        <x:v>A</x:v>
      </x:c>
      <x:c r="K71" s="192" t="str">
        <x:v>Correct. Parsimony avoids unnecessary labels without forcing every symptom into one diagnosis.</x:v>
      </x:c>
      <x:c r="L71" s="192" t="str">
        <x:v>Incorrect. Severity does not justify ignoring independent symptom patterns or exclusions.</x:v>
      </x:c>
      <x:c r="M71" s="192" t="str">
        <x:v>Incorrect. Symptoms may overlap within one condition and should not be double-counted.</x:v>
      </x:c>
      <x:c r="N71" s="192" t="str">
        <x:v>Incorrect. Comorbidity may be accurate when each condition is independently supported.</x:v>
      </x:c>
      <x:c r="O71" s="192" t="str">
        <x:v>A. Correct. Parsimony avoids unnecessary labels without forcing every symptom into one diagnosis.
B. Incorrect. Severity does not justify ignoring independent symptom patterns or exclusions.
C. Incorrect. Symptoms may overlap within one condition and should not be double-counted.
D. Incorrect. Comorbidity may be accurate when each condition is independently supported.</x:v>
      </x:c>
      <x:c r="P71" s="192" t="str">
        <x:v>Avoid both overdiagnosis and forced single-cause explanations.</x:v>
      </x:c>
      <x:c r="Q71" s="194" t="str">
        <x:v>CTA LMFT Workbook 5</x:v>
      </x:c>
    </x:row>
    <x:row r="72">
      <x:c r="A72" s="191" t="str">
        <x:v>CTA-LMFT-MQB-0071</x:v>
      </x:c>
      <x:c r="B72" s="192" t="str">
        <x:v>LMFT-WB05-QB-Q003</x:v>
      </x:c>
      <x:c r="C72" s="192" t="str">
        <x:v>Workbook Question Bank</x:v>
      </x:c>
      <x:c r="D72" s="192" t="str">
        <x:v>Workbook 5</x:v>
      </x:c>
      <x:c r="E72" s="192" t="str">
        <x:v>Which history is MOST useful for distinguishing a bipolar-spectrum episode from chronic anxiety with insomnia?</x:v>
      </x:c>
      <x:c r="F72" s="192" t="str">
        <x:v>A long history of worrying about several areas of life.</x:v>
      </x:c>
      <x:c r="G72" s="192" t="str">
        <x:v>Occasional arguments with family members during stressful weeks.</x:v>
      </x:c>
      <x:c r="H72" s="192" t="str">
        <x:v>A distinct period of elevated or markedly irritable mood accompanied by increased energy, reduced need for sleep, and a clear change from baseline.</x:v>
      </x:c>
      <x:c r="I72" s="192" t="str">
        <x:v>A preference for late-night work and flexible sleep hours.</x:v>
      </x:c>
      <x:c r="J72" s="192" t="str">
        <x:v>C</x:v>
      </x:c>
      <x:c r="K72" s="192" t="str">
        <x:v>Incorrect. This supports an anxiety pattern but does not establish a bipolar episode.</x:v>
      </x:c>
      <x:c r="L72" s="192" t="str">
        <x:v>Incorrect. Relationship conflict and irritability are nonspecific.</x:v>
      </x:c>
      <x:c r="M72" s="192" t="str">
        <x:v>Correct. Bipolar reasoning depends on an episodic mood-and-energy change, not insomnia or irritability alone.</x:v>
      </x:c>
      <x:c r="N72" s="192" t="str">
        <x:v>Incorrect. A lifestyle preference is not the same as reduced need for sleep during an episode.</x:v>
      </x:c>
      <x:c r="O72" s="192" t="str">
        <x:v>A. Incorrect. This supports an anxiety pattern but does not establish a bipolar episode.
B. Incorrect. Relationship conflict and irritability are nonspecific.
C. Correct. Bipolar reasoning depends on an episodic mood-and-energy change, not insomnia or irritability alone.
D. Incorrect. A lifestyle preference is not the same as reduced need for sleep during an episode.</x:v>
      </x:c>
      <x:c r="P72" s="192" t="str">
        <x:v>Look for a distinct episode with increased energy and changed functioning, not one isolated symptom.</x:v>
      </x:c>
      <x:c r="Q72" s="194" t="str">
        <x:v>CTA LMFT Workbook 5</x:v>
      </x:c>
    </x:row>
    <x:row r="73">
      <x:c r="A73" s="191" t="str">
        <x:v>CTA-LMFT-MQB-0072</x:v>
      </x:c>
      <x:c r="B73" s="192" t="str">
        <x:v>LMFT-WB05-QB-Q004</x:v>
      </x:c>
      <x:c r="C73" s="192" t="str">
        <x:v>Workbook Question Bank</x:v>
      </x:c>
      <x:c r="D73" s="192" t="str">
        <x:v>Workbook 5</x:v>
      </x:c>
      <x:c r="E73" s="192" t="str">
        <x:v>A family seeks therapy for conflict and caregiver strain after an adult child returns home to assist an ill parent. Assessment does not currently support a mental disorder in any participant. What is the BEST diagnostic approach?</x:v>
      </x:c>
      <x:c r="F73" s="192" t="str">
        <x:v>Assign adjustment disorder to every participant because a major stressor is present.</x:v>
      </x:c>
      <x:c r="G73" s="192" t="str">
        <x:v>Diagnose the more argumentative partner with a personality disorder.</x:v>
      </x:c>
      <x:c r="H73" s="192" t="str">
        <x:v>Decline treatment because no mental disorder has been identified.</x:v>
      </x:c>
      <x:c r="I73" s="192" t="str">
        <x:v>Document and treat the clinically significant relational and socioeconomic conditions while continuing appropriate individual and systemic assessment.</x:v>
      </x:c>
      <x:c r="J73" s="192" t="str">
        <x:v>D</x:v>
      </x:c>
      <x:c r="K73" s="192" t="str">
        <x:v>Incorrect. A stressor alone does not establish a disorder or clinically significant symptom pattern.</x:v>
      </x:c>
      <x:c r="L73" s="192" t="str">
        <x:v>Incorrect. Conflict behavior in a crisis does not establish a pervasive personality pattern.</x:v>
      </x:c>
      <x:c r="M73" s="192" t="str">
        <x:v>Incorrect. LMFT services may appropriately address relational distress and contextual problems.</x:v>
      </x:c>
      <x:c r="N73" s="192" t="str">
        <x:v>Correct. Contextual and relational problems may be legitimate clinical focuses without forcing a mental-disorder diagnosis.</x:v>
      </x:c>
      <x:c r="O73" s="192" t="str">
        <x:v>A. Incorrect. A stressor alone does not establish a disorder or clinically significant symptom pattern.
B. Incorrect. Conflict behavior in a crisis does not establish a pervasive personality pattern.
C. Incorrect. LMFT services may appropriately address relational distress and contextual problems.
D. Correct. Contextual and relational problems may be legitimate clinical focuses without forcing a mental-disorder diagnosis.</x:v>
      </x:c>
      <x:c r="P73" s="192" t="str">
        <x:v>Do not create a disorder merely to justify treatment; document the actual focus of care.</x:v>
      </x:c>
      <x:c r="Q73" s="194" t="str">
        <x:v>CTA LMFT Workbook 5</x:v>
      </x:c>
    </x:row>
    <x:row r="74">
      <x:c r="A74" s="191" t="str">
        <x:v>CTA-LMFT-MQB-0073</x:v>
      </x:c>
      <x:c r="B74" s="192" t="str">
        <x:v>LMFT-WB05-QB-Q005</x:v>
      </x:c>
      <x:c r="C74" s="192" t="str">
        <x:v>Workbook Question Bank</x:v>
      </x:c>
      <x:c r="D74" s="192" t="str">
        <x:v>Workbook 5</x:v>
      </x:c>
      <x:c r="E74" s="192" t="str">
        <x:v>Which change MOST strongly signals the need to consider a medical, medication, or substance-related explanation before finalizing a psychiatric diagnosis?</x:v>
      </x:c>
      <x:c r="F74" s="192" t="str">
        <x:v>An abrupt departure from baseline that begins after a medication change, illness, injury, intoxication, withdrawal, or major sleep disruption.</x:v>
      </x:c>
      <x:c r="G74" s="192" t="str">
        <x:v>A longstanding pattern that began in childhood and appears across settings.</x:v>
      </x:c>
      <x:c r="H74" s="192" t="str">
        <x:v>A symptom that appears only during one recurring family argument.</x:v>
      </x:c>
      <x:c r="I74" s="192" t="str">
        <x:v>A preference for one treatment modality over another.</x:v>
      </x:c>
      <x:c r="J74" s="192" t="str">
        <x:v>A</x:v>
      </x:c>
      <x:c r="K74" s="192" t="str">
        <x:v>Correct. Timing and sudden baseline change are high-value clues for nonprimary psychiatric contributors.</x:v>
      </x:c>
      <x:c r="L74" s="192" t="str">
        <x:v>Incorrect. This may suggest a developmental pattern rather than an acute medical change.</x:v>
      </x:c>
      <x:c r="M74" s="192" t="str">
        <x:v>Incorrect. This suggests situational and relational context but not necessarily a medical cause.</x:v>
      </x:c>
      <x:c r="N74" s="192" t="str">
        <x:v>Incorrect. Treatment preference does not identify etiology.</x:v>
      </x:c>
      <x:c r="O74" s="192" t="str">
        <x:v>A. Correct. Timing and sudden baseline change are high-value clues for nonprimary psychiatric contributors.
B. Incorrect. This may suggest a developmental pattern rather than an acute medical change.
C. Incorrect. This suggests situational and relational context but not necessarily a medical cause.
D. Incorrect. Treatment preference does not identify etiology.</x:v>
      </x:c>
      <x:c r="P74" s="192" t="str">
        <x:v>When onset is sudden, ask what changed immediately before the symptoms began.</x:v>
      </x:c>
      <x:c r="Q74" s="194" t="str">
        <x:v>CTA LMFT Workbook 5</x:v>
      </x:c>
    </x:row>
    <x:row r="75">
      <x:c r="A75" s="191" t="str">
        <x:v>CTA-LMFT-MQB-0074</x:v>
      </x:c>
      <x:c r="B75" s="192" t="str">
        <x:v>LMFT-WB05-QB-Q006</x:v>
      </x:c>
      <x:c r="C75" s="192" t="str">
        <x:v>Workbook Question Bank</x:v>
      </x:c>
      <x:c r="D75" s="192" t="str">
        <x:v>Workbook 5</x:v>
      </x:c>
      <x:c r="E75" s="192" t="str">
        <x:v>A client reports unwanted images of causing a fire and repeatedly checks the stove for hours to reduce anxiety. What is the BEST next diagnostic step?</x:v>
      </x:c>
      <x:c r="F75" s="192" t="str">
        <x:v>Conclude that the images are psychotic because they involve harm.</x:v>
      </x:c>
      <x:c r="G75" s="192" t="str">
        <x:v>Assess the intrusive thoughts, checking sequence, time consumed, distress, insight, avoidance, impairment, and whether another condition or substance better explains the pattern.</x:v>
      </x:c>
      <x:c r="H75" s="192" t="str">
        <x:v>Diagnose generalized anxiety disorder because the client feels anxious.</x:v>
      </x:c>
      <x:c r="I75" s="192" t="str">
        <x:v>Reassure the client that checking is a reasonable safety habit.</x:v>
      </x:c>
      <x:c r="J75" s="192" t="str">
        <x:v>B</x:v>
      </x:c>
      <x:c r="K75" s="192" t="str">
        <x:v>Incorrect. Intrusive, unwanted thoughts with retained insight differ from fixed psychotic beliefs.</x:v>
      </x:c>
      <x:c r="L75" s="192" t="str">
        <x:v>Correct. The described obsession-compulsion cycle is clinically important, but threshold and exclusions still require assessment.</x:v>
      </x:c>
      <x:c r="M75" s="192" t="str">
        <x:v>Incorrect. The ritualized response to specific intrusive thoughts points to a different pattern.</x:v>
      </x:c>
      <x:c r="N75" s="192" t="str">
        <x:v>Incorrect. Hours of repetitive checking and distress warrant clinical assessment.</x:v>
      </x:c>
      <x:c r="O75" s="192" t="str">
        <x:v>A. Incorrect. Intrusive, unwanted thoughts with retained insight differ from fixed psychotic beliefs.
B. Correct. The described obsession-compulsion cycle is clinically important, but threshold and exclusions still require assessment.
C. Incorrect. The ritualized response to specific intrusive thoughts points to a different pattern.
D. Incorrect. Hours of repetitive checking and distress warrant clinical assessment.</x:v>
      </x:c>
      <x:c r="P75" s="192" t="str">
        <x:v>Identify the maintaining sequence: intrusive thought, distress, ritual, temporary relief, and impairment.</x:v>
      </x:c>
      <x:c r="Q75" s="194" t="str">
        <x:v>CTA LMFT Workbook 5</x:v>
      </x:c>
    </x:row>
    <x:row r="76">
      <x:c r="A76" s="191" t="str">
        <x:v>CTA-LMFT-MQB-0075</x:v>
      </x:c>
      <x:c r="B76" s="192" t="str">
        <x:v>LMFT-WB05-QB-Q007</x:v>
      </x:c>
      <x:c r="C76" s="192" t="str">
        <x:v>Workbook Question Bank</x:v>
      </x:c>
      <x:c r="D76" s="192" t="str">
        <x:v>Workbook 5</x:v>
      </x:c>
      <x:c r="E76" s="192" t="str">
        <x:v>A client develops low mood, insomnia, and irritability three weeks after losing a business. What should the therapist do NEXT?</x:v>
      </x:c>
      <x:c r="F76" s="192" t="str">
        <x:v>Diagnose adjustment disorder solely because the symptoms followed a stressor.</x:v>
      </x:c>
      <x:c r="G76" s="192" t="str">
        <x:v>Diagnose major depressive disorder because insomnia and low mood are present.</x:v>
      </x:c>
      <x:c r="H76" s="192" t="str">
        <x:v>Assess symptom severity, duration, impairment, safety, prior episodes, substance and medical factors, and whether the presentation is best understood as a stress response, depressive disorder, or another condition.</x:v>
      </x:c>
      <x:c r="I76" s="192" t="str">
        <x:v>Begin trauma exposure because the loss was upsetting.</x:v>
      </x:c>
      <x:c r="J76" s="192" t="str">
        <x:v>C</x:v>
      </x:c>
      <x:c r="K76" s="192" t="str">
        <x:v>Incorrect. The full pattern, threshold, duration, and alternatives remain unknown.</x:v>
      </x:c>
      <x:c r="L76" s="192" t="str">
        <x:v>Incorrect. Two symptoms do not establish the complete syndrome or exclusions.</x:v>
      </x:c>
      <x:c r="M76" s="192" t="str">
        <x:v>Correct. A clear stressor narrows the differential but does not automatically determine the diagnosis.</x:v>
      </x:c>
      <x:c r="N76" s="192" t="str">
        <x:v>Incorrect. Business loss is not automatically a qualifying trauma, and diagnosis has not been established.</x:v>
      </x:c>
      <x:c r="O76" s="192" t="str">
        <x:v>A. Incorrect. The full pattern, threshold, duration, and alternatives remain unknown.
B. Incorrect. Two symptoms do not establish the complete syndrome or exclusions.
C. Correct. A clear stressor narrows the differential but does not automatically determine the diagnosis.
D. Incorrect. Business loss is not automatically a qualifying trauma, and diagnosis has not been established.</x:v>
      </x:c>
      <x:c r="P76" s="192" t="str">
        <x:v>A stressor is a clue, not a diagnosis; assess the full pattern and alternatives.</x:v>
      </x:c>
      <x:c r="Q76" s="194" t="str">
        <x:v>CTA LMFT Workbook 5</x:v>
      </x:c>
    </x:row>
    <x:row r="77">
      <x:c r="A77" s="191" t="str">
        <x:v>CTA-LMFT-MQB-0076</x:v>
      </x:c>
      <x:c r="B77" s="192" t="str">
        <x:v>LMFT-WB05-QB-Q008</x:v>
      </x:c>
      <x:c r="C77" s="192" t="str">
        <x:v>Workbook Question Bank</x:v>
      </x:c>
      <x:c r="D77" s="192" t="str">
        <x:v>Workbook 5</x:v>
      </x:c>
      <x:c r="E77" s="192" t="str">
        <x:v>A client presents with paranoia after several days of stimulant use. An old chart lists schizophrenia, but the timeline of prior symptoms is unclear. What should the therapist do FIRST?</x:v>
      </x:c>
      <x:c r="F77" s="192" t="str">
        <x:v>Use schizophrenia because it appears in the chart.</x:v>
      </x:c>
      <x:c r="G77" s="192" t="str">
        <x:v>Use stimulant-induced psychosis because current use is documented.</x:v>
      </x:c>
      <x:c r="H77" s="192" t="str">
        <x:v>Begin family therapy to determine who caused the symptoms.</x:v>
      </x:c>
      <x:c r="I77" s="192" t="str">
        <x:v>Assess immediate safety and medical stability, clarify the relationship between substance use and psychotic symptoms, review prior episodes during abstinence, and coordinate appropriate evaluation before finalizing the diagnosis.</x:v>
      </x:c>
      <x:c r="J77" s="192" t="str">
        <x:v>D</x:v>
      </x:c>
      <x:c r="K77" s="192" t="str">
        <x:v>Incorrect. A prior record is one data source and may be outdated or unsupported.</x:v>
      </x:c>
      <x:c r="L77" s="192" t="str">
        <x:v>Incorrect. Current use is highly relevant but does not resolve whether independent episodes occurred.</x:v>
      </x:c>
      <x:c r="M77" s="192" t="str">
        <x:v>Incorrect. Systemic context matters, but safety, medical status, and diagnostic chronology come first.</x:v>
      </x:c>
      <x:c r="N77" s="192" t="str">
        <x:v>Correct. Both a primary psychotic disorder and a substance-induced presentation remain plausible, so chronology and urgent assessment control the sequence.</x:v>
      </x:c>
      <x:c r="O77" s="192" t="str">
        <x:v>A. Incorrect. A prior record is one data source and may be outdated or unsupported.
B. Incorrect. Current use is highly relevant but does not resolve whether independent episodes occurred.
C. Incorrect. Systemic context matters, but safety, medical status, and diagnostic chronology come first.
D. Correct. Both a primary psychotic disorder and a substance-induced presentation remain plausible, so chronology and urgent assessment control the sequence.</x:v>
      </x:c>
      <x:c r="P77" s="192" t="str">
        <x:v>Prioritize safety and timeline before accepting either the old diagnosis or the current substance explanation.</x:v>
      </x:c>
      <x:c r="Q77" s="194" t="str">
        <x:v>CTA LMFT Workbook 5</x:v>
      </x:c>
    </x:row>
    <x:row r="78">
      <x:c r="A78" s="191" t="str">
        <x:v>CTA-LMFT-MQB-0077</x:v>
      </x:c>
      <x:c r="B78" s="192" t="str">
        <x:v>LMFT-WB05-QB-Q009</x:v>
      </x:c>
      <x:c r="C78" s="192" t="str">
        <x:v>Workbook Question Bank</x:v>
      </x:c>
      <x:c r="D78" s="192" t="str">
        <x:v>Workbook 5</x:v>
      </x:c>
      <x:c r="E78" s="192" t="str">
        <x:v>An eight-year-old has become distractible and oppositional at school following a move and parental separation. What is the BEST assessment plan?</x:v>
      </x:c>
      <x:c r="F78" s="192" t="str">
        <x:v>Gather developmental and educational history, compare functioning across settings and time, assess sleep, stress, trauma, learning, attention, family transitions, strengths, and collateral information before assigning a diagnosis.</x:v>
      </x:c>
      <x:c r="G78" s="192" t="str">
        <x:v>Diagnose attention-deficit/hyperactivity disorder because school performance declined.</x:v>
      </x:c>
      <x:c r="H78" s="192" t="str">
        <x:v>Diagnose oppositional defiant disorder because the child argues with adults.</x:v>
      </x:c>
      <x:c r="I78" s="192" t="str">
        <x:v>Treat the parents' separation as the only cause and skip individual assessment.</x:v>
      </x:c>
      <x:c r="J78" s="192" t="str">
        <x:v>A</x:v>
      </x:c>
      <x:c r="K78" s="192" t="str">
        <x:v>Correct. Recent onset after major disruption requires a broad developmental and contextual differential rather than premature labeling.</x:v>
      </x:c>
      <x:c r="L78" s="192" t="str">
        <x:v>Incorrect. The onset, cross-setting pattern, developmental history, and alternatives are not established.</x:v>
      </x:c>
      <x:c r="M78" s="192" t="str">
        <x:v>Incorrect. Defiance may be situational or stress-related and requires pattern and context assessment.</x:v>
      </x:c>
      <x:c r="N78" s="192" t="str">
        <x:v>Incorrect. Context is important but does not replace assessment of the child's functioning and possible co-occurring needs.</x:v>
      </x:c>
      <x:c r="O78" s="192" t="str">
        <x:v>A. Correct. Recent onset after major disruption requires a broad developmental and contextual differential rather than premature labeling.
B. Incorrect. The onset, cross-setting pattern, developmental history, and alternatives are not established.
C. Incorrect. Defiance may be situational or stress-related and requires pattern and context assessment.
D. Incorrect. Context is important but does not replace assessment of the child's functioning and possible co-occurring needs.</x:v>
      </x:c>
      <x:c r="P78" s="192" t="str">
        <x:v>For children, compare settings, baseline, development, and recent changes before selecting a label.</x:v>
      </x:c>
      <x:c r="Q78" s="194" t="str">
        <x:v>CTA LMFT Workbook 5</x:v>
      </x:c>
    </x:row>
    <x:row r="79">
      <x:c r="A79" s="191" t="str">
        <x:v>CTA-LMFT-MQB-0078</x:v>
      </x:c>
      <x:c r="B79" s="192" t="str">
        <x:v>LMFT-WB05-QB-Q010</x:v>
      </x:c>
      <x:c r="C79" s="192" t="str">
        <x:v>Workbook Question Bank</x:v>
      </x:c>
      <x:c r="D79" s="192" t="str">
        <x:v>Workbook 5</x:v>
      </x:c>
      <x:c r="E79" s="192" t="str">
        <x:v>A transgender adult reports anxiety that intensifies when misgendered at work but describes comfort with their identity. Which response is MOST diagnostically sound?</x:v>
      </x:c>
      <x:c r="F79" s="192" t="str">
        <x:v>Diagnose gender dysphoria because the client is transgender.</x:v>
      </x:c>
      <x:c r="G79" s="192" t="str">
        <x:v>Assess anxiety, impairment, safety, discrimination, workplace context, supports, and the client's goals without treating gender identity itself as pathology.</x:v>
      </x:c>
      <x:c r="H79" s="192" t="str">
        <x:v>Conclude that no mental-health assessment is appropriate because discrimination is external.</x:v>
      </x:c>
      <x:c r="I79" s="192" t="str">
        <x:v>Recommend that the client conceal identity to reduce symptoms.</x:v>
      </x:c>
      <x:c r="J79" s="192" t="str">
        <x:v>B</x:v>
      </x:c>
      <x:c r="K79" s="192" t="str">
        <x:v>Incorrect. Identity alone does not establish clinically significant dysphoria.</x:v>
      </x:c>
      <x:c r="L79" s="192" t="str">
        <x:v>Correct. Distress may be related to mistreatment or another clinical pattern; identity alone is not a disorder.</x:v>
      </x:c>
      <x:c r="M79" s="192" t="str">
        <x:v>Incorrect. Environmental harm and a co-occurring anxiety condition may both require assessment.</x:v>
      </x:c>
      <x:c r="N79" s="192" t="str">
        <x:v>Incorrect. This is directive and shifts responsibility away from the harmful environment.</x:v>
      </x:c>
      <x:c r="O79" s="192" t="str">
        <x:v>A. Incorrect. Identity alone does not establish clinically significant dysphoria.
B. Correct. Distress may be related to mistreatment or another clinical pattern; identity alone is not a disorder.
C. Incorrect. Environmental harm and a co-occurring anxiety condition may both require assessment.
D. Incorrect. This is directive and shifts responsibility away from the harmful environment.</x:v>
      </x:c>
      <x:c r="P79" s="192" t="str">
        <x:v>Do not pathologize identity; assess distress, impairment, danger, and the environment producing or maintaining symptoms.</x:v>
      </x:c>
      <x:c r="Q79" s="194" t="str">
        <x:v>CTA LMFT Workbook 5</x:v>
      </x:c>
    </x:row>
    <x:row r="80">
      <x:c r="A80" s="191" t="str">
        <x:v>CTA-LMFT-MQB-0079</x:v>
      </x:c>
      <x:c r="B80" s="192" t="str">
        <x:v>LMFT-WB05-QB-Q011</x:v>
      </x:c>
      <x:c r="C80" s="192" t="str">
        <x:v>Workbook Question Bank</x:v>
      </x:c>
      <x:c r="D80" s="192" t="str">
        <x:v>Workbook 5</x:v>
      </x:c>
      <x:c r="E80" s="192" t="str">
        <x:v>One partner tells the therapist that the other 'definitely has narcissistic personality disorder.' What should the therapist do NEXT?</x:v>
      </x:c>
      <x:c r="F80" s="192" t="str">
        <x:v>Document the diagnosis because the partner has observed the behavior for years.</x:v>
      </x:c>
      <x:c r="G80" s="192" t="str">
        <x:v>Tell the reporting partner that the claim is false.</x:v>
      </x:c>
      <x:c r="H80" s="192" t="str">
        <x:v>Treat the statement as collateral information, assess the reported behaviors and relational pattern, obtain the other partner's perspective, and avoid diagnosing an unassessed person from a partner's conclusion.</x:v>
      </x:c>
      <x:c r="I80" s="192" t="str">
        <x:v>Refuse to discuss the concern because diagnostic language is never clinically useful.</x:v>
      </x:c>
      <x:c r="J80" s="192" t="str">
        <x:v>C</x:v>
      </x:c>
      <x:c r="K80" s="192" t="str">
        <x:v>Incorrect. Duration of observation does not substitute for direct, competent assessment.</x:v>
      </x:c>
      <x:c r="L80" s="192" t="str">
        <x:v>Incorrect. The therapist should explore the underlying experiences without endorsing or dismissing an unsupported diagnosis.</x:v>
      </x:c>
      <x:c r="M80" s="192" t="str">
        <x:v>Correct. Collateral reports may inform hypotheses but do not establish a diagnosis.</x:v>
      </x:c>
      <x:c r="N80" s="192" t="str">
        <x:v>Incorrect. The behaviors and relationship impact may be important even when the label is unsupported.</x:v>
      </x:c>
      <x:c r="O80" s="192" t="str">
        <x:v>A. Incorrect. Duration of observation does not substitute for direct, competent assessment.
B. Incorrect. The therapist should explore the underlying experiences without endorsing or dismissing an unsupported diagnosis.
C. Correct. Collateral reports may inform hypotheses but do not establish a diagnosis.
D. Incorrect. The behaviors and relationship impact may be important even when the label is unsupported.</x:v>
      </x:c>
      <x:c r="P80" s="192" t="str">
        <x:v>Translate a lay diagnosis back into observable behavior, impact, pattern, and direct assessment.</x:v>
      </x:c>
      <x:c r="Q80" s="194" t="str">
        <x:v>CTA LMFT Workbook 5</x:v>
      </x:c>
    </x:row>
    <x:row r="81">
      <x:c r="A81" s="191" t="str">
        <x:v>CTA-LMFT-MQB-0080</x:v>
      </x:c>
      <x:c r="B81" s="192" t="str">
        <x:v>LMFT-WB05-QB-Q012</x:v>
      </x:c>
      <x:c r="C81" s="192" t="str">
        <x:v>Workbook Question Bank</x:v>
      </x:c>
      <x:c r="D81" s="192" t="str">
        <x:v>Workbook 5</x:v>
      </x:c>
      <x:c r="E81" s="192" t="str">
        <x:v>A client with trauma history reports unstable relationships, intense fear of abandonment, dissociation under stress, and episodic self-harm. What is the BEST diagnostic approach?</x:v>
      </x:c>
      <x:c r="F81" s="192" t="str">
        <x:v>Assign a personality disorder based on fear of abandonment and self-harm alone.</x:v>
      </x:c>
      <x:c r="G81" s="192" t="str">
        <x:v>Use posttraumatic stress disorder because a trauma history is present.</x:v>
      </x:c>
      <x:c r="H81" s="192" t="str">
        <x:v>Use the diagnosis preferred by the client's partner.</x:v>
      </x:c>
      <x:c r="I81" s="192" t="str">
        <x:v>Assess longitudinal personality patterns, trauma symptoms, dissociation, mood episodes, substance use, current danger, developmental history, and functioning before determining whether one or more diagnoses are supported.</x:v>
      </x:c>
      <x:c r="J81" s="192" t="str">
        <x:v>D</x:v>
      </x:c>
      <x:c r="K81" s="192" t="str">
        <x:v>Incorrect. Two dramatic features do not establish a pervasive, enduring pattern or rule out other causes.</x:v>
      </x:c>
      <x:c r="L81" s="192" t="str">
        <x:v>Incorrect. Trauma exposure alone does not establish the full syndrome or account for every feature.</x:v>
      </x:c>
      <x:c r="M81" s="192" t="str">
        <x:v>Incorrect. Collateral preferences do not determine diagnostic validity.</x:v>
      </x:c>
      <x:c r="N81" s="192" t="str">
        <x:v>Correct. Several conditions can produce overlapping features, and trauma history does not automatically explain or exclude all alternatives.</x:v>
      </x:c>
      <x:c r="O81" s="192" t="str">
        <x:v>A. Incorrect. Two dramatic features do not establish a pervasive, enduring pattern or rule out other causes.
B. Incorrect. Trauma exposure alone does not establish the full syndrome or account for every feature.
C. Incorrect. Collateral preferences do not determine diagnostic validity.
D. Correct. Several conditions can produce overlapping features, and trauma history does not automatically explain or exclude all alternatives.</x:v>
      </x:c>
      <x:c r="P81" s="192" t="str">
        <x:v>When features overlap, compare course, triggers, baseline, pervasiveness, and independent evidence for each condition.</x:v>
      </x:c>
      <x:c r="Q81" s="194" t="str">
        <x:v>CTA LMFT Workbook 5</x:v>
      </x:c>
    </x:row>
    <x:row r="82">
      <x:c r="A82" s="191" t="str">
        <x:v>CTA-LMFT-MQB-0081</x:v>
      </x:c>
      <x:c r="B82" s="192" t="str">
        <x:v>LMFT-WB05-QB-Q013</x:v>
      </x:c>
      <x:c r="C82" s="192" t="str">
        <x:v>Workbook Question Bank</x:v>
      </x:c>
      <x:c r="D82" s="192" t="str">
        <x:v>Workbook 5</x:v>
      </x:c>
      <x:c r="E82" s="192" t="str">
        <x:v>Two weeks after childbirth, a client has slept very little, speaks rapidly, reports a special mission to protect the infant from invisible forces, and attempts to leave home at night with the baby. What should the therapist do FIRST?</x:v>
      </x:c>
      <x:c r="F82" s="192" t="str">
        <x:v>Treat the presentation as an urgent psychiatric and safety concern, assess immediate risk to the client and infant, mobilize emergency evaluation, and involve appropriate supports within confidentiality and legal limits.</x:v>
      </x:c>
      <x:c r="G82" s="192" t="str">
        <x:v>Begin couple therapy to reduce parenting conflict.</x:v>
      </x:c>
      <x:c r="H82" s="192" t="str">
        <x:v>Reassure the family that unusual beliefs are common after childbirth.</x:v>
      </x:c>
      <x:c r="I82" s="192" t="str">
        <x:v>Wait one week to determine whether the symptoms persist long enough for a diagnosis.</x:v>
      </x:c>
      <x:c r="J82" s="192" t="str">
        <x:v>A</x:v>
      </x:c>
      <x:c r="K82" s="192" t="str">
        <x:v>Correct. The combination of severe sleep loss, mood and energy change, psychotic content, impaired judgment, and infant risk requires emergency action before routine diagnostic refinement.</x:v>
      </x:c>
      <x:c r="L82" s="192" t="str">
        <x:v>Incorrect. The acute psychiatric and infant-safety risks take priority.</x:v>
      </x:c>
      <x:c r="M82" s="192" t="str">
        <x:v>Incorrect. The described behavior and impaired judgment are not appropriately normalized.</x:v>
      </x:c>
      <x:c r="N82" s="192" t="str">
        <x:v>Incorrect. Diagnostic duration questions do not justify delaying urgent protection and evaluation.</x:v>
      </x:c>
      <x:c r="O82" s="192" t="str">
        <x:v>A. Correct. The combination of severe sleep loss, mood and energy change, psychotic content, impaired judgment, and infant risk requires emergency action before routine diagnostic refinement.
B. Incorrect. The acute psychiatric and infant-safety risks take priority.
C. Incorrect. The described behavior and impaired judgment are not appropriately normalized.
D. Incorrect. Diagnostic duration questions do not justify delaying urgent protection and evaluation.</x:v>
      </x:c>
      <x:c r="P82" s="192" t="str">
        <x:v>When acute symptoms create immediate danger, stabilize and obtain emergency evaluation before refining the label.</x:v>
      </x:c>
      <x:c r="Q82" s="194" t="str">
        <x:v>CTA LMFT Workbook 5</x:v>
      </x:c>
    </x:row>
    <x:row r="83">
      <x:c r="A83" s="191" t="str">
        <x:v>CTA-LMFT-MQB-0082</x:v>
      </x:c>
      <x:c r="B83" s="192" t="str">
        <x:v>LMFT-WB05-QB-Q014</x:v>
      </x:c>
      <x:c r="C83" s="192" t="str">
        <x:v>Workbook Question Bank</x:v>
      </x:c>
      <x:c r="D83" s="192" t="str">
        <x:v>Workbook 5</x:v>
      </x:c>
      <x:c r="E83" s="192" t="str">
        <x:v>An older client develops new suspiciousness, disorientation, and falls within days of a medication change. Adult children argue that the client has dementia and should move immediately. What is the BEST next step?</x:v>
      </x:c>
      <x:c r="F83" s="192" t="str">
        <x:v>Diagnose a major neurocognitive disorder because the client is older and confused.</x:v>
      </x:c>
      <x:c r="G83" s="192" t="str">
        <x:v>Arrange prompt medical and medication evaluation while assessing immediate safety, cognition, baseline change, fall risk, decision-making ability, supports, and the client's preferences before making a long-term placement decision.</x:v>
      </x:c>
      <x:c r="H83" s="192" t="str">
        <x:v>Ask the adult children to vote on placement.</x:v>
      </x:c>
      <x:c r="I83" s="192" t="str">
        <x:v>Interpret the suspiciousness as a family-system role and begin structural therapy.</x:v>
      </x:c>
      <x:c r="J83" s="192" t="str">
        <x:v>B</x:v>
      </x:c>
      <x:c r="K83" s="192" t="str">
        <x:v>Incorrect. Age and confusion alone do not establish a chronic neurocognitive disorder, especially with abrupt onset.</x:v>
      </x:c>
      <x:c r="L83" s="192" t="str">
        <x:v>Correct. Sudden change after a medication adjustment raises a potentially reversible medical concern and requires least-restrictive, client-centered assessment.</x:v>
      </x:c>
      <x:c r="M83" s="192" t="str">
        <x:v>Incorrect. The client's rights, abilities, preferences, and professional assessment remain central.</x:v>
      </x:c>
      <x:c r="N83" s="192" t="str">
        <x:v>Incorrect. Relational work cannot replace urgent medical assessment of abrupt cognitive change.</x:v>
      </x:c>
      <x:c r="O83" s="192" t="str">
        <x:v>A. Incorrect. Age and confusion alone do not establish a chronic neurocognitive disorder, especially with abrupt onset.
B. Correct. Sudden change after a medication adjustment raises a potentially reversible medical concern and requires least-restrictive, client-centered assessment.
C. Incorrect. The client's rights, abilities, preferences, and professional assessment remain central.
D. Incorrect. Relational work cannot replace urgent medical assessment of abrupt cognitive change.</x:v>
      </x:c>
      <x:c r="P83" s="192" t="str">
        <x:v>Abrupt change plus a medication trigger shifts the sequence to medical assessment before chronic diagnosis or placement.</x:v>
      </x:c>
      <x:c r="Q83" s="194" t="str">
        <x:v>CTA LMFT Workbook 5</x:v>
      </x:c>
    </x:row>
    <x:row r="84">
      <x:c r="A84" s="191" t="str">
        <x:v>CTA-LMFT-MQB-0083</x:v>
      </x:c>
      <x:c r="B84" s="192" t="str">
        <x:v>LMFT-WB05-QB-Q015</x:v>
      </x:c>
      <x:c r="C84" s="192" t="str">
        <x:v>Workbook Question Bank</x:v>
      </x:c>
      <x:c r="D84" s="192" t="str">
        <x:v>Workbook 5</x:v>
      </x:c>
      <x:c r="E84" s="192" t="str">
        <x:v>A client reports alternating weeks of depression and periods of little sleep, rapid speech, gambling, and increased sexual activity. Cocaine use is intermittent, and the partner reports escalating debt and threats of separation. What should the therapist do FIRST?</x:v>
      </x:c>
      <x:c r="F84" s="192" t="str">
        <x:v>Diagnose gambling disorder and treat the other symptoms as consequences.</x:v>
      </x:c>
      <x:c r="G84" s="192" t="str">
        <x:v>Diagnose bipolar disorder because the partner describes risky behavior.</x:v>
      </x:c>
      <x:c r="H84" s="192" t="str">
        <x:v>Assess immediate safety, suicidality, impulsivity, financial and relational danger, the timing of mood and energy changes relative to cocaine use and abstinence, prior episodes, medical factors, and coordinate psychiatric evaluation before finalizing the differential.</x:v>
      </x:c>
      <x:c r="I84" s="192" t="str">
        <x:v>Use couple conflict as the primary explanation for all symptoms.</x:v>
      </x:c>
      <x:c r="J84" s="192" t="str">
        <x:v>C</x:v>
      </x:c>
      <x:c r="K84" s="192" t="str">
        <x:v>Incorrect. Gambling may be clinically significant but does not explain the full episodic mood-and-energy pattern.</x:v>
      </x:c>
      <x:c r="L84" s="192" t="str">
        <x:v>Incorrect. The substance timeline, episode course, and independent evidence remain unresolved.</x:v>
      </x:c>
      <x:c r="M84" s="192" t="str">
        <x:v>Correct. The case requires integration of possible bipolar, substance-induced, addictive-behavior, depressive, and relational concerns.</x:v>
      </x:c>
      <x:c r="N84" s="192" t="str">
        <x:v>Incorrect. The psychiatric and substance-related differential cannot be reduced to relationship distress.</x:v>
      </x:c>
      <x:c r="O84" s="192" t="str">
        <x:v>A. Incorrect. Gambling may be clinically significant but does not explain the full episodic mood-and-energy pattern.
B. Incorrect. The substance timeline, episode course, and independent evidence remain unresolved.
C. Correct. The case requires integration of possible bipolar, substance-induced, addictive-behavior, depressive, and relational concerns.
D. Incorrect. The psychiatric and substance-related differential cannot be reduced to relationship distress.</x:v>
      </x:c>
      <x:c r="P84" s="192" t="str">
        <x:v>In complex cases, stabilize risk and build a chronology that separates episodes, substances, consequences, and relationship effects.</x:v>
      </x:c>
      <x:c r="Q84" s="194" t="str">
        <x:v>CTA LMFT Workbook 5</x:v>
      </x:c>
    </x:row>
    <x:row r="85">
      <x:c r="A85" s="191" t="str">
        <x:v>CTA-LMFT-MQB-0084</x:v>
      </x:c>
      <x:c r="B85" s="192" t="str">
        <x:v>LMFT-WB05-QB-Q016</x:v>
      </x:c>
      <x:c r="C85" s="192" t="str">
        <x:v>Workbook Question Bank</x:v>
      </x:c>
      <x:c r="D85" s="192" t="str">
        <x:v>Workbook 5</x:v>
      </x:c>
      <x:c r="E85" s="192" t="str">
        <x:v>A sixteen-year-old has rapidly lost weight, exercises despite injury, becomes panicked after meals, and insists the family is exaggerating. Parents argue about whether to force treatment. What is the BEST initial response?</x:v>
      </x:c>
      <x:c r="F85" s="192" t="str">
        <x:v>Begin family communication training before involving medical providers.</x:v>
      </x:c>
      <x:c r="G85" s="192" t="str">
        <x:v>Accept the adolescent's reassurance because treatment should always follow stated preference.</x:v>
      </x:c>
      <x:c r="H85" s="192" t="str">
        <x:v>Diagnose anorexia nervosa solely from weight loss and exercise.</x:v>
      </x:c>
      <x:c r="I85" s="192" t="str">
        <x:v>Assess medical stability and immediate risk, eating and compensatory behaviors, body-image concerns, developmental and cultural context, family interactions, and coordinate prompt medical and specialized eating-disorder evaluation.</x:v>
      </x:c>
      <x:c r="J85" s="192" t="str">
        <x:v>D</x:v>
      </x:c>
      <x:c r="K85" s="192" t="str">
        <x:v>Incorrect. Communication may matter, but possible medical compromise takes priority.</x:v>
      </x:c>
      <x:c r="L85" s="192" t="str">
        <x:v>Incorrect. Self-determination does not eliminate assessment of serious health risk and decision-making ability.</x:v>
      </x:c>
      <x:c r="M85" s="192" t="str">
        <x:v>Incorrect. The complete pattern, medical status, and diagnostic criteria require assessment.</x:v>
      </x:c>
      <x:c r="N85" s="192" t="str">
        <x:v>Correct. Potential medical instability requires urgent assessment while the therapist also considers the adolescent's experience and the family system.</x:v>
      </x:c>
      <x:c r="O85" s="192" t="str">
        <x:v>A. Incorrect. Communication may matter, but possible medical compromise takes priority.
B. Incorrect. Self-determination does not eliminate assessment of serious health risk and decision-making ability.
C. Incorrect. The complete pattern, medical status, and diagnostic criteria require assessment.
D. Correct. Potential medical instability requires urgent assessment while the therapist also considers the adolescent's experience and the family system.</x:v>
      </x:c>
      <x:c r="P85" s="192" t="str">
        <x:v>When an eating presentation may be medically dangerous, coordinate medical assessment before routine outpatient formulation.</x:v>
      </x:c>
      <x:c r="Q85" s="194" t="str">
        <x:v>CTA LMFT Workbook 5</x:v>
      </x:c>
    </x:row>
    <x:row r="86">
      <x:c r="A86" s="191" t="str">
        <x:v>CTA-LMFT-MQB-0085</x:v>
      </x:c>
      <x:c r="B86" s="192" t="str">
        <x:v>LMFT-WB05-QB-Q017</x:v>
      </x:c>
      <x:c r="C86" s="192" t="str">
        <x:v>Workbook Question Bank</x:v>
      </x:c>
      <x:c r="D86" s="192" t="str">
        <x:v>Workbook 5</x:v>
      </x:c>
      <x:c r="E86" s="192" t="str">
        <x:v>A recently immigrated family reports that an adolescent hears the voice of a deceased grandparent during prayer, has nightmares after violence exposure, is failing school, and uses a younger sibling to interpret. What is the BEST assessment plan?</x:v>
      </x:c>
      <x:c r="F86" s="192" t="str">
        <x:v>Use qualified language access, clarify confidentiality and roles, assess safety and trauma with careful pacing, explore the spiritual experience's cultural meaning and functional impact, evaluate sleep, development, school and family patterns, and obtain consultation as needed before diagnosing psychosis.</x:v>
      </x:c>
      <x:c r="G86" s="192" t="str">
        <x:v>Diagnose a psychotic disorder because the adolescent hears a voice.</x:v>
      </x:c>
      <x:c r="H86" s="192" t="str">
        <x:v>Use the younger sibling as interpreter because the family trusts the child.</x:v>
      </x:c>
      <x:c r="I86" s="192" t="str">
        <x:v>Avoid discussing prayer or migration because those topics are too sensitive.</x:v>
      </x:c>
      <x:c r="J86" s="192" t="str">
        <x:v>A</x:v>
      </x:c>
      <x:c r="K86" s="192" t="str">
        <x:v>Correct. The presentation requires culturally responsive integration of trauma, spirituality, language, development, functioning, and systemic context.</x:v>
      </x:c>
      <x:c r="L86" s="192" t="str">
        <x:v>Incorrect. Perceptual experiences require cultural, spiritual, trauma, sleep, and functional context.</x:v>
      </x:c>
      <x:c r="M86" s="192" t="str">
        <x:v>Incorrect. This can compromise accuracy, confidentiality, and family roles.</x:v>
      </x:c>
      <x:c r="N86" s="192" t="str">
        <x:v>Incorrect. Relevant topics can be explored transparently, respectfully, and with client choice.</x:v>
      </x:c>
      <x:c r="O86" s="192" t="str">
        <x:v>A. Correct. The presentation requires culturally responsive integration of trauma, spirituality, language, development, functioning, and systemic context.
B. Incorrect. Perceptual experiences require cultural, spiritual, trauma, sleep, and functional context.
C. Incorrect. This can compromise accuracy, confidentiality, and family roles.
D. Incorrect. Relevant topics can be explored transparently, respectfully, and with client choice.</x:v>
      </x:c>
      <x:c r="P86" s="192" t="str">
        <x:v>Before pathologizing an unusual experience, assess cultural meaning, distress, function, safety, and the broader symptom pattern.</x:v>
      </x:c>
      <x:c r="Q86" s="194" t="str">
        <x:v>CTA LMFT Workbook 5</x:v>
      </x:c>
    </x:row>
    <x:row r="87">
      <x:c r="A87" s="191" t="str">
        <x:v>CTA-LMFT-MQB-0086</x:v>
      </x:c>
      <x:c r="B87" s="192" t="str">
        <x:v>LMFT-WB06-QB-Q001</x:v>
      </x:c>
      <x:c r="C87" s="192" t="str">
        <x:v>Workbook Question Bank</x:v>
      </x:c>
      <x:c r="D87" s="192" t="str">
        <x:v>Workbook 6</x:v>
      </x:c>
      <x:c r="E87" s="192" t="str">
        <x:v>A client says, “I do not see a reason to keep going,” but gives no additional information. According to the SAFER sequence, what should the LMFT do FIRST?</x:v>
      </x:c>
      <x:c r="F87" s="192" t="str">
        <x:v>Begin exploring the client’s earliest experiences of loss.</x:v>
      </x:c>
      <x:c r="G87" s="192" t="str">
        <x:v>Ask directly about suicidal thoughts, intent, plan, access to means, recent behavior, timing, and protective factors.</x:v>
      </x:c>
      <x:c r="H87" s="192" t="str">
        <x:v>Reassure the client that the feeling will pass.</x:v>
      </x:c>
      <x:c r="I87" s="192" t="str">
        <x:v>Arrange hospitalization without asking additional questions.</x:v>
      </x:c>
      <x:c r="J87" s="192" t="str">
        <x:v>B</x:v>
      </x:c>
      <x:c r="K87" s="192" t="str">
        <x:v>Incorrect. Historical exploration is premature while current risk remains unclear.</x:v>
      </x:c>
      <x:c r="L87" s="192" t="str">
        <x:v>Correct. The warning statement requires direct assessment before the therapist can determine acuity or disposition.</x:v>
      </x:c>
      <x:c r="M87" s="192" t="str">
        <x:v>Incorrect. Reassurance does not clarify risk and may reduce further disclosure.</x:v>
      </x:c>
      <x:c r="N87" s="192" t="str">
        <x:v>Incorrect. The available facts require assessment, but they do not yet establish the level of care.</x:v>
      </x:c>
      <x:c r="O87" s="192" t="str">
        <x:v>A. Incorrect. Historical exploration is premature while current risk remains unclear.
B. Correct. The warning statement requires direct assessment before the therapist can determine acuity or disposition.
C. Incorrect. Reassurance does not clarify risk and may reduce further disclosure.
D. Incorrect. The available facts require assessment, but they do not yet establish the level of care.</x:v>
      </x:c>
      <x:c r="P87" s="192" t="str">
        <x:v>When a warning sign is present but acuity is unclear, assess directly before selecting the response.</x:v>
      </x:c>
      <x:c r="Q87" s="194" t="str">
        <x:v>CTA LMFT Workbook 6</x:v>
      </x:c>
    </x:row>
    <x:row r="88">
      <x:c r="A88" s="191" t="str">
        <x:v>CTA-LMFT-MQB-0087</x:v>
      </x:c>
      <x:c r="B88" s="192" t="str">
        <x:v>LMFT-WB06-QB-Q002</x:v>
      </x:c>
      <x:c r="C88" s="192" t="str">
        <x:v>Workbook Question Bank</x:v>
      </x:c>
      <x:c r="D88" s="192" t="str">
        <x:v>Workbook 6</x:v>
      </x:c>
      <x:c r="E88" s="192" t="str">
        <x:v>Which finding is BEST classified as a dynamic risk factor rather than a historical or protective factor?</x:v>
      </x:c>
      <x:c r="F88" s="192" t="str">
        <x:v>A recent separation accompanied by escalating insomnia and heavy alcohol use.</x:v>
      </x:c>
      <x:c r="G88" s="192" t="str">
        <x:v>A suicide attempt that occurred fifteen years ago.</x:v>
      </x:c>
      <x:c r="H88" s="192" t="str">
        <x:v>A supportive sibling who agrees to remain with the client.</x:v>
      </x:c>
      <x:c r="I88" s="192" t="str">
        <x:v>A family history of mood disorder.</x:v>
      </x:c>
      <x:c r="J88" s="192" t="str">
        <x:v>A</x:v>
      </x:c>
      <x:c r="K88" s="192" t="str">
        <x:v>Correct. Dynamic factors are current and potentially changeable conditions that can increase or decrease near-term risk.</x:v>
      </x:c>
      <x:c r="L88" s="192" t="str">
        <x:v>Incorrect. A prior attempt is an important historical factor.</x:v>
      </x:c>
      <x:c r="M88" s="192" t="str">
        <x:v>Incorrect. An available support is a protective factor when it is safe and reliable.</x:v>
      </x:c>
      <x:c r="N88" s="192" t="str">
        <x:v>Incorrect. Family history is a background or historical factor rather than a current dynamic condition.</x:v>
      </x:c>
      <x:c r="O88" s="192" t="str">
        <x:v>A. Correct. Dynamic factors are current and potentially changeable conditions that can increase or decrease near-term risk.
B. Incorrect. A prior attempt is an important historical factor.
C. Incorrect. An available support is a protective factor when it is safe and reliable.
D. Incorrect. Family history is a background or historical factor rather than a current dynamic condition.</x:v>
      </x:c>
      <x:c r="P88" s="192" t="str">
        <x:v>Separate what happened in the past, what is changing now, and what currently protects the client.</x:v>
      </x:c>
      <x:c r="Q88" s="194" t="str">
        <x:v>CTA LMFT Workbook 6</x:v>
      </x:c>
    </x:row>
    <x:row r="89">
      <x:c r="A89" s="191" t="str">
        <x:v>CTA-LMFT-MQB-0088</x:v>
      </x:c>
      <x:c r="B89" s="192" t="str">
        <x:v>LMFT-WB06-QB-Q003</x:v>
      </x:c>
      <x:c r="C89" s="192" t="str">
        <x:v>Workbook Question Bank</x:v>
      </x:c>
      <x:c r="D89" s="192" t="str">
        <x:v>Workbook 6</x:v>
      </x:c>
      <x:c r="E89" s="192" t="str">
        <x:v>Which element is MOST important in a collaborative safety plan?</x:v>
      </x:c>
      <x:c r="F89" s="192" t="str">
        <x:v>A signed promise that the client will not attempt suicide.</x:v>
      </x:c>
      <x:c r="G89" s="192" t="str">
        <x:v>A detailed interpretation of the unconscious meaning of the crisis.</x:v>
      </x:c>
      <x:c r="H89" s="192" t="str">
        <x:v>Concrete warning signs, coping steps, safe supports, professional contacts, means-safety actions, and a follow-up plan the client can realistically use.</x:v>
      </x:c>
      <x:c r="I89" s="192" t="str">
        <x:v>A generic list of crisis numbers without checking access or willingness.</x:v>
      </x:c>
      <x:c r="J89" s="192" t="str">
        <x:v>C</x:v>
      </x:c>
      <x:c r="K89" s="192" t="str">
        <x:v>Incorrect. A promise alone is not a substitute for assessment, means safety, disposition, or follow-up.</x:v>
      </x:c>
      <x:c r="L89" s="192" t="str">
        <x:v>Incorrect. Insight work is not the central purpose of an acute safety plan.</x:v>
      </x:c>
      <x:c r="M89" s="192" t="str">
        <x:v>Correct. A safety plan must translate risk information into specific, accessible actions and connections.</x:v>
      </x:c>
      <x:c r="N89" s="192" t="str">
        <x:v>Incorrect. Resources must be reachable, appropriate, and integrated into a realistic plan.</x:v>
      </x:c>
      <x:c r="O89" s="192" t="str">
        <x:v>A. Incorrect. A promise alone is not a substitute for assessment, means safety, disposition, or follow-up.
B. Incorrect. Insight work is not the central purpose of an acute safety plan.
C. Correct. A safety plan must translate risk information into specific, accessible actions and connections.
D. Incorrect. Resources must be reachable, appropriate, and integrated into a realistic plan.</x:v>
      </x:c>
      <x:c r="P89" s="192" t="str">
        <x:v>Choose concrete, feasible safety steps—not promises, abstract insight, or inaccessible referrals.</x:v>
      </x:c>
      <x:c r="Q89" s="194" t="str">
        <x:v>CTA LMFT Workbook 6</x:v>
      </x:c>
    </x:row>
    <x:row r="90">
      <x:c r="A90" s="191" t="str">
        <x:v>CTA-LMFT-MQB-0089</x:v>
      </x:c>
      <x:c r="B90" s="192" t="str">
        <x:v>LMFT-WB06-QB-Q004</x:v>
      </x:c>
      <x:c r="C90" s="192" t="str">
        <x:v>Workbook Question Bank</x:v>
      </x:c>
      <x:c r="D90" s="192" t="str">
        <x:v>Workbook 6</x:v>
      </x:c>
      <x:c r="E90" s="192" t="str">
        <x:v>A 13-year-old tells an LMFT that a caregiver repeatedly locks a younger sibling in a closet and struck the sibling with a belt last night. The therapist has not interviewed the caregiver. What should the therapist do?</x:v>
      </x:c>
      <x:c r="F90" s="192" t="str">
        <x:v>Wait until the younger sibling independently confirms the account.</x:v>
      </x:c>
      <x:c r="G90" s="192" t="str">
        <x:v>Confront the caregiver before deciding whether the allegation is credible.</x:v>
      </x:c>
      <x:c r="H90" s="192" t="str">
        <x:v>Notify a supervisor and allow the supervisor to decide whether anyone reports.</x:v>
      </x:c>
      <x:c r="I90" s="192" t="str">
        <x:v>Assess immediate safety, explain the relevant confidentiality limit, and make the mandated child-abuse report without delaying for an independent investigation.</x:v>
      </x:c>
      <x:c r="J90" s="192" t="str">
        <x:v>D</x:v>
      </x:c>
      <x:c r="K90" s="192" t="str">
        <x:v>Incorrect. The reporting threshold does not require corroboration or certainty.</x:v>
      </x:c>
      <x:c r="L90" s="192" t="str">
        <x:v>Incorrect. Confrontation can increase danger and improperly delay the report.</x:v>
      </x:c>
      <x:c r="M90" s="192" t="str">
        <x:v>Incorrect. Consultation may assist, but the mandated reporter’s duty is individual.</x:v>
      </x:c>
      <x:c r="N90" s="192" t="str">
        <x:v>Correct. Reasonable suspicion, not proof or a completed investigation, supports the individual reporting duty described in the workbook.</x:v>
      </x:c>
      <x:c r="O90" s="192" t="str">
        <x:v>A. Incorrect. The reporting threshold does not require corroboration or certainty.
B. Incorrect. Confrontation can increase danger and improperly delay the report.
C. Incorrect. Consultation may assist, but the mandated reporter’s duty is individual.
D. Correct. Reasonable suspicion, not proof or a completed investigation, supports the individual reporting duty described in the workbook.</x:v>
      </x:c>
      <x:c r="P90" s="192" t="str">
        <x:v>Do not investigate for proof when the facts already establish reasonable suspicion.</x:v>
      </x:c>
      <x:c r="Q90" s="194" t="str">
        <x:v>CTA LMFT Workbook 6</x:v>
      </x:c>
    </x:row>
    <x:row r="91">
      <x:c r="A91" s="191" t="str">
        <x:v>CTA-LMFT-MQB-0090</x:v>
      </x:c>
      <x:c r="B91" s="192" t="str">
        <x:v>LMFT-WB06-QB-Q005</x:v>
      </x:c>
      <x:c r="C91" s="192" t="str">
        <x:v>Workbook Question Bank</x:v>
      </x:c>
      <x:c r="D91" s="192" t="str">
        <x:v>Workbook 6</x:v>
      </x:c>
      <x:c r="E91" s="192" t="str">
        <x:v>An outpatient LMFT who is not county-designated believes a client may meet California involuntary-detention criteria. Which statement is MOST accurate?</x:v>
      </x:c>
      <x:c r="F91" s="192" t="str">
        <x:v>The therapist should maintain safety and activate an authorized crisis team, emergency service, or law-enforcement response rather than claim unilateral authority to impose the detention.</x:v>
      </x:c>
      <x:c r="G91" s="192" t="str">
        <x:v>Any licensed LMFT may personally place a client on a Section 5150 hold.</x:v>
      </x:c>
      <x:c r="H91" s="192" t="str">
        <x:v>The therapist must continue routine outpatient treatment because only suicidal intent matters.</x:v>
      </x:c>
      <x:c r="I91" s="192" t="str">
        <x:v>The therapist should ask a relative to supervise the client and avoid emergency services.</x:v>
      </x:c>
      <x:c r="J91" s="192" t="str">
        <x:v>A</x:v>
      </x:c>
      <x:c r="K91" s="192" t="str">
        <x:v>Correct. The workbook distinguishes clinical recognition of a possible emergency from legal authority to initiate detention.</x:v>
      </x:c>
      <x:c r="L91" s="192" t="str">
        <x:v>Incorrect. The statute authorizes specified and designated professionals, not every outpatient LMFT.</x:v>
      </x:c>
      <x:c r="M91" s="192" t="str">
        <x:v>Incorrect. Danger to others and grave disability can also require urgent evaluation.</x:v>
      </x:c>
      <x:c r="N91" s="192" t="str">
        <x:v>Incorrect. Informal monitoring is insufficient when statutory emergency criteria may be present.</x:v>
      </x:c>
      <x:c r="O91" s="192" t="str">
        <x:v>A. Correct. The workbook distinguishes clinical recognition of a possible emergency from legal authority to initiate detention.
B. Incorrect. The statute authorizes specified and designated professionals, not every outpatient LMFT.
C. Incorrect. Danger to others and grave disability can also require urgent evaluation.
D. Incorrect. Informal monitoring is insufficient when statutory emergency criteria may be present.</x:v>
      </x:c>
      <x:c r="P91" s="192" t="str">
        <x:v>Separate recognizing possible detention criteria from having authority to impose the detention.</x:v>
      </x:c>
      <x:c r="Q91" s="194" t="str">
        <x:v>CTA LMFT Workbook 6</x:v>
      </x:c>
    </x:row>
    <x:row r="92">
      <x:c r="A92" s="191" t="str">
        <x:v>CTA-LMFT-MQB-0091</x:v>
      </x:c>
      <x:c r="B92" s="192" t="str">
        <x:v>LMFT-WB06-QB-Q006</x:v>
      </x:c>
      <x:c r="C92" s="192" t="str">
        <x:v>Workbook Question Bank</x:v>
      </x:c>
      <x:c r="D92" s="192" t="str">
        <x:v>Workbook 6</x:v>
      </x:c>
      <x:c r="E92" s="192" t="str">
        <x:v>During a telehealth session, a client abruptly says, “I may not be here tomorrow,” and disconnects. The LMFT has an outdated home address and does not know the client’s current location. What should the therapist do NEXT?</x:v>
      </x:c>
      <x:c r="F92" s="192" t="str">
        <x:v>Send a routine appointment reminder for the next session.</x:v>
      </x:c>
      <x:c r="G92" s="192" t="str">
        <x:v>Attempt immediate contact, clarify the client’s exact location and current risk, and activate emergency supports based on the information available if contact cannot be reestablished.</x:v>
      </x:c>
      <x:c r="H92" s="192" t="str">
        <x:v>Wait for the client to reconnect because contacting others could affect confidentiality.</x:v>
      </x:c>
      <x:c r="I92" s="192" t="str">
        <x:v>Email a worksheet about reasons for living.</x:v>
      </x:c>
      <x:c r="J92" s="192" t="str">
        <x:v>B</x:v>
      </x:c>
      <x:c r="K92" s="192" t="str">
        <x:v>Incorrect. A routine follow-up does not address the possible acute risk.</x:v>
      </x:c>
      <x:c r="L92" s="192" t="str">
        <x:v>Correct. Telehealth crisis response requires both direct risk assessment and current location information so appropriate local help can be activated.</x:v>
      </x:c>
      <x:c r="M92" s="192" t="str">
        <x:v>Incorrect. Possible imminent danger can require prompt protective action and emergency coordination.</x:v>
      </x:c>
      <x:c r="N92" s="192" t="str">
        <x:v>Incorrect. A worksheet is not an adequate response to an unresolved crisis and disconnection.</x:v>
      </x:c>
      <x:c r="O92" s="192" t="str">
        <x:v>A. Incorrect. A routine follow-up does not address the possible acute risk.
B. Correct. Telehealth crisis response requires both direct risk assessment and current location information so appropriate local help can be activated.
C. Incorrect. Possible imminent danger can require prompt protective action and emergency coordination.
D. Incorrect. A worksheet is not an adequate response to an unresolved crisis and disconnection.</x:v>
      </x:c>
      <x:c r="P92" s="192" t="str">
        <x:v>In telehealth crises, location is operational information—not an administrative detail.</x:v>
      </x:c>
      <x:c r="Q92" s="194" t="str">
        <x:v>CTA LMFT Workbook 6</x:v>
      </x:c>
    </x:row>
    <x:row r="93">
      <x:c r="A93" s="191" t="str">
        <x:v>CTA-LMFT-MQB-0092</x:v>
      </x:c>
      <x:c r="B93" s="192" t="str">
        <x:v>LMFT-WB06-QB-Q007</x:v>
      </x:c>
      <x:c r="C93" s="192" t="str">
        <x:v>Workbook Question Bank</x:v>
      </x:c>
      <x:c r="D93" s="192" t="str">
        <x:v>Workbook 6</x:v>
      </x:c>
      <x:c r="E93" s="192" t="str">
        <x:v>A teenager reports cutting the forearm to reduce tension and denies wanting to die. The behavior has become more frequent and deeper during the past month. What should the LMFT do FIRST?</x:v>
      </x:c>
      <x:c r="F93" s="192" t="str">
        <x:v>Accept the denial of suicidal intent and focus only on family communication.</x:v>
      </x:c>
      <x:c r="G93" s="192" t="str">
        <x:v>Assume the cutting is a suicide attempt and arrange involuntary hospitalization.</x:v>
      </x:c>
      <x:c r="H93" s="192" t="str">
        <x:v>Assess the function, frequency, lethality, escalation, medical needs, suicidal ideation and intent, access to means, triggers, and protective factors.</x:v>
      </x:c>
      <x:c r="I93" s="192" t="str">
        <x:v>Require the teenager to promise never to cut again.</x:v>
      </x:c>
      <x:c r="J93" s="192" t="str">
        <x:v>C</x:v>
      </x:c>
      <x:c r="K93" s="192" t="str">
        <x:v>Incorrect. The denial does not eliminate the need to assess escalation, medical risk, and suicide risk.</x:v>
      </x:c>
      <x:c r="L93" s="192" t="str">
        <x:v>Incorrect. The described function does not establish suicidal intent or the required level of care.</x:v>
      </x:c>
      <x:c r="M93" s="192" t="str">
        <x:v>Correct. Nonsuicidal self-injury and suicidal behavior are distinct, but intent can change and escalation requires direct assessment of both.</x:v>
      </x:c>
      <x:c r="N93" s="192" t="str">
        <x:v>Incorrect. A promise does not replace assessment, treatment planning, means safety, and follow-up.</x:v>
      </x:c>
      <x:c r="O93" s="192" t="str">
        <x:v>A. Incorrect. The denial does not eliminate the need to assess escalation, medical risk, and suicide risk.
B. Incorrect. The described function does not establish suicidal intent or the required level of care.
C. Correct. Nonsuicidal self-injury and suicidal behavior are distinct, but intent can change and escalation requires direct assessment of both.
D. Incorrect. A promise does not replace assessment, treatment planning, means safety, and follow-up.</x:v>
      </x:c>
      <x:c r="P93" s="192" t="str">
        <x:v>Do not equate NSSI automatically with either low risk or a suicide attempt; assess the complete pattern.</x:v>
      </x:c>
      <x:c r="Q93" s="194" t="str">
        <x:v>CTA LMFT Workbook 6</x:v>
      </x:c>
    </x:row>
    <x:row r="94">
      <x:c r="A94" s="191" t="str">
        <x:v>CTA-LMFT-MQB-0093</x:v>
      </x:c>
      <x:c r="B94" s="192" t="str">
        <x:v>LMFT-WB06-QB-Q008</x:v>
      </x:c>
      <x:c r="C94" s="192" t="str">
        <x:v>Workbook Question Bank</x:v>
      </x:c>
      <x:c r="D94" s="192" t="str">
        <x:v>Workbook 6</x:v>
      </x:c>
      <x:c r="E94" s="192" t="str">
        <x:v>A client says, “My former business partner will regret what happened,” but gives no target location, plan, time, or weapon information. What should the therapist do FIRST?</x:v>
      </x:c>
      <x:c r="F94" s="192" t="str">
        <x:v>Immediately warn every employee at the former business.</x:v>
      </x:c>
      <x:c r="G94" s="192" t="str">
        <x:v>Maintain confidentiality and avoid asking about the statement.</x:v>
      </x:c>
      <x:c r="H94" s="192" t="str">
        <x:v>Begin anger-management homework before discussing weapons or intent.</x:v>
      </x:c>
      <x:c r="I94" s="192" t="str">
        <x:v>Conduct a specific violence-risk assessment addressing the person involved, threat content, intent, plan, means, access, preparations, history, triggers, intoxication, and immediacy.</x:v>
      </x:c>
      <x:c r="J94" s="192" t="str">
        <x:v>D</x:v>
      </x:c>
      <x:c r="K94" s="192" t="str">
        <x:v>Incorrect. The therapist should first clarify the target and seriousness rather than make an unnecessarily broad disclosure.</x:v>
      </x:c>
      <x:c r="L94" s="192" t="str">
        <x:v>Incorrect. The warning requires direct assessment, not avoidance.</x:v>
      </x:c>
      <x:c r="M94" s="192" t="str">
        <x:v>Incorrect. Skills work is premature until the risk is clarified.</x:v>
      </x:c>
      <x:c r="N94" s="192" t="str">
        <x:v>Correct. The statement is concerning but does not yet establish the seriousness, specificity, or immediacy needed to select protective action.</x:v>
      </x:c>
      <x:c r="O94" s="192" t="str">
        <x:v>A. Incorrect. The therapist should first clarify the target and seriousness rather than make an unnecessarily broad disclosure.
B. Incorrect. The warning requires direct assessment, not avoidance.
C. Incorrect. Skills work is premature until the risk is clarified.
D. Correct. The statement is concerning but does not yet establish the seriousness, specificity, or immediacy needed to select protective action.</x:v>
      </x:c>
      <x:c r="P94" s="192" t="str">
        <x:v>A vague threat is a cue to assess more specifically; a supported serious threat is a cue to act.</x:v>
      </x:c>
      <x:c r="Q94" s="194" t="str">
        <x:v>CTA LMFT Workbook 6</x:v>
      </x:c>
    </x:row>
    <x:row r="95">
      <x:c r="A95" s="191" t="str">
        <x:v>CTA-LMFT-MQB-0094</x:v>
      </x:c>
      <x:c r="B95" s="192" t="str">
        <x:v>LMFT-WB06-QB-Q009</x:v>
      </x:c>
      <x:c r="C95" s="192" t="str">
        <x:v>Workbook Question Bank</x:v>
      </x:c>
      <x:c r="D95" s="192" t="str">
        <x:v>Workbook 6</x:v>
      </x:c>
      <x:c r="E95" s="192" t="str">
        <x:v>An older client says an adult child withholds meals and medications whenever the client refuses to sign financial documents. What should the LMFT do NEXT?</x:v>
      </x:c>
      <x:c r="F95" s="192" t="str">
        <x:v>Assess immediate safety and basic needs, make the applicable elder or dependent-adult abuse report, and connect the client with protective and practical resources.</x:v>
      </x:c>
      <x:c r="G95" s="192" t="str">
        <x:v>Arrange a family confrontation to determine who is telling the truth.</x:v>
      </x:c>
      <x:c r="H95" s="192" t="str">
        <x:v>Wait for financial records proving that money was taken.</x:v>
      </x:c>
      <x:c r="I95" s="192" t="str">
        <x:v>Keep the disclosure confidential because the client is an adult.</x:v>
      </x:c>
      <x:c r="J95" s="192" t="str">
        <x:v>A</x:v>
      </x:c>
      <x:c r="K95" s="192" t="str">
        <x:v>Correct. The facts indicate possible neglect, coercion, and financial abuse requiring a safety-centered reporting and resource response.</x:v>
      </x:c>
      <x:c r="L95" s="192" t="str">
        <x:v>Incorrect. Confrontation can increase danger and is not required before reporting.</x:v>
      </x:c>
      <x:c r="M95" s="192" t="str">
        <x:v>Incorrect. Mandated reporting does not require the therapist to complete an investigation.</x:v>
      </x:c>
      <x:c r="N95" s="192" t="str">
        <x:v>Incorrect. Adult status does not eliminate mandated elder or dependent-adult reporting duties described in the workbook.</x:v>
      </x:c>
      <x:c r="O95" s="192" t="str">
        <x:v>A. Correct. The facts indicate possible neglect, coercion, and financial abuse requiring a safety-centered reporting and resource response.
B. Incorrect. Confrontation can increase danger and is not required before reporting.
C. Incorrect. Mandated reporting does not require the therapist to complete an investigation.
D. Incorrect. Adult status does not eliminate mandated elder or dependent-adult reporting duties described in the workbook.</x:v>
      </x:c>
      <x:c r="P95" s="192" t="str">
        <x:v>When a vulnerable adult lacks food, medication, or safety, do not delay protective action for proof or confrontation.</x:v>
      </x:c>
      <x:c r="Q95" s="194" t="str">
        <x:v>CTA LMFT Workbook 6</x:v>
      </x:c>
    </x:row>
    <x:row r="96">
      <x:c r="A96" s="191" t="str">
        <x:v>CTA-LMFT-MQB-0095</x:v>
      </x:c>
      <x:c r="B96" s="192" t="str">
        <x:v>LMFT-WB06-QB-Q010</x:v>
      </x:c>
      <x:c r="C96" s="192" t="str">
        <x:v>Workbook Question Bank</x:v>
      </x:c>
      <x:c r="D96" s="192" t="str">
        <x:v>Workbook 6</x:v>
      </x:c>
      <x:c r="E96" s="192" t="str">
        <x:v>In conjoint treatment, one partner privately reports that the other tracks the partner’s phone, controls transportation, and has threatened retaliation for speaking honestly in therapy. What should the LMFT do FIRST?</x:v>
      </x:c>
      <x:c r="F96" s="192" t="str">
        <x:v>Bring both partners together and ask them to negotiate phone access.</x:v>
      </x:c>
      <x:c r="G96" s="192" t="str">
        <x:v>Privately assess immediate danger and safe communication, develop a safety response, and reconsider whether conjoint treatment can proceed without increasing risk.</x:v>
      </x:c>
      <x:c r="H96" s="192" t="str">
        <x:v>Remain neutral by assigning equal responsibility for the conflict.</x:v>
      </x:c>
      <x:c r="I96" s="192" t="str">
        <x:v>Begin detailed trauma processing with the reporting partner.</x:v>
      </x:c>
      <x:c r="J96" s="192" t="str">
        <x:v>B</x:v>
      </x:c>
      <x:c r="K96" s="192" t="str">
        <x:v>Incorrect. Confrontation in conjoint treatment may increase retaliation and suppress disclosure.</x:v>
      </x:c>
      <x:c r="L96" s="192" t="str">
        <x:v>Correct. The pattern suggests coercive control, making ordinary couple-process interventions and mutual-responsibility framing potentially unsafe.</x:v>
      </x:c>
      <x:c r="M96" s="192" t="str">
        <x:v>Incorrect. Neutrality does not override individual safety when coercive control is present.</x:v>
      </x:c>
      <x:c r="N96" s="192" t="str">
        <x:v>Incorrect. Detailed processing is premature during acute instability and surveillance risk.</x:v>
      </x:c>
      <x:c r="O96" s="192" t="str">
        <x:v>A. Incorrect. Confrontation in conjoint treatment may increase retaliation and suppress disclosure.
B. Correct. The pattern suggests coercive control, making ordinary couple-process interventions and mutual-responsibility framing potentially unsafe.
C. Incorrect. Neutrality does not override individual safety when coercive control is present.
D. Incorrect. Detailed processing is premature during acute instability and surveillance risk.</x:v>
      </x:c>
      <x:c r="P96" s="192" t="str">
        <x:v>When disclosure itself may increase danger, safety assessment comes before communication exercises.</x:v>
      </x:c>
      <x:c r="Q96" s="194" t="str">
        <x:v>CTA LMFT Workbook 6</x:v>
      </x:c>
    </x:row>
    <x:row r="97">
      <x:c r="A97" s="191" t="str">
        <x:v>CTA-LMFT-MQB-0096</x:v>
      </x:c>
      <x:c r="B97" s="192" t="str">
        <x:v>LMFT-WB06-QB-Q011</x:v>
      </x:c>
      <x:c r="C97" s="192" t="str">
        <x:v>Workbook Question Bank</x:v>
      </x:c>
      <x:c r="D97" s="192" t="str">
        <x:v>Workbook 6</x:v>
      </x:c>
      <x:c r="E97" s="192" t="str">
        <x:v>A client who abruptly stopped a prescribed sedative arrives with severe tremor, confusion, agitation, and a reported seizure earlier that day. What should the LMFT do FIRST?</x:v>
      </x:c>
      <x:c r="F97" s="192" t="str">
        <x:v>Use paced breathing until the client feels calmer.</x:v>
      </x:c>
      <x:c r="G97" s="192" t="str">
        <x:v>Complete a detailed substance-use history before contacting medical care.</x:v>
      </x:c>
      <x:c r="H97" s="192" t="str">
        <x:v>Arrange immediate emergency medical evaluation and maintain safety while activating appropriate responders.</x:v>
      </x:c>
      <x:c r="I97" s="192" t="str">
        <x:v>Refer the client to a weekly recovery meeting.</x:v>
      </x:c>
      <x:c r="J97" s="192" t="str">
        <x:v>C</x:v>
      </x:c>
      <x:c r="K97" s="192" t="str">
        <x:v>Incorrect. A calming technique does not treat a potentially life-threatening withdrawal syndrome.</x:v>
      </x:c>
      <x:c r="L97" s="192" t="str">
        <x:v>Incorrect. Further history can follow emergency stabilization.</x:v>
      </x:c>
      <x:c r="M97" s="192" t="str">
        <x:v>Correct. Severe sedative withdrawal can be medically dangerous and takes priority over routine psychotherapy or referral.</x:v>
      </x:c>
      <x:c r="N97" s="192" t="str">
        <x:v>Incorrect. A routine group is not an adequate response to acute medical instability.</x:v>
      </x:c>
      <x:c r="O97" s="192" t="str">
        <x:v>A. Incorrect. A calming technique does not treat a potentially life-threatening withdrawal syndrome.
B. Incorrect. Further history can follow emergency stabilization.
C. Correct. Severe sedative withdrawal can be medically dangerous and takes priority over routine psychotherapy or referral.
D. Incorrect. A routine group is not an adequate response to acute medical instability.</x:v>
      </x:c>
      <x:c r="P97" s="192" t="str">
        <x:v>Altered consciousness, seizures, severe withdrawal, or overdose move the case into medical emergency sequencing.</x:v>
      </x:c>
      <x:c r="Q97" s="194" t="str">
        <x:v>CTA LMFT Workbook 6</x:v>
      </x:c>
    </x:row>
    <x:row r="98">
      <x:c r="A98" s="191" t="str">
        <x:v>CTA-LMFT-MQB-0097</x:v>
      </x:c>
      <x:c r="B98" s="192" t="str">
        <x:v>LMFT-WB06-QB-Q012</x:v>
      </x:c>
      <x:c r="C98" s="192" t="str">
        <x:v>Workbook Question Bank</x:v>
      </x:c>
      <x:c r="D98" s="192" t="str">
        <x:v>Workbook 6</x:v>
      </x:c>
      <x:c r="E98" s="192" t="str">
        <x:v>After an earthquake, a family arrives at a shelter with no safe place to sleep, a child without an asthma inhaler, and no information about a missing grandparent. One parent wants to recount the disaster in detail. What should the LMFT do INITIALLY?</x:v>
      </x:c>
      <x:c r="F98" s="192" t="str">
        <x:v>Begin exposure-based retelling to prevent later avoidance.</x:v>
      </x:c>
      <x:c r="G98" s="192" t="str">
        <x:v>Interpret the parent’s urgency as unresolved family-of-origin anxiety.</x:v>
      </x:c>
      <x:c r="H98" s="192" t="str">
        <x:v>Ask the family to make long-term relocation decisions immediately.</x:v>
      </x:c>
      <x:c r="I98" s="192" t="str">
        <x:v>Address immediate safety and medical needs, help secure medication, shelter, and family-location resources, and provide brief stabilization.</x:v>
      </x:c>
      <x:c r="J98" s="192" t="str">
        <x:v>D</x:v>
      </x:c>
      <x:c r="K98" s="192" t="str">
        <x:v>Incorrect. Detailed trauma processing is premature while safety and medical needs remain unmet.</x:v>
      </x:c>
      <x:c r="L98" s="192" t="str">
        <x:v>Incorrect. Psychodynamic interpretation does not address the immediate crisis.</x:v>
      </x:c>
      <x:c r="M98" s="192" t="str">
        <x:v>Incorrect. Major decisions should not be pressed while urgent needs and acute distress remain unresolved.</x:v>
      </x:c>
      <x:c r="N98" s="192" t="str">
        <x:v>Correct. Basic survival, health, and reunification needs take priority over detailed trauma processing during acute displacement.</x:v>
      </x:c>
      <x:c r="O98" s="192" t="str">
        <x:v>A. Incorrect. Detailed trauma processing is premature while safety and medical needs remain unmet.
B. Incorrect. Psychodynamic interpretation does not address the immediate crisis.
C. Incorrect. Major decisions should not be pressed while urgent needs and acute distress remain unresolved.
D. Correct. Basic survival, health, and reunification needs take priority over detailed trauma processing during acute displacement.</x:v>
      </x:c>
      <x:c r="P98" s="192" t="str">
        <x:v>In disaster vignettes, stabilize health, safety, shelter, and connection before processing the event.</x:v>
      </x:c>
      <x:c r="Q98" s="194" t="str">
        <x:v>CTA LMFT Workbook 6</x:v>
      </x:c>
    </x:row>
    <x:row r="99">
      <x:c r="A99" s="191" t="str">
        <x:v>CTA-LMFT-MQB-0098</x:v>
      </x:c>
      <x:c r="B99" s="192" t="str">
        <x:v>LMFT-WB06-QB-Q013</x:v>
      </x:c>
      <x:c r="C99" s="192" t="str">
        <x:v>Workbook Question Bank</x:v>
      </x:c>
      <x:c r="D99" s="192" t="str">
        <x:v>Workbook 6</x:v>
      </x:c>
      <x:c r="E99" s="192" t="str">
        <x:v>A client reports that two hours earlier a roommate interrupted the client while the client was running a car in a closed garage. The client now denies intent, wants to leave alone, and refuses to identify where the car is parked. What is the BEST response?</x:v>
      </x:c>
      <x:c r="F99" s="192" t="str">
        <x:v>Maintain safety, assess current intent and access, involve emergency supports, and arrange immediate emergency evaluation rather than relying on the current denial.</x:v>
      </x:c>
      <x:c r="G99" s="192" t="str">
        <x:v>Accept the denial and schedule a telephone check-in the next morning.</x:v>
      </x:c>
      <x:c r="H99" s="192" t="str">
        <x:v>Ask the client to sign a no-harm agreement and leave.</x:v>
      </x:c>
      <x:c r="I99" s="192" t="str">
        <x:v>Begin cognitive restructuring of hopeless beliefs before discussing disposition.</x:v>
      </x:c>
      <x:c r="J99" s="192" t="str">
        <x:v>A</x:v>
      </x:c>
      <x:c r="K99" s="192" t="str">
        <x:v>Correct. Recent potentially lethal behavior and unresolved access are acute facts that outweigh a brief denial of current intent.</x:v>
      </x:c>
      <x:c r="L99" s="192" t="str">
        <x:v>Incorrect. The recent behavior and uncertain access require a more protective response.</x:v>
      </x:c>
      <x:c r="M99" s="192" t="str">
        <x:v>Incorrect. A promise is not an adequate substitute for emergency evaluation and means safety.</x:v>
      </x:c>
      <x:c r="N99" s="192" t="str">
        <x:v>Incorrect. Routine treatment is not the priority during an acute suicidal emergency.</x:v>
      </x:c>
      <x:c r="O99" s="192" t="str">
        <x:v>A. Correct. Recent potentially lethal behavior and unresolved access are acute facts that outweigh a brief denial of current intent.
B. Incorrect. The recent behavior and uncertain access require a more protective response.
C. Incorrect. A promise is not an adequate substitute for emergency evaluation and means safety.
D. Incorrect. Routine treatment is not the priority during an acute suicidal emergency.</x:v>
      </x:c>
      <x:c r="P99" s="192" t="str">
        <x:v>Recent preparation or behavior is stronger evidence than a momentary denial when access and safety remain unresolved.</x:v>
      </x:c>
      <x:c r="Q99" s="194" t="str">
        <x:v>CTA LMFT Workbook 6</x:v>
      </x:c>
    </x:row>
    <x:row r="100">
      <x:c r="A100" s="191" t="str">
        <x:v>CTA-LMFT-MQB-0099</x:v>
      </x:c>
      <x:c r="B100" s="192" t="str">
        <x:v>LMFT-WB06-QB-Q014</x:v>
      </x:c>
      <x:c r="C100" s="192" t="str">
        <x:v>Workbook Question Bank</x:v>
      </x:c>
      <x:c r="D100" s="192" t="str">
        <x:v>Workbook 6</x:v>
      </x:c>
      <x:c r="E100" s="192" t="str">
        <x:v>A 16-year-old tells an LMFT, “Tomorrow I am going to stab the student who has been threatening me,” identifies the student by name, and says the knife is hidden in a backpack at home. What should the therapist do NEXT?</x:v>
      </x:c>
      <x:c r="F100" s="192" t="str">
        <x:v>Ask the adolescent to journal about anger and revisit the issue next week.</x:v>
      </x:c>
      <x:c r="G100" s="192" t="str">
        <x:v>Take reasonable protective action for the identifiable potential victim, maintain the adolescent’s safety, involve appropriate caregivers and authorized emergency responders, and arrange urgent assessment.</x:v>
      </x:c>
      <x:c r="H100" s="192" t="str">
        <x:v>Keep the disclosure confidential because the threat has not yet been carried out.</x:v>
      </x:c>
      <x:c r="I100" s="192" t="str">
        <x:v>Contact the targeted student directly and disclose the adolescent’s entire treatment history.</x:v>
      </x:c>
      <x:c r="J100" s="192" t="str">
        <x:v>B</x:v>
      </x:c>
      <x:c r="K100" s="192" t="str">
        <x:v>Incorrect. The immediacy and weapon access make routine homework inadequate.</x:v>
      </x:c>
      <x:c r="L100" s="192" t="str">
        <x:v>Correct. The specific target, stated timing, plan, and weapon access establish a need for immediate protective and emergency action rather than further routine exploration alone.</x:v>
      </x:c>
      <x:c r="M100" s="192" t="str">
        <x:v>Incorrect. A serious, specific threat against an identifiable person requires protective analysis and action.</x:v>
      </x:c>
      <x:c r="N100" s="192" t="str">
        <x:v>Incorrect. Protective disclosures should be limited to what is reasonably necessary and coordinated appropriately.</x:v>
      </x:c>
      <x:c r="O100" s="192" t="str">
        <x:v>A. Incorrect. The immediacy and weapon access make routine homework inadequate.
B. Correct. The specific target, stated timing, plan, and weapon access establish a need for immediate protective and emergency action rather than further routine exploration alone.
C. Incorrect. A serious, specific threat against an identifiable person requires protective analysis and action.
D. Incorrect. Protective disclosures should be limited to what is reasonably necessary and coordinated appropriately.</x:v>
      </x:c>
      <x:c r="P100" s="192" t="str">
        <x:v>When the threat is specific and imminent, act protectively and disclose only what the protective purpose requires.</x:v>
      </x:c>
      <x:c r="Q100" s="194" t="str">
        <x:v>CTA LMFT Workbook 6</x:v>
      </x:c>
    </x:row>
    <x:row r="101">
      <x:c r="A101" s="191" t="str">
        <x:v>CTA-LMFT-MQB-0100</x:v>
      </x:c>
      <x:c r="B101" s="192" t="str">
        <x:v>LMFT-WB06-QB-Q015</x:v>
      </x:c>
      <x:c r="C101" s="192" t="str">
        <x:v>Workbook Question Bank</x:v>
      </x:c>
      <x:c r="D101" s="192" t="str">
        <x:v>Workbook 6</x:v>
      </x:c>
      <x:c r="E101" s="192" t="str">
        <x:v>A non-designated outpatient LMFT sees a client who is acutely psychotic, has walked into traffic twice, cannot state where food or shelter will come from, and repeatedly tries to leave the office. What is the BEST action?</x:v>
      </x:c>
      <x:c r="F101" s="192" t="str">
        <x:v>Tell the client that the therapist is personally placing the client on a 72-hour hold.</x:v>
      </x:c>
      <x:c r="G101" s="192" t="str">
        <x:v>Continue routine outpatient therapy because the client has not stated suicidal intent.</x:v>
      </x:c>
      <x:c r="H101" s="192" t="str">
        <x:v>Maintain immediate safety and contact an authorized crisis team, emergency service, or law enforcement for urgent evaluation under applicable procedures.</x:v>
      </x:c>
      <x:c r="I101" s="192" t="str">
        <x:v>Ask a family member to watch the client overnight without emergency evaluation.</x:v>
      </x:c>
      <x:c r="J101" s="192" t="str">
        <x:v>C</x:v>
      </x:c>
      <x:c r="K101" s="192" t="str">
        <x:v>Incorrect. The therapist should not claim authority the therapist does not have.</x:v>
      </x:c>
      <x:c r="L101" s="192" t="str">
        <x:v>Incorrect. Wandering into danger and inability to meet basic needs are urgent even without stated suicidality.</x:v>
      </x:c>
      <x:c r="M101" s="192" t="str">
        <x:v>Correct. The client presents acute danger and possible grave disability, while the therapist lacks unilateral detention authority.</x:v>
      </x:c>
      <x:c r="N101" s="192" t="str">
        <x:v>Incorrect. Informal monitoring is insufficient for the acute presentation.</x:v>
      </x:c>
      <x:c r="O101" s="192" t="str">
        <x:v>A. Incorrect. The therapist should not claim authority the therapist does not have.
B. Incorrect. Wandering into danger and inability to meet basic needs are urgent even without stated suicidality.
C. Correct. The client presents acute danger and possible grave disability, while the therapist lacks unilateral detention authority.
D. Incorrect. Informal monitoring is insufficient for the acute presentation.</x:v>
      </x:c>
      <x:c r="P101" s="192" t="str">
        <x:v>Recognize the emergency, preserve safety, and use the authorized pathway rather than overstating scope.</x:v>
      </x:c>
      <x:c r="Q101" s="194" t="str">
        <x:v>CTA LMFT Workbook 6</x:v>
      </x:c>
    </x:row>
    <x:row r="102">
      <x:c r="A102" s="191" t="str">
        <x:v>CTA-LMFT-MQB-0101</x:v>
      </x:c>
      <x:c r="B102" s="192" t="str">
        <x:v>LMFT-WB06-QB-Q016</x:v>
      </x:c>
      <x:c r="C102" s="192" t="str">
        <x:v>Workbook Question Bank</x:v>
      </x:c>
      <x:c r="D102" s="192" t="str">
        <x:v>Workbook 6</x:v>
      </x:c>
      <x:c r="E102" s="192" t="str">
        <x:v>During a family session, a child quietly tells the LMFT that a caregiver caused recent burns and threatened to punish the child if anyone was told. The alleged caregiver is in the waiting room and expects the child to leave with them. What should the therapist do FIRST?</x:v>
      </x:c>
      <x:c r="F102" s="192" t="str">
        <x:v>Bring the caregiver into the room and ask for an explanation before acting.</x:v>
      </x:c>
      <x:c r="G102" s="192" t="str">
        <x:v>Send the child home and file a report after the next session.</x:v>
      </x:c>
      <x:c r="H102" s="192" t="str">
        <x:v>Ask the child to obtain photographs before the therapist reports.</x:v>
      </x:c>
      <x:c r="I102" s="192" t="str">
        <x:v>Protect the child’s immediate safety, make the mandated report, coordinate a safe handoff with authorized responders, and avoid confronting the alleged perpetrator in a way that could increase danger.</x:v>
      </x:c>
      <x:c r="J102" s="192" t="str">
        <x:v>D</x:v>
      </x:c>
      <x:c r="K102" s="192" t="str">
        <x:v>Incorrect. Confrontation may increase danger and improperly delays the mandated response.</x:v>
      </x:c>
      <x:c r="L102" s="192" t="str">
        <x:v>Incorrect. The immediate safety concern makes delayed action unsafe.</x:v>
      </x:c>
      <x:c r="M102" s="192" t="str">
        <x:v>Incorrect. The therapist should not investigate for proof or place that burden on the child.</x:v>
      </x:c>
      <x:c r="N102" s="192" t="str">
        <x:v>Correct. The facts establish reasonable suspicion and an immediate retaliation concern, requiring both reporting and concrete safety coordination.</x:v>
      </x:c>
      <x:c r="O102" s="192" t="str">
        <x:v>A. Incorrect. Confrontation may increase danger and improperly delays the mandated response.
B. Incorrect. The immediate safety concern makes delayed action unsafe.
C. Incorrect. The therapist should not investigate for proof or place that burden on the child.
D. Correct. The facts establish reasonable suspicion and an immediate retaliation concern, requiring both reporting and concrete safety coordination.</x:v>
      </x:c>
      <x:c r="P102" s="192" t="str">
        <x:v>A report alone may not resolve immediate danger; pair the legal duty with a safe transition.</x:v>
      </x:c>
      <x:c r="Q102" s="194" t="str">
        <x:v>CTA LMFT Workbook 6</x:v>
      </x:c>
    </x:row>
    <x:row r="103">
      <x:c r="A103" s="191" t="str">
        <x:v>CTA-LMFT-MQB-0102</x:v>
      </x:c>
      <x:c r="B103" s="192" t="str">
        <x:v>LMFT-WB06-QB-Q017</x:v>
      </x:c>
      <x:c r="C103" s="192" t="str">
        <x:v>Workbook Question Bank</x:v>
      </x:c>
      <x:c r="D103" s="192" t="str">
        <x:v>Workbook 6</x:v>
      </x:c>
      <x:c r="E103" s="192" t="str">
        <x:v>A client reports intermittent suicidal thoughts without intent or plan, agrees to remove excess medication with a trusted partner, identifies reasons for living, can use a written plan, and accepts a same-day psychiatric consultation. The client has no transportation for daily clinic visits. What is the BEST disposition?</x:v>
      </x:c>
      <x:c r="F103" s="192" t="str">
        <x:v>Use a collaborative, least restrictive safety plan that includes means-safety steps, partner involvement with consent, accessible consultation, confirmed follow-up, and reassessment as risk changes.</x:v>
      </x:c>
      <x:c r="G103" s="192" t="str">
        <x:v>Hospitalize automatically because any suicidal thought requires inpatient care.</x:v>
      </x:c>
      <x:c r="H103" s="192" t="str">
        <x:v>Provide a crisis-line number and end the session.</x:v>
      </x:c>
      <x:c r="I103" s="192" t="str">
        <x:v>Ignore transportation because clinical recommendations do not need to be feasible.</x:v>
      </x:c>
      <x:c r="J103" s="192" t="str">
        <x:v>A</x:v>
      </x:c>
      <x:c r="K103" s="192" t="str">
        <x:v>Correct. The available facts support a feasible outpatient safety response when access barriers are addressed and the plan is actively confirmed.</x:v>
      </x:c>
      <x:c r="L103" s="192" t="str">
        <x:v>Incorrect. The level of care should match acuity; the facts describe willingness, protective factors, and a feasible supported plan.</x:v>
      </x:c>
      <x:c r="M103" s="192" t="str">
        <x:v>Incorrect. A generic referral does not address means safety, transportation, handoff, or reassessment.</x:v>
      </x:c>
      <x:c r="N103" s="192" t="str">
        <x:v>Incorrect. A safety plan fails if the client cannot realistically access the recommended services.</x:v>
      </x:c>
      <x:c r="O103" s="192" t="str">
        <x:v>A. Correct. The available facts support a feasible outpatient safety response when access barriers are addressed and the plan is actively confirmed.
B. Incorrect. The level of care should match acuity; the facts describe willingness, protective factors, and a feasible supported plan.
C. Incorrect. A generic referral does not address means safety, transportation, handoff, or reassessment.
D. Incorrect. A safety plan fails if the client cannot realistically access the recommended services.</x:v>
      </x:c>
      <x:c r="P103" s="192" t="str">
        <x:v>The safest answer is not always the most restrictive; it is the least restrictive plan that is genuinely supported and usable.</x:v>
      </x:c>
      <x:c r="Q103" s="194" t="str">
        <x:v>CTA LMFT Workbook 6</x:v>
      </x:c>
    </x:row>
    <x:row r="104">
      <x:c r="A104" s="191" t="str">
        <x:v>CTA-LMFT-MQB-0103</x:v>
      </x:c>
      <x:c r="B104" s="192" t="str">
        <x:v>LMFT-WB07-QB-Q001</x:v>
      </x:c>
      <x:c r="C104" s="192" t="str">
        <x:v>Workbook Question Bank</x:v>
      </x:c>
      <x:c r="D104" s="192" t="str">
        <x:v>Workbook 7</x:v>
      </x:c>
      <x:c r="E104" s="192" t="str">
        <x:v>In the CTA PLAN-ER sequence, what should an LMFT establish before selecting a technique?</x:v>
      </x:c>
      <x:c r="F104" s="192" t="str">
        <x:v>The therapist’s preferred theoretical orientation.</x:v>
      </x:c>
      <x:c r="G104" s="192" t="str">
        <x:v>The highest-priority need, the working formulation, and a collaborative target for change.</x:v>
      </x:c>
      <x:c r="H104" s="192" t="str">
        <x:v>A fixed termination date for every case.</x:v>
      </x:c>
      <x:c r="I104" s="192" t="str">
        <x:v>A list of interventions that can be used regardless of the client system.</x:v>
      </x:c>
      <x:c r="J104" s="192" t="str">
        <x:v>B</x:v>
      </x:c>
      <x:c r="K104" s="192" t="str">
        <x:v>Incorrect. Theory informs planning, but it should not replace assessment of the client system and priority need.</x:v>
      </x:c>
      <x:c r="L104" s="192" t="str">
        <x:v>Correct. Planning begins by identifying priority, formulation, and the outcome the client system is working toward.</x:v>
      </x:c>
      <x:c r="M104" s="192" t="str">
        <x:v>Incorrect. Termination planning is important, but a fixed date is not always clinically appropriate at the outset.</x:v>
      </x:c>
      <x:c r="N104" s="192" t="str">
        <x:v>Incorrect. Interventions should be selected because they fit the formulation, goal, readiness, and context.</x:v>
      </x:c>
      <x:c r="O104" s="192" t="str">
        <x:v>A. Incorrect. Theory informs planning, but it should not replace assessment of the client system and priority need.
B. Correct. Planning begins by identifying priority, formulation, and the outcome the client system is working toward.
C. Incorrect. Termination planning is important, but a fixed date is not always clinically appropriate at the outset.
D. Incorrect. Interventions should be selected because they fit the formulation, goal, readiness, and context.</x:v>
      </x:c>
      <x:c r="P104" s="192" t="str">
        <x:v>Before choosing a technique, identify the need, formulate the maintaining pattern, and define the desired change.</x:v>
      </x:c>
      <x:c r="Q104" s="194" t="str">
        <x:v>CTA LMFT Workbook 7</x:v>
      </x:c>
    </x:row>
    <x:row r="105">
      <x:c r="A105" s="191" t="str">
        <x:v>CTA-LMFT-MQB-0104</x:v>
      </x:c>
      <x:c r="B105" s="192" t="str">
        <x:v>LMFT-WB07-QB-Q002</x:v>
      </x:c>
      <x:c r="C105" s="192" t="str">
        <x:v>Workbook Question Bank</x:v>
      </x:c>
      <x:c r="D105" s="192" t="str">
        <x:v>Workbook 7</x:v>
      </x:c>
      <x:c r="E105" s="192" t="str">
        <x:v>A couple reports occasional communication problems, but one partner also describes escalating threats at home. Which planning action is MOST appropriate?</x:v>
      </x:c>
      <x:c r="F105" s="192" t="str">
        <x:v>Prioritize assessment and stabilization of the safety concern before routine communication goals.</x:v>
      </x:c>
      <x:c r="G105" s="192" t="str">
        <x:v>Begin communication-skills homework because that is the couple’s stated reason for treatment.</x:v>
      </x:c>
      <x:c r="H105" s="192" t="str">
        <x:v>Postpone all discussion of risk until both partners agree it is a problem.</x:v>
      </x:c>
      <x:c r="I105" s="192" t="str">
        <x:v>Set equal priority for every concern so neither partner feels judged.</x:v>
      </x:c>
      <x:c r="J105" s="192" t="str">
        <x:v>A</x:v>
      </x:c>
      <x:c r="K105" s="192" t="str">
        <x:v>Correct. Safety and acute instability take priority over lower-risk relational goals.</x:v>
      </x:c>
      <x:c r="L105" s="192" t="str">
        <x:v>Incorrect. Communication work may be useful later, but it is premature while safety is uncertain.</x:v>
      </x:c>
      <x:c r="M105" s="192" t="str">
        <x:v>Incorrect. The therapist must assess risk even when the partners differ in how they describe it.</x:v>
      </x:c>
      <x:c r="N105" s="192" t="str">
        <x:v>Incorrect. Ethical planning requires prioritization rather than treating all concerns as equally urgent.</x:v>
      </x:c>
      <x:c r="O105" s="192" t="str">
        <x:v>A. Correct. Safety and acute instability take priority over lower-risk relational goals.
B. Incorrect. Communication work may be useful later, but it is premature while safety is uncertain.
C. Incorrect. The therapist must assess risk even when the partners differ in how they describe it.
D. Incorrect. Ethical planning requires prioritization rather than treating all concerns as equally urgent.</x:v>
      </x:c>
      <x:c r="P105" s="192" t="str">
        <x:v>When goals compete, address immediate safety and stability before quality-of-life or skill-building targets.</x:v>
      </x:c>
      <x:c r="Q105" s="194" t="str">
        <x:v>CTA LMFT Workbook 7</x:v>
      </x:c>
    </x:row>
    <x:row r="106">
      <x:c r="A106" s="191" t="str">
        <x:v>CTA-LMFT-MQB-0105</x:v>
      </x:c>
      <x:c r="B106" s="192" t="str">
        <x:v>LMFT-WB07-QB-Q003</x:v>
      </x:c>
      <x:c r="C106" s="192" t="str">
        <x:v>Workbook Question Bank</x:v>
      </x:c>
      <x:c r="D106" s="192" t="str">
        <x:v>Workbook 7</x:v>
      </x:c>
      <x:c r="E106" s="192" t="str">
        <x:v>Which treatment goal is BEST written for progress monitoring?</x:v>
      </x:c>
      <x:c r="F106" s="192" t="str">
        <x:v>The family will become healthier.</x:v>
      </x:c>
      <x:c r="G106" s="192" t="str">
        <x:v>The adolescent will gain insight into all family problems.</x:v>
      </x:c>
      <x:c r="H106" s="192" t="str">
        <x:v>For the next four weeks, family members will use the agreed pause-and-repair routine during conflict and review the result in session.</x:v>
      </x:c>
      <x:c r="I106" s="192" t="str">
        <x:v>The parents will stop being dysfunctional.</x:v>
      </x:c>
      <x:c r="J106" s="192" t="str">
        <x:v>C</x:v>
      </x:c>
      <x:c r="K106" s="192" t="str">
        <x:v>Incorrect. “Healthier” is too broad to guide intervention or review.</x:v>
      </x:c>
      <x:c r="L106" s="192" t="str">
        <x:v>Incorrect. “All family problems” is not realistic or observable.</x:v>
      </x:c>
      <x:c r="M106" s="192" t="str">
        <x:v>Correct. The goal identifies a behavior, context, time frame, and method for reviewing change.</x:v>
      </x:c>
      <x:c r="N106" s="192" t="str">
        <x:v>Incorrect. The wording is blaming and does not define measurable behavior.</x:v>
      </x:c>
      <x:c r="O106" s="192" t="str">
        <x:v>A. Incorrect. “Healthier” is too broad to guide intervention or review.
B. Incorrect. “All family problems” is not realistic or observable.
C. Correct. The goal identifies a behavior, context, time frame, and method for reviewing change.
D. Incorrect. The wording is blaming and does not define measurable behavior.</x:v>
      </x:c>
      <x:c r="P106" s="192" t="str">
        <x:v>Choose goals that describe who will do what, under what conditions, by when, and how progress will be reviewed.</x:v>
      </x:c>
      <x:c r="Q106" s="194" t="str">
        <x:v>CTA LMFT Workbook 7</x:v>
      </x:c>
    </x:row>
    <x:row r="107">
      <x:c r="A107" s="191" t="str">
        <x:v>CTA-LMFT-MQB-0106</x:v>
      </x:c>
      <x:c r="B107" s="192" t="str">
        <x:v>LMFT-WB07-QB-Q004</x:v>
      </x:c>
      <x:c r="C107" s="192" t="str">
        <x:v>Workbook Question Bank</x:v>
      </x:c>
      <x:c r="D107" s="192" t="str">
        <x:v>Workbook 7</x:v>
      </x:c>
      <x:c r="E107" s="192" t="str">
        <x:v>An LMFT began individual treatment with a teenager referred for anxiety. Assessment now shows that parental conflict and inconsistent responses are maintaining the symptoms. What should the therapist do NEXT?</x:v>
      </x:c>
      <x:c r="F107" s="192" t="str">
        <x:v>Continue individual treatment without discussing the new formulation.</x:v>
      </x:c>
      <x:c r="G107" s="192" t="str">
        <x:v>Tell the parents they are the cause of the teenager’s anxiety.</x:v>
      </x:c>
      <x:c r="H107" s="192" t="str">
        <x:v>Terminate because the initial unit of treatment was incorrect.</x:v>
      </x:c>
      <x:c r="I107" s="192" t="str">
        <x:v>Discuss the systemic formulation, clarify roles and consent, and consider revising the unit and plan of treatment.</x:v>
      </x:c>
      <x:c r="J107" s="192" t="str">
        <x:v>D</x:v>
      </x:c>
      <x:c r="K107" s="192" t="str">
        <x:v>Incorrect. Ignoring new assessment data can preserve an ineffective plan.</x:v>
      </x:c>
      <x:c r="L107" s="192" t="str">
        <x:v>Incorrect. A systemic formulation should not be communicated as blame.</x:v>
      </x:c>
      <x:c r="M107" s="192" t="str">
        <x:v>Incorrect. New information calls for collaborative revision rather than automatic termination.</x:v>
      </x:c>
      <x:c r="N107" s="192" t="str">
        <x:v>Correct. The therapist should revisit who should participate, what roles apply, and how the treatment plan should change.</x:v>
      </x:c>
      <x:c r="O107" s="192" t="str">
        <x:v>A. Incorrect. Ignoring new assessment data can preserve an ineffective plan.
B. Incorrect. A systemic formulation should not be communicated as blame.
C. Incorrect. New information calls for collaborative revision rather than automatic termination.
D. Correct. The therapist should revisit who should participate, what roles apply, and how the treatment plan should change.</x:v>
      </x:c>
      <x:c r="P107" s="192" t="str">
        <x:v>The unit of treatment can change when the formulation changes; revise roles and consent before changing participation.</x:v>
      </x:c>
      <x:c r="Q107" s="194" t="str">
        <x:v>CTA LMFT Workbook 7</x:v>
      </x:c>
    </x:row>
    <x:row r="108">
      <x:c r="A108" s="191" t="str">
        <x:v>CTA-LMFT-MQB-0107</x:v>
      </x:c>
      <x:c r="B108" s="192" t="str">
        <x:v>LMFT-WB07-QB-Q005</x:v>
      </x:c>
      <x:c r="C108" s="192" t="str">
        <x:v>Workbook Question Bank</x:v>
      </x:c>
      <x:c r="D108" s="192" t="str">
        <x:v>Workbook 7</x:v>
      </x:c>
      <x:c r="E108" s="192" t="str">
        <x:v>A structural family formulation identifies diffuse parent-child boundaries and a weak parental subsystem. Which intervention target BEST fits the formulation?</x:v>
      </x:c>
      <x:c r="F108" s="192" t="str">
        <x:v>Strengthen parental alignment and clarify generational boundaries through in-session interactional work.</x:v>
      </x:c>
      <x:c r="G108" s="192" t="str">
        <x:v>Ask each family member to challenge automatic thoughts in isolation.</x:v>
      </x:c>
      <x:c r="H108" s="192" t="str">
        <x:v>Focus only on the identified child’s symptoms.</x:v>
      </x:c>
      <x:c r="I108" s="192" t="str">
        <x:v>Interpret early unconscious conflicts without observing current family interactions.</x:v>
      </x:c>
      <x:c r="J108" s="192" t="str">
        <x:v>A</x:v>
      </x:c>
      <x:c r="K108" s="192" t="str">
        <x:v>Correct. Structural planning targets hierarchy, subsystems, boundaries, and interactional organization.</x:v>
      </x:c>
      <x:c r="L108" s="192" t="str">
        <x:v>Incorrect. This is more consistent with an individual cognitive approach and does not directly address the stated systemic pattern.</x:v>
      </x:c>
      <x:c r="M108" s="192" t="str">
        <x:v>Incorrect. Focusing only on the child risks reinforcing the identified-patient pattern.</x:v>
      </x:c>
      <x:c r="N108" s="192" t="str">
        <x:v>Incorrect. The formulation calls for present-focused systemic intervention rather than only intrapsychic interpretation.</x:v>
      </x:c>
      <x:c r="O108" s="192" t="str">
        <x:v>A. Correct. Structural planning targets hierarchy, subsystems, boundaries, and interactional organization.
B. Incorrect. This is more consistent with an individual cognitive approach and does not directly address the stated systemic pattern.
C. Incorrect. Focusing only on the child risks reinforcing the identified-patient pattern.
D. Incorrect. The formulation calls for present-focused systemic intervention rather than only intrapsychic interpretation.</x:v>
      </x:c>
      <x:c r="P108" s="192" t="str">
        <x:v>Match the intervention target to the mechanism of change named in the formulation.</x:v>
      </x:c>
      <x:c r="Q108" s="194" t="str">
        <x:v>CTA LMFT Workbook 7</x:v>
      </x:c>
    </x:row>
    <x:row r="109">
      <x:c r="A109" s="191" t="str">
        <x:v>CTA-LMFT-MQB-0108</x:v>
      </x:c>
      <x:c r="B109" s="192" t="str">
        <x:v>LMFT-WB07-QB-Q006</x:v>
      </x:c>
      <x:c r="C109" s="192" t="str">
        <x:v>Workbook Question Bank</x:v>
      </x:c>
      <x:c r="D109" s="192" t="str">
        <x:v>Workbook 7</x:v>
      </x:c>
      <x:c r="E109" s="192" t="str">
        <x:v>After an LMFT assigns a between-session task, one partner says the therapist “always takes sides” and threatens to stop attending. What should the therapist do FIRST?</x:v>
      </x:c>
      <x:c r="F109" s="192" t="str">
        <x:v>Explain why the therapist’s interpretation is clinically correct.</x:v>
      </x:c>
      <x:c r="G109" s="192" t="str">
        <x:v>Ask the other partner to persuade the upset partner to continue.</x:v>
      </x:c>
      <x:c r="H109" s="192" t="str">
        <x:v>Continue the planned intervention to avoid reinforcing avoidance.</x:v>
      </x:c>
      <x:c r="I109" s="192" t="str">
        <x:v>Pause, explore the partner’s experience, assess the alliance and safety, and collaborate on repair before proceeding.</x:v>
      </x:c>
      <x:c r="J109" s="192" t="str">
        <x:v>D</x:v>
      </x:c>
      <x:c r="K109" s="192" t="str">
        <x:v>Incorrect. Defending the intervention before understanding the rupture can deepen mistrust.</x:v>
      </x:c>
      <x:c r="L109" s="192" t="str">
        <x:v>Incorrect. The therapist should address the alliance directly rather than recruiting one partner.</x:v>
      </x:c>
      <x:c r="M109" s="192" t="str">
        <x:v>Incorrect. Proceeding without repair risks dropout and weakens treatment effectiveness.</x:v>
      </x:c>
      <x:c r="N109" s="192" t="str">
        <x:v>Correct. Alliance information is treatment data and should be explored and repaired collaboratively.</x:v>
      </x:c>
      <x:c r="O109" s="192" t="str">
        <x:v>A. Incorrect. Defending the intervention before understanding the rupture can deepen mistrust.
B. Incorrect. The therapist should address the alliance directly rather than recruiting one partner.
C. Incorrect. Proceeding without repair risks dropout and weakens treatment effectiveness.
D. Correct. Alliance information is treatment data and should be explored and repaired collaboratively.</x:v>
      </x:c>
      <x:c r="P109" s="192" t="str">
        <x:v>When treatment participation is threatened by a rupture, address the relationship before adding another technique.</x:v>
      </x:c>
      <x:c r="Q109" s="194" t="str">
        <x:v>CTA LMFT Workbook 7</x:v>
      </x:c>
    </x:row>
    <x:row r="110">
      <x:c r="A110" s="191" t="str">
        <x:v>CTA-LMFT-MQB-0109</x:v>
      </x:c>
      <x:c r="B110" s="192" t="str">
        <x:v>LMFT-WB07-QB-Q007</x:v>
      </x:c>
      <x:c r="C110" s="192" t="str">
        <x:v>Workbook Question Bank</x:v>
      </x:c>
      <x:c r="D110" s="192" t="str">
        <x:v>Workbook 7</x:v>
      </x:c>
      <x:c r="E110" s="192" t="str">
        <x:v>Which progress-monitoring plan provides the MOST useful information for a family working to reduce conflict escalation?</x:v>
      </x:c>
      <x:c r="F110" s="192" t="str">
        <x:v>Ask at termination whether the family feels better.</x:v>
      </x:c>
      <x:c r="G110" s="192" t="str">
        <x:v>Rely only on the therapist’s general impression.</x:v>
      </x:c>
      <x:c r="H110" s="192" t="str">
        <x:v>Establish a baseline, track frequency and intensity of escalation, review repair attempts, and reassess at scheduled intervals.</x:v>
      </x:c>
      <x:c r="I110" s="192" t="str">
        <x:v>Count the number of sessions attended.</x:v>
      </x:c>
      <x:c r="J110" s="192" t="str">
        <x:v>C</x:v>
      </x:c>
      <x:c r="K110" s="192" t="str">
        <x:v>Incorrect. Waiting until termination prevents timely revision.</x:v>
      </x:c>
      <x:c r="L110" s="192" t="str">
        <x:v>Incorrect. Clinical observation matters, but it should be combined with defined indicators and client-system feedback.</x:v>
      </x:c>
      <x:c r="M110" s="192" t="str">
        <x:v>Correct. Baseline indicators and scheduled review make change visible and actionable.</x:v>
      </x:c>
      <x:c r="N110" s="192" t="str">
        <x:v>Incorrect. Attendance is not the same as outcome.</x:v>
      </x:c>
      <x:c r="O110" s="192" t="str">
        <x:v>A. Incorrect. Waiting until termination prevents timely revision.
B. Incorrect. Clinical observation matters, but it should be combined with defined indicators and client-system feedback.
C. Correct. Baseline indicators and scheduled review make change visible and actionable.
D. Incorrect. Attendance is not the same as outcome.</x:v>
      </x:c>
      <x:c r="P110" s="192" t="str">
        <x:v>A useful measure has a baseline, a target, repeated review, and a clear link to the treatment goal.</x:v>
      </x:c>
      <x:c r="Q110" s="194" t="str">
        <x:v>CTA LMFT Workbook 7</x:v>
      </x:c>
    </x:row>
    <x:row r="111">
      <x:c r="A111" s="191" t="str">
        <x:v>CTA-LMFT-MQB-0110</x:v>
      </x:c>
      <x:c r="B111" s="192" t="str">
        <x:v>LMFT-WB07-QB-Q008</x:v>
      </x:c>
      <x:c r="C111" s="192" t="str">
        <x:v>Workbook Question Bank</x:v>
      </x:c>
      <x:c r="D111" s="192" t="str">
        <x:v>Workbook 7</x:v>
      </x:c>
      <x:c r="E111" s="192" t="str">
        <x:v>An employer refers a client for therapy and requests monthly summaries. Before finalizing treatment goals, what should the LMFT do?</x:v>
      </x:c>
      <x:c r="F111" s="192" t="str">
        <x:v>Promise the employer complete progress notes because it made the referral.</x:v>
      </x:c>
      <x:c r="G111" s="192" t="str">
        <x:v>Clarify the therapist’s role, who the client is, confidentiality limits, authorization, and the exact information that may be shared.</x:v>
      </x:c>
      <x:c r="H111" s="192" t="str">
        <x:v>Refuse every third-party referral as unethical.</x:v>
      </x:c>
      <x:c r="I111" s="192" t="str">
        <x:v>Send only verbal updates so no release is needed.</x:v>
      </x:c>
      <x:c r="J111" s="192" t="str">
        <x:v>B</x:v>
      </x:c>
      <x:c r="K111" s="192" t="str">
        <x:v>Incorrect. Referral source status does not create unrestricted access to treatment information.</x:v>
      </x:c>
      <x:c r="L111" s="192" t="str">
        <x:v>Correct. Roles, authorization, confidentiality, and information boundaries must be clear before treatment proceeds.</x:v>
      </x:c>
      <x:c r="M111" s="192" t="str">
        <x:v>Incorrect. Third-party referrals can be managed ethically when expectations and permissions are defined.</x:v>
      </x:c>
      <x:c r="N111" s="192" t="str">
        <x:v>Incorrect. Verbal disclosure is still disclosure and requires appropriate authorization or legal basis.</x:v>
      </x:c>
      <x:c r="O111" s="192" t="str">
        <x:v>A. Incorrect. Referral source status does not create unrestricted access to treatment information.
B. Correct. Roles, authorization, confidentiality, and information boundaries must be clear before treatment proceeds.
C. Incorrect. Third-party referrals can be managed ethically when expectations and permissions are defined.
D. Incorrect. Verbal disclosure is still disclosure and requires appropriate authorization or legal basis.</x:v>
      </x:c>
      <x:c r="P111" s="192" t="str">
        <x:v>In third-party cases, clarify client, role, purpose, authorization, recipient, and scope before promising information.</x:v>
      </x:c>
      <x:c r="Q111" s="194" t="str">
        <x:v>CTA LMFT Workbook 7</x:v>
      </x:c>
    </x:row>
    <x:row r="112">
      <x:c r="A112" s="191" t="str">
        <x:v>CTA-LMFT-MQB-0111</x:v>
      </x:c>
      <x:c r="B112" s="192" t="str">
        <x:v>LMFT-WB07-QB-Q009</x:v>
      </x:c>
      <x:c r="C112" s="192" t="str">
        <x:v>Workbook Question Bank</x:v>
      </x:c>
      <x:c r="D112" s="192" t="str">
        <x:v>Workbook 7</x:v>
      </x:c>
      <x:c r="E112" s="192" t="str">
        <x:v>A family has attended eight sessions with no meaningful change. Homework completion is low, and transportation problems have caused several late arrivals. What should the LMFT do NEXT?</x:v>
      </x:c>
      <x:c r="F112" s="192" t="str">
        <x:v>Reassess the formulation, alliance, barriers, intervention fit, resources, and level of care with the family, then revise the plan as indicated.</x:v>
      </x:c>
      <x:c r="G112" s="192" t="str">
        <x:v>Repeat the same interventions for eight more sessions to preserve consistency.</x:v>
      </x:c>
      <x:c r="H112" s="192" t="str">
        <x:v>Conclude that the family is resistant and terminate immediately.</x:v>
      </x:c>
      <x:c r="I112" s="192" t="str">
        <x:v>Increase homework complexity to improve motivation.</x:v>
      </x:c>
      <x:c r="J112" s="192" t="str">
        <x:v>A</x:v>
      </x:c>
      <x:c r="K112" s="192" t="str">
        <x:v>Correct. No progress is new assessment data and requires collaborative review of both clinical and practical barriers.</x:v>
      </x:c>
      <x:c r="L112" s="192" t="str">
        <x:v>Incorrect. Consistency without evaluation may preserve an ineffective plan.</x:v>
      </x:c>
      <x:c r="M112" s="192" t="str">
        <x:v>Incorrect. Labeling resistance bypasses assessment and shared problem solving.</x:v>
      </x:c>
      <x:c r="N112" s="192" t="str">
        <x:v>Incorrect. Increasing burden may worsen the mismatch before barriers are understood.</x:v>
      </x:c>
      <x:c r="O112" s="192" t="str">
        <x:v>A. Correct. No progress is new assessment data and requires collaborative review of both clinical and practical barriers.
B. Incorrect. Consistency without evaluation may preserve an ineffective plan.
C. Incorrect. Labeling resistance bypasses assessment and shared problem solving.
D. Incorrect. Increasing burden may worsen the mismatch before barriers are understood.</x:v>
      </x:c>
      <x:c r="P112" s="192" t="str">
        <x:v>When progress stalls, reassess before repeating, blaming, or terminating.</x:v>
      </x:c>
      <x:c r="Q112" s="194" t="str">
        <x:v>CTA LMFT Workbook 7</x:v>
      </x:c>
    </x:row>
    <x:row r="113">
      <x:c r="A113" s="191" t="str">
        <x:v>CTA-LMFT-MQB-0112</x:v>
      </x:c>
      <x:c r="B113" s="192" t="str">
        <x:v>LMFT-WB07-QB-Q010</x:v>
      </x:c>
      <x:c r="C113" s="192" t="str">
        <x:v>Workbook Question Bank</x:v>
      </x:c>
      <x:c r="D113" s="192" t="str">
        <x:v>Workbook 7</x:v>
      </x:c>
      <x:c r="E113" s="192" t="str">
        <x:v>Which factor should carry the GREATEST weight when an LMFT chooses between individual, conjoint, family, group, or higher-level services?</x:v>
      </x:c>
      <x:c r="F113" s="192" t="str">
        <x:v>Which modality is easiest to schedule for the therapist.</x:v>
      </x:c>
      <x:c r="G113" s="192" t="str">
        <x:v>Which modality the agency uses most often.</x:v>
      </x:c>
      <x:c r="H113" s="192" t="str">
        <x:v>The formulation, safety, client-system readiness, developmental and cultural fit, resources, and the intensity of care required.</x:v>
      </x:c>
      <x:c r="I113" s="192" t="str">
        <x:v>Whether the client has previously tried therapy.</x:v>
      </x:c>
      <x:c r="J113" s="192" t="str">
        <x:v>C</x:v>
      </x:c>
      <x:c r="K113" s="192" t="str">
        <x:v>Incorrect. Therapist convenience cannot be the primary clinical criterion.</x:v>
      </x:c>
      <x:c r="L113" s="192" t="str">
        <x:v>Incorrect. Agency practice does not replace individualized judgment.</x:v>
      </x:c>
      <x:c r="M113" s="192" t="str">
        <x:v>Correct. Modality and level of care should fit the formulation, risk, participants, context, and treatment needs.</x:v>
      </x:c>
      <x:c r="N113" s="192" t="str">
        <x:v>Incorrect. Prior treatment is relevant but does not determine the current modality by itself.</x:v>
      </x:c>
      <x:c r="O113" s="192" t="str">
        <x:v>A. Incorrect. Therapist convenience cannot be the primary clinical criterion.
B. Incorrect. Agency practice does not replace individualized judgment.
C. Correct. Modality and level of care should fit the formulation, risk, participants, context, and treatment needs.
D. Incorrect. Prior treatment is relevant but does not determine the current modality by itself.</x:v>
      </x:c>
      <x:c r="P113" s="192" t="str">
        <x:v>Choose the setting and participants that best match formulation, risk, readiness, and required intensity.</x:v>
      </x:c>
      <x:c r="Q113" s="194" t="str">
        <x:v>CTA LMFT Workbook 7</x:v>
      </x:c>
    </x:row>
    <x:row r="114">
      <x:c r="A114" s="191" t="str">
        <x:v>CTA-LMFT-MQB-0113</x:v>
      </x:c>
      <x:c r="B114" s="192" t="str">
        <x:v>LMFT-WB07-QB-Q011</x:v>
      </x:c>
      <x:c r="C114" s="192" t="str">
        <x:v>Workbook Question Bank</x:v>
      </x:c>
      <x:c r="D114" s="192" t="str">
        <x:v>Workbook 7</x:v>
      </x:c>
      <x:c r="E114" s="192" t="str">
        <x:v>A couple reports substantial goal attainment and uses repair skills independently, but one partner worries that ending therapy means the relationship may fail again. What should the LMFT do?</x:v>
      </x:c>
      <x:c r="F114" s="192" t="str">
        <x:v>Continue indefinitely because anxiety about ending proves treatment is incomplete.</x:v>
      </x:c>
      <x:c r="G114" s="192" t="str">
        <x:v>End immediately so the couple does not become dependent.</x:v>
      </x:c>
      <x:c r="H114" s="192" t="str">
        <x:v>Refer the couple to another therapist solely to avoid discussing termination.</x:v>
      </x:c>
      <x:c r="I114" s="192" t="str">
        <x:v>Explore the meaning of ending, review gains and remaining risks, plan relapse prevention, and collaboratively consider tapering or closure.</x:v>
      </x:c>
      <x:c r="J114" s="192" t="str">
        <x:v>D</x:v>
      </x:c>
      <x:c r="K114" s="192" t="str">
        <x:v>Incorrect. Concern about ending should be explored but does not automatically justify indefinite treatment.</x:v>
      </x:c>
      <x:c r="L114" s="192" t="str">
        <x:v>Incorrect. Abrupt closure misses an opportunity to consolidate gains and address the transition.</x:v>
      </x:c>
      <x:c r="M114" s="192" t="str">
        <x:v>Incorrect. Referral is not indicated solely to avoid termination work.</x:v>
      </x:c>
      <x:c r="N114" s="192" t="str">
        <x:v>Correct. Termination is a clinical process involving review, meaning, risk, supports, and continuity.</x:v>
      </x:c>
      <x:c r="O114" s="192" t="str">
        <x:v>A. Incorrect. Concern about ending should be explored but does not automatically justify indefinite treatment.
B. Incorrect. Abrupt closure misses an opportunity to consolidate gains and address the transition.
C. Incorrect. Referral is not indicated solely to avoid termination work.
D. Correct. Termination is a clinical process involving review, meaning, risk, supports, and continuity.</x:v>
      </x:c>
      <x:c r="P114" s="192" t="str">
        <x:v>Readiness depends on goals, functioning, independent skill use, risk, supports, and the meaning of ending.</x:v>
      </x:c>
      <x:c r="Q114" s="194" t="str">
        <x:v>CTA LMFT Workbook 7</x:v>
      </x:c>
    </x:row>
    <x:row r="115">
      <x:c r="A115" s="191" t="str">
        <x:v>CTA-LMFT-MQB-0114</x:v>
      </x:c>
      <x:c r="B115" s="192" t="str">
        <x:v>LMFT-WB07-QB-Q012</x:v>
      </x:c>
      <x:c r="C115" s="192" t="str">
        <x:v>Workbook Question Bank</x:v>
      </x:c>
      <x:c r="D115" s="192" t="str">
        <x:v>Workbook 7</x:v>
      </x:c>
      <x:c r="E115" s="192" t="str">
        <x:v>Which item belongs in the CTA CLOSE termination check?</x:v>
      </x:c>
      <x:c r="F115" s="192" t="str">
        <x:v>Guarantee that symptoms will never recur.</x:v>
      </x:c>
      <x:c r="G115" s="192" t="str">
        <x:v>Confirm current risk, consolidate gains, link supports, outline relapse or follow-up steps, summarize the ending, and document the plan.</x:v>
      </x:c>
      <x:c r="H115" s="192" t="str">
        <x:v>Avoid discussing the therapeutic relationship to reduce emotion.</x:v>
      </x:c>
      <x:c r="I115" s="192" t="str">
        <x:v>Delete earlier treatment goals once closure is planned.</x:v>
      </x:c>
      <x:c r="J115" s="192" t="str">
        <x:v>B</x:v>
      </x:c>
      <x:c r="K115" s="192" t="str">
        <x:v>Incorrect. Clinicians cannot guarantee that symptoms or stressors will never return.</x:v>
      </x:c>
      <x:c r="L115" s="192" t="str">
        <x:v>Correct. The CLOSE check organizes safety, gains, supports, follow-up, meaning, and documentation.</x:v>
      </x:c>
      <x:c r="M115" s="192" t="str">
        <x:v>Incorrect. The meaning of ending may be clinically important and should not be avoided automatically.</x:v>
      </x:c>
      <x:c r="N115" s="192" t="str">
        <x:v>Incorrect. Prior goals and progress remain part of the clinical record.</x:v>
      </x:c>
      <x:c r="O115" s="192" t="str">
        <x:v>A. Incorrect. Clinicians cannot guarantee that symptoms or stressors will never return.
B. Correct. The CLOSE check organizes safety, gains, supports, follow-up, meaning, and documentation.
C. Incorrect. The meaning of ending may be clinically important and should not be avoided automatically.
D. Incorrect. Prior goals and progress remain part of the clinical record.</x:v>
      </x:c>
      <x:c r="P115" s="192" t="str">
        <x:v>A sound ending protects safety and continuity while consolidating what the client system can carry forward.</x:v>
      </x:c>
      <x:c r="Q115" s="194" t="str">
        <x:v>CTA LMFT Workbook 7</x:v>
      </x:c>
    </x:row>
    <x:row r="116">
      <x:c r="A116" s="191" t="str">
        <x:v>CTA-LMFT-MQB-0115</x:v>
      </x:c>
      <x:c r="B116" s="192" t="str">
        <x:v>LMFT-WB07-QB-Q013</x:v>
      </x:c>
      <x:c r="C116" s="192" t="str">
        <x:v>Workbook Question Bank</x:v>
      </x:c>
      <x:c r="D116" s="192" t="str">
        <x:v>Workbook 7</x:v>
      </x:c>
      <x:c r="E116" s="192" t="str">
        <x:v>Parents seek family therapy because their 14-year-old is skipping school. In the first meeting, the adolescent reports recent self-harm, the parents begin blaming each other, and the family has no reliable transportation. Which plan is BEST?</x:v>
      </x:c>
      <x:c r="F116" s="192" t="str">
        <x:v>Assess current self-harm risk and disposition first, stabilize safety, then collaboratively revise goals, family participation, and access supports before routine school-attendance work.</x:v>
      </x:c>
      <x:c r="G116" s="192" t="str">
        <x:v>Begin a behavioral attendance contract immediately because school refusal is the referral problem.</x:v>
      </x:c>
      <x:c r="H116" s="192" t="str">
        <x:v>Exclude the parents from all future sessions because conflict occurred.</x:v>
      </x:c>
      <x:c r="I116" s="192" t="str">
        <x:v>Terminate and tell the family to return when transportation is reliable.</x:v>
      </x:c>
      <x:c r="J116" s="192" t="str">
        <x:v>A</x:v>
      </x:c>
      <x:c r="K116" s="192" t="str">
        <x:v>Correct. The plan prioritizes safety while integrating systemic formulation, participation, and practical access barriers.</x:v>
      </x:c>
      <x:c r="L116" s="192" t="str">
        <x:v>Incorrect. Attendance planning is premature before current self-harm risk is clarified and stabilized.</x:v>
      </x:c>
      <x:c r="M116" s="192" t="str">
        <x:v>Incorrect. Family conflict informs the formulation but does not automatically justify excluding parents.</x:v>
      </x:c>
      <x:c r="N116" s="192" t="str">
        <x:v>Incorrect. Transportation is a barrier to solve, not a reason for abandonment.</x:v>
      </x:c>
      <x:c r="O116" s="192" t="str">
        <x:v>A. Correct. The plan prioritizes safety while integrating systemic formulation, participation, and practical access barriers.
B. Incorrect. Attendance planning is premature before current self-harm risk is clarified and stabilized.
C. Incorrect. Family conflict informs the formulation but does not automatically justify excluding parents.
D. Incorrect. Transportation is a barrier to solve, not a reason for abandonment.</x:v>
      </x:c>
      <x:c r="P116" s="192" t="str">
        <x:v>Integrated items require the sequence: immediate safety, collaborative formulation, feasible plan, monitoring, and continuity.</x:v>
      </x:c>
      <x:c r="Q116" s="194" t="str">
        <x:v>CTA LMFT Workbook 7</x:v>
      </x:c>
    </x:row>
    <x:row r="117">
      <x:c r="A117" s="191" t="str">
        <x:v>CTA-LMFT-MQB-0116</x:v>
      </x:c>
      <x:c r="B117" s="192" t="str">
        <x:v>LMFT-WB07-QB-Q014</x:v>
      </x:c>
      <x:c r="C117" s="192" t="str">
        <x:v>Workbook Question Bank</x:v>
      </x:c>
      <x:c r="D117" s="192" t="str">
        <x:v>Workbook 7</x:v>
      </x:c>
      <x:c r="E117" s="192" t="str">
        <x:v>An LMFT uses solution-focused tasks with a family, but progress measures remain unchanged. The parents say the tasks do not fit their cultural decision-making process, and the adolescent reports feeling unheard. What is the BEST next step?</x:v>
      </x:c>
      <x:c r="F117" s="192" t="str">
        <x:v>Increase the number of tasks so the family practices more often.</x:v>
      </x:c>
      <x:c r="G117" s="192" t="str">
        <x:v>Explain that evidence-based methods should not be altered for cultural reasons.</x:v>
      </x:c>
      <x:c r="H117" s="192" t="str">
        <x:v>Terminate because the family is not compliant.</x:v>
      </x:c>
      <x:c r="I117" s="192" t="str">
        <x:v>Reassess the alliance, cultural meaning, family roles, formulation, and intervention fit; then revise goals and methods collaboratively and define a new review point.</x:v>
      </x:c>
      <x:c r="J117" s="192" t="str">
        <x:v>D</x:v>
      </x:c>
      <x:c r="K117" s="192" t="str">
        <x:v>Incorrect. More of a poorly fitting intervention is unlikely to resolve the mismatch.</x:v>
      </x:c>
      <x:c r="L117" s="192" t="str">
        <x:v>Incorrect. Competent planning adapts implementation to the client system while preserving clinical integrity.</x:v>
      </x:c>
      <x:c r="M117" s="192" t="str">
        <x:v>Incorrect. Nonprogress should trigger reassessment before blaming or terminating.</x:v>
      </x:c>
      <x:c r="N117" s="192" t="str">
        <x:v>Correct. The response uses outcome data and client feedback to revise alliance, formulation, and intervention fit.</x:v>
      </x:c>
      <x:c r="O117" s="192" t="str">
        <x:v>A. Incorrect. More of a poorly fitting intervention is unlikely to resolve the mismatch.
B. Incorrect. Competent planning adapts implementation to the client system while preserving clinical integrity.
C. Incorrect. Nonprogress should trigger reassessment before blaming or terminating.
D. Correct. The response uses outcome data and client feedback to revise alliance, formulation, and intervention fit.</x:v>
      </x:c>
      <x:c r="P117" s="192" t="str">
        <x:v>When outcome data and client feedback both signal poor fit, revise the formulation and plan rather than intensifying the same approach.</x:v>
      </x:c>
      <x:c r="Q117" s="194" t="str">
        <x:v>CTA LMFT Workbook 7</x:v>
      </x:c>
    </x:row>
    <x:row r="118">
      <x:c r="A118" s="191" t="str">
        <x:v>CTA-LMFT-MQB-0117</x:v>
      </x:c>
      <x:c r="B118" s="192" t="str">
        <x:v>LMFT-WB07-QB-Q015</x:v>
      </x:c>
      <x:c r="C118" s="192" t="str">
        <x:v>Workbook Question Bank</x:v>
      </x:c>
      <x:c r="D118" s="192" t="str">
        <x:v>Workbook 7</x:v>
      </x:c>
      <x:c r="E118" s="192" t="str">
        <x:v>A client in individual LMFT treatment has improved but still has intermittent panic symptoms. The client can no longer afford the current fee and asks to stop next week. Which response is BEST?</x:v>
      </x:c>
      <x:c r="F118" s="192" t="str">
        <x:v>Continue treatment without charge until all symptoms are gone.</x:v>
      </x:c>
      <x:c r="G118" s="192" t="str">
        <x:v>Acknowledge the client’s choice and financial reality, assess current risk and functioning, review gains and coping plans, discuss feasible lower-cost or transfer options, and document the transition.</x:v>
      </x:c>
      <x:c r="H118" s="192" t="str">
        <x:v>Refuse termination because the therapist believes more treatment is needed.</x:v>
      </x:c>
      <x:c r="I118" s="192" t="str">
        <x:v>Close the case immediately without further contact because the client requested it.</x:v>
      </x:c>
      <x:c r="J118" s="192" t="str">
        <x:v>B</x:v>
      </x:c>
      <x:c r="K118" s="192" t="str">
        <x:v>Incorrect. Unlimited free treatment is not required and may create sustainability and boundary problems.</x:v>
      </x:c>
      <x:c r="L118" s="192" t="str">
        <x:v>Correct. The response respects self-determination while protecting continuity and addressing remaining clinical needs.</x:v>
      </x:c>
      <x:c r="M118" s="192" t="str">
        <x:v>Incorrect. A competent voluntary client may choose to stop, although the therapist should explain concerns and options.</x:v>
      </x:c>
      <x:c r="N118" s="192" t="str">
        <x:v>Incorrect. Abrupt administrative closure omits reasonable transition and relapse planning.</x:v>
      </x:c>
      <x:c r="O118" s="192" t="str">
        <x:v>A. Incorrect. Unlimited free treatment is not required and may create sustainability and boundary problems.
B. Correct. The response respects self-determination while protecting continuity and addressing remaining clinical needs.
C. Incorrect. A competent voluntary client may choose to stop, although the therapist should explain concerns and options.
D. Incorrect. Abrupt administrative closure omits reasonable transition and relapse planning.</x:v>
      </x:c>
      <x:c r="P118" s="192" t="str">
        <x:v>When an external barrier drives ending, combine respect for choice with risk review, feasible alternatives, and continuity.</x:v>
      </x:c>
      <x:c r="Q118" s="194" t="str">
        <x:v>CTA LMFT Workbook 7</x:v>
      </x:c>
    </x:row>
    <x:row r="119">
      <x:c r="A119" s="191" t="str">
        <x:v>CTA-LMFT-MQB-0118</x:v>
      </x:c>
      <x:c r="B119" s="192" t="str">
        <x:v>LMFT-WB07-QB-Q016</x:v>
      </x:c>
      <x:c r="C119" s="192" t="str">
        <x:v>Workbook Question Bank</x:v>
      </x:c>
      <x:c r="D119" s="192" t="str">
        <x:v>Workbook 7</x:v>
      </x:c>
      <x:c r="E119" s="192" t="str">
        <x:v>A couple completes conjoint therapy successfully. One partner asks to continue individually with the same LMFT to discuss information that should be kept from the other partner. What should the therapist do FIRST?</x:v>
      </x:c>
      <x:c r="F119" s="192" t="str">
        <x:v>Agree because the conjoint case has ended.</x:v>
      </x:c>
      <x:c r="G119" s="192" t="str">
        <x:v>Tell the partner to disclose the information to the other partner before any discussion.</x:v>
      </x:c>
      <x:c r="H119" s="192" t="str">
        <x:v>Clarify the prior client relationship, confidentiality and record implications, potential conflicts, informed consent, and whether an individual referral is more appropriate before accepting a new role.</x:v>
      </x:c>
      <x:c r="I119" s="192" t="str">
        <x:v>Destroy the conjoint record and open a new individual chart.</x:v>
      </x:c>
      <x:c r="J119" s="192" t="str">
        <x:v>C</x:v>
      </x:c>
      <x:c r="K119" s="192" t="str">
        <x:v>Incorrect. Ending conjoint treatment does not erase role, confidentiality, or conflict considerations.</x:v>
      </x:c>
      <x:c r="L119" s="192" t="str">
        <x:v>Incorrect. The therapist should not impose disclosure before clarifying the request and professional obligations.</x:v>
      </x:c>
      <x:c r="M119" s="192" t="str">
        <x:v>Correct. A potential role transition requires careful analysis and informed discussion before services begin.</x:v>
      </x:c>
      <x:c r="N119" s="192" t="str">
        <x:v>Incorrect. Records must be maintained appropriately; a new chart does not erase the prior relationship.</x:v>
      </x:c>
      <x:c r="O119" s="192" t="str">
        <x:v>A. Incorrect. Ending conjoint treatment does not erase role, confidentiality, or conflict considerations.
B. Incorrect. The therapist should not impose disclosure before clarifying the request and professional obligations.
C. Correct. A potential role transition requires careful analysis and informed discussion before services begin.
D. Incorrect. Records must be maintained appropriately; a new chart does not erase the prior relationship.</x:v>
      </x:c>
      <x:c r="P119" s="192" t="str">
        <x:v>Before changing from conjoint to individual work, identify the client, role, information rules, conflicts, and alternatives.</x:v>
      </x:c>
      <x:c r="Q119" s="194" t="str">
        <x:v>CTA LMFT Workbook 7</x:v>
      </x:c>
    </x:row>
    <x:row r="120">
      <x:c r="A120" s="191" t="str">
        <x:v>CTA-LMFT-MQB-0119</x:v>
      </x:c>
      <x:c r="B120" s="192" t="str">
        <x:v>LMFT-WB07-QB-Q017</x:v>
      </x:c>
      <x:c r="C120" s="192" t="str">
        <x:v>Workbook Question Bank</x:v>
      </x:c>
      <x:c r="D120" s="192" t="str">
        <x:v>Workbook 7</x:v>
      </x:c>
      <x:c r="E120" s="192" t="str">
        <x:v>A family member is returning home after psychiatric hospitalization. The family wants to resume the same outpatient plan immediately, but discharge instructions identify new medication monitoring, crisis-warning signs, and follow-up appointments. What is the BEST LMFT response?</x:v>
      </x:c>
      <x:c r="F120" s="192" t="str">
        <x:v>Coordinate within authorization, reassess risk and family capacity, integrate discharge recommendations, revise the treatment and crisis plan, and establish close outcome review.</x:v>
      </x:c>
      <x:c r="G120" s="192" t="str">
        <x:v>Resume the old plan unchanged because continuity means using the same interventions.</x:v>
      </x:c>
      <x:c r="H120" s="192" t="str">
        <x:v>Tell the family that medication and discharge information are outside an LMFT’s concern.</x:v>
      </x:c>
      <x:c r="I120" s="192" t="str">
        <x:v>Delay all contact until the client has been home for one month.</x:v>
      </x:c>
      <x:c r="J120" s="192" t="str">
        <x:v>A</x:v>
      </x:c>
      <x:c r="K120" s="192" t="str">
        <x:v>Correct. Transition from higher-level care requires reassessment, coordination, family-system planning, and enhanced monitoring.</x:v>
      </x:c>
      <x:c r="L120" s="192" t="str">
        <x:v>Incorrect. Continuity does not mean ignoring significant new clinical information.</x:v>
      </x:c>
      <x:c r="M120" s="192" t="str">
        <x:v>Incorrect. The LMFT does not prescribe, but medication effects, adherence barriers, and discharge recommendations can affect safety and treatment planning.</x:v>
      </x:c>
      <x:c r="N120" s="192" t="str">
        <x:v>Incorrect. Delayed contact can weaken continuity during a high-risk transition.</x:v>
      </x:c>
      <x:c r="O120" s="192" t="str">
        <x:v>A. Correct. Transition from higher-level care requires reassessment, coordination, family-system planning, and enhanced monitoring.
B. Incorrect. Continuity does not mean ignoring significant new clinical information.
C. Incorrect. The LMFT does not prescribe, but medication effects, adherence barriers, and discharge recommendations can affect safety and treatment planning.
D. Incorrect. Delayed contact can weaken continuity during a high-risk transition.</x:v>
      </x:c>
      <x:c r="P120" s="192" t="str">
        <x:v>After a level-of-care transition, reassess and coordinate before assuming the prior outpatient plan still fits.</x:v>
      </x:c>
      <x:c r="Q120" s="194" t="str">
        <x:v>CTA LMFT Workbook 7</x:v>
      </x:c>
    </x:row>
    <x:row r="121">
      <x:c r="A121" s="191" t="str">
        <x:v>CTA-LMFT-MQB-0120</x:v>
      </x:c>
      <x:c r="B121" s="192" t="str">
        <x:v>LMFT-WB08-QB-Q001</x:v>
      </x:c>
      <x:c r="C121" s="192" t="str">
        <x:v>Workbook Question Bank</x:v>
      </x:c>
      <x:c r="D121" s="192" t="str">
        <x:v>Workbook 8</x:v>
      </x:c>
      <x:c r="E121" s="192" t="str">
        <x:v>Which factor should guide an LMFT MOST directly when selecting individual, couple, family, group, or coordinated-system treatment?</x:v>
      </x:c>
      <x:c r="F121" s="192" t="str">
        <x:v>The number of people who arrive for the first appointment.</x:v>
      </x:c>
      <x:c r="G121" s="192" t="str">
        <x:v>The treatment target, the system maintaining the problem, safety, voluntariness, and the frame required for change.</x:v>
      </x:c>
      <x:c r="H121" s="192" t="str">
        <x:v>The modality the therapist uses most often.</x:v>
      </x:c>
      <x:c r="I121" s="192" t="str">
        <x:v>The preference of the person who made the referral, regardless of other participants.</x:v>
      </x:c>
      <x:c r="J121" s="192" t="str">
        <x:v>B</x:v>
      </x:c>
      <x:c r="K121" s="192" t="str">
        <x:v>Incorrect. Several people may attend without conjoint treatment being the safest or most effective unit.</x:v>
      </x:c>
      <x:c r="L121" s="192" t="str">
        <x:v>Correct. The unit should follow the target, maintaining system, safety, voluntariness, and treatment frame.</x:v>
      </x:c>
      <x:c r="M121" s="192" t="str">
        <x:v>Incorrect. Therapist familiarity does not replace case formulation and client-system fit.</x:v>
      </x:c>
      <x:c r="N121" s="192" t="str">
        <x:v>Incorrect. A referral source does not determine the treatment unit or override participant rights and clinical judgment.</x:v>
      </x:c>
      <x:c r="O121" s="192" t="str">
        <x:v>A. Incorrect. Several people may attend without conjoint treatment being the safest or most effective unit.
B. Correct. The unit should follow the target, maintaining system, safety, voluntariness, and treatment frame.
C. Incorrect. Therapist familiarity does not replace case formulation and client-system fit.
D. Incorrect. A referral source does not determine the treatment unit or override participant rights and clinical judgment.</x:v>
      </x:c>
      <x:c r="P121" s="192" t="str">
        <x:v>Choose the treatment system from the target and maintaining pattern, not simply from who is present.</x:v>
      </x:c>
      <x:c r="Q121" s="194" t="str">
        <x:v>CTA LMFT Workbook 8</x:v>
      </x:c>
    </x:row>
    <x:row r="122">
      <x:c r="A122" s="191" t="str">
        <x:v>CTA-LMFT-MQB-0121</x:v>
      </x:c>
      <x:c r="B122" s="192" t="str">
        <x:v>LMFT-WB08-QB-Q002</x:v>
      </x:c>
      <x:c r="C122" s="192" t="str">
        <x:v>Workbook Question Bank</x:v>
      </x:c>
      <x:c r="D122" s="192" t="str">
        <x:v>Workbook 8</x:v>
      </x:c>
      <x:c r="E122" s="192" t="str">
        <x:v>A young child runs to a caregiver after a separation, then pushes the caregiver away and begins crying. What is the BEST caregiver-focused intervention?</x:v>
      </x:c>
      <x:c r="F122" s="192" t="str">
        <x:v>Help the caregiver remain calm, available, and predictable while recognizing the child’s mixed attachment signals.</x:v>
      </x:c>
      <x:c r="G122" s="192" t="str">
        <x:v>Tell the caregiver to withdraw until the child behaves consistently.</x:v>
      </x:c>
      <x:c r="H122" s="192" t="str">
        <x:v>Ask the child to explain the behavior using adult language before receiving comfort.</x:v>
      </x:c>
      <x:c r="I122" s="192" t="str">
        <x:v>Ignore the reunion pattern and focus only on school performance.</x:v>
      </x:c>
      <x:c r="J122" s="192" t="str">
        <x:v>A</x:v>
      </x:c>
      <x:c r="K122" s="192" t="str">
        <x:v>Correct. Regulated, predictable responsiveness supports safety, attunement, and repair when attachment behavior is mixed.</x:v>
      </x:c>
      <x:c r="L122" s="192" t="str">
        <x:v>Incorrect. Reciprocal withdrawal can intensify insecurity and disconnection.</x:v>
      </x:c>
      <x:c r="M122" s="192" t="str">
        <x:v>Incorrect. The demand is not developmentally matched and makes comfort contingent on explanation.</x:v>
      </x:c>
      <x:c r="N122" s="192" t="str">
        <x:v>Incorrect. School functioning may matter, but the described caregiver-child interaction is the immediate treatment target.</x:v>
      </x:c>
      <x:c r="O122" s="192" t="str">
        <x:v>A. Correct. Regulated, predictable responsiveness supports safety, attunement, and repair when attachment behavior is mixed.
B. Incorrect. Reciprocal withdrawal can intensify insecurity and disconnection.
C. Incorrect. The demand is not developmentally matched and makes comfort contingent on explanation.
D. Incorrect. School functioning may matter, but the described caregiver-child interaction is the immediate treatment target.</x:v>
      </x:c>
      <x:c r="P122" s="192" t="str">
        <x:v>For attachment items, favor regulated caregiver availability and repair over withdrawal, coercion, or adult-level demands.</x:v>
      </x:c>
      <x:c r="Q122" s="194" t="str">
        <x:v>CTA LMFT Workbook 8</x:v>
      </x:c>
    </x:row>
    <x:row r="123">
      <x:c r="A123" s="191" t="str">
        <x:v>CTA-LMFT-MQB-0122</x:v>
      </x:c>
      <x:c r="B123" s="192" t="str">
        <x:v>LMFT-WB08-QB-Q003</x:v>
      </x:c>
      <x:c r="C123" s="192" t="str">
        <x:v>Workbook Question Bank</x:v>
      </x:c>
      <x:c r="D123" s="192" t="str">
        <x:v>Workbook 8</x:v>
      </x:c>
      <x:c r="E123" s="192" t="str">
        <x:v>Before placing a client in a therapy group, which information is MOST important to assess?</x:v>
      </x:c>
      <x:c r="F123" s="192" t="str">
        <x:v>Whether group treatment costs less than individual therapy.</x:v>
      </x:c>
      <x:c r="G123" s="192" t="str">
        <x:v>Whether the client has the same diagnosis as current members.</x:v>
      </x:c>
      <x:c r="H123" s="192" t="str">
        <x:v>The group purpose, client readiness, risk, expectations, participation capacity, access, and fit with the group’s composition and stage.</x:v>
      </x:c>
      <x:c r="I123" s="192" t="str">
        <x:v>Whether current members unanimously approve the client.</x:v>
      </x:c>
      <x:c r="J123" s="192" t="str">
        <x:v>C</x:v>
      </x:c>
      <x:c r="K123" s="192" t="str">
        <x:v>Incorrect. Cost may affect access, but it does not establish clinical suitability.</x:v>
      </x:c>
      <x:c r="L123" s="192" t="str">
        <x:v>Incorrect. Diagnosis alone does not determine group fit.</x:v>
      </x:c>
      <x:c r="M123" s="192" t="str">
        <x:v>Correct. Screening should address purpose, readiness, risk, expectations, participation, access, composition, and stage.</x:v>
      </x:c>
      <x:c r="N123" s="192" t="str">
        <x:v>Incorrect. The facilitator is responsible for screening and protecting group integrity.</x:v>
      </x:c>
      <x:c r="O123" s="192" t="str">
        <x:v>A. Incorrect. Cost may affect access, but it does not establish clinical suitability.
B. Incorrect. Diagnosis alone does not determine group fit.
C. Correct. Screening should address purpose, readiness, risk, expectations, participation, access, composition, and stage.
D. Incorrect. The facilitator is responsible for screening and protecting group integrity.</x:v>
      </x:c>
      <x:c r="P123" s="192" t="str">
        <x:v>Group selection is a fit decision involving purpose, readiness, risk, participation, access, and stage.</x:v>
      </x:c>
      <x:c r="Q123" s="194" t="str">
        <x:v>CTA LMFT Workbook 8</x:v>
      </x:c>
    </x:row>
    <x:row r="124">
      <x:c r="A124" s="191" t="str">
        <x:v>CTA-LMFT-MQB-0123</x:v>
      </x:c>
      <x:c r="B124" s="192" t="str">
        <x:v>LMFT-WB08-QB-Q004</x:v>
      </x:c>
      <x:c r="C124" s="192" t="str">
        <x:v>Workbook Question Bank</x:v>
      </x:c>
      <x:c r="D124" s="192" t="str">
        <x:v>Workbook 8</x:v>
      </x:c>
      <x:c r="E124" s="192" t="str">
        <x:v>A family reports increased irritability and role confusion after a parent returns from a long military deployment. What should the LMFT do FIRST?</x:v>
      </x:c>
      <x:c r="F124" s="192" t="str">
        <x:v>Assign the returning parent immediate authority over all household decisions.</x:v>
      </x:c>
      <x:c r="G124" s="192" t="str">
        <x:v>Tell the family that conflict means the reunion has failed.</x:v>
      </x:c>
      <x:c r="H124" s="192" t="str">
        <x:v>Require the children to express gratitude during conjoint sessions.</x:v>
      </x:c>
      <x:c r="I124" s="192" t="str">
        <x:v>Assess losses, expectations, changed roles, boundaries, loyalties, and the pace of reintegration before prescribing solutions.</x:v>
      </x:c>
      <x:c r="J124" s="192" t="str">
        <x:v>D</x:v>
      </x:c>
      <x:c r="K124" s="192" t="str">
        <x:v>Incorrect. Immediate authority changes may ignore the family’s adaptation during the separation.</x:v>
      </x:c>
      <x:c r="L124" s="192" t="str">
        <x:v>Incorrect. Conflict can occur during normative transition and does not establish failure.</x:v>
      </x:c>
      <x:c r="M124" s="192" t="str">
        <x:v>Incorrect. Forced emotional expression can invalidate mixed reactions and increase resistance.</x:v>
      </x:c>
      <x:c r="N124" s="192" t="str">
        <x:v>Correct. Transition-focused assessment clarifies grief, expectations, role shifts, boundaries, and realistic pacing.</x:v>
      </x:c>
      <x:c r="O124" s="192" t="str">
        <x:v>A. Incorrect. Immediate authority changes may ignore the family’s adaptation during the separation.
B. Incorrect. Conflict can occur during normative transition and does not establish failure.
C. Incorrect. Forced emotional expression can invalidate mixed reactions and increase resistance.
D. Correct. Transition-focused assessment clarifies grief, expectations, role shifts, boundaries, and realistic pacing.</x:v>
      </x:c>
      <x:c r="P124" s="192" t="str">
        <x:v>During major transitions, assess role changes, losses, loyalties, expectations, and developmental timing before forcing closeness or authority.</x:v>
      </x:c>
      <x:c r="Q124" s="194" t="str">
        <x:v>CTA LMFT Workbook 8</x:v>
      </x:c>
    </x:row>
    <x:row r="125">
      <x:c r="A125" s="191" t="str">
        <x:v>CTA-LMFT-MQB-0124</x:v>
      </x:c>
      <x:c r="B125" s="192" t="str">
        <x:v>LMFT-WB08-QB-Q005</x:v>
      </x:c>
      <x:c r="C125" s="192" t="str">
        <x:v>Workbook Question Bank</x:v>
      </x:c>
      <x:c r="D125" s="192" t="str">
        <x:v>Workbook 8</x:v>
      </x:c>
      <x:c r="E125" s="192" t="str">
        <x:v>One partner repeatedly demands immediate discussion while the other becomes silent and leaves the room. Which intervention BEST targets the maintaining cycle?</x:v>
      </x:c>
      <x:c r="F125" s="192" t="str">
        <x:v>Slow the sequence, identify the cue and protective meaning for each partner, and coach a more regulated request-and-response pattern.</x:v>
      </x:c>
      <x:c r="G125" s="192" t="str">
        <x:v>Determine which partner started the pattern and assign responsibility.</x:v>
      </x:c>
      <x:c r="H125" s="192" t="str">
        <x:v>Tell the withdrawing partner never to take space during conflict.</x:v>
      </x:c>
      <x:c r="I125" s="192" t="str">
        <x:v>Ask both partners to discuss unrelated childhood memories before addressing the current interaction.</x:v>
      </x:c>
      <x:c r="J125" s="192" t="str">
        <x:v>A</x:v>
      </x:c>
      <x:c r="K125" s="192" t="str">
        <x:v>Correct. The intervention maps and reorganizes the reciprocal cycle rather than blaming one partner.</x:v>
      </x:c>
      <x:c r="L125" s="192" t="str">
        <x:v>Incorrect. Systemic treatment focuses on the pattern and each person’s contribution, not a single culprit.</x:v>
      </x:c>
      <x:c r="M125" s="192" t="str">
        <x:v>Incorrect. A rigid prohibition ignores regulation needs and does not teach a safer alternative.</x:v>
      </x:c>
      <x:c r="N125" s="192" t="str">
        <x:v>Incorrect. History may inform meaning, but the immediate intervention should address the identified interactional sequence.</x:v>
      </x:c>
      <x:c r="O125" s="192" t="str">
        <x:v>A. Correct. The intervention maps and reorganizes the reciprocal cycle rather than blaming one partner.
B. Incorrect. Systemic treatment focuses on the pattern and each person’s contribution, not a single culprit.
C. Incorrect. A rigid prohibition ignores regulation needs and does not teach a safer alternative.
D. Incorrect. History may inform meaning, but the immediate intervention should address the identified interactional sequence.</x:v>
      </x:c>
      <x:c r="P125" s="192" t="str">
        <x:v>Name the cue, meaning, response, and feedback loop, then create a safer alternative sequence.</x:v>
      </x:c>
      <x:c r="Q125" s="194" t="str">
        <x:v>CTA LMFT Workbook 8</x:v>
      </x:c>
    </x:row>
    <x:row r="126">
      <x:c r="A126" s="191" t="str">
        <x:v>CTA-LMFT-MQB-0125</x:v>
      </x:c>
      <x:c r="B126" s="192" t="str">
        <x:v>LMFT-WB08-QB-Q006</x:v>
      </x:c>
      <x:c r="C126" s="192" t="str">
        <x:v>Workbook Question Bank</x:v>
      </x:c>
      <x:c r="D126" s="192" t="str">
        <x:v>Workbook 8</x:v>
      </x:c>
      <x:c r="E126" s="192" t="str">
        <x:v>A couple reports a recent decline in sexual intimacy and asks the therapist to identify which partner is “the problem.” What should the LMFT do NEXT?</x:v>
      </x:c>
      <x:c r="F126" s="192" t="str">
        <x:v>Choose the partner with lower desire as the identified patient.</x:v>
      </x:c>
      <x:c r="G126" s="192" t="str">
        <x:v>Recommend a fixed frequency of sexual activity before completing an assessment.</x:v>
      </x:c>
      <x:c r="H126" s="192" t="str">
        <x:v>Avoid the topic because sexuality is never appropriate in couple therapy.</x:v>
      </x:c>
      <x:c r="I126" s="192" t="str">
        <x:v>Assess consent, safety, health factors, values, expectations, communication, relational meaning, and the interactional pattern before selecting an intervention.</x:v>
      </x:c>
      <x:c r="J126" s="192" t="str">
        <x:v>D</x:v>
      </x:c>
      <x:c r="K126" s="192" t="str">
        <x:v>Incorrect. Desire differences do not automatically identify one partner as the problem.</x:v>
      </x:c>
      <x:c r="L126" s="192" t="str">
        <x:v>Incorrect. A prescribed frequency is premature and may ignore consent, health, values, and meaning.</x:v>
      </x:c>
      <x:c r="M126" s="192" t="str">
        <x:v>Incorrect. Sexuality can be clinically relevant when addressed competently and respectfully.</x:v>
      </x:c>
      <x:c r="N126" s="192" t="str">
        <x:v>Correct. A sound relational assessment includes consent, safety, health, values, expectations, communication, meaning, and cycle.</x:v>
      </x:c>
      <x:c r="O126" s="192" t="str">
        <x:v>A. Incorrect. Desire differences do not automatically identify one partner as the problem.
B. Incorrect. A prescribed frequency is premature and may ignore consent, health, values, and meaning.
C. Incorrect. Sexuality can be clinically relevant when addressed competently and respectfully.
D. Correct. A sound relational assessment includes consent, safety, health, values, expectations, communication, meaning, and cycle.</x:v>
      </x:c>
      <x:c r="P126" s="192" t="str">
        <x:v>For intimacy concerns, assess consent, safety, health, values, expectations, communication, and relational meaning before technique.</x:v>
      </x:c>
      <x:c r="Q126" s="194" t="str">
        <x:v>CTA LMFT Workbook 8</x:v>
      </x:c>
    </x:row>
    <x:row r="127">
      <x:c r="A127" s="191" t="str">
        <x:v>CTA-LMFT-MQB-0126</x:v>
      </x:c>
      <x:c r="B127" s="192" t="str">
        <x:v>LMFT-WB08-QB-Q007</x:v>
      </x:c>
      <x:c r="C127" s="192" t="str">
        <x:v>Workbook Question Bank</x:v>
      </x:c>
      <x:c r="D127" s="192" t="str">
        <x:v>Workbook 8</x:v>
      </x:c>
      <x:c r="E127" s="192" t="str">
        <x:v>An adult daughter caring for a parent with a chronic illness is exhausted, while siblings criticize her decisions but provide little help. Which intervention is MOST appropriate?</x:v>
      </x:c>
      <x:c r="F127" s="192" t="str">
        <x:v>Focus only on the daughter’s individual coping and avoid family roles.</x:v>
      </x:c>
      <x:c r="G127" s="192" t="str">
        <x:v>Tell the siblings that equal caregiving time is mandatory.</x:v>
      </x:c>
      <x:c r="H127" s="192" t="str">
        <x:v>Assess caregiver burden, resources, role distribution, boundaries, communication, and practical supports, then develop a collaborative plan.</x:v>
      </x:c>
      <x:c r="I127" s="192" t="str">
        <x:v>Recommend immediate residential placement without assessing the parent’s needs or preferences.</x:v>
      </x:c>
      <x:c r="J127" s="192" t="str">
        <x:v>C</x:v>
      </x:c>
      <x:c r="K127" s="192" t="str">
        <x:v>Incorrect. Individual coping matters, but the family organization and resource context are maintaining the strain.</x:v>
      </x:c>
      <x:c r="L127" s="192" t="str">
        <x:v>Incorrect. Equal time may be infeasible and should not be imposed without assessment and collaboration.</x:v>
      </x:c>
      <x:c r="M127" s="192" t="str">
        <x:v>Correct. The response integrates caregiver stress, family roles, boundaries, communication, and resources.</x:v>
      </x:c>
      <x:c r="N127" s="192" t="str">
        <x:v>Incorrect. Placement is a major decision requiring fuller assessment and participation.</x:v>
      </x:c>
      <x:c r="O127" s="192" t="str">
        <x:v>A. Incorrect. Individual coping matters, but the family organization and resource context are maintaining the strain.
B. Incorrect. Equal time may be infeasible and should not be imposed without assessment and collaboration.
C. Correct. The response integrates caregiver stress, family roles, boundaries, communication, and resources.
D. Incorrect. Placement is a major decision requiring fuller assessment and participation.</x:v>
      </x:c>
      <x:c r="P127" s="192" t="str">
        <x:v>Caregiving questions usually require both relational reorganization and practical resource assessment.</x:v>
      </x:c>
      <x:c r="Q127" s="194" t="str">
        <x:v>CTA LMFT Workbook 8</x:v>
      </x:c>
    </x:row>
    <x:row r="128">
      <x:c r="A128" s="191" t="str">
        <x:v>CTA-LMFT-MQB-0127</x:v>
      </x:c>
      <x:c r="B128" s="192" t="str">
        <x:v>LMFT-WB08-QB-Q008</x:v>
      </x:c>
      <x:c r="C128" s="192" t="str">
        <x:v>Workbook Question Bank</x:v>
      </x:c>
      <x:c r="D128" s="192" t="str">
        <x:v>Workbook 8</x:v>
      </x:c>
      <x:c r="E128" s="192" t="str">
        <x:v>In a therapy group, one member repeatedly interrupts and answers questions directed to others. What should the facilitator do?</x:v>
      </x:c>
      <x:c r="F128" s="192" t="str">
        <x:v>Ignore the behavior so the member does not feel embarrassed.</x:v>
      </x:c>
      <x:c r="G128" s="192" t="str">
        <x:v>Acknowledge the member’s participation, redirect respectfully, reinforce group norms, and invite other voices.</x:v>
      </x:c>
      <x:c r="H128" s="192" t="str">
        <x:v>Ask the group to vote on whether the member should be removed.</x:v>
      </x:c>
      <x:c r="I128" s="192" t="str">
        <x:v>Publicly label the member as controlling.</x:v>
      </x:c>
      <x:c r="J128" s="192" t="str">
        <x:v>B</x:v>
      </x:c>
      <x:c r="K128" s="192" t="str">
        <x:v>Incorrect. Ignoring the pattern permits continued interference with participation and cohesion.</x:v>
      </x:c>
      <x:c r="L128" s="192" t="str">
        <x:v>Correct. Respectful redirection protects the whole group without humiliation.</x:v>
      </x:c>
      <x:c r="M128" s="192" t="str">
        <x:v>Incorrect. Immediate removal by group vote is disproportionate and abdicates facilitator responsibility.</x:v>
      </x:c>
      <x:c r="N128" s="192" t="str">
        <x:v>Incorrect. Shaming and labeling can damage safety and cohesion.</x:v>
      </x:c>
      <x:c r="O128" s="192" t="str">
        <x:v>A. Incorrect. Ignoring the pattern permits continued interference with participation and cohesion.
B. Correct. Respectful redirection protects the whole group without humiliation.
C. Incorrect. Immediate removal by group vote is disproportionate and abdicates facilitator responsibility.
D. Incorrect. Shaming and labeling can damage safety and cohesion.</x:v>
      </x:c>
      <x:c r="P128" s="192" t="str">
        <x:v>Protect participation and cohesion through respectful here-and-now redirection, not shame or avoidance.</x:v>
      </x:c>
      <x:c r="Q128" s="194" t="str">
        <x:v>CTA LMFT Workbook 8</x:v>
      </x:c>
    </x:row>
    <x:row r="129">
      <x:c r="A129" s="191" t="str">
        <x:v>CTA-LMFT-MQB-0128</x:v>
      </x:c>
      <x:c r="B129" s="192" t="str">
        <x:v>LMFT-WB08-QB-Q009</x:v>
      </x:c>
      <x:c r="C129" s="192" t="str">
        <x:v>Workbook Question Bank</x:v>
      </x:c>
      <x:c r="D129" s="192" t="str">
        <x:v>Workbook 8</x:v>
      </x:c>
      <x:c r="E129" s="192" t="str">
        <x:v>With appropriate authorization, an LMFT and school support team are coordinating accommodations for an adolescent. What information should the therapist share?</x:v>
      </x:c>
      <x:c r="F129" s="192" t="str">
        <x:v>Only information relevant to the agreed purpose and role, with clear boundaries and follow-through.</x:v>
      </x:c>
      <x:c r="G129" s="192" t="str">
        <x:v>The complete psychotherapy record because the school is part of the treatment team.</x:v>
      </x:c>
      <x:c r="H129" s="192" t="str">
        <x:v>Every family conflict discussed in therapy so the team has full context.</x:v>
      </x:c>
      <x:c r="I129" s="192" t="str">
        <x:v>No information under any circumstances, even when authorized and clinically useful.</x:v>
      </x:c>
      <x:c r="J129" s="192" t="str">
        <x:v>A</x:v>
      </x:c>
      <x:c r="K129" s="192" t="str">
        <x:v>Correct. Collaboration should be purpose-limited, role-clear, authorized, and focused on relevant information.</x:v>
      </x:c>
      <x:c r="L129" s="192" t="str">
        <x:v>Incorrect. Team involvement does not automatically justify disclosure of the full record.</x:v>
      </x:c>
      <x:c r="M129" s="192" t="str">
        <x:v>Incorrect. Broad disclosure exceeds what is needed for the stated coordination purpose.</x:v>
      </x:c>
      <x:c r="N129" s="192" t="str">
        <x:v>Incorrect. Appropriate, authorized collaboration may support treatment and access.</x:v>
      </x:c>
      <x:c r="O129" s="192" t="str">
        <x:v>A. Correct. Collaboration should be purpose-limited, role-clear, authorized, and focused on relevant information.
B. Incorrect. Team involvement does not automatically justify disclosure of the full record.
C. Incorrect. Broad disclosure exceeds what is needed for the stated coordination purpose.
D. Incorrect. Appropriate, authorized collaboration may support treatment and access.</x:v>
      </x:c>
      <x:c r="P129" s="192" t="str">
        <x:v>In coordinated care, share the minimum relevant information for the defined purpose and role.</x:v>
      </x:c>
      <x:c r="Q129" s="194" t="str">
        <x:v>CTA LMFT Workbook 8</x:v>
      </x:c>
    </x:row>
    <x:row r="130">
      <x:c r="A130" s="191" t="str">
        <x:v>CTA-LMFT-MQB-0129</x:v>
      </x:c>
      <x:c r="B130" s="192" t="str">
        <x:v>LMFT-WB08-QB-Q010</x:v>
      </x:c>
      <x:c r="C130" s="192" t="str">
        <x:v>Workbook Question Bank</x:v>
      </x:c>
      <x:c r="D130" s="192" t="str">
        <x:v>Workbook 8</x:v>
      </x:c>
      <x:c r="E130" s="192" t="str">
        <x:v>An adult client says a spouse will end the marriage unless the client agrees to couple therapy. No threats of physical harm are reported. What should the LMFT do before beginning conjoint work?</x:v>
      </x:c>
      <x:c r="F130" s="192" t="str">
        <x:v>Assume attendance proves voluntary consent.</x:v>
      </x:c>
      <x:c r="G130" s="192" t="str">
        <x:v>Refuse couple therapy whenever a relationship consequence is involved.</x:v>
      </x:c>
      <x:c r="H130" s="192" t="str">
        <x:v>Explore each partner’s goals, freedom to participate, pressure, safety, expectations, and whether a shared treatment target exists.</x:v>
      </x:c>
      <x:c r="I130" s="192" t="str">
        <x:v>Ask the spouse to sign a statement promising not to leave the relationship.</x:v>
      </x:c>
      <x:c r="J130" s="192" t="str">
        <x:v>C</x:v>
      </x:c>
      <x:c r="K130" s="192" t="str">
        <x:v>Incorrect. Attendance does not by itself establish voluntariness or a shared goal.</x:v>
      </x:c>
      <x:c r="L130" s="192" t="str">
        <x:v>Incorrect. External pressure requires assessment but does not automatically make conjoint work impossible.</x:v>
      </x:c>
      <x:c r="M130" s="192" t="str">
        <x:v>Correct. The therapist should assess voluntariness, pressure, safety, goals, expectations, and treatment fit.</x:v>
      </x:c>
      <x:c r="N130" s="192" t="str">
        <x:v>Incorrect. The therapist cannot require a relationship guarantee and such a statement would not establish voluntariness.</x:v>
      </x:c>
      <x:c r="O130" s="192" t="str">
        <x:v>A. Incorrect. Attendance does not by itself establish voluntariness or a shared goal.
B. Incorrect. External pressure requires assessment but does not automatically make conjoint work impossible.
C. Correct. The therapist should assess voluntariness, pressure, safety, goals, expectations, and treatment fit.
D. Incorrect. The therapist cannot require a relationship guarantee and such a statement would not establish voluntariness.</x:v>
      </x:c>
      <x:c r="P130" s="192" t="str">
        <x:v>Assess freedom to participate and shared goals rather than treating attendance as proof of voluntary conjoint consent.</x:v>
      </x:c>
      <x:c r="Q130" s="194" t="str">
        <x:v>CTA LMFT Workbook 8</x:v>
      </x:c>
    </x:row>
    <x:row r="131">
      <x:c r="A131" s="191" t="str">
        <x:v>CTA-LMFT-MQB-0130</x:v>
      </x:c>
      <x:c r="B131" s="192" t="str">
        <x:v>LMFT-WB08-QB-Q011</x:v>
      </x:c>
      <x:c r="C131" s="192" t="str">
        <x:v>Workbook Question Bank</x:v>
      </x:c>
      <x:c r="D131" s="192" t="str">
        <x:v>Workbook 8</x:v>
      </x:c>
      <x:c r="E131" s="192" t="str">
        <x:v>During family therapy, one parent says, “You understand everyone except me,” and becomes less engaged. What should the LMFT do FIRST?</x:v>
      </x:c>
      <x:c r="F131" s="192" t="str">
        <x:v>Explain that neutrality means the therapist cannot be aligned with anyone.</x:v>
      </x:c>
      <x:c r="G131" s="192" t="str">
        <x:v>Ask other family members whether the parent is overreacting.</x:v>
      </x:c>
      <x:c r="H131" s="192" t="str">
        <x:v>Continue the planned intervention to avoid reinforcing withdrawal.</x:v>
      </x:c>
      <x:c r="I131" s="192" t="str">
        <x:v>Invite the parent’s experience, assess alliance with each participant, examine therapist joining and pacing, and repair the frame before adding technique.</x:v>
      </x:c>
      <x:c r="J131" s="192" t="str">
        <x:v>D</x:v>
      </x:c>
      <x:c r="K131" s="192" t="str">
        <x:v>Incorrect. Defending neutrality does not address the participant’s experience or the rupture.</x:v>
      </x:c>
      <x:c r="L131" s="192" t="str">
        <x:v>Incorrect. Recruiting others may intensify exclusion and confirm the concern.</x:v>
      </x:c>
      <x:c r="M131" s="192" t="str">
        <x:v>Incorrect. Proceeding without repair can deepen disengagement and reduce treatment effectiveness.</x:v>
      </x:c>
      <x:c r="N131" s="192" t="str">
        <x:v>Correct. Alliance imbalance is treatment data and should be explored and repaired before further intervention.</x:v>
      </x:c>
      <x:c r="O131" s="192" t="str">
        <x:v>A. Incorrect. Defending neutrality does not address the participant’s experience or the rupture.
B. Incorrect. Recruiting others may intensify exclusion and confirm the concern.
C. Incorrect. Proceeding without repair can deepen disengagement and reduce treatment effectiveness.
D. Correct. Alliance imbalance is treatment data and should be explored and repaired before further intervention.</x:v>
      </x:c>
      <x:c r="P131" s="192" t="str">
        <x:v>When a participant feels excluded or joined against, assess and repair the alliance before continuing the technique.</x:v>
      </x:c>
      <x:c r="Q131" s="194" t="str">
        <x:v>CTA LMFT Workbook 8</x:v>
      </x:c>
    </x:row>
    <x:row r="132">
      <x:c r="A132" s="191" t="str">
        <x:v>CTA-LMFT-MQB-0131</x:v>
      </x:c>
      <x:c r="B132" s="192" t="str">
        <x:v>LMFT-WB08-QB-Q012</x:v>
      </x:c>
      <x:c r="C132" s="192" t="str">
        <x:v>Workbook Question Bank</x:v>
      </x:c>
      <x:c r="D132" s="192" t="str">
        <x:v>Workbook 8</x:v>
      </x:c>
      <x:c r="E132" s="192" t="str">
        <x:v>What is the purpose of the final “Review response” step in the SAFER SYSTEM sequence?</x:v>
      </x:c>
      <x:c r="F132" s="192" t="str">
        <x:v>To decide which participant was most responsible for the original problem.</x:v>
      </x:c>
      <x:c r="G132" s="192" t="str">
        <x:v>To determine whether safety, alliance, functioning, and the target relational pattern are improving and whether the plan should change.</x:v>
      </x:c>
      <x:c r="H132" s="192" t="str">
        <x:v>To confirm that the therapist used the intended theoretical label.</x:v>
      </x:c>
      <x:c r="I132" s="192" t="str">
        <x:v>To postpone evaluation until termination.</x:v>
      </x:c>
      <x:c r="J132" s="192" t="str">
        <x:v>B</x:v>
      </x:c>
      <x:c r="K132" s="192" t="str">
        <x:v>Incorrect. The sequence is not designed to assign blame.</x:v>
      </x:c>
      <x:c r="L132" s="192" t="str">
        <x:v>Correct. Response review evaluates safety, alliance, functioning, target change, and the need for revision.</x:v>
      </x:c>
      <x:c r="M132" s="192" t="str">
        <x:v>Incorrect. Theoretical consistency matters only insofar as the intervention fits and helps the client system.</x:v>
      </x:c>
      <x:c r="N132" s="192" t="str">
        <x:v>Incorrect. Ongoing review supports timely adjustment rather than waiting until termination.</x:v>
      </x:c>
      <x:c r="O132" s="192" t="str">
        <x:v>A. Incorrect. The sequence is not designed to assign blame.
B. Correct. Response review evaluates safety, alliance, functioning, target change, and the need for revision.
C. Incorrect. Theoretical consistency matters only insofar as the intervention fits and helps the client system.
D. Incorrect. Ongoing review supports timely adjustment rather than waiting until termination.</x:v>
      </x:c>
      <x:c r="P132" s="192" t="str">
        <x:v>The response check asks whether the target pattern and overall safety and functioning are improving now.</x:v>
      </x:c>
      <x:c r="Q132" s="194" t="str">
        <x:v>CTA LMFT Workbook 8</x:v>
      </x:c>
    </x:row>
    <x:row r="133">
      <x:c r="A133" s="191" t="str">
        <x:v>CTA-LMFT-MQB-0132</x:v>
      </x:c>
      <x:c r="B133" s="192" t="str">
        <x:v>LMFT-WB08-QB-Q013</x:v>
      </x:c>
      <x:c r="C133" s="192" t="str">
        <x:v>Workbook Question Bank</x:v>
      </x:c>
      <x:c r="D133" s="192" t="str">
        <x:v>Workbook 8</x:v>
      </x:c>
      <x:c r="E133" s="192" t="str">
        <x:v>An adolescent’s panic symptoms improve individually but recur after intense parental arguments. The parents are willing to participate, and no conjoint safety concerns are identified. What is the BEST next step?</x:v>
      </x:c>
      <x:c r="F133" s="192" t="str">
        <x:v>Discuss the systemic formulation, clarify roles and consent, and consider adding structured family work targeting the conflict-and-panic cycle while continuing outcome monitoring.</x:v>
      </x:c>
      <x:c r="G133" s="192" t="str">
        <x:v>End individual treatment immediately because family involvement is now relevant.</x:v>
      </x:c>
      <x:c r="H133" s="192" t="str">
        <x:v>Tell the adolescent the symptoms are caused entirely by the parents.</x:v>
      </x:c>
      <x:c r="I133" s="192" t="str">
        <x:v>Continue the same individual plan without discussing the recurring family context.</x:v>
      </x:c>
      <x:c r="J133" s="192" t="str">
        <x:v>A</x:v>
      </x:c>
      <x:c r="K133" s="192" t="str">
        <x:v>Correct. The treatment unit can be revised when new data identify a safe, relevant maintaining system.</x:v>
      </x:c>
      <x:c r="L133" s="192" t="str">
        <x:v>Incorrect. Family involvement does not require abrupt termination of useful individual work.</x:v>
      </x:c>
      <x:c r="M133" s="192" t="str">
        <x:v>Incorrect. Systemic formulation should not be communicated as total blame.</x:v>
      </x:c>
      <x:c r="N133" s="192" t="str">
        <x:v>Incorrect. Ignoring the recurring relational trigger may preserve an incomplete plan.</x:v>
      </x:c>
      <x:c r="O133" s="192" t="str">
        <x:v>A. Correct. The treatment unit can be revised when new data identify a safe, relevant maintaining system.
B. Incorrect. Family involvement does not require abrupt termination of useful individual work.
C. Incorrect. Systemic formulation should not be communicated as total blame.
D. Incorrect. Ignoring the recurring relational trigger may preserve an incomplete plan.</x:v>
      </x:c>
      <x:c r="P133" s="192" t="str">
        <x:v>When new data reveal a safe relational maintaining system, revise the treatment unit and plan collaboratively.</x:v>
      </x:c>
      <x:c r="Q133" s="194" t="str">
        <x:v>CTA LMFT Workbook 8</x:v>
      </x:c>
    </x:row>
    <x:row r="134">
      <x:c r="A134" s="191" t="str">
        <x:v>CTA-LMFT-MQB-0133</x:v>
      </x:c>
      <x:c r="B134" s="192" t="str">
        <x:v>LMFT-WB08-QB-Q014</x:v>
      </x:c>
      <x:c r="C134" s="192" t="str">
        <x:v>Workbook Question Bank</x:v>
      </x:c>
      <x:c r="D134" s="192" t="str">
        <x:v>Workbook 8</x:v>
      </x:c>
      <x:c r="E134" s="192" t="str">
        <x:v>A newly remarried family reports escalating conflict because the stepparent began enforcing strict rules immediately. The biological parent avoids conflict, and the children refuse family activities. What should the LMFT do?</x:v>
      </x:c>
      <x:c r="F134" s="192" t="str">
        <x:v>Require the children to comply so the new hierarchy is established quickly.</x:v>
      </x:c>
      <x:c r="G134" s="192" t="str">
        <x:v>Remove the stepparent from all parenting discussions indefinitely.</x:v>
      </x:c>
      <x:c r="H134" s="192" t="str">
        <x:v>Focus only on the children’s defiance.</x:v>
      </x:c>
      <x:c r="I134" s="192" t="str">
        <x:v>Assess losses, loyalty conflicts, role expectations, parental alignment, boundaries, and developmental pacing, then build authority and connection gradually.</x:v>
      </x:c>
      <x:c r="J134" s="192" t="str">
        <x:v>D</x:v>
      </x:c>
      <x:c r="K134" s="192" t="str">
        <x:v>Incorrect. Forced compliance may intensify loyalty conflict and resistance.</x:v>
      </x:c>
      <x:c r="L134" s="192" t="str">
        <x:v>Incorrect. Permanent exclusion is overly broad and does not support gradual role development.</x:v>
      </x:c>
      <x:c r="M134" s="192" t="str">
        <x:v>Incorrect. The children’s behavior is embedded in a transition and family-organization pattern.</x:v>
      </x:c>
      <x:c r="N134" s="192" t="str">
        <x:v>Correct. The intervention addresses transition, loyalty, hierarchy, boundaries, alignment, and realistic pacing.</x:v>
      </x:c>
      <x:c r="O134" s="192" t="str">
        <x:v>A. Incorrect. Forced compliance may intensify loyalty conflict and resistance.
B. Incorrect. Permanent exclusion is overly broad and does not support gradual role development.
C. Incorrect. The children’s behavior is embedded in a transition and family-organization pattern.
D. Correct. The intervention addresses transition, loyalty, hierarchy, boundaries, alignment, and realistic pacing.</x:v>
      </x:c>
      <x:c r="P134" s="192" t="str">
        <x:v>In stepfamily items, assess grief, loyalties, roles, boundaries, and pacing before imposing closeness or authority.</x:v>
      </x:c>
      <x:c r="Q134" s="194" t="str">
        <x:v>CTA LMFT Workbook 8</x:v>
      </x:c>
    </x:row>
    <x:row r="135">
      <x:c r="A135" s="191" t="str">
        <x:v>CTA-LMFT-MQB-0134</x:v>
      </x:c>
      <x:c r="B135" s="192" t="str">
        <x:v>LMFT-WB08-QB-Q015</x:v>
      </x:c>
      <x:c r="C135" s="192" t="str">
        <x:v>Workbook Question Bank</x:v>
      </x:c>
      <x:c r="D135" s="192" t="str">
        <x:v>Workbook 8</x:v>
      </x:c>
      <x:c r="E135" s="192" t="str">
        <x:v>A couple caring for an aging parent argues about responsibilities. The parent has begun falling, missing medication, and refusing appointments. The LMFT is not trained to evaluate the medical condition. What is the BEST response?</x:v>
      </x:c>
      <x:c r="F135" s="192" t="str">
        <x:v>Keep the focus exclusively on couple communication because medical issues are outside LMFT practice.</x:v>
      </x:c>
      <x:c r="G135" s="192" t="str">
        <x:v>Tell the couple to place the parent immediately.</x:v>
      </x:c>
      <x:c r="H135" s="192" t="str">
        <x:v>Assess immediate safety and caregiver capacity, coordinate appropriate medical evaluation and resources, clarify authorization and roles, and continue relational work on burden and decision-making.</x:v>
      </x:c>
      <x:c r="I135" s="192" t="str">
        <x:v>Ask one partner to take full responsibility so conflict stops.</x:v>
      </x:c>
      <x:c r="J135" s="192" t="str">
        <x:v>C</x:v>
      </x:c>
      <x:c r="K135" s="192" t="str">
        <x:v>Incorrect. The therapist should not provide medical treatment, but medical risk and functioning affect family safety and planning.</x:v>
      </x:c>
      <x:c r="L135" s="192" t="str">
        <x:v>Incorrect. Immediate placement is premature without assessment of needs, preferences, and alternatives.</x:v>
      </x:c>
      <x:c r="M135" s="192" t="str">
        <x:v>Correct. The response integrates safety, competence, medical coordination, authorization, resources, and relational treatment.</x:v>
      </x:c>
      <x:c r="N135" s="192" t="str">
        <x:v>Incorrect. Unilateral assignment may increase burden and does not address capacity, resources, or shared decision-making.</x:v>
      </x:c>
      <x:c r="O135" s="192" t="str">
        <x:v>A. Incorrect. The therapist should not provide medical treatment, but medical risk and functioning affect family safety and planning.
B. Incorrect. Immediate placement is premature without assessment of needs, preferences, and alternatives.
C. Correct. The response integrates safety, competence, medical coordination, authorization, resources, and relational treatment.
D. Incorrect. Unilateral assignment may increase burden and does not address capacity, resources, or shared decision-making.</x:v>
      </x:c>
      <x:c r="P135" s="192" t="str">
        <x:v>When specialty or medical risk appears, coordinate competent evaluation while preserving appropriate relational support and continuity.</x:v>
      </x:c>
      <x:c r="Q135" s="194" t="str">
        <x:v>CTA LMFT Workbook 8</x:v>
      </x:c>
    </x:row>
    <x:row r="136">
      <x:c r="A136" s="191" t="str">
        <x:v>CTA-LMFT-MQB-0135</x:v>
      </x:c>
      <x:c r="B136" s="192" t="str">
        <x:v>LMFT-WB08-QB-Q016</x:v>
      </x:c>
      <x:c r="C136" s="192" t="str">
        <x:v>Workbook Question Bank</x:v>
      </x:c>
      <x:c r="D136" s="192" t="str">
        <x:v>Workbook 8</x:v>
      </x:c>
      <x:c r="E136" s="192" t="str">
        <x:v>During a support group, a member says they may not be safe after leaving and then asks the facilitator not to interrupt the group. What should the facilitator do?</x:v>
      </x:c>
      <x:c r="F136" s="192" t="str">
        <x:v>Wait until the next meeting because protecting group flow is the priority.</x:v>
      </x:c>
      <x:c r="G136" s="192" t="str">
        <x:v>Address immediate safety using the group’s procedures, arrange a more private assessment and needed support, and maintain clear communication with the group without unnecessary disclosure.</x:v>
      </x:c>
      <x:c r="H136" s="192" t="str">
        <x:v>Ask the group to decide whether the member is at risk.</x:v>
      </x:c>
      <x:c r="I136" s="192" t="str">
        <x:v>Require the member to describe the full crisis in front of everyone.</x:v>
      </x:c>
      <x:c r="J136" s="192" t="str">
        <x:v>B</x:v>
      </x:c>
      <x:c r="K136" s="192" t="str">
        <x:v>Incorrect. A possible immediate safety concern takes priority over preserving the planned agenda.</x:v>
      </x:c>
      <x:c r="L136" s="192" t="str">
        <x:v>Correct. The facilitator should protect safety, use appropriate procedures, preserve privacy, and manage the group frame.</x:v>
      </x:c>
      <x:c r="M136" s="192" t="str">
        <x:v>Incorrect. Risk assessment is a professional responsibility, not a group vote.</x:v>
      </x:c>
      <x:c r="N136" s="192" t="str">
        <x:v>Incorrect. Forced public disclosure can be unsafe and unnecessary.</x:v>
      </x:c>
      <x:c r="O136" s="192" t="str">
        <x:v>A. Incorrect. A possible immediate safety concern takes priority over preserving the planned agenda.
B. Correct. The facilitator should protect safety, use appropriate procedures, preserve privacy, and manage the group frame.
C. Incorrect. Risk assessment is a professional responsibility, not a group vote.
D. Incorrect. Forced public disclosure can be unsafe and unnecessary.</x:v>
      </x:c>
      <x:c r="P136" s="192" t="str">
        <x:v>In group crises, prioritize safety while preserving privacy, role clarity, and the integrity of the group process.</x:v>
      </x:c>
      <x:c r="Q136" s="194" t="str">
        <x:v>CTA LMFT Workbook 8</x:v>
      </x:c>
    </x:row>
    <x:row r="137">
      <x:c r="A137" s="191" t="str">
        <x:v>CTA-LMFT-MQB-0136</x:v>
      </x:c>
      <x:c r="B137" s="192" t="str">
        <x:v>LMFT-WB08-QB-Q017</x:v>
      </x:c>
      <x:c r="C137" s="192" t="str">
        <x:v>Workbook Question Bank</x:v>
      </x:c>
      <x:c r="D137" s="192" t="str">
        <x:v>Workbook 8</x:v>
      </x:c>
      <x:c r="E137" s="192" t="str">
        <x:v>A couple begins therapy for recurring arguments. Over several sessions conflict escalates, one partner privately reports fear of retaliation, and the other says the therapist is taking sides. What should the LMFT do FIRST?</x:v>
      </x:c>
      <x:c r="F137" s="192" t="str">
        <x:v>Reassess immediate safety, coercion, retaliation risk, alliance with each partner, and whether conjoint treatment remains appropriate before continuing relational interventions.</x:v>
      </x:c>
      <x:c r="G137" s="192" t="str">
        <x:v>Assign more communication homework so the therapist appears neutral.</x:v>
      </x:c>
      <x:c r="H137" s="192" t="str">
        <x:v>Require the fearful partner to disclose the concern in the next conjoint session.</x:v>
      </x:c>
      <x:c r="I137" s="192" t="str">
        <x:v>Defend the therapist’s neutrality and continue the original plan.</x:v>
      </x:c>
      <x:c r="J137" s="192" t="str">
        <x:v>A</x:v>
      </x:c>
      <x:c r="K137" s="192" t="str">
        <x:v>Correct. New safety and alliance information requires immediate reassessment of the treatment frame and suitability of conjoint work.</x:v>
      </x:c>
      <x:c r="L137" s="192" t="str">
        <x:v>Incorrect. More homework is premature when safety and alliance are uncertain.</x:v>
      </x:c>
      <x:c r="M137" s="192" t="str">
        <x:v>Incorrect. Forced conjoint disclosure may increase retaliation risk.</x:v>
      </x:c>
      <x:c r="N137" s="192" t="str">
        <x:v>Incorrect. Defensiveness ignores clinically significant safety and alliance data.</x:v>
      </x:c>
      <x:c r="O137" s="192" t="str">
        <x:v>A. Correct. New safety and alliance information requires immediate reassessment of the treatment frame and suitability of conjoint work.
B. Incorrect. More homework is premature when safety and alliance are uncertain.
C. Incorrect. Forced conjoint disclosure may increase retaliation risk.
D. Incorrect. Defensiveness ignores clinically significant safety and alliance data.</x:v>
      </x:c>
      <x:c r="P137" s="192" t="str">
        <x:v>When new fear, retaliation risk, or alliance rupture appears, reassess safety and the treatment unit before continuing conjoint technique.</x:v>
      </x:c>
      <x:c r="Q137" s="194" t="str">
        <x:v>CTA LMFT Workbook 8</x:v>
      </x:c>
    </x:row>
    <x:row r="138">
      <x:c r="A138" s="191" t="str">
        <x:v>CTA-LMFT-MQB-0137</x:v>
      </x:c>
      <x:c r="B138" s="192" t="str">
        <x:v>LMFT-WB09-QB-Q001</x:v>
      </x:c>
      <x:c r="C138" s="192" t="str">
        <x:v>Workbook Question Bank</x:v>
      </x:c>
      <x:c r="D138" s="192" t="str">
        <x:v>Workbook 9</x:v>
      </x:c>
      <x:c r="E138" s="192" t="str">
        <x:v>Before selecting a named intervention, what should an LMFT determine FIRST?</x:v>
      </x:c>
      <x:c r="F138" s="192" t="str">
        <x:v>The supported formulation, any immediate safety or medical priority, and the mechanism that must change.</x:v>
      </x:c>
      <x:c r="G138" s="192" t="str">
        <x:v>Which technique is most popular among other therapists.</x:v>
      </x:c>
      <x:c r="H138" s="192" t="str">
        <x:v>Whether the client recognizes the intervention by name.</x:v>
      </x:c>
      <x:c r="I138" s="192" t="str">
        <x:v>How many techniques can be combined in the same session.</x:v>
      </x:c>
      <x:c r="J138" s="192" t="str">
        <x:v>A</x:v>
      </x:c>
      <x:c r="K138" s="192" t="str">
        <x:v>Correct. The FITS sequence begins with formulation and immediacy, then identifies the target and suitability before technique selection.</x:v>
      </x:c>
      <x:c r="L138" s="192" t="str">
        <x:v>Incorrect. Popularity does not establish fit with the client, target, or treatment stage.</x:v>
      </x:c>
      <x:c r="M138" s="192" t="str">
        <x:v>Incorrect. Client understanding matters, but recognition of a technique name is not the first clinical decision.</x:v>
      </x:c>
      <x:c r="N138" s="192" t="str">
        <x:v>Incorrect. Adding multiple methods before clarifying the target creates unfocused treatment.</x:v>
      </x:c>
      <x:c r="O138" s="192" t="str">
        <x:v>A. Correct. The FITS sequence begins with formulation and immediacy, then identifies the target and suitability before technique selection.
B. Incorrect. Popularity does not establish fit with the client, target, or treatment stage.
C. Incorrect. Client understanding matters, but recognition of a technique name is not the first clinical decision.
D. Incorrect. Adding multiple methods before clarifying the target creates unfocused treatment.</x:v>
      </x:c>
      <x:c r="P138" s="192" t="str">
        <x:v>When several techniques sound reasonable, identify the maintaining mechanism and urgent priorities before choosing a method.</x:v>
      </x:c>
      <x:c r="Q138" s="194" t="str">
        <x:v>CTA LMFT Workbook 9</x:v>
      </x:c>
    </x:row>
    <x:row r="139">
      <x:c r="A139" s="191" t="str">
        <x:v>CTA-LMFT-MQB-0138</x:v>
      </x:c>
      <x:c r="B139" s="192" t="str">
        <x:v>LMFT-WB09-QB-Q002</x:v>
      </x:c>
      <x:c r="C139" s="192" t="str">
        <x:v>Workbook Question Bank</x:v>
      </x:c>
      <x:c r="D139" s="192" t="str">
        <x:v>Workbook 9</x:v>
      </x:c>
      <x:c r="E139" s="192" t="str">
        <x:v>A trauma survivor asks to begin detailed memory work but becomes disoriented whenever the event is mentioned. What is the BEST initial response?</x:v>
      </x:c>
      <x:c r="F139" s="192" t="str">
        <x:v>Begin prolonged narrative work immediately because the client requested it.</x:v>
      </x:c>
      <x:c r="G139" s="192" t="str">
        <x:v>Restore present-moment orientation, strengthen regulation and safety, and revisit readiness collaboratively.</x:v>
      </x:c>
      <x:c r="H139" s="192" t="str">
        <x:v>Avoid all future discussion of trauma.</x:v>
      </x:c>
      <x:c r="I139" s="192" t="str">
        <x:v>Ask a family member to persuade the client to continue.</x:v>
      </x:c>
      <x:c r="J139" s="192" t="str">
        <x:v>B</x:v>
      </x:c>
      <x:c r="K139" s="192" t="str">
        <x:v>Incorrect. Client choice matters, but current disorientation indicates that stabilization and informed pacing are needed first.</x:v>
      </x:c>
      <x:c r="L139" s="192" t="str">
        <x:v>Correct. Trauma-informed sequencing prioritizes orientation, regulation, safety, collaboration, and readiness before intensive processing.</x:v>
      </x:c>
      <x:c r="M139" s="192" t="str">
        <x:v>Incorrect. Permanent avoidance may maintain symptoms and does not create a treatment plan.</x:v>
      </x:c>
      <x:c r="N139" s="192" t="str">
        <x:v>Incorrect. Recruiting family pressure can undermine autonomy and safety.</x:v>
      </x:c>
      <x:c r="O139" s="192" t="str">
        <x:v>A. Incorrect. Client choice matters, but current disorientation indicates that stabilization and informed pacing are needed first.
B. Correct. Trauma-informed sequencing prioritizes orientation, regulation, safety, collaboration, and readiness before intensive processing.
C. Incorrect. Permanent avoidance may maintain symptoms and does not create a treatment plan.
D. Incorrect. Recruiting family pressure can undermine autonomy and safety.</x:v>
      </x:c>
      <x:c r="P139" s="192" t="str">
        <x:v>Acute dysregulation or disorientation is a cue to stabilize and restore choice before detailed processing.</x:v>
      </x:c>
      <x:c r="Q139" s="194" t="str">
        <x:v>CTA LMFT Workbook 9</x:v>
      </x:c>
    </x:row>
    <x:row r="140">
      <x:c r="A140" s="191" t="str">
        <x:v>CTA-LMFT-MQB-0139</x:v>
      </x:c>
      <x:c r="B140" s="192" t="str">
        <x:v>LMFT-WB09-QB-Q003</x:v>
      </x:c>
      <x:c r="C140" s="192" t="str">
        <x:v>Workbook Question Bank</x:v>
      </x:c>
      <x:c r="D140" s="192" t="str">
        <x:v>Workbook 9</x:v>
      </x:c>
      <x:c r="E140" s="192" t="str">
        <x:v>Which intervention MOST directly targets the cycle in which depressed mood leads to withdrawal, reduced rewarding activity, and further depressed mood?</x:v>
      </x:c>
      <x:c r="F140" s="192" t="str">
        <x:v>Unstructured ventilation without a behavioral plan.</x:v>
      </x:c>
      <x:c r="G140" s="192" t="str">
        <x:v>Interpretation of every withdrawal episode as resistance.</x:v>
      </x:c>
      <x:c r="H140" s="192" t="str">
        <x:v>Collaborative scheduling of small, meaningful, achievable activities with response monitoring.</x:v>
      </x:c>
      <x:c r="I140" s="192" t="str">
        <x:v>Advising the client to wait for motivation before acting.</x:v>
      </x:c>
      <x:c r="J140" s="192" t="str">
        <x:v>C</x:v>
      </x:c>
      <x:c r="K140" s="192" t="str">
        <x:v>Incorrect. Emotional expression may help, but it does not directly alter the withdrawal-reinforcement cycle.</x:v>
      </x:c>
      <x:c r="L140" s="192" t="str">
        <x:v>Incorrect. Labeling withdrawal as resistance does not test or change the maintaining behavior.</x:v>
      </x:c>
      <x:c r="M140" s="192" t="str">
        <x:v>Correct. Behavioral activation increases contact with meaningful and reinforcing activity while monitoring mood and functioning.</x:v>
      </x:c>
      <x:c r="N140" s="192" t="str">
        <x:v>Incorrect. Waiting for motivation can prolong avoidance and inactivity.</x:v>
      </x:c>
      <x:c r="O140" s="192" t="str">
        <x:v>A. Incorrect. Emotional expression may help, but it does not directly alter the withdrawal-reinforcement cycle.
B. Incorrect. Labeling withdrawal as resistance does not test or change the maintaining behavior.
C. Correct. Behavioral activation increases contact with meaningful and reinforcing activity while monitoring mood and functioning.
D. Incorrect. Waiting for motivation can prolong avoidance and inactivity.</x:v>
      </x:c>
      <x:c r="P140" s="192" t="str">
        <x:v>Match behavioral activation to the withdrawal-and-low-reinforcement mechanism.</x:v>
      </x:c>
      <x:c r="Q140" s="194" t="str">
        <x:v>CTA LMFT Workbook 9</x:v>
      </x:c>
    </x:row>
    <x:row r="141">
      <x:c r="A141" s="191" t="str">
        <x:v>CTA-LMFT-MQB-0140</x:v>
      </x:c>
      <x:c r="B141" s="192" t="str">
        <x:v>LMFT-WB09-QB-Q004</x:v>
      </x:c>
      <x:c r="C141" s="192" t="str">
        <x:v>Workbook Question Bank</x:v>
      </x:c>
      <x:c r="D141" s="192" t="str">
        <x:v>Workbook 9</x:v>
      </x:c>
      <x:c r="E141" s="192" t="str">
        <x:v>A client repeatedly sends threatening messages during arguments and later says the behavior “came out of nowhere.” What should the therapist do NEXT?</x:v>
      </x:c>
      <x:c r="F141" s="192" t="str">
        <x:v>Focus only on childhood causes and postpone current safety work.</x:v>
      </x:c>
      <x:c r="G141" s="192" t="str">
        <x:v>Ask the partner to accept the behavior as emotional expression.</x:v>
      </x:c>
      <x:c r="H141" s="192" t="str">
        <x:v>Require an apology before any assessment occurs.</x:v>
      </x:c>
      <x:c r="I141" s="192" t="str">
        <x:v>Map vulnerabilities, prompting events, thoughts, body cues, actions, consequences, and safer alternative links.</x:v>
      </x:c>
      <x:c r="J141" s="192" t="str">
        <x:v>D</x:v>
      </x:c>
      <x:c r="K141" s="192" t="str">
        <x:v>Incorrect. History may matter, but current risk and the behavioral sequence require immediate attention.</x:v>
      </x:c>
      <x:c r="L141" s="192" t="str">
        <x:v>Incorrect. Threatening behavior should not be normalized or assigned to the partner to tolerate.</x:v>
      </x:c>
      <x:c r="M141" s="192" t="str">
        <x:v>Incorrect. Accountability may be addressed, but demanding an apology does not explain or interrupt the chain.</x:v>
      </x:c>
      <x:c r="N141" s="192" t="str">
        <x:v>Correct. Chain analysis identifies where regulation, delay, safety, and interpersonal skills can be inserted.</x:v>
      </x:c>
      <x:c r="O141" s="192" t="str">
        <x:v>A. Incorrect. History may matter, but current risk and the behavioral sequence require immediate attention.
B. Incorrect. Threatening behavior should not be normalized or assigned to the partner to tolerate.
C. Incorrect. Accountability may be addressed, but demanding an apology does not explain or interrupt the chain.
D. Correct. Chain analysis identifies where regulation, delay, safety, and interpersonal skills can be inserted.</x:v>
      </x:c>
      <x:c r="P141" s="192" t="str">
        <x:v>When behavior seems sudden, break it into links and identify the earliest point where a safer response can occur.</x:v>
      </x:c>
      <x:c r="Q141" s="194" t="str">
        <x:v>CTA LMFT Workbook 9</x:v>
      </x:c>
    </x:row>
    <x:row r="142">
      <x:c r="A142" s="191" t="str">
        <x:v>CTA-LMFT-MQB-0141</x:v>
      </x:c>
      <x:c r="B142" s="192" t="str">
        <x:v>LMFT-WB09-QB-Q005</x:v>
      </x:c>
      <x:c r="C142" s="192" t="str">
        <x:v>Workbook Question Bank</x:v>
      </x:c>
      <x:c r="D142" s="192" t="str">
        <x:v>Workbook 9</x:v>
      </x:c>
      <x:c r="E142" s="192" t="str">
        <x:v>A client referred by an employer says, “I do not think my cannabis use is a problem, but I cannot afford another absence.” Which response is MOST consistent with motivational interviewing?</x:v>
      </x:c>
      <x:c r="F142" s="192" t="str">
        <x:v>Explore what the client values about use, what concerns exist, and how current behavior fits the client’s work goals.</x:v>
      </x:c>
      <x:c r="G142" s="192" t="str">
        <x:v>Argue that the employer has already proven the client has a disorder.</x:v>
      </x:c>
      <x:c r="H142" s="192" t="str">
        <x:v>Require immediate abstinence before discussing the client’s goals.</x:v>
      </x:c>
      <x:c r="I142" s="192" t="str">
        <x:v>Ask the employer to apply additional pressure.</x:v>
      </x:c>
      <x:c r="J142" s="192" t="str">
        <x:v>A</x:v>
      </x:c>
      <x:c r="K142" s="192" t="str">
        <x:v>Correct. The response uses partnership and discrepancy to evoke the client’s own reasons and choices.</x:v>
      </x:c>
      <x:c r="L142" s="192" t="str">
        <x:v>Incorrect. Argument and labeling increase defensiveness and bypass the client’s perspective.</x:v>
      </x:c>
      <x:c r="M142" s="192" t="str">
        <x:v>Incorrect. A predetermined demand is not an MI-consistent exploration of readiness.</x:v>
      </x:c>
      <x:c r="N142" s="192" t="str">
        <x:v>Incorrect. External pressure does not replace client-centered engagement.</x:v>
      </x:c>
      <x:c r="O142" s="192" t="str">
        <x:v>A. Correct. The response uses partnership and discrepancy to evoke the client’s own reasons and choices.
B. Incorrect. Argument and labeling increase defensiveness and bypass the client’s perspective.
C. Incorrect. A predetermined demand is not an MI-consistent exploration of readiness.
D. Incorrect. External pressure does not replace client-centered engagement.</x:v>
      </x:c>
      <x:c r="P142" s="192" t="str">
        <x:v>With ambivalence or external pressure, evoke the client’s values and discrepancy rather than arguing.</x:v>
      </x:c>
      <x:c r="Q142" s="194" t="str">
        <x:v>CTA LMFT Workbook 9</x:v>
      </x:c>
    </x:row>
    <x:row r="143">
      <x:c r="A143" s="191" t="str">
        <x:v>CTA-LMFT-MQB-0142</x:v>
      </x:c>
      <x:c r="B143" s="192" t="str">
        <x:v>LMFT-WB09-QB-Q006</x:v>
      </x:c>
      <x:c r="C143" s="192" t="str">
        <x:v>Workbook Question Bank</x:v>
      </x:c>
      <x:c r="D143" s="192" t="str">
        <x:v>Workbook 9</x:v>
      </x:c>
      <x:c r="E143" s="192" t="str">
        <x:v>Six months after a parent’s death, a client reports sadness, disrupted family rituals, and conflict with siblings over caregiving decisions made before the death. The client is working and denies suicidal thoughts. What should the therapist do NEXT?</x:v>
      </x:c>
      <x:c r="F143" s="192" t="str">
        <x:v>Assume the grief is pathological because conflict remains.</x:v>
      </x:c>
      <x:c r="G143" s="192" t="str">
        <x:v>Assess grief intensity and functioning, explore meaning and family role changes, and support adaptive rituals and communication.</x:v>
      </x:c>
      <x:c r="H143" s="192" t="str">
        <x:v>Discourage discussion of the deceased so the family can move on.</x:v>
      </x:c>
      <x:c r="I143" s="192" t="str">
        <x:v>Refer immediately for inpatient psychiatric care.</x:v>
      </x:c>
      <x:c r="J143" s="192" t="str">
        <x:v>B</x:v>
      </x:c>
      <x:c r="K143" s="192" t="str">
        <x:v>Incorrect. Persistent sadness or family conflict alone does not establish a disorder.</x:v>
      </x:c>
      <x:c r="L143" s="192" t="str">
        <x:v>Correct. The intervention integrates grief, functioning, meaning, family reorganization, and support while continuing safety assessment.</x:v>
      </x:c>
      <x:c r="M143" s="192" t="str">
        <x:v>Incorrect. Avoiding the loss may invalidate the client and prevent needed meaning-making.</x:v>
      </x:c>
      <x:c r="N143" s="192" t="str">
        <x:v>Incorrect. No acute danger or severe functional collapse is described.</x:v>
      </x:c>
      <x:c r="O143" s="192" t="str">
        <x:v>A. Incorrect. Persistent sadness or family conflict alone does not establish a disorder.
B. Correct. The intervention integrates grief, functioning, meaning, family reorganization, and support while continuing safety assessment.
C. Incorrect. Avoiding the loss may invalidate the client and prevent needed meaning-making.
D. Incorrect. No acute danger or severe functional collapse is described.</x:v>
      </x:c>
      <x:c r="P143" s="192" t="str">
        <x:v>Grief questions require assessment of safety and functioning plus attention to meaning, roles, relationships, and culture.</x:v>
      </x:c>
      <x:c r="Q143" s="194" t="str">
        <x:v>CTA LMFT Workbook 9</x:v>
      </x:c>
    </x:row>
    <x:row r="144">
      <x:c r="A144" s="191" t="str">
        <x:v>CTA-LMFT-MQB-0143</x:v>
      </x:c>
      <x:c r="B144" s="192" t="str">
        <x:v>LMFT-WB09-QB-Q007</x:v>
      </x:c>
      <x:c r="C144" s="192" t="str">
        <x:v>Workbook Question Bank</x:v>
      </x:c>
      <x:c r="D144" s="192" t="str">
        <x:v>Workbook 9</x:v>
      </x:c>
      <x:c r="E144" s="192" t="str">
        <x:v>A client with bipolar disorder reports sleeping two hours nightly, rapidly increasing spending, and stopping prescribed medication. What is the therapist’s BEST response?</x:v>
      </x:c>
      <x:c r="F144" s="192" t="str">
        <x:v>Treat the spending only as a couple-boundary problem.</x:v>
      </x:c>
      <x:c r="G144" s="192" t="str">
        <x:v>Schedule routine cognitive restructuring for the next month without additional assessment.</x:v>
      </x:c>
      <x:c r="H144" s="192" t="str">
        <x:v>Assess current risk and impairment, coordinate prompt psychiatric or medical evaluation, and involve supports consistent with consent and safety.</x:v>
      </x:c>
      <x:c r="I144" s="192" t="str">
        <x:v>Tell the client that medication decisions are unrelated to psychotherapy.</x:v>
      </x:c>
      <x:c r="J144" s="192" t="str">
        <x:v>C</x:v>
      </x:c>
      <x:c r="K144" s="192" t="str">
        <x:v>Incorrect. Relational effects matter, but the symptom pattern suggests possible acute mood instability requiring broader assessment.</x:v>
      </x:c>
      <x:c r="L144" s="192" t="str">
        <x:v>Incorrect. Routine outpatient technique alone may be insufficient for the current severity.</x:v>
      </x:c>
      <x:c r="M144" s="192" t="str">
        <x:v>Correct. The response integrates risk assessment, level-of-care judgment, medical coordination, and recovery support.</x:v>
      </x:c>
      <x:c r="N144" s="192" t="str">
        <x:v>Incorrect. The LMFT should remain within scope while coordinating relevant care rather than ignoring medication concerns.</x:v>
      </x:c>
      <x:c r="O144" s="192" t="str">
        <x:v>A. Incorrect. Relational effects matter, but the symptom pattern suggests possible acute mood instability requiring broader assessment.
B. Incorrect. Routine outpatient technique alone may be insufficient for the current severity.
C. Correct. The response integrates risk assessment, level-of-care judgment, medical coordination, and recovery support.
D. Incorrect. The LMFT should remain within scope while coordinating relevant care rather than ignoring medication concerns.</x:v>
      </x:c>
      <x:c r="P144" s="192" t="str">
        <x:v>Rapid change, reduced sleep, impaired judgment, or severe symptoms call for risk and level-of-care assessment before routine intervention.</x:v>
      </x:c>
      <x:c r="Q144" s="194" t="str">
        <x:v>CTA LMFT Workbook 9</x:v>
      </x:c>
    </x:row>
    <x:row r="145">
      <x:c r="A145" s="191" t="str">
        <x:v>CTA-LMFT-MQB-0144</x:v>
      </x:c>
      <x:c r="B145" s="192" t="str">
        <x:v>LMFT-WB09-QB-Q008</x:v>
      </x:c>
      <x:c r="C145" s="192" t="str">
        <x:v>Workbook Question Bank</x:v>
      </x:c>
      <x:c r="D145" s="192" t="str">
        <x:v>Workbook 9</x:v>
      </x:c>
      <x:c r="E145" s="192" t="str">
        <x:v>A seven-year-old has frequent morning meltdowns. Caregivers give different instructions, change consequences daily, and argue in front of the child. What intervention is MOST appropriate?</x:v>
      </x:c>
      <x:c r="F145" s="192" t="str">
        <x:v>Ask the child to analyze unconscious motives for the behavior.</x:v>
      </x:c>
      <x:c r="G145" s="192" t="str">
        <x:v>Exclude caregivers so the child can develop independence.</x:v>
      </x:c>
      <x:c r="H145" s="192" t="str">
        <x:v>Use only an adult worksheet about cognitive distortions.</x:v>
      </x:c>
      <x:c r="I145" s="192" t="str">
        <x:v>Clarify the routine, coach consistent caregiver responses, model emotion-regulation support, and reinforce achievable behavior.</x:v>
      </x:c>
      <x:c r="J145" s="192" t="str">
        <x:v>D</x:v>
      </x:c>
      <x:c r="K145" s="192" t="str">
        <x:v>Incorrect. The intervention is not developmentally matched and ignores the caregiving environment.</x:v>
      </x:c>
      <x:c r="L145" s="192" t="str">
        <x:v>Incorrect. Caregiver participation is central because inconsistent responses are maintaining the problem.</x:v>
      </x:c>
      <x:c r="M145" s="192" t="str">
        <x:v>Incorrect. An adult worksheet is poorly matched to age and the identified mechanism.</x:v>
      </x:c>
      <x:c r="N145" s="192" t="str">
        <x:v>Correct. Predictable routines, caregiver coaching, modeling, and reinforcement directly address the developmental and systemic pattern.</x:v>
      </x:c>
      <x:c r="O145" s="192" t="str">
        <x:v>A. Incorrect. The intervention is not developmentally matched and ignores the caregiving environment.
B. Incorrect. Caregiver participation is central because inconsistent responses are maintaining the problem.
C. Incorrect. An adult worksheet is poorly matched to age and the identified mechanism.
D. Correct. Predictable routines, caregiver coaching, modeling, and reinforcement directly address the developmental and systemic pattern.</x:v>
      </x:c>
      <x:c r="P145" s="192" t="str">
        <x:v>For young children, look for concrete skills and caregiver-environment change rather than abstract individual insight.</x:v>
      </x:c>
      <x:c r="Q145" s="194" t="str">
        <x:v>CTA LMFT Workbook 9</x:v>
      </x:c>
    </x:row>
    <x:row r="146">
      <x:c r="A146" s="191" t="str">
        <x:v>CTA-LMFT-MQB-0145</x:v>
      </x:c>
      <x:c r="B146" s="192" t="str">
        <x:v>LMFT-WB09-QB-Q009</x:v>
      </x:c>
      <x:c r="C146" s="192" t="str">
        <x:v>Workbook Question Bank</x:v>
      </x:c>
      <x:c r="D146" s="192" t="str">
        <x:v>Workbook 9</x:v>
      </x:c>
      <x:c r="E146" s="192" t="str">
        <x:v>A spouse caring for a partner with a disabling illness reports sleep loss, missed work, isolation, and guilt about accepting help. What should the LMFT do FIRST?</x:v>
      </x:c>
      <x:c r="F146" s="192" t="str">
        <x:v>Assess burden, health, role expectations, finances, support, respite options, and the couple’s communication about care.</x:v>
      </x:c>
      <x:c r="G146" s="192" t="str">
        <x:v>Teach relaxation only and avoid practical concerns.</x:v>
      </x:c>
      <x:c r="H146" s="192" t="str">
        <x:v>Tell the caregiver to leave the relationship.</x:v>
      </x:c>
      <x:c r="I146" s="192" t="str">
        <x:v>Ask the ill partner to stop discussing symptoms.</x:v>
      </x:c>
      <x:c r="J146" s="192" t="str">
        <x:v>A</x:v>
      </x:c>
      <x:c r="K146" s="192" t="str">
        <x:v>Correct. Caregiver distress is embedded in roles, resources, health, beliefs, and relationship patterns that require systemic assessment.</x:v>
      </x:c>
      <x:c r="L146" s="192" t="str">
        <x:v>Incorrect. Relaxation may help but is too narrow for the burden and access problems described.</x:v>
      </x:c>
      <x:c r="M146" s="192" t="str">
        <x:v>Incorrect. The recommendation is premature and not based on the couple’s goals or safety assessment.</x:v>
      </x:c>
      <x:c r="N146" s="192" t="str">
        <x:v>Incorrect. Silencing symptoms does not reduce the actual care burden.</x:v>
      </x:c>
      <x:c r="O146" s="192" t="str">
        <x:v>A. Correct. Caregiver distress is embedded in roles, resources, health, beliefs, and relationship patterns that require systemic assessment.
B. Incorrect. Relaxation may help but is too narrow for the burden and access problems described.
C. Incorrect. The recommendation is premature and not based on the couple’s goals or safety assessment.
D. Incorrect. Silencing symptoms does not reduce the actual care burden.</x:v>
      </x:c>
      <x:c r="P146" s="192" t="str">
        <x:v>Caregiver questions often require both coping support and reorganization of roles, resources, and practical assistance.</x:v>
      </x:c>
      <x:c r="Q146" s="194" t="str">
        <x:v>CTA LMFT Workbook 9</x:v>
      </x:c>
    </x:row>
    <x:row r="147">
      <x:c r="A147" s="191" t="str">
        <x:v>CTA-LMFT-MQB-0146</x:v>
      </x:c>
      <x:c r="B147" s="192" t="str">
        <x:v>LMFT-WB09-QB-Q010</x:v>
      </x:c>
      <x:c r="C147" s="192" t="str">
        <x:v>Workbook Question Bank</x:v>
      </x:c>
      <x:c r="D147" s="192" t="str">
        <x:v>Workbook 9</x:v>
      </x:c>
      <x:c r="E147" s="192" t="str">
        <x:v>A client who drinks heavily is unwilling to pursue abstinence but agrees that driving after drinking is dangerous. What is the BEST next intervention?</x:v>
      </x:c>
      <x:c r="F147" s="192" t="str">
        <x:v>End therapy until the client accepts abstinence.</x:v>
      </x:c>
      <x:c r="G147" s="192" t="str">
        <x:v>Collaborate on immediate risk-reduction steps, explore readiness and goals, and keep medical and recovery options available.</x:v>
      </x:c>
      <x:c r="H147" s="192" t="str">
        <x:v>Ask the partner to secretly monitor all behavior.</x:v>
      </x:c>
      <x:c r="I147" s="192" t="str">
        <x:v>Promise that reduced drinking eliminates all risk.</x:v>
      </x:c>
      <x:c r="J147" s="192" t="str">
        <x:v>B</x:v>
      </x:c>
      <x:c r="K147" s="192" t="str">
        <x:v>Incorrect. Ending engagement may increase risk when the client is willing to work on safer behavior.</x:v>
      </x:c>
      <x:c r="L147" s="192" t="str">
        <x:v>Correct. Harm reduction addresses current danger while preserving autonomy, engagement, and future change options.</x:v>
      </x:c>
      <x:c r="M147" s="192" t="str">
        <x:v>Incorrect. Secret monitoring undermines trust and does not replace assessment or collaboration.</x:v>
      </x:c>
      <x:c r="N147" s="192" t="str">
        <x:v>Incorrect. Risk reduction does not justify a guarantee of safety.</x:v>
      </x:c>
      <x:c r="O147" s="192" t="str">
        <x:v>A. Incorrect. Ending engagement may increase risk when the client is willing to work on safer behavior.
B. Correct. Harm reduction addresses current danger while preserving autonomy, engagement, and future change options.
C. Incorrect. Secret monitoring undermines trust and does not replace assessment or collaboration.
D. Incorrect. Risk reduction does not justify a guarantee of safety.</x:v>
      </x:c>
      <x:c r="P147" s="192" t="str">
        <x:v>When abstinence is not chosen, reduce immediate harm and preserve engagement while continuing assessment.</x:v>
      </x:c>
      <x:c r="Q147" s="194" t="str">
        <x:v>CTA LMFT Workbook 9</x:v>
      </x:c>
    </x:row>
    <x:row r="148">
      <x:c r="A148" s="191" t="str">
        <x:v>CTA-LMFT-MQB-0147</x:v>
      </x:c>
      <x:c r="B148" s="192" t="str">
        <x:v>LMFT-WB09-QB-Q011</x:v>
      </x:c>
      <x:c r="C148" s="192" t="str">
        <x:v>Workbook Question Bank</x:v>
      </x:c>
      <x:c r="D148" s="192" t="str">
        <x:v>Workbook 9</x:v>
      </x:c>
      <x:c r="E148" s="192" t="str">
        <x:v>A client reports severe dietary restriction, dizziness, fainting, and rapid weight loss but asks to focus only on body-image thoughts. What should the therapist do NEXT?</x:v>
      </x:c>
      <x:c r="F148" s="192" t="str">
        <x:v>Begin exposure to feared foods without additional evaluation.</x:v>
      </x:c>
      <x:c r="G148" s="192" t="str">
        <x:v>Reassure the client that psychotherapy alone is sufficient.</x:v>
      </x:c>
      <x:c r="H148" s="192" t="str">
        <x:v>Arrange prompt medical and specialty assessment while maintaining therapeutic support and clarifying the coordinated plan.</x:v>
      </x:c>
      <x:c r="I148" s="192" t="str">
        <x:v>Wait until the client requests medical care.</x:v>
      </x:c>
      <x:c r="J148" s="192" t="str">
        <x:v>C</x:v>
      </x:c>
      <x:c r="K148" s="192" t="str">
        <x:v>Incorrect. Medical warning signs require assessment before routine behavioral work.</x:v>
      </x:c>
      <x:c r="L148" s="192" t="str">
        <x:v>Incorrect. The symptoms may indicate instability beyond the therapist’s independent scope.</x:v>
      </x:c>
      <x:c r="M148" s="192" t="str">
        <x:v>Correct. Prompt coordinated evaluation addresses safety while preserving continuity and relational support.</x:v>
      </x:c>
      <x:c r="N148" s="192" t="str">
        <x:v>Incorrect. Deferring action despite fainting and rapid loss may expose the client to serious harm.</x:v>
      </x:c>
      <x:c r="O148" s="192" t="str">
        <x:v>A. Incorrect. Medical warning signs require assessment before routine behavioral work.
B. Incorrect. The symptoms may indicate instability beyond the therapist’s independent scope.
C. Correct. Prompt coordinated evaluation addresses safety while preserving continuity and relational support.
D. Incorrect. Deferring action despite fainting and rapid loss may expose the client to serious harm.</x:v>
      </x:c>
      <x:c r="P148" s="192" t="str">
        <x:v>Medical warning signs outrank routine insight or skills work; coordinate specialty care without abandoning the client.</x:v>
      </x:c>
      <x:c r="Q148" s="194" t="str">
        <x:v>CTA LMFT Workbook 9</x:v>
      </x:c>
    </x:row>
    <x:row r="149">
      <x:c r="A149" s="191" t="str">
        <x:v>CTA-LMFT-MQB-0148</x:v>
      </x:c>
      <x:c r="B149" s="192" t="str">
        <x:v>LMFT-WB09-QB-Q012</x:v>
      </x:c>
      <x:c r="C149" s="192" t="str">
        <x:v>Workbook Question Bank</x:v>
      </x:c>
      <x:c r="D149" s="192" t="str">
        <x:v>Workbook 9</x:v>
      </x:c>
      <x:c r="E149" s="192" t="str">
        <x:v>Which statement BEST describes theory-consistent intervention selection?</x:v>
      </x:c>
      <x:c r="F149" s="192" t="str">
        <x:v>Use the therapist’s preferred theory for every diagnosis.</x:v>
      </x:c>
      <x:c r="G149" s="192" t="str">
        <x:v>Choose the newest model available regardless of formulation.</x:v>
      </x:c>
      <x:c r="H149" s="192" t="str">
        <x:v>Combine several theories so the treatment appears comprehensive.</x:v>
      </x:c>
      <x:c r="I149" s="192" t="str">
        <x:v>Select a model because its mechanism directly fits the assessed maintaining pattern and client-system context.</x:v>
      </x:c>
      <x:c r="J149" s="192" t="str">
        <x:v>D</x:v>
      </x:c>
      <x:c r="K149" s="192" t="str">
        <x:v>Incorrect. Diagnosis alone does not determine a single method, and therapist preference is not sufficient.</x:v>
      </x:c>
      <x:c r="L149" s="192" t="str">
        <x:v>Incorrect. Novelty does not establish suitability or competence.</x:v>
      </x:c>
      <x:c r="M149" s="192" t="str">
        <x:v>Incorrect. Unfocused integration can obscure the treatment rationale.</x:v>
      </x:c>
      <x:c r="N149" s="192" t="str">
        <x:v>Correct. Theory selection should follow formulation, target mechanism, stage, fit, and competence.</x:v>
      </x:c>
      <x:c r="O149" s="192" t="str">
        <x:v>A. Incorrect. Diagnosis alone does not determine a single method, and therapist preference is not sufficient.
B. Incorrect. Novelty does not establish suitability or competence.
C. Incorrect. Unfocused integration can obscure the treatment rationale.
D. Correct. Theory selection should follow formulation, target mechanism, stage, fit, and competence.</x:v>
      </x:c>
      <x:c r="P149" s="192" t="str">
        <x:v>A theory is useful when the vignette supports the mechanism that theory is designed to change.</x:v>
      </x:c>
      <x:c r="Q149" s="194" t="str">
        <x:v>CTA LMFT Workbook 9</x:v>
      </x:c>
    </x:row>
    <x:row r="150">
      <x:c r="A150" s="191" t="str">
        <x:v>CTA-LMFT-MQB-0149</x:v>
      </x:c>
      <x:c r="B150" s="192" t="str">
        <x:v>LMFT-WB09-QB-Q013</x:v>
      </x:c>
      <x:c r="C150" s="192" t="str">
        <x:v>Workbook Question Bank</x:v>
      </x:c>
      <x:c r="D150" s="192" t="str">
        <x:v>Workbook 9</x:v>
      </x:c>
      <x:c r="E150" s="192" t="str">
        <x:v>A trauma survivor experiences panic when alone. A partner repeatedly leaves work to provide reassurance, which lowers distress briefly but increases dependence and avoidance. After confirming current safety, what plan is BEST?</x:v>
      </x:c>
      <x:c r="F150" s="192" t="str">
        <x:v>Teach present-moment regulation, collaboratively reduce maintaining reassurance, build graded independent coping, and coach the partner to support without reinforcing avoidance.</x:v>
      </x:c>
      <x:c r="G150" s="192" t="str">
        <x:v>Tell the partner to stop all contact immediately.</x:v>
      </x:c>
      <x:c r="H150" s="192" t="str">
        <x:v>Begin detailed trauma processing during the next panic episode.</x:v>
      </x:c>
      <x:c r="I150" s="192" t="str">
        <x:v>Identify the partner as the cause of the trauma symptoms.</x:v>
      </x:c>
      <x:c r="J150" s="192" t="str">
        <x:v>A</x:v>
      </x:c>
      <x:c r="K150" s="192" t="str">
        <x:v>Correct. The plan integrates stabilization, behavioral learning, relational-cycle change, and attachment support without blame.</x:v>
      </x:c>
      <x:c r="L150" s="192" t="str">
        <x:v>Incorrect. Abrupt withdrawal may destabilize the client and does not teach a safe alternative.</x:v>
      </x:c>
      <x:c r="M150" s="192" t="str">
        <x:v>Incorrect. Processing during acute panic is poorly timed.</x:v>
      </x:c>
      <x:c r="N150" s="192" t="str">
        <x:v>Incorrect. The partner’s behavior may maintain a cycle but did not cause the original trauma symptoms.</x:v>
      </x:c>
      <x:c r="O150" s="192" t="str">
        <x:v>A. Correct. The plan integrates stabilization, behavioral learning, relational-cycle change, and attachment support without blame.
B. Incorrect. Abrupt withdrawal may destabilize the client and does not teach a safe alternative.
C. Incorrect. Processing during acute panic is poorly timed.
D. Incorrect. The partner’s behavior may maintain a cycle but did not cause the original trauma symptoms.</x:v>
      </x:c>
      <x:c r="P150" s="192" t="str">
        <x:v>Integrated answers should change the maintaining cycle while preserving safety, choice, and supportive connection.</x:v>
      </x:c>
      <x:c r="Q150" s="194" t="str">
        <x:v>CTA LMFT Workbook 9</x:v>
      </x:c>
    </x:row>
    <x:row r="151">
      <x:c r="A151" s="191" t="str">
        <x:v>CTA-LMFT-MQB-0150</x:v>
      </x:c>
      <x:c r="B151" s="192" t="str">
        <x:v>LMFT-WB09-QB-Q014</x:v>
      </x:c>
      <x:c r="C151" s="192" t="str">
        <x:v>Workbook Question Bank</x:v>
      </x:c>
      <x:c r="D151" s="192" t="str">
        <x:v>Workbook 9</x:v>
      </x:c>
      <x:c r="E151" s="192" t="str">
        <x:v>A client has returned to opioid use twice after treatment. Family members alternate between paying debts and threatening permanent cutoff. What should the therapist do NEXT?</x:v>
      </x:c>
      <x:c r="F151" s="192" t="str">
        <x:v>Tell the family to choose either complete rescue or complete withdrawal.</x:v>
      </x:c>
      <x:c r="G151" s="192" t="str">
        <x:v>Assess overdose and withdrawal risk, review triggers and treatment intensity, clarify family reinforcement and boundaries, and coordinate recovery supports and medical options.</x:v>
      </x:c>
      <x:c r="H151" s="192" t="str">
        <x:v>Focus only on the client’s childhood relationships.</x:v>
      </x:c>
      <x:c r="I151" s="192" t="str">
        <x:v>End family involvement because it has become complicated.</x:v>
      </x:c>
      <x:c r="J151" s="192" t="str">
        <x:v>B</x:v>
      </x:c>
      <x:c r="K151" s="192" t="str">
        <x:v>Incorrect. Either extreme may intensify instability and does not address the recovery system.</x:v>
      </x:c>
      <x:c r="L151" s="192" t="str">
        <x:v>Correct. The response integrates safety, relapse formulation, level of care, family patterns, boundaries, and coordinated recovery support.</x:v>
      </x:c>
      <x:c r="M151" s="192" t="str">
        <x:v>Incorrect. Historical exploration alone does not address current risk and maintaining factors.</x:v>
      </x:c>
      <x:c r="N151" s="192" t="str">
        <x:v>Incorrect. Family involvement may need restructuring rather than automatic elimination.</x:v>
      </x:c>
      <x:c r="O151" s="192" t="str">
        <x:v>A. Incorrect. Either extreme may intensify instability and does not address the recovery system.
B. Correct. The response integrates safety, relapse formulation, level of care, family patterns, boundaries, and coordinated recovery support.
C. Incorrect. Historical exploration alone does not address current risk and maintaining factors.
D. Incorrect. Family involvement may need restructuring rather than automatic elimination.</x:v>
      </x:c>
      <x:c r="P151" s="192" t="str">
        <x:v>After relapse, reassess risk, triggers, intensity, access, and the family reinforcement cycle rather than moralizing.</x:v>
      </x:c>
      <x:c r="Q151" s="194" t="str">
        <x:v>CTA LMFT Workbook 9</x:v>
      </x:c>
    </x:row>
    <x:row r="152">
      <x:c r="A152" s="191" t="str">
        <x:v>CTA-LMFT-MQB-0151</x:v>
      </x:c>
      <x:c r="B152" s="192" t="str">
        <x:v>LMFT-WB09-QB-Q015</x:v>
      </x:c>
      <x:c r="C152" s="192" t="str">
        <x:v>Workbook Question Bank</x:v>
      </x:c>
      <x:c r="D152" s="192" t="str">
        <x:v>Workbook 9</x:v>
      </x:c>
      <x:c r="E152" s="192" t="str">
        <x:v>A bilingual adolescent with depression has not improved after six weeks of a parent-selected treatment. The adolescent says sessions feel culturally disconnected, transportation causes missed visits, and the goals do not feel relevant. What should the therapist do NEXT?</x:v>
      </x:c>
      <x:c r="F152" s="192" t="str">
        <x:v>Conclude that the adolescent is resistant.</x:v>
      </x:c>
      <x:c r="G152" s="192" t="str">
        <x:v>Continue unchanged because six weeks is too soon to ask about fit.</x:v>
      </x:c>
      <x:c r="H152" s="192" t="str">
        <x:v>Reassess safety, alliance, goals, cultural and language fit, transportation, implementation, treatment unit, and alternative or coordinated services.</x:v>
      </x:c>
      <x:c r="I152" s="192" t="str">
        <x:v>Ask the parent to impose consequences for missed appointments.</x:v>
      </x:c>
      <x:c r="J152" s="192" t="str">
        <x:v>C</x:v>
      </x:c>
      <x:c r="K152" s="192" t="str">
        <x:v>Incorrect. The vignette identifies multiple fit and access barriers rather than simple resistance.</x:v>
      </x:c>
      <x:c r="L152" s="192" t="str">
        <x:v>Incorrect. Lack of response and explicit concerns justify reassessment now.</x:v>
      </x:c>
      <x:c r="M152" s="192" t="str">
        <x:v>Correct. The response reviews safety, alliance, meaningful goals, culture, language, access, implementation, and level of care.</x:v>
      </x:c>
      <x:c r="N152" s="192" t="str">
        <x:v>Incorrect. Punishment may worsen engagement and does not solve transportation or treatment-fit problems.</x:v>
      </x:c>
      <x:c r="O152" s="192" t="str">
        <x:v>A. Incorrect. The vignette identifies multiple fit and access barriers rather than simple resistance.
B. Incorrect. Lack of response and explicit concerns justify reassessment now.
C. Correct. The response reviews safety, alliance, meaningful goals, culture, language, access, implementation, and level of care.
D. Incorrect. Punishment may worsen engagement and does not solve transportation or treatment-fit problems.</x:v>
      </x:c>
      <x:c r="P152" s="192" t="str">
        <x:v>Nonresponse requires reassessment of formulation, alliance, implementation, access, culture, development, and treatment unit.</x:v>
      </x:c>
      <x:c r="Q152" s="194" t="str">
        <x:v>CTA LMFT Workbook 9</x:v>
      </x:c>
    </x:row>
    <x:row r="153">
      <x:c r="A153" s="191" t="str">
        <x:v>CTA-LMFT-MQB-0152</x:v>
      </x:c>
      <x:c r="B153" s="192" t="str">
        <x:v>LMFT-WB09-QB-Q016</x:v>
      </x:c>
      <x:c r="C153" s="192" t="str">
        <x:v>Workbook Question Bank</x:v>
      </x:c>
      <x:c r="D153" s="192" t="str">
        <x:v>Workbook 9</x:v>
      </x:c>
      <x:c r="E153" s="192" t="str">
        <x:v>An adolescent with worsening depression reports passive thoughts of death. Parents argue about whether the symptoms are “real,” and the adolescent refuses conjoint discussion. What should the LMFT do FIRST?</x:v>
      </x:c>
      <x:c r="F153" s="192" t="str">
        <x:v>Require a family session before assessing the adolescent.</x:v>
      </x:c>
      <x:c r="G153" s="192" t="str">
        <x:v>Begin communication training with the parents while the adolescent waits.</x:v>
      </x:c>
      <x:c r="H153" s="192" t="str">
        <x:v>Promise the adolescent that no safety information will ever be shared.</x:v>
      </x:c>
      <x:c r="I153" s="192" t="str">
        <x:v>Assess suicide risk and immediate safety privately, clarify confidentiality limits, then plan developmentally appropriate support and family involvement consistent with safety and consent.</x:v>
      </x:c>
      <x:c r="J153" s="192" t="str">
        <x:v>D</x:v>
      </x:c>
      <x:c r="K153" s="192" t="str">
        <x:v>Incorrect. Safety assessment should not be delayed for conjoint participation.</x:v>
      </x:c>
      <x:c r="L153" s="192" t="str">
        <x:v>Incorrect. Parent communication may matter later, but current risk is the first priority.</x:v>
      </x:c>
      <x:c r="M153" s="192" t="str">
        <x:v>Incorrect. An absolute confidentiality promise may be inaccurate and unsafe.</x:v>
      </x:c>
      <x:c r="N153" s="192" t="str">
        <x:v>Correct. The response sequences private risk assessment, transparent limits, developmental fit, and carefully planned family involvement.</x:v>
      </x:c>
      <x:c r="O153" s="192" t="str">
        <x:v>A. Incorrect. Safety assessment should not be delayed for conjoint participation.
B. Incorrect. Parent communication may matter later, but current risk is the first priority.
C. Incorrect. An absolute confidentiality promise may be inaccurate and unsafe.
D. Correct. The response sequences private risk assessment, transparent limits, developmental fit, and carefully planned family involvement.</x:v>
      </x:c>
      <x:c r="P153" s="192" t="str">
        <x:v>When risk and family conflict coexist, assess safety first, then decide the treatment unit and information-sharing plan.</x:v>
      </x:c>
      <x:c r="Q153" s="194" t="str">
        <x:v>CTA LMFT Workbook 9</x:v>
      </x:c>
    </x:row>
    <x:row r="154">
      <x:c r="A154" s="191" t="str">
        <x:v>CTA-LMFT-MQB-0153</x:v>
      </x:c>
      <x:c r="B154" s="192" t="str">
        <x:v>LMFT-WB09-QB-Q017</x:v>
      </x:c>
      <x:c r="C154" s="192" t="str">
        <x:v>Workbook Question Bank</x:v>
      </x:c>
      <x:c r="D154" s="192" t="str">
        <x:v>Workbook 9</x:v>
      </x:c>
      <x:c r="E154" s="192" t="str">
        <x:v>An LMFT has strong rapport with a client whose eating symptoms are worsening, but the therapist lacks specialty training and the nearest program has a waiting list. What is the BEST response?</x:v>
      </x:c>
      <x:c r="F154" s="192" t="str">
        <x:v>Explain the competence limits, obtain consultation, coordinate medical and specialty options, address immediate risk, and provide competent continuity support while the referral is pursued.</x:v>
      </x:c>
      <x:c r="G154" s="192" t="str">
        <x:v>Continue as the sole provider because rapport establishes competence.</x:v>
      </x:c>
      <x:c r="H154" s="192" t="str">
        <x:v>Terminate immediately without transition because the problem is outside scope.</x:v>
      </x:c>
      <x:c r="I154" s="192" t="str">
        <x:v>Use an intensive protocol after reading a brief summary online.</x:v>
      </x:c>
      <x:c r="J154" s="192" t="str">
        <x:v>A</x:v>
      </x:c>
      <x:c r="K154" s="192" t="str">
        <x:v>Correct. The plan protects safety and competence while preserving continuity, consultation, and active linkage.</x:v>
      </x:c>
      <x:c r="L154" s="192" t="str">
        <x:v>Incorrect. Rapport does not substitute for training or specialty care.</x:v>
      </x:c>
      <x:c r="M154" s="192" t="str">
        <x:v>Incorrect. Abrupt termination can increase risk and ignores continuity responsibilities.</x:v>
      </x:c>
      <x:c r="N154" s="192" t="str">
        <x:v>Incorrect. A brief summary does not establish competence in an intensive specialty intervention.</x:v>
      </x:c>
      <x:c r="O154" s="192" t="str">
        <x:v>A. Correct. The plan protects safety and competence while preserving continuity, consultation, and active linkage.
B. Incorrect. Rapport does not substitute for training or specialty care.
C. Incorrect. Abrupt termination can increase risk and ignores continuity responsibilities.
D. Incorrect. A brief summary does not establish competence in an intensive specialty intervention.</x:v>
      </x:c>
      <x:c r="P154" s="192" t="str">
        <x:v>When specialty care is needed, combine risk management, consultation, active referral, and competent continuity rather than improvising or abandoning.</x:v>
      </x:c>
      <x:c r="Q154" s="194" t="str">
        <x:v>CTA LMFT Workbook 9</x:v>
      </x:c>
    </x:row>
    <x:row r="155">
      <x:c r="A155" s="191" t="str">
        <x:v>CTA-LMFT-MQB-0154</x:v>
      </x:c>
      <x:c r="B155" s="192" t="str">
        <x:v>LMFT-WB10-QB-Q001</x:v>
      </x:c>
      <x:c r="C155" s="192" t="str">
        <x:v>Workbook Question Bank</x:v>
      </x:c>
      <x:c r="D155" s="192" t="str">
        <x:v>Workbook 10</x:v>
      </x:c>
      <x:c r="E155" s="192" t="str">
        <x:v>What does an LMFT accomplish by using the CARE sequence during treatment planning?</x:v>
      </x:c>
      <x:c r="F155" s="192" t="str">
        <x:v>It turns contextual information into access changes, relational adaptations, and a plan for evaluating fit.</x:v>
      </x:c>
      <x:c r="G155" s="192" t="str">
        <x:v>It provides a demographic checklist that replaces individualized assessment.</x:v>
      </x:c>
      <x:c r="H155" s="192" t="str">
        <x:v>It determines the client’s diagnosis from cultural and family characteristics.</x:v>
      </x:c>
      <x:c r="I155" s="192" t="str">
        <x:v>It requires family participation whenever contextual factors are present.</x:v>
      </x:c>
      <x:c r="J155" s="192" t="str">
        <x:v>A</x:v>
      </x:c>
      <x:c r="K155" s="192" t="str">
        <x:v>Correct. CARE links context to access and alliance, relational adaptation, and evaluation rather than leaving context as background information.</x:v>
      </x:c>
      <x:c r="L155" s="192" t="str">
        <x:v>Incorrect. A checklist cannot substitute for collaborative, individualized understanding.</x:v>
      </x:c>
      <x:c r="M155" s="192" t="str">
        <x:v>Incorrect. Context informs formulation and intervention; it does not determine a diagnosis by itself.</x:v>
      </x:c>
      <x:c r="N155" s="192" t="str">
        <x:v>Incorrect. Family involvement depends on purpose, safety, consent, roles, and client goals.</x:v>
      </x:c>
      <x:c r="O155" s="192" t="str">
        <x:v>A. Correct. CARE links context to access and alliance, relational adaptation, and evaluation rather than leaving context as background information.
B. Incorrect. A checklist cannot substitute for collaborative, individualized understanding.
C. Incorrect. Context informs formulation and intervention; it does not determine a diagnosis by itself.
D. Incorrect. Family involvement depends on purpose, safety, consent, roles, and client goals.</x:v>
      </x:c>
      <x:c r="P155" s="192" t="str">
        <x:v>When context appears in the stem, select the answer that changes clinical action and includes a way to evaluate the adaptation.</x:v>
      </x:c>
      <x:c r="Q155" s="194" t="str">
        <x:v>CTA LMFT Workbook 10</x:v>
      </x:c>
    </x:row>
    <x:row r="156">
      <x:c r="A156" s="191" t="str">
        <x:v>CTA-LMFT-MQB-0155</x:v>
      </x:c>
      <x:c r="B156" s="192" t="str">
        <x:v>LMFT-WB10-QB-Q002</x:v>
      </x:c>
      <x:c r="C156" s="192" t="str">
        <x:v>Workbook Question Bank</x:v>
      </x:c>
      <x:c r="D156" s="192" t="str">
        <x:v>Workbook 10</x:v>
      </x:c>
      <x:c r="E156" s="192" t="str">
        <x:v>An LMFT is planning treatment for a 13-year-old client with significant cognitive and communication limitations. Which principle is MOST important?</x:v>
      </x:c>
      <x:c r="F156" s="192" t="str">
        <x:v>Use a standard adolescent protocol so the client is treated like same-age peers.</x:v>
      </x:c>
      <x:c r="G156" s="192" t="str">
        <x:v>Match language, pacing, participation, and supports to developmental capacity rather than chronological age alone.</x:v>
      </x:c>
      <x:c r="H156" s="192" t="str">
        <x:v>Exclude caregivers because adolescence always requires independent treatment.</x:v>
      </x:c>
      <x:c r="I156" s="192" t="str">
        <x:v>Avoid discussing emotions because communication limitations prevent meaningful participation.</x:v>
      </x:c>
      <x:c r="J156" s="192" t="str">
        <x:v>B</x:v>
      </x:c>
      <x:c r="K156" s="192" t="str">
        <x:v>Incorrect. Equal respect does not require identical methods when capacity and access needs differ.</x:v>
      </x:c>
      <x:c r="L156" s="192" t="str">
        <x:v>Correct. Developmental fit is based on actual cognitive, emotional, communication, and functional capacity as well as age.</x:v>
      </x:c>
      <x:c r="M156" s="192" t="str">
        <x:v>Incorrect. Caregiver involvement should be decided by clinical purpose, safety, consent, and the client’s needs.</x:v>
      </x:c>
      <x:c r="N156" s="192" t="str">
        <x:v>Incorrect. The therapist should adapt communication rather than assume the client cannot participate.</x:v>
      </x:c>
      <x:c r="O156" s="192" t="str">
        <x:v>A. Incorrect. Equal respect does not require identical methods when capacity and access needs differ.
B. Correct. Developmental fit is based on actual cognitive, emotional, communication, and functional capacity as well as age.
C. Incorrect. Caregiver involvement should be decided by clinical purpose, safety, consent, and the client’s needs.
D. Incorrect. The therapist should adapt communication rather than assume the client cannot participate.</x:v>
      </x:c>
      <x:c r="P156" s="192" t="str">
        <x:v>Do not equate age with capacity. Look for the option that preserves participation through appropriate adaptation.</x:v>
      </x:c>
      <x:c r="Q156" s="194" t="str">
        <x:v>CTA LMFT Workbook 10</x:v>
      </x:c>
    </x:row>
    <x:row r="157">
      <x:c r="A157" s="191" t="str">
        <x:v>CTA-LMFT-MQB-0156</x:v>
      </x:c>
      <x:c r="B157" s="192" t="str">
        <x:v>LMFT-WB10-QB-Q003</x:v>
      </x:c>
      <x:c r="C157" s="192" t="str">
        <x:v>Workbook Question Bank</x:v>
      </x:c>
      <x:c r="D157" s="192" t="str">
        <x:v>Workbook 10</x:v>
      </x:c>
      <x:c r="E157" s="192" t="str">
        <x:v>A client explains that sustained eye contact with an older authority figure feels disrespectful in the client’s family and community. What should the therapist do?</x:v>
      </x:c>
      <x:c r="F157" s="192" t="str">
        <x:v>Insist on eye contact because it is necessary for therapeutic engagement.</x:v>
      </x:c>
      <x:c r="G157" s="192" t="str">
        <x:v>Avoid discussing the issue so cultural differences do not influence treatment.</x:v>
      </x:c>
      <x:c r="H157" s="192" t="str">
        <x:v>Explore the client’s meaning, adapt the interaction as appropriate, and monitor whether the change improves comfort and alliance.</x:v>
      </x:c>
      <x:c r="I157" s="192" t="str">
        <x:v>Assume that all members of the client’s cultural group share the same communication rule.</x:v>
      </x:c>
      <x:c r="J157" s="192" t="str">
        <x:v>C</x:v>
      </x:c>
      <x:c r="K157" s="192" t="str">
        <x:v>Incorrect. Imposing one communication norm may create an unnecessary barrier.</x:v>
      </x:c>
      <x:c r="L157" s="192" t="str">
        <x:v>Incorrect. Avoidance prevents accurate understanding and collaborative adaptation.</x:v>
      </x:c>
      <x:c r="M157" s="192" t="str">
        <x:v>Correct. Cultural humility combines respectful inquiry, individualized meaning, adaptation, and evaluation.</x:v>
      </x:c>
      <x:c r="N157" s="192" t="str">
        <x:v>Incorrect. Cultural responsiveness avoids stereotyping and checks the meaning with the individual client.</x:v>
      </x:c>
      <x:c r="O157" s="192" t="str">
        <x:v>A. Incorrect. Imposing one communication norm may create an unnecessary barrier.
B. Incorrect. Avoidance prevents accurate understanding and collaborative adaptation.
C. Correct. Cultural humility combines respectful inquiry, individualized meaning, adaptation, and evaluation.
D. Incorrect. Cultural responsiveness avoids stereotyping and checks the meaning with the individual client.</x:v>
      </x:c>
      <x:c r="P157" s="192" t="str">
        <x:v>Choose respectful inquiry and individualized adaptation over either imposition or demographic assumptions.</x:v>
      </x:c>
      <x:c r="Q157" s="194" t="str">
        <x:v>CTA LMFT Workbook 10</x:v>
      </x:c>
    </x:row>
    <x:row r="158">
      <x:c r="A158" s="191" t="str">
        <x:v>CTA-LMFT-MQB-0157</x:v>
      </x:c>
      <x:c r="B158" s="192" t="str">
        <x:v>LMFT-WB10-QB-Q004</x:v>
      </x:c>
      <x:c r="C158" s="192" t="str">
        <x:v>Workbook Question Bank</x:v>
      </x:c>
      <x:c r="D158" s="192" t="str">
        <x:v>Workbook 10</x:v>
      </x:c>
      <x:c r="E158" s="192" t="str">
        <x:v>Which statement about accessibility in psychotherapy is MOST accurate?</x:v>
      </x:c>
      <x:c r="F158" s="192" t="str">
        <x:v>Accessibility is mainly an administrative issue that does not affect treatment outcome.</x:v>
      </x:c>
      <x:c r="G158" s="192" t="str">
        <x:v>Access needs should be addressed only after a client demonstrates motivation.</x:v>
      </x:c>
      <x:c r="H158" s="192" t="str">
        <x:v>Modifying materials or the setting lowers the clinical standard.</x:v>
      </x:c>
      <x:c r="I158" s="192" t="str">
        <x:v>Accessibility is part of effective treatment because it influences understanding, participation, alliance, and follow-through.</x:v>
      </x:c>
      <x:c r="J158" s="192" t="str">
        <x:v>D</x:v>
      </x:c>
      <x:c r="K158" s="192" t="str">
        <x:v>Incorrect. Access barriers can directly interfere with assessment, consent, engagement, and outcome.</x:v>
      </x:c>
      <x:c r="L158" s="192" t="str">
        <x:v>Incorrect. Apparent disengagement may itself reflect an unaddressed barrier.</x:v>
      </x:c>
      <x:c r="M158" s="192" t="str">
        <x:v>Incorrect. Appropriate adaptation preserves the clinical goal while making participation possible.</x:v>
      </x:c>
      <x:c r="N158" s="192" t="str">
        <x:v>Correct. Communication, sensory, mobility, cognitive, technology, and other access conditions are treatment variables.</x:v>
      </x:c>
      <x:c r="O158" s="192" t="str">
        <x:v>A. Incorrect. Access barriers can directly interfere with assessment, consent, engagement, and outcome.
B. Incorrect. Apparent disengagement may itself reflect an unaddressed barrier.
C. Incorrect. Appropriate adaptation preserves the clinical goal while making participation possible.
D. Correct. Communication, sensory, mobility, cognitive, technology, and other access conditions are treatment variables.</x:v>
      </x:c>
      <x:c r="P158" s="192" t="str">
        <x:v>When an option treats access as separate from clinical care, eliminate it. Effective intervention must be usable by the client.</x:v>
      </x:c>
      <x:c r="Q158" s="194" t="str">
        <x:v>CTA LMFT Workbook 10</x:v>
      </x:c>
    </x:row>
    <x:row r="159">
      <x:c r="A159" s="191" t="str">
        <x:v>CTA-LMFT-MQB-0158</x:v>
      </x:c>
      <x:c r="B159" s="192" t="str">
        <x:v>LMFT-WB10-QB-Q005</x:v>
      </x:c>
      <x:c r="C159" s="192" t="str">
        <x:v>Workbook Question Bank</x:v>
      </x:c>
      <x:c r="D159" s="192" t="str">
        <x:v>Workbook 10</x:v>
      </x:c>
      <x:c r="E159" s="192" t="str">
        <x:v>A therapist adds written summaries and shorter tasks for a client who reports difficulty processing lengthy verbal discussions. What should the therapist do NEXT?</x:v>
      </x:c>
      <x:c r="F159" s="192" t="str">
        <x:v>Ask whether the changes improve understanding and participation, monitor progress, and revise them if needed.</x:v>
      </x:c>
      <x:c r="G159" s="192" t="str">
        <x:v>Keep the adaptations for the remainder of treatment because any accommodation is automatically effective.</x:v>
      </x:c>
      <x:c r="H159" s="192" t="str">
        <x:v>Return to the original format once the client attends consistently.</x:v>
      </x:c>
      <x:c r="I159" s="192" t="str">
        <x:v>Measure success only by whether sessions end on time.</x:v>
      </x:c>
      <x:c r="J159" s="192" t="str">
        <x:v>A</x:v>
      </x:c>
      <x:c r="K159" s="192" t="str">
        <x:v>Correct. Contextual adaptations should be evaluated for access, alliance, participation, functioning, and progress.</x:v>
      </x:c>
      <x:c r="L159" s="192" t="str">
        <x:v>Incorrect. A well-intended adaptation may still be ineffective or mismatched.</x:v>
      </x:c>
      <x:c r="M159" s="192" t="str">
        <x:v>Incorrect. Attendance alone does not show that the original communication format is accessible.</x:v>
      </x:c>
      <x:c r="N159" s="192" t="str">
        <x:v>Incorrect. Session timing does not establish comprehension or clinical benefit.</x:v>
      </x:c>
      <x:c r="O159" s="192" t="str">
        <x:v>A. Correct. Contextual adaptations should be evaluated for access, alliance, participation, functioning, and progress.
B. Incorrect. A well-intended adaptation may still be ineffective or mismatched.
C. Incorrect. Attendance alone does not show that the original communication format is accessible.
D. Incorrect. Session timing does not establish comprehension or clinical benefit.</x:v>
      </x:c>
      <x:c r="P159" s="192" t="str">
        <x:v>After an adaptation, look for feedback plus measurable review—not an assumption that the change worked.</x:v>
      </x:c>
      <x:c r="Q159" s="194" t="str">
        <x:v>CTA LMFT Workbook 10</x:v>
      </x:c>
    </x:row>
    <x:row r="160">
      <x:c r="A160" s="191" t="str">
        <x:v>CTA-LMFT-MQB-0159</x:v>
      </x:c>
      <x:c r="B160" s="192" t="str">
        <x:v>LMFT-WB10-QB-Q006</x:v>
      </x:c>
      <x:c r="C160" s="192" t="str">
        <x:v>Workbook Question Bank</x:v>
      </x:c>
      <x:c r="D160" s="192" t="str">
        <x:v>Workbook 10</x:v>
      </x:c>
      <x:c r="E160" s="192" t="str">
        <x:v>A couple begins arguing daily after one partner retires. The retired partner feels unnecessary, while the other feels crowded and criticized. What is the BEST initial intervention focus?</x:v>
      </x:c>
      <x:c r="F160" s="192" t="str">
        <x:v>Teach a generic communication worksheet without discussing retirement.</x:v>
      </x:c>
      <x:c r="G160" s="192" t="str">
        <x:v>Explore the transition’s meaning, changing roles and routines, power, losses, and the interactional cycle.</x:v>
      </x:c>
      <x:c r="H160" s="192" t="str">
        <x:v>Encourage the retired partner to find a hobby before continuing couple therapy.</x:v>
      </x:c>
      <x:c r="I160" s="192" t="str">
        <x:v>Determine which partner has the more accurate view of the conflict.</x:v>
      </x:c>
      <x:c r="J160" s="192" t="str">
        <x:v>B</x:v>
      </x:c>
      <x:c r="K160" s="192" t="str">
        <x:v>Incorrect. Skills may help later, but they should be connected to the transition and the maintaining cycle.</x:v>
      </x:c>
      <x:c r="L160" s="192" t="str">
        <x:v>Correct. Retirement can reorganize identity, time, boundaries, power, and relational expectations.</x:v>
      </x:c>
      <x:c r="M160" s="192" t="str">
        <x:v>Incorrect. A hobby may be useful but does not address the couple’s role reorganization and cycle.</x:v>
      </x:c>
      <x:c r="N160" s="192" t="str">
        <x:v>Incorrect. Systemic treatment does not begin by choosing a winner.</x:v>
      </x:c>
      <x:c r="O160" s="192" t="str">
        <x:v>A. Incorrect. Skills may help later, but they should be connected to the transition and the maintaining cycle.
B. Correct. Retirement can reorganize identity, time, boundaries, power, and relational expectations.
C. Incorrect. A hobby may be useful but does not address the couple’s role reorganization and cycle.
D. Incorrect. Systemic treatment does not begin by choosing a winner.</x:v>
      </x:c>
      <x:c r="P160" s="192" t="str">
        <x:v>For life-cycle transitions, identify what is being reorganized before selecting a technique.</x:v>
      </x:c>
      <x:c r="Q160" s="194" t="str">
        <x:v>CTA LMFT Workbook 10</x:v>
      </x:c>
    </x:row>
    <x:row r="161">
      <x:c r="A161" s="191" t="str">
        <x:v>CTA-LMFT-MQB-0160</x:v>
      </x:c>
      <x:c r="B161" s="192" t="str">
        <x:v>LMFT-WB10-QB-Q007</x:v>
      </x:c>
      <x:c r="C161" s="192" t="str">
        <x:v>Workbook Question Bank</x:v>
      </x:c>
      <x:c r="D161" s="192" t="str">
        <x:v>Workbook 10</x:v>
      </x:c>
      <x:c r="E161" s="192" t="str">
        <x:v>An autistic adult repeatedly cancels appointments scheduled in a crowded clinic after work. The client says the waiting room noise and fluorescent lights are overwhelming. What should the therapist do FIRST?</x:v>
      </x:c>
      <x:c r="F161" s="192" t="str">
        <x:v>Confront the cancellations as resistance.</x:v>
      </x:c>
      <x:c r="G161" s="192" t="str">
        <x:v>Require in-person attendance to build tolerance.</x:v>
      </x:c>
      <x:c r="H161" s="192" t="str">
        <x:v>Assess sensory and scheduling needs and collaboratively modify the setting, timing, or service format.</x:v>
      </x:c>
      <x:c r="I161" s="192" t="str">
        <x:v>Refer the client elsewhere without exploring possible adaptations.</x:v>
      </x:c>
      <x:c r="J161" s="192" t="str">
        <x:v>C</x:v>
      </x:c>
      <x:c r="K161" s="192" t="str">
        <x:v>Incorrect. The client has identified a concrete access barrier rather than unexplained resistance.</x:v>
      </x:c>
      <x:c r="L161" s="192" t="str">
        <x:v>Incorrect. Forced exposure is not justified without assessment, consent, and a relevant treatment rationale.</x:v>
      </x:c>
      <x:c r="M161" s="192" t="str">
        <x:v>Correct. The therapist should address the sensory and scheduling conditions interfering with access and participation.</x:v>
      </x:c>
      <x:c r="N161" s="192" t="str">
        <x:v>Incorrect. Referral may be needed only if reasonable, competent adaptations cannot meet the need.</x:v>
      </x:c>
      <x:c r="O161" s="192" t="str">
        <x:v>A. Incorrect. The client has identified a concrete access barrier rather than unexplained resistance.
B. Incorrect. Forced exposure is not justified without assessment, consent, and a relevant treatment rationale.
C. Correct. The therapist should address the sensory and scheduling conditions interfering with access and participation.
D. Incorrect. Referral may be needed only if reasonable, competent adaptations cannot meet the need.</x:v>
      </x:c>
      <x:c r="P161" s="192" t="str">
        <x:v>Translate observable disengagement into an access question before labeling motivation or resistance.</x:v>
      </x:c>
      <x:c r="Q161" s="194" t="str">
        <x:v>CTA LMFT Workbook 10</x:v>
      </x:c>
    </x:row>
    <x:row r="162">
      <x:c r="A162" s="191" t="str">
        <x:v>CTA-LMFT-MQB-0161</x:v>
      </x:c>
      <x:c r="B162" s="192" t="str">
        <x:v>LMFT-WB10-QB-Q008</x:v>
      </x:c>
      <x:c r="C162" s="192" t="str">
        <x:v>Workbook Question Bank</x:v>
      </x:c>
      <x:c r="D162" s="192" t="str">
        <x:v>Workbook 10</x:v>
      </x:c>
      <x:c r="E162" s="192" t="str">
        <x:v>A client says a faith community is an important source of support but also reports that a religious leader advised remaining in a relationship where violence has occurred. What should the therapist do FIRST?</x:v>
      </x:c>
      <x:c r="F162" s="192" t="str">
        <x:v>Tell the client to leave the faith community immediately.</x:v>
      </x:c>
      <x:c r="G162" s="192" t="str">
        <x:v>Debate the religious teaching so the client accepts the therapist’s view.</x:v>
      </x:c>
      <x:c r="H162" s="192" t="str">
        <x:v>Contact the religious leader without the client’s authorization.</x:v>
      </x:c>
      <x:c r="I162" s="192" t="str">
        <x:v>Assess immediate safety, explore the client’s spiritual meaning and concerns, and support client-centered options within the therapist’s competence.</x:v>
      </x:c>
      <x:c r="J162" s="192" t="str">
        <x:v>D</x:v>
      </x:c>
      <x:c r="K162" s="192" t="str">
        <x:v>Incorrect. The therapist should not take over the client’s spiritual or relational decisions without assessment.</x:v>
      </x:c>
      <x:c r="L162" s="192" t="str">
        <x:v>Incorrect. Argument about belief can damage alliance and does not address immediate safety.</x:v>
      </x:c>
      <x:c r="M162" s="192" t="str">
        <x:v>Incorrect. Unauthorized contact creates confidentiality and role concerns.</x:v>
      </x:c>
      <x:c r="N162" s="192" t="str">
        <x:v>Correct. Safety comes first, while spirituality is explored as both a possible support and stressor through the client’s perspective.</x:v>
      </x:c>
      <x:c r="O162" s="192" t="str">
        <x:v>A. Incorrect. The therapist should not take over the client’s spiritual or relational decisions without assessment.
B. Incorrect. Argument about belief can damage alliance and does not address immediate safety.
C. Incorrect. Unauthorized contact creates confidentiality and role concerns.
D. Correct. Safety comes first, while spirituality is explored as both a possible support and stressor through the client’s perspective.</x:v>
      </x:c>
      <x:c r="P162" s="192" t="str">
        <x:v>When spirituality and danger coexist, prioritize safety while preserving client meaning, autonomy, and appropriate boundaries.</x:v>
      </x:c>
      <x:c r="Q162" s="194" t="str">
        <x:v>CTA LMFT Workbook 10</x:v>
      </x:c>
    </x:row>
    <x:row r="163">
      <x:c r="A163" s="191" t="str">
        <x:v>CTA-LMFT-MQB-0162</x:v>
      </x:c>
      <x:c r="B163" s="192" t="str">
        <x:v>LMFT-WB10-QB-Q009</x:v>
      </x:c>
      <x:c r="C163" s="192" t="str">
        <x:v>Workbook Question Bank</x:v>
      </x:c>
      <x:c r="D163" s="192" t="str">
        <x:v>Workbook 10</x:v>
      </x:c>
      <x:c r="E163" s="192" t="str">
        <x:v>A family living in a crowded shelter cannot complete a homework assignment requiring private evening conversations and reliable internet access. What is the BEST response?</x:v>
      </x:c>
      <x:c r="F163" s="192" t="str">
        <x:v>Revise the task to fit the family’s privacy, time, and technology conditions while addressing practical barriers and the relational goal.</x:v>
      </x:c>
      <x:c r="G163" s="192" t="str">
        <x:v>Interpret noncompletion as avoidance of intimacy.</x:v>
      </x:c>
      <x:c r="H163" s="192" t="str">
        <x:v>Require the original assignment so treatment remains consistent.</x:v>
      </x:c>
      <x:c r="I163" s="192" t="str">
        <x:v>Suspend all psychotherapy until permanent housing is obtained.</x:v>
      </x:c>
      <x:c r="J163" s="192" t="str">
        <x:v>A</x:v>
      </x:c>
      <x:c r="K163" s="192" t="str">
        <x:v>Correct. The therapist should preserve the treatment target while making the task feasible and integrating resource needs.</x:v>
      </x:c>
      <x:c r="L163" s="192" t="str">
        <x:v>Incorrect. The environmental barriers are known and should not be pathologized.</x:v>
      </x:c>
      <x:c r="M163" s="192" t="str">
        <x:v>Incorrect. Consistency does not justify an inaccessible intervention.</x:v>
      </x:c>
      <x:c r="N163" s="192" t="str">
        <x:v>Incorrect. Practical and clinical work can often proceed together.</x:v>
      </x:c>
      <x:c r="O163" s="192" t="str">
        <x:v>A. Correct. The therapist should preserve the treatment target while making the task feasible and integrating resource needs.
B. Incorrect. The environmental barriers are known and should not be pathologized.
C. Incorrect. Consistency does not justify an inaccessible intervention.
D. Incorrect. Practical and clinical work can often proceed together.</x:v>
      </x:c>
      <x:c r="P163" s="192" t="str">
        <x:v>When homework fails, test feasibility before assuming resistance or abandoning the clinical goal.</x:v>
      </x:c>
      <x:c r="Q163" s="194" t="str">
        <x:v>CTA LMFT Workbook 10</x:v>
      </x:c>
    </x:row>
    <x:row r="164">
      <x:c r="A164" s="191" t="str">
        <x:v>CTA-LMFT-MQB-0163</x:v>
      </x:c>
      <x:c r="B164" s="192" t="str">
        <x:v>LMFT-WB10-QB-Q010</x:v>
      </x:c>
      <x:c r="C164" s="192" t="str">
        <x:v>Workbook Question Bank</x:v>
      </x:c>
      <x:c r="D164" s="192" t="str">
        <x:v>Workbook 10</x:v>
      </x:c>
      <x:c r="E164" s="192" t="str">
        <x:v>After a long deployment, a service member expects to resume previous parenting authority immediately. The partner and children have developed different routines and react defensively. What is the BEST initial intervention?</x:v>
      </x:c>
      <x:c r="F164" s="192" t="str">
        <x:v>Restore the predeployment hierarchy to reduce uncertainty.</x:v>
      </x:c>
      <x:c r="G164" s="192" t="str">
        <x:v>Validate each person’s adaptation, assess trauma and safety, and support gradual renegotiation of roles and expectations.</x:v>
      </x:c>
      <x:c r="H164" s="192" t="str">
        <x:v>Focus only on the service member’s symptoms before discussing family patterns.</x:v>
      </x:c>
      <x:c r="I164" s="192" t="str">
        <x:v>Recommend that the family avoid parenting discussions for several months.</x:v>
      </x:c>
      <x:c r="J164" s="192" t="str">
        <x:v>B</x:v>
      </x:c>
      <x:c r="K164" s="192" t="str">
        <x:v>Incorrect. The family system changed during deployment and cannot simply be reset.</x:v>
      </x:c>
      <x:c r="L164" s="192" t="str">
        <x:v>Correct. Reintegration requires recognition of multiple adaptations and collaborative role reorganization.</x:v>
      </x:c>
      <x:c r="M164" s="192" t="str">
        <x:v>Incorrect. Individual symptoms matter, but family interaction and role changes also require assessment.</x:v>
      </x:c>
      <x:c r="N164" s="192" t="str">
        <x:v>Incorrect. Avoidance delays necessary adjustment and may intensify conflict.</x:v>
      </x:c>
      <x:c r="O164" s="192" t="str">
        <x:v>A. Incorrect. The family system changed during deployment and cannot simply be reset.
B. Correct. Reintegration requires recognition of multiple adaptations and collaborative role reorganization.
C. Incorrect. Individual symptoms matter, but family interaction and role changes also require assessment.
D. Incorrect. Avoidance delays necessary adjustment and may intensify conflict.</x:v>
      </x:c>
      <x:c r="P164" s="192" t="str">
        <x:v>Reintegration answers should acknowledge both individual stress and the family system that adapted during separation.</x:v>
      </x:c>
      <x:c r="Q164" s="194" t="str">
        <x:v>CTA LMFT Workbook 10</x:v>
      </x:c>
    </x:row>
    <x:row r="165">
      <x:c r="A165" s="191" t="str">
        <x:v>CTA-LMFT-MQB-0164</x:v>
      </x:c>
      <x:c r="B165" s="192" t="str">
        <x:v>LMFT-WB10-QB-Q011</x:v>
      </x:c>
      <x:c r="C165" s="192" t="str">
        <x:v>Workbook Question Bank</x:v>
      </x:c>
      <x:c r="D165" s="192" t="str">
        <x:v>Workbook 10</x:v>
      </x:c>
      <x:c r="E165" s="192" t="str">
        <x:v>A couple with limited English proficiency brings an adult nephew to interpret a session involving sexual concerns and conflict about immigration status. What should the therapist do?</x:v>
      </x:c>
      <x:c r="F165" s="192" t="str">
        <x:v>Use the nephew because he is an adult and already knows the family.</x:v>
      </x:c>
      <x:c r="G165" s="192" t="str">
        <x:v>Ask the nephew to interpret only the least sensitive portions.</x:v>
      </x:c>
      <x:c r="H165" s="192" t="str">
        <x:v>Explain the risks, arrange qualified language access, and clarify consent, confidentiality, and participant roles before substantive discussion.</x:v>
      </x:c>
      <x:c r="I165" s="192" t="str">
        <x:v>Conduct the session in English and provide written materials afterward.</x:v>
      </x:c>
      <x:c r="J165" s="192" t="str">
        <x:v>C</x:v>
      </x:c>
      <x:c r="K165" s="192" t="str">
        <x:v>Incorrect. Family interpretation can compromise accuracy, privacy, power, and voluntariness.</x:v>
      </x:c>
      <x:c r="L165" s="192" t="str">
        <x:v>Incorrect. The same role and confidentiality concerns remain even if topics are divided.</x:v>
      </x:c>
      <x:c r="M165" s="192" t="str">
        <x:v>Correct. Qualified interpretation protects understanding, consent, and clinical accuracy while maintaining clear roles.</x:v>
      </x:c>
      <x:c r="N165" s="192" t="str">
        <x:v>Incorrect. Written material after the session does not correct real-time communication barriers.</x:v>
      </x:c>
      <x:c r="O165" s="192" t="str">
        <x:v>A. Incorrect. Family interpretation can compromise accuracy, privacy, power, and voluntariness.
B. Incorrect. The same role and confidentiality concerns remain even if topics are divided.
C. Correct. Qualified interpretation protects understanding, consent, and clinical accuracy while maintaining clear roles.
D. Incorrect. Written material after the session does not correct real-time communication barriers.</x:v>
      </x:c>
      <x:c r="P165" s="192" t="str">
        <x:v>For sensitive clinical content, select qualified language access and explicit role clarification rather than informal family interpretation.</x:v>
      </x:c>
      <x:c r="Q165" s="194" t="str">
        <x:v>CTA LMFT Workbook 10</x:v>
      </x:c>
    </x:row>
    <x:row r="166">
      <x:c r="A166" s="191" t="str">
        <x:v>CTA-LMFT-MQB-0165</x:v>
      </x:c>
      <x:c r="B166" s="192" t="str">
        <x:v>LMFT-WB10-QB-Q012</x:v>
      </x:c>
      <x:c r="C166" s="192" t="str">
        <x:v>Workbook Question Bank</x:v>
      </x:c>
      <x:c r="D166" s="192" t="str">
        <x:v>Workbook 10</x:v>
      </x:c>
      <x:c r="E166" s="192" t="str">
        <x:v>A nonbinary adolescent seeks help for anxiety. The parents request family sessions to persuade the adolescent to stop using a chosen name, and the adolescent fears being forced out of the home. What is the BEST initial plan?</x:v>
      </x:c>
      <x:c r="F166" s="192" t="str">
        <x:v>Begin conjoint sessions immediately so both sides receive equal time.</x:v>
      </x:c>
      <x:c r="G166" s="192" t="str">
        <x:v>Refuse all future contact with the parents.</x:v>
      </x:c>
      <x:c r="H166" s="192" t="str">
        <x:v>Focus only on anxiety symptoms and avoid identity or housing concerns.</x:v>
      </x:c>
      <x:c r="I166" s="192" t="str">
        <x:v>Affirm the adolescent’s identity, assess safety and housing risk, clarify the treatment unit and goals, and include family only when clinically appropriate and sufficiently safe.</x:v>
      </x:c>
      <x:c r="J166" s="192" t="str">
        <x:v>D</x:v>
      </x:c>
      <x:c r="K166" s="192" t="str">
        <x:v>Incorrect. Immediate conjoint work may increase danger or reinforce coercion before safety and goals are clarified.</x:v>
      </x:c>
      <x:c r="L166" s="192" t="str">
        <x:v>Incorrect. Family involvement may later be useful if it can be structured safely and aligned with treatment goals.</x:v>
      </x:c>
      <x:c r="M166" s="192" t="str">
        <x:v>Incorrect. Minority stress and possible housing loss are central contextual factors.</x:v>
      </x:c>
      <x:c r="N166" s="192" t="str">
        <x:v>Correct. The plan integrates affirming care, immediate safety, role clarity, and careful decisions about family participation.</x:v>
      </x:c>
      <x:c r="O166" s="192" t="str">
        <x:v>A. Incorrect. Immediate conjoint work may increase danger or reinforce coercion before safety and goals are clarified.
B. Incorrect. Family involvement may later be useful if it can be structured safely and aligned with treatment goals.
C. Incorrect. Minority stress and possible housing loss are central contextual factors.
D. Correct. The plan integrates affirming care, immediate safety, role clarity, and careful decisions about family participation.</x:v>
      </x:c>
      <x:c r="P166" s="192" t="str">
        <x:v>When identity conflict includes possible loss of housing or family rejection, assess safety before choosing the treatment unit.</x:v>
      </x:c>
      <x:c r="Q166" s="194" t="str">
        <x:v>CTA LMFT Workbook 10</x:v>
      </x:c>
    </x:row>
    <x:row r="167">
      <x:c r="A167" s="191" t="str">
        <x:v>CTA-LMFT-MQB-0166</x:v>
      </x:c>
      <x:c r="B167" s="192" t="str">
        <x:v>LMFT-WB10-QB-Q013</x:v>
      </x:c>
      <x:c r="C167" s="192" t="str">
        <x:v>Workbook Question Bank</x:v>
      </x:c>
      <x:c r="D167" s="192" t="str">
        <x:v>Workbook 10</x:v>
      </x:c>
      <x:c r="E167" s="192" t="str">
        <x:v>A 75-year-old client with hearing loss attends with a spouse who answers most questions. The client has also begun missing appointments while caring for an ill sibling. What should the therapist do FIRST?</x:v>
      </x:c>
      <x:c r="F167" s="192" t="str">
        <x:v>Provide effective communication access, create an opportunity for the client’s own participation, and assess caregiving burden, preferences, and safety.</x:v>
      </x:c>
      <x:c r="G167" s="192" t="str">
        <x:v>Accept the spouse’s answers because hearing loss makes direct participation unreliable.</x:v>
      </x:c>
      <x:c r="H167" s="192" t="str">
        <x:v>Assume missed appointments reflect cognitive decline.</x:v>
      </x:c>
      <x:c r="I167" s="192" t="str">
        <x:v>End couple involvement and require individual telehealth sessions.</x:v>
      </x:c>
      <x:c r="J167" s="192" t="str">
        <x:v>A</x:v>
      </x:c>
      <x:c r="K167" s="192" t="str">
        <x:v>Correct. The therapist should protect accessible, meaningful client participation and assess the caregiving context before drawing conclusions.</x:v>
      </x:c>
      <x:c r="L167" s="192" t="str">
        <x:v>Incorrect. Hearing loss does not eliminate the client’s voice or decision-making role.</x:v>
      </x:c>
      <x:c r="M167" s="192" t="str">
        <x:v>Incorrect. Missed appointments may reflect transportation, caregiving, health, or access barriers.</x:v>
      </x:c>
      <x:c r="N167" s="192" t="str">
        <x:v>Incorrect. Telehealth may create additional access problems and should not be imposed without assessment.</x:v>
      </x:c>
      <x:c r="O167" s="192" t="str">
        <x:v>A. Correct. The therapist should protect accessible, meaningful client participation and assess the caregiving context before drawing conclusions.
B. Incorrect. Hearing loss does not eliminate the client’s voice or decision-making role.
C. Incorrect. Missed appointments may reflect transportation, caregiving, health, or access barriers.
D. Incorrect. Telehealth may create additional access problems and should not be imposed without assessment.</x:v>
      </x:c>
      <x:c r="P167" s="192" t="str">
        <x:v>Separate communication access from capacity and make space for the client’s own preferences before relying on another person.</x:v>
      </x:c>
      <x:c r="Q167" s="194" t="str">
        <x:v>CTA LMFT Workbook 10</x:v>
      </x:c>
    </x:row>
    <x:row r="168">
      <x:c r="A168" s="191" t="str">
        <x:v>CTA-LMFT-MQB-0167</x:v>
      </x:c>
      <x:c r="B168" s="192" t="str">
        <x:v>LMFT-WB10-QB-Q014</x:v>
      </x:c>
      <x:c r="C168" s="192" t="str">
        <x:v>Workbook Question Bank</x:v>
      </x:c>
      <x:c r="D168" s="192" t="str">
        <x:v>Workbook 10</x:v>
      </x:c>
      <x:c r="E168" s="192" t="str">
        <x:v>A recently immigrated couple seeks therapy. One partner controls the finances, identification documents, and all English communication; the other appears fearful and gives only brief answers. What should the therapist do FIRST?</x:v>
      </x:c>
      <x:c r="F168" s="192" t="str">
        <x:v>Begin communication training with both partners together.</x:v>
      </x:c>
      <x:c r="G168" s="192" t="str">
        <x:v>Arrange qualified language access, assess safety and coercion privately as appropriate, clarify each person’s goals and roles, and coordinate qualified resources without giving legal advice outside competence.</x:v>
      </x:c>
      <x:c r="H168" s="192" t="str">
        <x:v>Ask the English-speaking partner to summarize the other partner’s concerns.</x:v>
      </x:c>
      <x:c r="I168" s="192" t="str">
        <x:v>Require proof of immigration status before continuing treatment.</x:v>
      </x:c>
      <x:c r="J168" s="192" t="str">
        <x:v>B</x:v>
      </x:c>
      <x:c r="K168" s="192" t="str">
        <x:v>Incorrect. Conjoint skill work may be unsafe before coercion and independent participation are assessed.</x:v>
      </x:c>
      <x:c r="L168" s="192" t="str">
        <x:v>Correct. The response integrates language access, safety, power, client voice, role clarity, and appropriate referral boundaries.</x:v>
      </x:c>
      <x:c r="M168" s="192" t="str">
        <x:v>Incorrect. Reliance on the controlling partner undermines accuracy and voluntariness.</x:v>
      </x:c>
      <x:c r="N168" s="192" t="str">
        <x:v>Incorrect. Immigration documentation is not a prerequisite for clinical assessment and may increase fear.</x:v>
      </x:c>
      <x:c r="O168" s="192" t="str">
        <x:v>A. Incorrect. Conjoint skill work may be unsafe before coercion and independent participation are assessed.
B. Correct. The response integrates language access, safety, power, client voice, role clarity, and appropriate referral boundaries.
C. Incorrect. Reliance on the controlling partner undermines accuracy and voluntariness.
D. Incorrect. Immigration documentation is not a prerequisite for clinical assessment and may increase fear.</x:v>
      </x:c>
      <x:c r="P168" s="192" t="str">
        <x:v>When language barriers and unequal control appear together, create independent access and assess safety before conjoint intervention.</x:v>
      </x:c>
      <x:c r="Q168" s="194" t="str">
        <x:v>CTA LMFT Workbook 10</x:v>
      </x:c>
    </x:row>
    <x:row r="169">
      <x:c r="A169" s="191" t="str">
        <x:v>CTA-LMFT-MQB-0168</x:v>
      </x:c>
      <x:c r="B169" s="192" t="str">
        <x:v>LMFT-WB10-QB-Q015</x:v>
      </x:c>
      <x:c r="C169" s="192" t="str">
        <x:v>Workbook Question Bank</x:v>
      </x:c>
      <x:c r="D169" s="192" t="str">
        <x:v>Workbook 10</x:v>
      </x:c>
      <x:c r="E169" s="192" t="str">
        <x:v>A 14-year-old has stopped attending school after repeated ethnic harassment. The parents describe therapy as disrespectful to family privacy and want the adolescent disciplined. Which plan is BEST?</x:v>
      </x:c>
      <x:c r="F169" s="192" t="str">
        <x:v>Focus on attendance rewards and avoid discussing discrimination.</x:v>
      </x:c>
      <x:c r="G169" s="192" t="str">
        <x:v>Tell the parents their beliefs are the primary cause of the problem.</x:v>
      </x:c>
      <x:c r="H169" s="192" t="str">
        <x:v>Assess safety and the school environment, explore the adolescent’s and parents’ meanings and goals, adapt engagement, and coordinate with the school when authorized.</x:v>
      </x:c>
      <x:c r="I169" s="192" t="str">
        <x:v>Recommend individual therapy only so family and school factors do not complicate treatment.</x:v>
      </x:c>
      <x:c r="J169" s="192" t="str">
        <x:v>C</x:v>
      </x:c>
      <x:c r="K169" s="192" t="str">
        <x:v>Incorrect. Behavioral incentives alone do not address harassment, safety, or cultural and family meaning.</x:v>
      </x:c>
      <x:c r="L169" s="192" t="str">
        <x:v>Incorrect. Blaming the parents is culturally dismissive and weakens collaboration.</x:v>
      </x:c>
      <x:c r="M169" s="192" t="str">
        <x:v>Correct. The plan integrates safety, minority stress, developmental participation, family meaning, and systems coordination.</x:v>
      </x:c>
      <x:c r="N169" s="192" t="str">
        <x:v>Incorrect. Individual work may help but cannot by itself change an unsafe school context or family conflict.</x:v>
      </x:c>
      <x:c r="O169" s="192" t="str">
        <x:v>A. Incorrect. Behavioral incentives alone do not address harassment, safety, or cultural and family meaning.
B. Incorrect. Blaming the parents is culturally dismissive and weakens collaboration.
C. Correct. The plan integrates safety, minority stress, developmental participation, family meaning, and systems coordination.
D. Incorrect. Individual work may help but cannot by itself change an unsafe school context or family conflict.</x:v>
      </x:c>
      <x:c r="P169" s="192" t="str">
        <x:v>For school refusal linked to discrimination, address the environment and relational meanings—not only the child’s behavior.</x:v>
      </x:c>
      <x:c r="Q169" s="194" t="str">
        <x:v>CTA LMFT Workbook 10</x:v>
      </x:c>
    </x:row>
    <x:row r="170">
      <x:c r="A170" s="191" t="str">
        <x:v>CTA-LMFT-MQB-0169</x:v>
      </x:c>
      <x:c r="B170" s="192" t="str">
        <x:v>LMFT-WB10-QB-Q016</x:v>
      </x:c>
      <x:c r="C170" s="192" t="str">
        <x:v>Workbook Question Bank</x:v>
      </x:c>
      <x:c r="D170" s="192" t="str">
        <x:v>Workbook 10</x:v>
      </x:c>
      <x:c r="E170" s="192" t="str">
        <x:v>An adult with ADHD and chronic pain repeatedly forgets a multi-step couple-therapy assignment. The partner calls the client lazy, and arguments escalate. What is the BEST response?</x:v>
      </x:c>
      <x:c r="F170" s="192" t="str">
        <x:v>Increase the assignment’s complexity to test commitment.</x:v>
      </x:c>
      <x:c r="G170" s="192" t="str">
        <x:v>Ask the partner to supervise every task.</x:v>
      </x:c>
      <x:c r="H170" s="192" t="str">
        <x:v>Stop using all between-session practice.</x:v>
      </x:c>
      <x:c r="I170" s="192" t="str">
        <x:v>Assess executive-function and pain barriers, connect them to the couple’s cycle, simplify the task with supports, and set a review point.</x:v>
      </x:c>
      <x:c r="J170" s="192" t="str">
        <x:v>D</x:v>
      </x:c>
      <x:c r="K170" s="192" t="str">
        <x:v>Incorrect. Greater complexity would increase the known barrier.</x:v>
      </x:c>
      <x:c r="L170" s="192" t="str">
        <x:v>Incorrect. Constant supervision may intensify power and resentment rather than support collaboration.</x:v>
      </x:c>
      <x:c r="M170" s="192" t="str">
        <x:v>Incorrect. Practice may remain useful if it is accessible and targeted.</x:v>
      </x:c>
      <x:c r="N170" s="192" t="str">
        <x:v>Correct. The response integrates individual access needs, relational meaning, feasible adaptation, and evaluation.</x:v>
      </x:c>
      <x:c r="O170" s="192" t="str">
        <x:v>A. Incorrect. Greater complexity would increase the known barrier.
B. Incorrect. Constant supervision may intensify power and resentment rather than support collaboration.
C. Incorrect. Practice may remain useful if it is accessible and targeted.
D. Correct. The response integrates individual access needs, relational meaning, feasible adaptation, and evaluation.</x:v>
      </x:c>
      <x:c r="P170" s="192" t="str">
        <x:v>In integrated questions, preserve the clinical target while adapting the method and addressing the relationship cycle around the barrier.</x:v>
      </x:c>
      <x:c r="Q170" s="194" t="str">
        <x:v>CTA LMFT Workbook 10</x:v>
      </x:c>
    </x:row>
    <x:row r="171">
      <x:c r="A171" s="191" t="str">
        <x:v>CTA-LMFT-MQB-0170</x:v>
      </x:c>
      <x:c r="B171" s="192" t="str">
        <x:v>LMFT-WB10-QB-Q017</x:v>
      </x:c>
      <x:c r="C171" s="192" t="str">
        <x:v>Workbook Question Bank</x:v>
      </x:c>
      <x:c r="D171" s="192" t="str">
        <x:v>Workbook 10</x:v>
      </x:c>
      <x:c r="E171" s="192" t="str">
        <x:v>An Indigenous client experiences panic before medical appointments and reports that relatives were harmed by forced removal and institutional care. The client distrusts both health and mental-health systems. What is the BEST initial plan?</x:v>
      </x:c>
      <x:c r="F171" s="192" t="str">
        <x:v>Acknowledge the historical and current context, assess present medical and safety needs, identify client-chosen supports, use paced regulation work, and coordinate care only with informed authorization.</x:v>
      </x:c>
      <x:c r="G171" s="192" t="str">
        <x:v>Challenge the client’s mistrust as an irrational belief before discussing appointments.</x:v>
      </x:c>
      <x:c r="H171" s="192" t="str">
        <x:v>Require detailed trauma disclosure to establish the cause of the panic.</x:v>
      </x:c>
      <x:c r="I171" s="192" t="str">
        <x:v>Refer the client to a cultural organization and end treatment.</x:v>
      </x:c>
      <x:c r="J171" s="192" t="str">
        <x:v>A</x:v>
      </x:c>
      <x:c r="K171" s="192" t="str">
        <x:v>Correct. The plan validates contextual reality, addresses immediate needs, supports agency and culturally meaningful resources, and uses careful coordination.</x:v>
      </x:c>
      <x:c r="L171" s="192" t="str">
        <x:v>Incorrect. Treating contextual mistrust as irrational can repeat institutional invalidation.</x:v>
      </x:c>
      <x:c r="M171" s="192" t="str">
        <x:v>Incorrect. Detailed disclosure is not required before stabilization and may be harmful.</x:v>
      </x:c>
      <x:c r="N171" s="192" t="str">
        <x:v>Incorrect. Cultural support may help, but referral should not become abandonment or replace competent care automatically.</x:v>
      </x:c>
      <x:c r="O171" s="192" t="str">
        <x:v>A. Correct. The plan validates contextual reality, addresses immediate needs, supports agency and culturally meaningful resources, and uses careful coordination.
B. Incorrect. Treating contextual mistrust as irrational can repeat institutional invalidation.
C. Incorrect. Detailed disclosure is not required before stabilization and may be harmful.
D. Incorrect. Cultural support may help, but referral should not become abandonment or replace competent care automatically.</x:v>
      </x:c>
      <x:c r="P171" s="192" t="str">
        <x:v>When historical and institutional harm shape treatment, validate the context and build client-controlled access rather than pathologizing mistrust.</x:v>
      </x:c>
      <x:c r="Q171" s="194" t="str">
        <x:v>CTA LMFT Workbook 10</x:v>
      </x:c>
    </x:row>
    <x:row r="172">
      <x:c r="A172" s="191" t="str">
        <x:v>CTA-LMFT-MQB-0171</x:v>
      </x:c>
      <x:c r="B172" s="192" t="str">
        <x:v>LMFT-WB11-QB-Q001</x:v>
      </x:c>
      <x:c r="C172" s="192" t="str">
        <x:v>Workbook Question Bank</x:v>
      </x:c>
      <x:c r="D172" s="192" t="str">
        <x:v>Workbook 11</x:v>
      </x:c>
      <x:c r="E172" s="192" t="str">
        <x:v>An LMFT is choosing among interventions. What does a clinical theory contribute that a single technique does not?</x:v>
      </x:c>
      <x:c r="F172" s="192" t="str">
        <x:v>A theory explains a maintaining process and guides why, when, and with whom an intervention may fit; a technique is a specific clinical action.</x:v>
      </x:c>
      <x:c r="G172" s="192" t="str">
        <x:v>A theory is any intervention supported by a manual, while a technique is an informal therapist preference.</x:v>
      </x:c>
      <x:c r="H172" s="192" t="str">
        <x:v>A theory identifies the correct diagnosis, while a technique determines whether the diagnosis is valid.</x:v>
      </x:c>
      <x:c r="I172" s="192" t="str">
        <x:v>A theory is used only during assessment, while techniques replace formulation after treatment begins.</x:v>
      </x:c>
      <x:c r="J172" s="192" t="str">
        <x:v>A</x:v>
      </x:c>
      <x:c r="K172" s="192" t="str">
        <x:v>Correct. Theory organizes the therapist's hypothesis about what maintains the problem and why a particular intervention may produce change.</x:v>
      </x:c>
      <x:c r="L172" s="192" t="str">
        <x:v>Incorrect. Manualization does not define theory, and a technique should not be based merely on preference.</x:v>
      </x:c>
      <x:c r="M172" s="192" t="str">
        <x:v>Incorrect. Theory can inform formulation, but diagnosis and theory are not interchangeable functions.</x:v>
      </x:c>
      <x:c r="N172" s="192" t="str">
        <x:v>Incorrect. Formulation remains active throughout treatment and is revised as new evidence appears.</x:v>
      </x:c>
      <x:c r="O172" s="192" t="str">
        <x:v>A. Correct. Theory organizes the therapist's hypothesis about what maintains the problem and why a particular intervention may produce change.
B. Incorrect. Manualization does not define theory, and a technique should not be based merely on preference.
C. Incorrect. Theory can inform formulation, but diagnosis and theory are not interchangeable functions.
D. Incorrect. Formulation remains active throughout treatment and is revised as new evidence appears.</x:v>
      </x:c>
      <x:c r="P172" s="192" t="str">
        <x:v>Separate the explanation of the problem from the action taken. The strongest answer links mechanism, intervention, and evaluation.</x:v>
      </x:c>
      <x:c r="Q172" s="194" t="str">
        <x:v>CTA LMFT Workbook 11</x:v>
      </x:c>
    </x:row>
    <x:row r="173">
      <x:c r="A173" s="191" t="str">
        <x:v>CTA-LMFT-MQB-0172</x:v>
      </x:c>
      <x:c r="B173" s="192" t="str">
        <x:v>LMFT-WB11-QB-Q002</x:v>
      </x:c>
      <x:c r="C173" s="192" t="str">
        <x:v>Workbook Question Bank</x:v>
      </x:c>
      <x:c r="D173" s="192" t="str">
        <x:v>Workbook 11</x:v>
      </x:c>
      <x:c r="E173" s="192" t="str">
        <x:v>What is the PRIMARY purpose of screening before placing a client in a therapy group?</x:v>
      </x:c>
      <x:c r="F173" s="192" t="str">
        <x:v>To determine whether the client has the same diagnosis as every other member.</x:v>
      </x:c>
      <x:c r="G173" s="192" t="str">
        <x:v>To evaluate whether the group purpose, format, readiness demands, safety conditions, and access needs fit the client.</x:v>
      </x:c>
      <x:c r="H173" s="192" t="str">
        <x:v>To guarantee that conflict will not occur during the group.</x:v>
      </x:c>
      <x:c r="I173" s="192" t="str">
        <x:v>To decide whether group treatment is less expensive than individual therapy.</x:v>
      </x:c>
      <x:c r="J173" s="192" t="str">
        <x:v>B</x:v>
      </x:c>
      <x:c r="K173" s="192" t="str">
        <x:v>Incorrect. Shared diagnosis alone does not establish compatible goals, readiness, safety, or group fit.</x:v>
      </x:c>
      <x:c r="L173" s="192" t="str">
        <x:v>Correct. Screening evaluates purpose, readiness, stability, risk, communication, confidentiality expectations, access, and developmental fit.</x:v>
      </x:c>
      <x:c r="M173" s="192" t="str">
        <x:v>Incorrect. Productive disagreement may occur; screening cannot guarantee a conflict-free group.</x:v>
      </x:c>
      <x:c r="N173" s="192" t="str">
        <x:v>Incorrect. Convenience or cost does not replace clinical fit and safety.</x:v>
      </x:c>
      <x:c r="O173" s="192" t="str">
        <x:v>A. Incorrect. Shared diagnosis alone does not establish compatible goals, readiness, safety, or group fit.
B. Correct. Screening evaluates purpose, readiness, stability, risk, communication, confidentiality expectations, access, and developmental fit.
C. Incorrect. Productive disagreement may occur; screening cannot guarantee a conflict-free group.
D. Incorrect. Convenience or cost does not replace clinical fit and safety.</x:v>
      </x:c>
      <x:c r="P173" s="192" t="str">
        <x:v>Choose the answer that evaluates the client-to-group match rather than diagnosis, convenience, or a promise of no conflict.</x:v>
      </x:c>
      <x:c r="Q173" s="194" t="str">
        <x:v>CTA LMFT Workbook 11</x:v>
      </x:c>
    </x:row>
    <x:row r="174">
      <x:c r="A174" s="191" t="str">
        <x:v>CTA-LMFT-MQB-0173</x:v>
      </x:c>
      <x:c r="B174" s="192" t="str">
        <x:v>LMFT-WB11-QB-Q003</x:v>
      </x:c>
      <x:c r="C174" s="192" t="str">
        <x:v>Workbook Question Bank</x:v>
      </x:c>
      <x:c r="D174" s="192" t="str">
        <x:v>Workbook 11</x:v>
      </x:c>
      <x:c r="E174" s="192" t="str">
        <x:v>An LMFT seeks one-time guidance from a specialist about adapting treatment for a client with a communication disability, while the LMFT continues providing and directing the therapy. How should this service be classified?</x:v>
      </x:c>
      <x:c r="F174" s="192" t="str">
        <x:v>Transfer of care</x:v>
      </x:c>
      <x:c r="G174" s="192" t="str">
        <x:v>Higher level of care</x:v>
      </x:c>
      <x:c r="H174" s="192" t="str">
        <x:v>Consultation</x:v>
      </x:c>
      <x:c r="I174" s="192" t="str">
        <x:v>Termination</x:v>
      </x:c>
      <x:c r="J174" s="192" t="str">
        <x:v>C</x:v>
      </x:c>
      <x:c r="K174" s="192" t="str">
        <x:v>Incorrect. Transfer changes who provides the primary service; the LMFT remains the treating clinician.</x:v>
      </x:c>
      <x:c r="L174" s="192" t="str">
        <x:v>Incorrect. No need for a more intensive treatment setting is described.</x:v>
      </x:c>
      <x:c r="M174" s="192" t="str">
        <x:v>Correct. Consultation provides expert input while clinical responsibility remains with the treating LMFT.</x:v>
      </x:c>
      <x:c r="N174" s="192" t="str">
        <x:v>Incorrect. Treatment is continuing rather than ending.</x:v>
      </x:c>
      <x:c r="O174" s="192" t="str">
        <x:v>A. Incorrect. Transfer changes who provides the primary service; the LMFT remains the treating clinician.
B. Incorrect. No need for a more intensive treatment setting is described.
C. Correct. Consultation provides expert input while clinical responsibility remains with the treating LMFT.
D. Incorrect. Treatment is continuing rather than ending.</x:v>
      </x:c>
      <x:c r="P174" s="192" t="str">
        <x:v>Ask whether responsibility for the service changes. If the therapist keeps the case and seeks guidance, the service is consultation.</x:v>
      </x:c>
      <x:c r="Q174" s="194" t="str">
        <x:v>CTA LMFT Workbook 11</x:v>
      </x:c>
    </x:row>
    <x:row r="175">
      <x:c r="A175" s="191" t="str">
        <x:v>CTA-LMFT-MQB-0174</x:v>
      </x:c>
      <x:c r="B175" s="192" t="str">
        <x:v>LMFT-WB11-QB-Q004</x:v>
      </x:c>
      <x:c r="C175" s="192" t="str">
        <x:v>Workbook Question Bank</x:v>
      </x:c>
      <x:c r="D175" s="192" t="str">
        <x:v>Workbook 11</x:v>
      </x:c>
      <x:c r="E175" s="192" t="str">
        <x:v>Which principle should guide an LMFT when collaborating with another professional involved in a client's care?</x:v>
      </x:c>
      <x:c r="F175" s="192" t="str">
        <x:v>Share the entire record so the team can decide what is useful.</x:v>
      </x:c>
      <x:c r="G175" s="192" t="str">
        <x:v>Allow the professional with the highest credential to direct all clinical decisions.</x:v>
      </x:c>
      <x:c r="H175" s="192" t="str">
        <x:v>Delay role clarification until disagreement occurs.</x:v>
      </x:c>
      <x:c r="I175" s="192" t="str">
        <x:v>Verify authorization and purpose, clarify roles, and share only information relevant to the agreed clinical task.</x:v>
      </x:c>
      <x:c r="J175" s="192" t="str">
        <x:v>D</x:v>
      </x:c>
      <x:c r="K175" s="192" t="str">
        <x:v>Incorrect. Collaboration is not blanket permission to disclose the complete record.</x:v>
      </x:c>
      <x:c r="L175" s="192" t="str">
        <x:v>Incorrect. Team members retain role-specific and independent professional responsibilities.</x:v>
      </x:c>
      <x:c r="M175" s="192" t="str">
        <x:v>Incorrect. Roles and responsibility should be clarified before confusion or risk develops.</x:v>
      </x:c>
      <x:c r="N175" s="192" t="str">
        <x:v>Correct. Effective collaboration combines informed participation, role clarity, minimum relevant disclosure, and follow-through.</x:v>
      </x:c>
      <x:c r="O175" s="192" t="str">
        <x:v>A. Incorrect. Collaboration is not blanket permission to disclose the complete record.
B. Incorrect. Team members retain role-specific and independent professional responsibilities.
C. Incorrect. Roles and responsibility should be clarified before confusion or risk develops.
D. Correct. Effective collaboration combines informed participation, role clarity, minimum relevant disclosure, and follow-through.</x:v>
      </x:c>
      <x:c r="P175" s="192" t="str">
        <x:v>Team involvement does not erase consent, confidentiality, scope, or responsibility. Select the answer that addresses all four.</x:v>
      </x:c>
      <x:c r="Q175" s="194" t="str">
        <x:v>CTA LMFT Workbook 11</x:v>
      </x:c>
    </x:row>
    <x:row r="176">
      <x:c r="A176" s="191" t="str">
        <x:v>CTA-LMFT-MQB-0175</x:v>
      </x:c>
      <x:c r="B176" s="192" t="str">
        <x:v>LMFT-WB11-QB-Q005</x:v>
      </x:c>
      <x:c r="C176" s="192" t="str">
        <x:v>Workbook Question Bank</x:v>
      </x:c>
      <x:c r="D176" s="192" t="str">
        <x:v>Workbook 11</x:v>
      </x:c>
      <x:c r="E176" s="192" t="str">
        <x:v>An integrative LMFT is selecting interventions from two theoretical approaches. Which plan BEST demonstrates coherent integration?</x:v>
      </x:c>
      <x:c r="F176" s="192" t="str">
        <x:v>State the primary maintaining process, explain how each intervention targets it, sequence the methods, and monitor the predicted response.</x:v>
      </x:c>
      <x:c r="G176" s="192" t="str">
        <x:v>Use a different technique every session so the client experiences several options.</x:v>
      </x:c>
      <x:c r="H176" s="192" t="str">
        <x:v>Select techniques according to which approach is currently most popular.</x:v>
      </x:c>
      <x:c r="I176" s="192" t="str">
        <x:v>Avoid naming a formulation because integration requires remaining theoretically neutral.</x:v>
      </x:c>
      <x:c r="J176" s="192" t="str">
        <x:v>A</x:v>
      </x:c>
      <x:c r="K176" s="192" t="str">
        <x:v>Correct. Integration is coherent when the formulation explains why the selected methods fit and how their effects will be evaluated.</x:v>
      </x:c>
      <x:c r="L176" s="192" t="str">
        <x:v>Incorrect. Rapid technique changes without a hypothesis make response difficult to interpret.</x:v>
      </x:c>
      <x:c r="M176" s="192" t="str">
        <x:v>Incorrect. Popularity does not establish fit with the client or maintaining mechanism.</x:v>
      </x:c>
      <x:c r="N176" s="192" t="str">
        <x:v>Incorrect. Integration still requires an organized, testable clinical formulation.</x:v>
      </x:c>
      <x:c r="O176" s="192" t="str">
        <x:v>A. Correct. Integration is coherent when the formulation explains why the selected methods fit and how their effects will be evaluated.
B. Incorrect. Rapid technique changes without a hypothesis make response difficult to interpret.
C. Incorrect. Popularity does not establish fit with the client or maintaining mechanism.
D. Incorrect. Integration still requires an organized, testable clinical formulation.</x:v>
      </x:c>
      <x:c r="P176" s="192" t="str">
        <x:v>Integration is not technique shopping. Look for one organizing formulation, a reason for each method, sequencing, and outcome review.</x:v>
      </x:c>
      <x:c r="Q176" s="194" t="str">
        <x:v>CTA LMFT Workbook 11</x:v>
      </x:c>
    </x:row>
    <x:row r="177">
      <x:c r="A177" s="191" t="str">
        <x:v>CTA-LMFT-MQB-0176</x:v>
      </x:c>
      <x:c r="B177" s="192" t="str">
        <x:v>LMFT-WB11-QB-Q006</x:v>
      </x:c>
      <x:c r="C177" s="192" t="str">
        <x:v>Workbook Question Bank</x:v>
      </x:c>
      <x:c r="D177" s="192" t="str">
        <x:v>Workbook 11</x:v>
      </x:c>
      <x:c r="E177" s="192" t="str">
        <x:v>During a family session, a 12-year-old routinely decides whether the parents may discuss finances, and both parents look to the child before making household decisions. What should a structurally oriented LMFT do FIRST?</x:v>
      </x:c>
      <x:c r="F177" s="192" t="str">
        <x:v>Ask each parent to explore childhood memories of money.</x:v>
      </x:c>
      <x:c r="G177" s="192" t="str">
        <x:v>Observe and enact the interaction, then begin strengthening the parental subsystem and generational boundary.</x:v>
      </x:c>
      <x:c r="H177" s="192" t="str">
        <x:v>Assign the child an individual cognitive worksheet about responsibility.</x:v>
      </x:c>
      <x:c r="I177" s="192" t="str">
        <x:v>Avoid addressing hierarchy because the family has accepted the arrangement.</x:v>
      </x:c>
      <x:c r="J177" s="192" t="str">
        <x:v>B</x:v>
      </x:c>
      <x:c r="K177" s="192" t="str">
        <x:v>Incorrect. Historical exploration may be useful later but does not directly test or change the current organization.</x:v>
      </x:c>
      <x:c r="L177" s="192" t="str">
        <x:v>Correct. The pattern suggests cross-generational role confusion; enactment allows the therapist to assess and restructure hierarchy and boundaries.</x:v>
      </x:c>
      <x:c r="M177" s="192" t="str">
        <x:v>Incorrect. The problem is relational organization, not merely the child's individual thoughts.</x:v>
      </x:c>
      <x:c r="N177" s="192" t="str">
        <x:v>Incorrect. A stable pattern can still burden the child and interfere with effective parental functioning.</x:v>
      </x:c>
      <x:c r="O177" s="192" t="str">
        <x:v>A. Incorrect. Historical exploration may be useful later but does not directly test or change the current organization.
B. Correct. The pattern suggests cross-generational role confusion; enactment allows the therapist to assess and restructure hierarchy and boundaries.
C. Incorrect. The problem is relational organization, not merely the child's individual thoughts.
D. Incorrect. A stable pattern can still burden the child and interfere with effective parental functioning.</x:v>
      </x:c>
      <x:c r="P177" s="192" t="str">
        <x:v>Structural clues include hierarchy, boundaries, subsystems, coalitions, and enactments. Choose an intervention that changes organization in the room.</x:v>
      </x:c>
      <x:c r="Q177" s="194" t="str">
        <x:v>CTA LMFT Workbook 11</x:v>
      </x:c>
    </x:row>
    <x:row r="178">
      <x:c r="A178" s="191" t="str">
        <x:v>CTA-LMFT-MQB-0177</x:v>
      </x:c>
      <x:c r="B178" s="192" t="str">
        <x:v>LMFT-WB11-QB-Q007</x:v>
      </x:c>
      <x:c r="C178" s="192" t="str">
        <x:v>Workbook Question Bank</x:v>
      </x:c>
      <x:c r="D178" s="192" t="str">
        <x:v>Workbook 11</x:v>
      </x:c>
      <x:c r="E178" s="192" t="str">
        <x:v>A couple repeatedly asks the LMFT to decide which partner is reasonable, and each partner contacts the therapist separately after arguments. Which response is MOST consistent with Bowen family systems theory?</x:v>
      </x:c>
      <x:c r="F178" s="192" t="str">
        <x:v>Join the calmer partner so the couple has a stable alliance.</x:v>
      </x:c>
      <x:c r="G178" s="192" t="str">
        <x:v>Give the couple a directive that prohibits all disagreement for one week.</x:v>
      </x:c>
      <x:c r="H178" s="192" t="str">
        <x:v>Decline the judge role, identify the triangle, and coach each partner to communicate directly while observing reactivity.</x:v>
      </x:c>
      <x:c r="I178" s="192" t="str">
        <x:v>Ask each partner to identify exceptions to conflict without discussing the therapist's position.</x:v>
      </x:c>
      <x:c r="J178" s="192" t="str">
        <x:v>C</x:v>
      </x:c>
      <x:c r="K178" s="192" t="str">
        <x:v>Incorrect. Aligning with one partner intensifies the triangle and reduces therapist neutrality.</x:v>
      </x:c>
      <x:c r="L178" s="192" t="str">
        <x:v>Incorrect. A directive may be strategic but does not primarily address differentiation and triangulation.</x:v>
      </x:c>
      <x:c r="M178" s="192" t="str">
        <x:v>Correct. Bowen work emphasizes observing emotional process, reducing triangles, and increasing direct, thoughtful communication.</x:v>
      </x:c>
      <x:c r="N178" s="192" t="str">
        <x:v>Incorrect. Exception finding can be useful, but it does not address the active triangle involving the therapist.</x:v>
      </x:c>
      <x:c r="O178" s="192" t="str">
        <x:v>A. Incorrect. Aligning with one partner intensifies the triangle and reduces therapist neutrality.
B. Incorrect. A directive may be strategic but does not primarily address differentiation and triangulation.
C. Correct. Bowen work emphasizes observing emotional process, reducing triangles, and increasing direct, thoughtful communication.
D. Incorrect. Exception finding can be useful, but it does not address the active triangle involving the therapist.</x:v>
      </x:c>
      <x:c r="P178" s="192" t="str">
        <x:v>When the therapist is recruited into a triangle, choose de-triangling and direct communication rather than taking sides.</x:v>
      </x:c>
      <x:c r="Q178" s="194" t="str">
        <x:v>CTA LMFT Workbook 11</x:v>
      </x:c>
    </x:row>
    <x:row r="179">
      <x:c r="A179" s="191" t="str">
        <x:v>CTA-LMFT-MQB-0178</x:v>
      </x:c>
      <x:c r="B179" s="192" t="str">
        <x:v>LMFT-WB11-QB-Q008</x:v>
      </x:c>
      <x:c r="C179" s="192" t="str">
        <x:v>Workbook Question Bank</x:v>
      </x:c>
      <x:c r="D179" s="192" t="str">
        <x:v>Workbook 11</x:v>
      </x:c>
      <x:c r="E179" s="192" t="str">
        <x:v>In couple therapy, one partner criticizes more intensely whenever the other withdraws. Beneath the criticism, the first partner fears abandonment; beneath the withdrawal, the second fears failure and rejection. What intervention BEST fits an attachment-focused formulation?</x:v>
      </x:c>
      <x:c r="F179" s="192" t="str">
        <x:v>Teach a generic communication script without examining the cycle.</x:v>
      </x:c>
      <x:c r="G179" s="192" t="str">
        <x:v>Identify which partner is objectively causing the problem.</x:v>
      </x:c>
      <x:c r="H179" s="192" t="str">
        <x:v>Prescribe a paradoxical increase in criticism for one week.</x:v>
      </x:c>
      <x:c r="I179" s="192" t="str">
        <x:v>Help the partners recognize the pursue-withdraw cycle, access primary fears and needs, and practice more responsive engagement.</x:v>
      </x:c>
      <x:c r="J179" s="192" t="str">
        <x:v>D</x:v>
      </x:c>
      <x:c r="K179" s="192" t="str">
        <x:v>Incorrect. Skills may help, but a generic script does not directly transform the attachment-based cycle.</x:v>
      </x:c>
      <x:c r="L179" s="192" t="str">
        <x:v>Incorrect. The pattern is circular rather than reducible to one guilty partner.</x:v>
      </x:c>
      <x:c r="M179" s="192" t="str">
        <x:v>Incorrect. A paradoxical task is not the best match for the stated attachment fears and needs.</x:v>
      </x:c>
      <x:c r="N179" s="192" t="str">
        <x:v>Correct. Attachment-focused work makes the cycle explicit and supports vulnerable, responsive interaction.</x:v>
      </x:c>
      <x:c r="O179" s="192" t="str">
        <x:v>A. Incorrect. Skills may help, but a generic script does not directly transform the attachment-based cycle.
B. Incorrect. The pattern is circular rather than reducible to one guilty partner.
C. Incorrect. A paradoxical task is not the best match for the stated attachment fears and needs.
D. Correct. Attachment-focused work makes the cycle explicit and supports vulnerable, responsive interaction.</x:v>
      </x:c>
      <x:c r="P179" s="192" t="str">
        <x:v>Use the emotional meaning beneath the visible behavior. Attachment answers usually transform a negative cycle through safer engagement.</x:v>
      </x:c>
      <x:c r="Q179" s="194" t="str">
        <x:v>CTA LMFT Workbook 11</x:v>
      </x:c>
    </x:row>
    <x:row r="180">
      <x:c r="A180" s="191" t="str">
        <x:v>CTA-LMFT-MQB-0179</x:v>
      </x:c>
      <x:c r="B180" s="192" t="str">
        <x:v>LMFT-WB11-QB-Q009</x:v>
      </x:c>
      <x:c r="C180" s="192" t="str">
        <x:v>Workbook Question Bank</x:v>
      </x:c>
      <x:c r="D180" s="192" t="str">
        <x:v>Workbook 11</x:v>
      </x:c>
      <x:c r="E180" s="192" t="str">
        <x:v>Parents respond to an adolescent's repeated requests for reassurance by reviewing every possible danger for hours. The adolescent becomes more anxious and asks for even more reassurance. What is the BEST strategic intervention target?</x:v>
      </x:c>
      <x:c r="F180" s="192" t="str">
        <x:v>The reassurance sequence that unintentionally maintains anxiety and dependence.</x:v>
      </x:c>
      <x:c r="G180" s="192" t="str">
        <x:v>The adolescent's birth order in the extended family.</x:v>
      </x:c>
      <x:c r="H180" s="192" t="str">
        <x:v>The parents' unresolved grief from early childhood.</x:v>
      </x:c>
      <x:c r="I180" s="192" t="str">
        <x:v>The family's need for a long-term insight group before any change is attempted.</x:v>
      </x:c>
      <x:c r="J180" s="192" t="str">
        <x:v>A</x:v>
      </x:c>
      <x:c r="K180" s="192" t="str">
        <x:v>Correct. Strategic reasoning identifies the repeated attempted solution that feeds the problem and targets a focused change in that sequence.</x:v>
      </x:c>
      <x:c r="L180" s="192" t="str">
        <x:v>Incorrect. Birth order is not the active maintaining mechanism described.</x:v>
      </x:c>
      <x:c r="M180" s="192" t="str">
        <x:v>Incorrect. Historical meaning may matter, but the vignette emphasizes a current repetitive sequence.</x:v>
      </x:c>
      <x:c r="N180" s="192" t="str">
        <x:v>Incorrect. A focused change can be tested without delaying treatment for an unrelated service.</x:v>
      </x:c>
      <x:c r="O180" s="192" t="str">
        <x:v>A. Correct. Strategic reasoning identifies the repeated attempted solution that feeds the problem and targets a focused change in that sequence.
B. Incorrect. Birth order is not the active maintaining mechanism described.
C. Incorrect. Historical meaning may matter, but the vignette emphasizes a current repetitive sequence.
D. Incorrect. A focused change can be tested without delaying treatment for an unrelated service.</x:v>
      </x:c>
      <x:c r="P180" s="192" t="str">
        <x:v>Identify what the family keeps doing to solve the problem and ask whether that response is making the cycle stronger.</x:v>
      </x:c>
      <x:c r="Q180" s="194" t="str">
        <x:v>CTA LMFT Workbook 11</x:v>
      </x:c>
    </x:row>
    <x:row r="181">
      <x:c r="A181" s="191" t="str">
        <x:v>CTA-LMFT-MQB-0180</x:v>
      </x:c>
      <x:c r="B181" s="192" t="str">
        <x:v>LMFT-WB11-QB-Q010</x:v>
      </x:c>
      <x:c r="C181" s="192" t="str">
        <x:v>Workbook Question Bank</x:v>
      </x:c>
      <x:c r="D181" s="192" t="str">
        <x:v>Workbook 11</x:v>
      </x:c>
      <x:c r="E181" s="192" t="str">
        <x:v>In the first session of a new therapy group, members answer briefly, look to the facilitator for direction, and appear uncertain about what can be discussed. What should the facilitator do?</x:v>
      </x:c>
      <x:c r="F181" s="192" t="str">
        <x:v>Interpret the silence as resistance and confront the group.</x:v>
      </x:c>
      <x:c r="G181" s="192" t="str">
        <x:v>Clarify purpose, expectations, confidentiality limits, and participation norms while inviting gradual member-to-member engagement.</x:v>
      </x:c>
      <x:c r="H181" s="192" t="str">
        <x:v>Move immediately into intense interpersonal confrontation to accelerate cohesion.</x:v>
      </x:c>
      <x:c r="I181" s="192" t="str">
        <x:v>End the group because uncertainty proves poor screening.</x:v>
      </x:c>
      <x:c r="J181" s="192" t="str">
        <x:v>B</x:v>
      </x:c>
      <x:c r="K181" s="192" t="str">
        <x:v>Incorrect. Early caution is expected and should not automatically be pathologized.</x:v>
      </x:c>
      <x:c r="L181" s="192" t="str">
        <x:v>Correct. Initial-stage work includes orientation, safety, structure, norm development, and support for emerging participation.</x:v>
      </x:c>
      <x:c r="M181" s="192" t="str">
        <x:v>Incorrect. Premature intensity can reduce safety and increase withdrawal.</x:v>
      </x:c>
      <x:c r="N181" s="192" t="str">
        <x:v>Incorrect. Uncertainty in the first session does not by itself indicate failed screening.</x:v>
      </x:c>
      <x:c r="O181" s="192" t="str">
        <x:v>A. Incorrect. Early caution is expected and should not automatically be pathologized.
B. Correct. Initial-stage work includes orientation, safety, structure, norm development, and support for emerging participation.
C. Incorrect. Premature intensity can reduce safety and increase withdrawal.
D. Incorrect. Uncertainty in the first session does not by itself indicate failed screening.</x:v>
      </x:c>
      <x:c r="P181" s="192" t="str">
        <x:v>Match the facilitator task to the group stage. Early groups need structure and safety before deeper process work.</x:v>
      </x:c>
      <x:c r="Q181" s="194" t="str">
        <x:v>CTA LMFT Workbook 11</x:v>
      </x:c>
    </x:row>
    <x:row r="182">
      <x:c r="A182" s="191" t="str">
        <x:v>CTA-LMFT-MQB-0181</x:v>
      </x:c>
      <x:c r="B182" s="192" t="str">
        <x:v>LMFT-WB11-QB-Q011</x:v>
      </x:c>
      <x:c r="C182" s="192" t="str">
        <x:v>Workbook Question Bank</x:v>
      </x:c>
      <x:c r="D182" s="192" t="str">
        <x:v>Workbook 11</x:v>
      </x:c>
      <x:c r="E182" s="192" t="str">
        <x:v>A member speaks through most of the session and repeatedly interrupts quieter members. Several participants stop trying to contribute. What is the BEST facilitator response?</x:v>
      </x:c>
      <x:c r="F182" s="192" t="str">
        <x:v>Publicly shame the member so the group sees that limits are enforced.</x:v>
      </x:c>
      <x:c r="G182" s="192" t="str">
        <x:v>Ignore the behavior because members must solve all process problems without facilitator involvement.</x:v>
      </x:c>
      <x:c r="H182" s="192" t="str">
        <x:v>Interrupt respectfully, name the effect on participation, reinforce the group norm, and invite responses from other members.</x:v>
      </x:c>
      <x:c r="I182" s="192" t="str">
        <x:v>Remove the member immediately without exploring the pattern or assessing safety.</x:v>
      </x:c>
      <x:c r="J182" s="192" t="str">
        <x:v>C</x:v>
      </x:c>
      <x:c r="K182" s="192" t="str">
        <x:v>Incorrect. Humiliation damages safety and may reproduce harmful group dynamics.</x:v>
      </x:c>
      <x:c r="L182" s="192" t="str">
        <x:v>Incorrect. The facilitator remains responsible for protecting access, process, and safety.</x:v>
      </x:c>
      <x:c r="M182" s="192" t="str">
        <x:v>Correct. The response sets a proportionate limit, makes the process visible, and restores member participation.</x:v>
      </x:c>
      <x:c r="N182" s="192" t="str">
        <x:v>Incorrect. Immediate removal is disproportionate unless additional safety or fit concerns require it.</x:v>
      </x:c>
      <x:c r="O182" s="192" t="str">
        <x:v>A. Incorrect. Humiliation damages safety and may reproduce harmful group dynamics.
B. Incorrect. The facilitator remains responsible for protecting access, process, and safety.
C. Correct. The response sets a proportionate limit, makes the process visible, and restores member participation.
D. Incorrect. Immediate removal is disproportionate unless additional safety or fit concerns require it.</x:v>
      </x:c>
      <x:c r="P182" s="192" t="str">
        <x:v>Strong group answers protect participation without humiliating or abandoning a member. Name the process and redirect it.</x:v>
      </x:c>
      <x:c r="Q182" s="194" t="str">
        <x:v>CTA LMFT Workbook 11</x:v>
      </x:c>
    </x:row>
    <x:row r="183">
      <x:c r="A183" s="191" t="str">
        <x:v>CTA-LMFT-MQB-0182</x:v>
      </x:c>
      <x:c r="B183" s="192" t="str">
        <x:v>LMFT-WB11-QB-Q012</x:v>
      </x:c>
      <x:c r="C183" s="192" t="str">
        <x:v>Workbook Question Bank</x:v>
      </x:c>
      <x:c r="D183" s="192" t="str">
        <x:v>Workbook 11</x:v>
      </x:c>
      <x:c r="E183" s="192" t="str">
        <x:v>A client reports new dizziness and confusion after a medication change and asks the LMFT whether to stop taking the medication. What should the LMFT do FIRST?</x:v>
      </x:c>
      <x:c r="F183" s="192" t="str">
        <x:v>Recommend stopping the medication because the symptoms may be side effects.</x:v>
      </x:c>
      <x:c r="G183" s="192" t="str">
        <x:v>Explain that medication concerns are outside psychotherapy and end the discussion.</x:v>
      </x:c>
      <x:c r="H183" s="192" t="str">
        <x:v>Wait until the next scheduled appointment to see whether the symptoms resolve.</x:v>
      </x:c>
      <x:c r="I183" s="192" t="str">
        <x:v>Assess urgency and immediate safety, direct the client to the prescriber or appropriate medical service, coordinate with authorization, and continue relevant psychotherapy.</x:v>
      </x:c>
      <x:c r="J183" s="192" t="str">
        <x:v>D</x:v>
      </x:c>
      <x:c r="K183" s="192" t="str">
        <x:v>Incorrect. Advising medication discontinuation is outside the LMFT's role and may create medical risk.</x:v>
      </x:c>
      <x:c r="L183" s="192" t="str">
        <x:v>Incorrect. Staying within scope does not mean ignoring clinically significant information.</x:v>
      </x:c>
      <x:c r="M183" s="192" t="str">
        <x:v>Incorrect. Confusion and dizziness may require prompt medical evaluation.</x:v>
      </x:c>
      <x:c r="N183" s="192" t="str">
        <x:v>Correct. The therapist addresses safety, connects the client with the appropriate professional, and preserves continuity of care.</x:v>
      </x:c>
      <x:c r="O183" s="192" t="str">
        <x:v>A. Incorrect. Advising medication discontinuation is outside the LMFT's role and may create medical risk.
B. Incorrect. Staying within scope does not mean ignoring clinically significant information.
C. Incorrect. Confusion and dizziness may require prompt medical evaluation.
D. Correct. The therapist addresses safety, connects the client with the appropriate professional, and preserves continuity of care.</x:v>
      </x:c>
      <x:c r="P183" s="192" t="str">
        <x:v>For medication questions, stay within scope but remain clinically active: assess urgency, connect, coordinate, and follow up.</x:v>
      </x:c>
      <x:c r="Q183" s="194" t="str">
        <x:v>CTA LMFT Workbook 11</x:v>
      </x:c>
    </x:row>
    <x:row r="184">
      <x:c r="A184" s="191" t="str">
        <x:v>CTA-LMFT-MQB-0183</x:v>
      </x:c>
      <x:c r="B184" s="192" t="str">
        <x:v>LMFT-WB11-QB-Q013</x:v>
      </x:c>
      <x:c r="C184" s="192" t="str">
        <x:v>Workbook Question Bank</x:v>
      </x:c>
      <x:c r="D184" s="192" t="str">
        <x:v>Workbook 11</x:v>
      </x:c>
      <x:c r="E184" s="192" t="str">
        <x:v>An adolescent's aggression escalates whenever one parent overrules the other in front of the adolescent. The adolescent then allies with the overruling parent, while the other parent withdraws. There has been one recent incident of property destruction. What is the BEST initial treatment plan?</x:v>
      </x:c>
      <x:c r="F184" s="192" t="str">
        <x:v>Assess current safety and violence risk, formulate the cross-generational coalition and weakened parental hierarchy, and use structured enactments to strengthen coordinated parenting.</x:v>
      </x:c>
      <x:c r="G184" s="192" t="str">
        <x:v>Begin unstructured emotional disclosure among all family members before clarifying safety.</x:v>
      </x:c>
      <x:c r="H184" s="192" t="str">
        <x:v>Treat the adolescent individually because family organization is irrelevant once aggression occurs.</x:v>
      </x:c>
      <x:c r="I184" s="192" t="str">
        <x:v>Ask the parents to alternate taking the adolescent's side so neither feels excluded.</x:v>
      </x:c>
      <x:c r="J184" s="192" t="str">
        <x:v>A</x:v>
      </x:c>
      <x:c r="K184" s="192" t="str">
        <x:v>Correct. The plan integrates safety assessment with a structural formulation and an intervention aimed at the maintaining organization.</x:v>
      </x:c>
      <x:c r="L184" s="192" t="str">
        <x:v>Incorrect. Intense disclosure before safety and structure may escalate the family process.</x:v>
      </x:c>
      <x:c r="M184" s="192" t="str">
        <x:v>Incorrect. Individual work may be included, but the vignette directly describes a family-level maintaining sequence.</x:v>
      </x:c>
      <x:c r="N184" s="192" t="str">
        <x:v>Incorrect. Alternating alliances would preserve rather than correct the coalition and hierarchy problem.</x:v>
      </x:c>
      <x:c r="O184" s="192" t="str">
        <x:v>A. Correct. The plan integrates safety assessment with a structural formulation and an intervention aimed at the maintaining organization.
B. Incorrect. Intense disclosure before safety and structure may escalate the family process.
C. Incorrect. Individual work may be included, but the vignette directly describes a family-level maintaining sequence.
D. Incorrect. Alternating alliances would preserve rather than correct the coalition and hierarchy problem.</x:v>
      </x:c>
      <x:c r="P184" s="192" t="str">
        <x:v>Integrated questions require both priority and formulation. Address immediate safety, then target the relational mechanism supported by the vignette.</x:v>
      </x:c>
      <x:c r="Q184" s="194" t="str">
        <x:v>CTA LMFT Workbook 11</x:v>
      </x:c>
    </x:row>
    <x:row r="185">
      <x:c r="A185" s="191" t="str">
        <x:v>CTA-LMFT-MQB-0184</x:v>
      </x:c>
      <x:c r="B185" s="192" t="str">
        <x:v>LMFT-WB11-QB-Q014</x:v>
      </x:c>
      <x:c r="C185" s="192" t="str">
        <x:v>Workbook Question Bank</x:v>
      </x:c>
      <x:c r="D185" s="192" t="str">
        <x:v>Workbook 11</x:v>
      </x:c>
      <x:c r="E185" s="192" t="str">
        <x:v>A client is referred to an outpatient trauma group but is currently intoxicated most evenings, has recent violent outbursts, and cannot agree to basic participation or safety expectations. What should the group therapist do?</x:v>
      </x:c>
      <x:c r="F185" s="192" t="str">
        <x:v>Admit the client because shared trauma history is sufficient for group membership.</x:v>
      </x:c>
      <x:c r="G185" s="192" t="str">
        <x:v>Defer placement, assess immediate risk and level-of-care needs, arrange appropriate stabilization or specialty services, and reconsider group fit when readiness improves.</x:v>
      </x:c>
      <x:c r="H185" s="192" t="str">
        <x:v>Admit the client but require other members to manage disruptive behavior.</x:v>
      </x:c>
      <x:c r="I185" s="192" t="str">
        <x:v>Reject the client permanently without offering continuity or reassessment.</x:v>
      </x:c>
      <x:c r="J185" s="192" t="str">
        <x:v>B</x:v>
      </x:c>
      <x:c r="K185" s="192" t="str">
        <x:v>Incorrect. Shared trauma does not override current instability, risk, or inability to participate safely.</x:v>
      </x:c>
      <x:c r="L185" s="192" t="str">
        <x:v>Correct. The therapist protects the group and client, addresses higher-priority needs, and preserves a path to future reassessment.</x:v>
      </x:c>
      <x:c r="M185" s="192" t="str">
        <x:v>Incorrect. Other members should not be assigned responsibility for managing unsafe behavior.</x:v>
      </x:c>
      <x:c r="N185" s="192" t="str">
        <x:v>Incorrect. Permanent rejection without linkage or reassessment is unnecessarily absolute.</x:v>
      </x:c>
      <x:c r="O185" s="192" t="str">
        <x:v>A. Incorrect. Shared trauma does not override current instability, risk, or inability to participate safely.
B. Correct. The therapist protects the group and client, addresses higher-priority needs, and preserves a path to future reassessment.
C. Incorrect. Other members should not be assigned responsibility for managing unsafe behavior.
D. Incorrect. Permanent rejection without linkage or reassessment is unnecessarily absolute.</x:v>
      </x:c>
      <x:c r="P185" s="192" t="str">
        <x:v>Group fit is dynamic. When stability and safety are insufficient, choose appropriate care now and preserve continuity for later reassessment.</x:v>
      </x:c>
      <x:c r="Q185" s="194" t="str">
        <x:v>CTA LMFT Workbook 11</x:v>
      </x:c>
    </x:row>
    <x:row r="186">
      <x:c r="A186" s="191" t="str">
        <x:v>CTA-LMFT-MQB-0185</x:v>
      </x:c>
      <x:c r="B186" s="192" t="str">
        <x:v>LMFT-WB11-QB-Q015</x:v>
      </x:c>
      <x:c r="C186" s="192" t="str">
        <x:v>Workbook Question Bank</x:v>
      </x:c>
      <x:c r="D186" s="192" t="str">
        <x:v>Workbook 11</x:v>
      </x:c>
      <x:c r="E186" s="192" t="str">
        <x:v>Parents authorize an LMFT to coordinate with a school counselor about a child's panic symptoms. The teacher, counselor, and parents each assume someone else will create the school support plan. What should the LMFT do NEXT?</x:v>
      </x:c>
      <x:c r="F186" s="192" t="str">
        <x:v>Send the entire psychotherapy record so the school can decide what to do.</x:v>
      </x:c>
      <x:c r="G186" s="192" t="str">
        <x:v>Take full control of the school plan because the LMFT is the treating clinician.</x:v>
      </x:c>
      <x:c r="H186" s="192" t="str">
        <x:v>Convene or initiate a focused coordination discussion, clarify the shared target and each person's role, disclose only relevant authorized information, assign follow-up responsibility, and monitor implementation.</x:v>
      </x:c>
      <x:c r="I186" s="192" t="str">
        <x:v>End collaboration because role confusion means the school cannot participate.</x:v>
      </x:c>
      <x:c r="J186" s="192" t="str">
        <x:v>C</x:v>
      </x:c>
      <x:c r="K186" s="192" t="str">
        <x:v>Incorrect. The full record is not necessary for the agreed coordination task.</x:v>
      </x:c>
      <x:c r="L186" s="192" t="str">
        <x:v>Incorrect. The LMFT should not assume authority outside the clinical role or school system.</x:v>
      </x:c>
      <x:c r="M186" s="192" t="str">
        <x:v>Correct. The response uses consent, minimum necessary information, role clarity, assignment, and follow-through.</x:v>
      </x:c>
      <x:c r="N186" s="192" t="str">
        <x:v>Incorrect. Role confusion calls for clarification, not abandonment of a potentially useful collaboration.</x:v>
      </x:c>
      <x:c r="O186" s="192" t="str">
        <x:v>A. Incorrect. The full record is not necessary for the agreed coordination task.
B. Incorrect. The LMFT should not assume authority outside the clinical role or school system.
C. Correct. The response uses consent, minimum necessary information, role clarity, assignment, and follow-through.
D. Incorrect. Role confusion calls for clarification, not abandonment of a potentially useful collaboration.</x:v>
      </x:c>
      <x:c r="P186" s="192" t="str">
        <x:v>When everyone assumes someone else owns the task, choose explicit roles, relevant disclosure, a named next step, and follow-up.</x:v>
      </x:c>
      <x:c r="Q186" s="194" t="str">
        <x:v>CTA LMFT Workbook 11</x:v>
      </x:c>
    </x:row>
    <x:row r="187">
      <x:c r="A187" s="191" t="str">
        <x:v>CTA-LMFT-MQB-0186</x:v>
      </x:c>
      <x:c r="B187" s="192" t="str">
        <x:v>LMFT-WB11-QB-Q016</x:v>
      </x:c>
      <x:c r="C187" s="192" t="str">
        <x:v>Workbook Question Bank</x:v>
      </x:c>
      <x:c r="D187" s="192" t="str">
        <x:v>Workbook 11</x:v>
      </x:c>
      <x:c r="E187" s="192" t="str">
        <x:v>A couple has completed eight sessions of communication-skills training with good attendance but no reduction in conflict. Review shows that one partner becomes critical when attachment fears intensify, and the other withdraws to avoid shame. What is the BEST next step?</x:v>
      </x:c>
      <x:c r="F187" s="192" t="str">
        <x:v>Add several unrelated techniques without changing the formulation.</x:v>
      </x:c>
      <x:c r="G187" s="192" t="str">
        <x:v>Continue the same plan indefinitely because attendance proves the intervention fits.</x:v>
      </x:c>
      <x:c r="H187" s="192" t="str">
        <x:v>Terminate immediately because lack of early improvement proves the couple is untreatable.</x:v>
      </x:c>
      <x:c r="I187" s="192" t="str">
        <x:v>Reevaluate the maintaining cycle, discuss the lack of response, shift to a coherent attachment-informed formulation, and define indicators for whether the revised approach is helping.</x:v>
      </x:c>
      <x:c r="J187" s="192" t="str">
        <x:v>D</x:v>
      </x:c>
      <x:c r="K187" s="192" t="str">
        <x:v>Incorrect. Technique accumulation without a revised hypothesis is not coherent integration.</x:v>
      </x:c>
      <x:c r="L187" s="192" t="str">
        <x:v>Incorrect. Participation does not establish that the selected mechanism or intervention is correct.</x:v>
      </x:c>
      <x:c r="M187" s="192" t="str">
        <x:v>Incorrect. Nonresponse calls for reassessment before concluding that treatment cannot help.</x:v>
      </x:c>
      <x:c r="N187" s="192" t="str">
        <x:v>Correct. The therapist uses outcome data to revise the formulation and test a better-matched intervention.</x:v>
      </x:c>
      <x:c r="O187" s="192" t="str">
        <x:v>A. Incorrect. Technique accumulation without a revised hypothesis is not coherent integration.
B. Incorrect. Participation does not establish that the selected mechanism or intervention is correct.
C. Incorrect. Nonresponse calls for reassessment before concluding that treatment cannot help.
D. Correct. The therapist uses outcome data to revise the formulation and test a better-matched intervention.</x:v>
      </x:c>
      <x:c r="P187" s="192" t="str">
        <x:v>When a reasonable intervention does not produce the predicted change, revise the hypothesis rather than merely intensifying or multiplying techniques.</x:v>
      </x:c>
      <x:c r="Q187" s="194" t="str">
        <x:v>CTA LMFT Workbook 11</x:v>
      </x:c>
    </x:row>
    <x:row r="188">
      <x:c r="A188" s="191" t="str">
        <x:v>CTA-LMFT-MQB-0187</x:v>
      </x:c>
      <x:c r="B188" s="192" t="str">
        <x:v>LMFT-WB11-QB-Q017</x:v>
      </x:c>
      <x:c r="C188" s="192" t="str">
        <x:v>Workbook Question Bank</x:v>
      </x:c>
      <x:c r="D188" s="192" t="str">
        <x:v>Workbook 11</x:v>
      </x:c>
      <x:c r="E188" s="192" t="str">
        <x:v>An LMFT consults about a high-conflict family. The consultant recommends a confrontational intervention, but the LMFT believes it could escalate violence based on recent threats not known to the consultant. What should the LMFT do?</x:v>
      </x:c>
      <x:c r="F188" s="192" t="str">
        <x:v>Retain responsibility, reassess safety, provide the consultant with relevant context when permitted, and choose or modify the intervention according to independent clinical judgment.</x:v>
      </x:c>
      <x:c r="G188" s="192" t="str">
        <x:v>Follow the consultant's recommendation because consultation transfers liability and decision-making authority.</x:v>
      </x:c>
      <x:c r="H188" s="192" t="str">
        <x:v>Avoid documenting the disagreement so the consultant is not implicated.</x:v>
      </x:c>
      <x:c r="I188" s="192" t="str">
        <x:v>End treatment solely because two professionals reached different conclusions.</x:v>
      </x:c>
      <x:c r="J188" s="192" t="str">
        <x:v>A</x:v>
      </x:c>
      <x:c r="K188" s="192" t="str">
        <x:v>Correct. Consultation informs but does not replace the therapist's responsibility to integrate complete case information, safety, and professional judgment.</x:v>
      </x:c>
      <x:c r="L188" s="192" t="str">
        <x:v>Incorrect. Consultation does not transfer responsibility or override safety concerns.</x:v>
      </x:c>
      <x:c r="M188" s="192" t="str">
        <x:v>Incorrect. Relevant clinical reasoning and consultation should be documented accurately.</x:v>
      </x:c>
      <x:c r="N188" s="192" t="str">
        <x:v>Incorrect. Professional disagreement requires analysis and decision-making, not automatic termination.</x:v>
      </x:c>
      <x:c r="O188" s="192" t="str">
        <x:v>A. Correct. Consultation informs but does not replace the therapist's responsibility to integrate complete case information, safety, and professional judgment.
B. Incorrect. Consultation does not transfer responsibility or override safety concerns.
C. Incorrect. Relevant clinical reasoning and consultation should be documented accurately.
D. Incorrect. Professional disagreement requires analysis and decision-making, not automatic termination.</x:v>
      </x:c>
      <x:c r="P188" s="192" t="str">
        <x:v>Consultation supports judgment; it does not replace it. The treating clinician must integrate safety information and remain accountable for the final plan.</x:v>
      </x:c>
      <x:c r="Q188" s="194" t="str">
        <x:v>CTA LMFT Workbook 11</x:v>
      </x:c>
    </x:row>
    <x:row r="189">
      <x:c r="A189" s="191" t="str">
        <x:v>CTA-LMFT-MQB-0188</x:v>
      </x:c>
      <x:c r="B189" s="192" t="str">
        <x:v>LMFT-WB12-QB-Q001</x:v>
      </x:c>
      <x:c r="C189" s="192" t="str">
        <x:v>Workbook Question Bank</x:v>
      </x:c>
      <x:c r="D189" s="192" t="str">
        <x:v>Workbook 12</x:v>
      </x:c>
      <x:c r="E189" s="192" t="str">
        <x:v>When an LMFT faces a professional-practice question, which distinction is MOST important to make before choosing an action?</x:v>
      </x:c>
      <x:c r="F189" s="192" t="str">
        <x:v>Whether the immediate issue is controlled by law or regulation, professional ethics, organizational policy, clinical judgment, or personal preference.</x:v>
      </x:c>
      <x:c r="G189" s="192" t="str">
        <x:v>Whether the client agrees with the therapist's preferred interpretation of the situation.</x:v>
      </x:c>
      <x:c r="H189" s="192" t="str">
        <x:v>Whether another clinician has handled a similar case differently.</x:v>
      </x:c>
      <x:c r="I189" s="192" t="str">
        <x:v>Whether the action would be easiest for the practice to administer.</x:v>
      </x:c>
      <x:c r="J189" s="192" t="str">
        <x:v>A</x:v>
      </x:c>
      <x:c r="K189" s="192" t="str">
        <x:v>Correct. The source workbook emphasizes identifying the controlling authority, client or client system, therapist role, and facts before acting.</x:v>
      </x:c>
      <x:c r="L189" s="192" t="str">
        <x:v>Incorrect. Client participation matters, but agreement does not determine which authority controls a legal or ethical issue.</x:v>
      </x:c>
      <x:c r="M189" s="192" t="str">
        <x:v>Incorrect. Another clinician's practice may inform consultation but does not establish the governing standard.</x:v>
      </x:c>
      <x:c r="N189" s="192" t="str">
        <x:v>Incorrect. Administrative convenience does not override law, ethics, competence, or client welfare.</x:v>
      </x:c>
      <x:c r="O189" s="192" t="str">
        <x:v>A. Correct. The source workbook emphasizes identifying the controlling authority, client or client system, therapist role, and facts before acting.
B. Incorrect. Client participation matters, but agreement does not determine which authority controls a legal or ethical issue.
C. Incorrect. Another clinician's practice may inform consultation but does not establish the governing standard.
D. Incorrect. Administrative convenience does not override law, ethics, competence, or client welfare.</x:v>
      </x:c>
      <x:c r="P189" s="192" t="str">
        <x:v>First identify the source of the duty. Do not treat policy, preference, clinical judgment, ethics, and law as interchangeable.</x:v>
      </x:c>
      <x:c r="Q189" s="194" t="str">
        <x:v>CTA LMFT Workbook 12</x:v>
      </x:c>
    </x:row>
    <x:row r="190">
      <x:c r="A190" s="191" t="str">
        <x:v>CTA-LMFT-MQB-0189</x:v>
      </x:c>
      <x:c r="B190" s="192" t="str">
        <x:v>LMFT-WB12-QB-Q002</x:v>
      </x:c>
      <x:c r="C190" s="192" t="str">
        <x:v>Workbook Question Bank</x:v>
      </x:c>
      <x:c r="D190" s="192" t="str">
        <x:v>Workbook 12</x:v>
      </x:c>
      <x:c r="E190" s="192" t="str">
        <x:v>Which event MOST clearly calls for a renewed informed-consent discussion during ongoing LMFT treatment?</x:v>
      </x:c>
      <x:c r="F190" s="192" t="str">
        <x:v>The therapist uses a different pen to complete a progress note.</x:v>
      </x:c>
      <x:c r="G190" s="192" t="str">
        <x:v>The therapist proposes adding recorded sessions for supervision and explains that the recordings would create new privacy and storage considerations.</x:v>
      </x:c>
      <x:c r="H190" s="192" t="str">
        <x:v>The client arrives five minutes early for an appointment.</x:v>
      </x:c>
      <x:c r="I190" s="192" t="str">
        <x:v>The therapist corrects a typographical error in an office handout without changing its meaning.</x:v>
      </x:c>
      <x:c r="J190" s="192" t="str">
        <x:v>B</x:v>
      </x:c>
      <x:c r="K190" s="192" t="str">
        <x:v>Incorrect. A routine documentation detail does not materially change the treatment arrangement.</x:v>
      </x:c>
      <x:c r="L190" s="192" t="str">
        <x:v>Correct. Recording changes privacy, technology, access, storage, and consent expectations and should be discussed before implementation.</x:v>
      </x:c>
      <x:c r="M190" s="192" t="str">
        <x:v>Incorrect. Arrival time does not alter the nature, risks, or structure of treatment.</x:v>
      </x:c>
      <x:c r="N190" s="192" t="str">
        <x:v>Incorrect. A nonmaterial correction ordinarily does not require a renewed consent process.</x:v>
      </x:c>
      <x:c r="O190" s="192" t="str">
        <x:v>A. Incorrect. A routine documentation detail does not materially change the treatment arrangement.
B. Correct. Recording changes privacy, technology, access, storage, and consent expectations and should be discussed before implementation.
C. Incorrect. Arrival time does not alter the nature, risks, or structure of treatment.
D. Incorrect. A nonmaterial correction ordinarily does not require a renewed consent process.</x:v>
      </x:c>
      <x:c r="P190" s="192" t="str">
        <x:v>Look for a material change in service, role, technology, confidentiality, fees, participants, or risk—not merely any change.</x:v>
      </x:c>
      <x:c r="Q190" s="194" t="str">
        <x:v>CTA LMFT Workbook 12</x:v>
      </x:c>
    </x:row>
    <x:row r="191">
      <x:c r="A191" s="191" t="str">
        <x:v>CTA-LMFT-MQB-0190</x:v>
      </x:c>
      <x:c r="B191" s="192" t="str">
        <x:v>LMFT-WB12-QB-Q003</x:v>
      </x:c>
      <x:c r="C191" s="192" t="str">
        <x:v>Workbook Question Bank</x:v>
      </x:c>
      <x:c r="D191" s="192" t="str">
        <x:v>Workbook 12</x:v>
      </x:c>
      <x:c r="E191" s="192" t="str">
        <x:v>A grandparent attends one family session to provide developmental history but is not included in the treatment plan. Which conclusion is MOST accurate?</x:v>
      </x:c>
      <x:c r="F191" s="192" t="str">
        <x:v>Attendance automatically makes the grandparent a client with authority over the family record.</x:v>
      </x:c>
      <x:c r="G191" s="192" t="str">
        <x:v>The grandparent becomes the sole client because the grandparent supplied collateral information.</x:v>
      </x:c>
      <x:c r="H191" s="192" t="str">
        <x:v>Participation alone does not establish client status; the LMFT should rely on the clarified treatment unit, role, and consent structure.</x:v>
      </x:c>
      <x:c r="I191" s="192" t="str">
        <x:v>The grandparent may authorize disclosure for every family member because the information was clinically useful.</x:v>
      </x:c>
      <x:c r="J191" s="192" t="str">
        <x:v>C</x:v>
      </x:c>
      <x:c r="K191" s="192" t="str">
        <x:v>Incorrect. Participation does not automatically establish client status or control over a relational record.</x:v>
      </x:c>
      <x:c r="L191" s="192" t="str">
        <x:v>Incorrect. Providing collateral information does not replace the identified client or client system.</x:v>
      </x:c>
      <x:c r="M191" s="192" t="str">
        <x:v>Correct. The LMFT should clarify the treatment unit, participant role, confidentiality expectations, and authority rather than infer status from attendance.</x:v>
      </x:c>
      <x:c r="N191" s="192" t="str">
        <x:v>Incorrect. Usefulness of information does not create authorization authority for other clients.</x:v>
      </x:c>
      <x:c r="O191" s="192" t="str">
        <x:v>A. Incorrect. Participation does not automatically establish client status or control over a relational record.
B. Incorrect. Providing collateral information does not replace the identified client or client system.
C. Correct. The LMFT should clarify the treatment unit, participant role, confidentiality expectations, and authority rather than infer status from attendance.
D. Incorrect. Usefulness of information does not create authorization authority for other clients.</x:v>
      </x:c>
      <x:c r="P191" s="192" t="str">
        <x:v>Separate participant, collateral, payer, referral source, and client roles. Attendance alone answers none of those questions.</x:v>
      </x:c>
      <x:c r="Q191" s="194" t="str">
        <x:v>CTA LMFT Workbook 12</x:v>
      </x:c>
    </x:row>
    <x:row r="192">
      <x:c r="A192" s="191" t="str">
        <x:v>CTA-LMFT-MQB-0191</x:v>
      </x:c>
      <x:c r="B192" s="192" t="str">
        <x:v>LMFT-WB12-QB-Q004</x:v>
      </x:c>
      <x:c r="C192" s="192" t="str">
        <x:v>Workbook Question Bank</x:v>
      </x:c>
      <x:c r="D192" s="192" t="str">
        <x:v>Workbook 12</x:v>
      </x:c>
      <x:c r="E192" s="192" t="str">
        <x:v>What is the BEST way for an LMFT to correct a substantive factual error discovered in a finalized clinical note?</x:v>
      </x:c>
      <x:c r="F192" s="192" t="str">
        <x:v>Replace the note silently so the error is no longer visible.</x:v>
      </x:c>
      <x:c r="G192" s="192" t="str">
        <x:v>Backdate a new note to match the date of service.</x:v>
      </x:c>
      <x:c r="H192" s="192" t="str">
        <x:v>Ask the client to rewrite the clinician's documentation.</x:v>
      </x:c>
      <x:c r="I192" s="192" t="str">
        <x:v>Use a transparent dated correction or addendum that identifies the error and preserves the integrity of the original record.</x:v>
      </x:c>
      <x:c r="J192" s="192" t="str">
        <x:v>D</x:v>
      </x:c>
      <x:c r="K192" s="192" t="str">
        <x:v>Incorrect. Silent replacement creates a misleading history and undermines record integrity.</x:v>
      </x:c>
      <x:c r="L192" s="192" t="str">
        <x:v>Incorrect. Backdating misrepresents when the correction was made.</x:v>
      </x:c>
      <x:c r="M192" s="192" t="str">
        <x:v>Incorrect. The clinician remains responsible for the clinician's documentation.</x:v>
      </x:c>
      <x:c r="N192" s="192" t="str">
        <x:v>Correct. A dated, transparent amendment preserves both accuracy and the history of the record.</x:v>
      </x:c>
      <x:c r="O192" s="192" t="str">
        <x:v>A. Incorrect. Silent replacement creates a misleading history and undermines record integrity.
B. Incorrect. Backdating misrepresents when the correction was made.
C. Incorrect. The clinician remains responsible for the clinician's documentation.
D. Correct. A dated, transparent amendment preserves both accuracy and the history of the record.</x:v>
      </x:c>
      <x:c r="P192" s="192" t="str">
        <x:v>Record corrections should improve accuracy without creating a false history. Eliminate silent deletion, replacement, or backdating.</x:v>
      </x:c>
      <x:c r="Q192" s="194" t="str">
        <x:v>CTA LMFT Workbook 12</x:v>
      </x:c>
    </x:row>
    <x:row r="193">
      <x:c r="A193" s="191" t="str">
        <x:v>CTA-LMFT-MQB-0192</x:v>
      </x:c>
      <x:c r="B193" s="192" t="str">
        <x:v>LMFT-WB12-QB-Q005</x:v>
      </x:c>
      <x:c r="C193" s="192" t="str">
        <x:v>Workbook Question Bank</x:v>
      </x:c>
      <x:c r="D193" s="192" t="str">
        <x:v>Workbook 12</x:v>
      </x:c>
      <x:c r="E193" s="192" t="str">
        <x:v>An LMFT seeks consultation about a complex boundary question. Which statement is MOST accurate?</x:v>
      </x:c>
      <x:c r="F193" s="192" t="str">
        <x:v>Consultation can inform the decision, but the treating LMFT retains responsibility for integrating the facts, applicable standards, and client welfare.</x:v>
      </x:c>
      <x:c r="G193" s="192" t="str">
        <x:v>Consultation transfers all responsibility to the consultant.</x:v>
      </x:c>
      <x:c r="H193" s="192" t="str">
        <x:v>The LMFT must follow the consultant's advice even when the consultant lacks material case information.</x:v>
      </x:c>
      <x:c r="I193" s="192" t="str">
        <x:v>Consultation eliminates the need to document the therapist's own reasoning.</x:v>
      </x:c>
      <x:c r="J193" s="192" t="str">
        <x:v>A</x:v>
      </x:c>
      <x:c r="K193" s="192" t="str">
        <x:v>Correct. Consultation supports judgment but does not transfer professional responsibility from the treating therapist.</x:v>
      </x:c>
      <x:c r="L193" s="192" t="str">
        <x:v>Incorrect. The consultant does not automatically assume the treating role or responsibility.</x:v>
      </x:c>
      <x:c r="M193" s="192" t="str">
        <x:v>Incorrect. The LMFT must evaluate the advice in light of complete case facts and applicable duties.</x:v>
      </x:c>
      <x:c r="N193" s="192" t="str">
        <x:v>Incorrect. Relevant consultation and the resulting clinical reasoning should be documented appropriately.</x:v>
      </x:c>
      <x:c r="O193" s="192" t="str">
        <x:v>A. Correct. Consultation supports judgment but does not transfer professional responsibility from the treating therapist.
B. Incorrect. The consultant does not automatically assume the treating role or responsibility.
C. Incorrect. The LMFT must evaluate the advice in light of complete case facts and applicable duties.
D. Incorrect. Relevant consultation and the resulting clinical reasoning should be documented appropriately.</x:v>
      </x:c>
      <x:c r="P193" s="192" t="str">
        <x:v>Consultation informs; it does not replace independent judgment, role clarity, documentation, or responsibility.</x:v>
      </x:c>
      <x:c r="Q193" s="194" t="str">
        <x:v>CTA LMFT Workbook 12</x:v>
      </x:c>
    </x:row>
    <x:row r="194">
      <x:c r="A194" s="191" t="str">
        <x:v>CTA-LMFT-MQB-0193</x:v>
      </x:c>
      <x:c r="B194" s="192" t="str">
        <x:v>LMFT-WB12-QB-Q006</x:v>
      </x:c>
      <x:c r="C194" s="192" t="str">
        <x:v>Workbook Question Bank</x:v>
      </x:c>
      <x:c r="D194" s="192" t="str">
        <x:v>Workbook 12</x:v>
      </x:c>
      <x:c r="E194" s="192" t="str">
        <x:v>At the beginning of a telehealth session, a client reports being temporarily located in another jurisdiction and expresses worsening panic but no current self-harm intent. What should the LMFT do FIRST?</x:v>
      </x:c>
      <x:c r="F194" s="192" t="str">
        <x:v>Continue the full session because the therapeutic relationship began in California.</x:v>
      </x:c>
      <x:c r="G194" s="192" t="str">
        <x:v>Clarify the client's exact location, assess immediate safety, and verify lawful practice and emergency resources before proceeding with routine treatment.</x:v>
      </x:c>
      <x:c r="H194" s="192" t="str">
        <x:v>Ask the client not to mention travel in future sessions.</x:v>
      </x:c>
      <x:c r="I194" s="192" t="str">
        <x:v>End treatment permanently without discussing continuity options.</x:v>
      </x:c>
      <x:c r="J194" s="192" t="str">
        <x:v>B</x:v>
      </x:c>
      <x:c r="K194" s="192" t="str">
        <x:v>Incorrect. The client's current physical location may affect jurisdiction and emergency response capacity.</x:v>
      </x:c>
      <x:c r="L194" s="192" t="str">
        <x:v>Correct. The therapist should identify location, address immediate safety, and verify lawful and practical ability to continue before routine care.</x:v>
      </x:c>
      <x:c r="M194" s="192" t="str">
        <x:v>Incorrect. Omitting material location information does not resolve the issue and undermines documentation.</x:v>
      </x:c>
      <x:c r="N194" s="192" t="str">
        <x:v>Incorrect. Permanent termination is premature; the therapist should analyze the situation and preserve continuity when possible.</x:v>
      </x:c>
      <x:c r="O194" s="192" t="str">
        <x:v>A. Incorrect. The client's current physical location may affect jurisdiction and emergency response capacity.
B. Correct. The therapist should identify location, address immediate safety, and verify lawful and practical ability to continue before routine care.
C. Incorrect. Omitting material location information does not resolve the issue and undermines documentation.
D. Incorrect. Permanent termination is premature; the therapist should analyze the situation and preserve continuity when possible.</x:v>
      </x:c>
      <x:c r="P194" s="192" t="str">
        <x:v>Telehealth questions often turn on current client location, lawful practice, safety, emergency planning, privacy, and continuity.</x:v>
      </x:c>
      <x:c r="Q194" s="194" t="str">
        <x:v>CTA LMFT Workbook 12</x:v>
      </x:c>
    </x:row>
    <x:row r="195">
      <x:c r="A195" s="191" t="str">
        <x:v>CTA-LMFT-MQB-0194</x:v>
      </x:c>
      <x:c r="B195" s="192" t="str">
        <x:v>LMFT-WB12-QB-Q007</x:v>
      </x:c>
      <x:c r="C195" s="192" t="str">
        <x:v>Workbook Question Bank</x:v>
      </x:c>
      <x:c r="D195" s="192" t="str">
        <x:v>Workbook 12</x:v>
      </x:c>
      <x:c r="E195" s="192" t="str">
        <x:v>A client begins sending detailed trauma disclosures through an ordinary messaging platform that the practice uses only for scheduling. What is the BEST response?</x:v>
      </x:c>
      <x:c r="F195" s="192" t="str">
        <x:v>Continue the clinical exchange because the client initiated it.</x:v>
      </x:c>
      <x:c r="G195" s="192" t="str">
        <x:v>Post a public reminder about client boundaries without identifying the client by name.</x:v>
      </x:c>
      <x:c r="H195" s="192" t="str">
        <x:v>Remind the client of the communication policy and privacy limits, redirect clinical content to an appropriate secure setting, assess any urgent risk, and document the response.</x:v>
      </x:c>
      <x:c r="I195" s="192" t="str">
        <x:v>Ignore all messages, including any indication of immediate danger.</x:v>
      </x:c>
      <x:c r="J195" s="192" t="str">
        <x:v>C</x:v>
      </x:c>
      <x:c r="K195" s="192" t="str">
        <x:v>Incorrect. Client initiation does not remove privacy, security, record, and boundary concerns.</x:v>
      </x:c>
      <x:c r="L195" s="192" t="str">
        <x:v>Incorrect. A public response could expose the treatment relationship or invite identification.</x:v>
      </x:c>
      <x:c r="M195" s="192" t="str">
        <x:v>Correct. The therapist should address urgency, explain limits, use an appropriate channel, preserve boundaries, and document.</x:v>
      </x:c>
      <x:c r="N195" s="192" t="str">
        <x:v>Incorrect. The therapist should not ignore possible urgent safety information.</x:v>
      </x:c>
      <x:c r="O195" s="192" t="str">
        <x:v>A. Incorrect. Client initiation does not remove privacy, security, record, and boundary concerns.
B. Incorrect. A public response could expose the treatment relationship or invite identification.
C. Correct. The therapist should address urgency, explain limits, use an appropriate channel, preserve boundaries, and document.
D. Incorrect. The therapist should not ignore possible urgent safety information.</x:v>
      </x:c>
      <x:c r="P195" s="192" t="str">
        <x:v>For electronic communication, combine policy, privacy, urgency assessment, channel selection, boundaries, and documentation.</x:v>
      </x:c>
      <x:c r="Q195" s="194" t="str">
        <x:v>CTA LMFT Workbook 12</x:v>
      </x:c>
    </x:row>
    <x:row r="196">
      <x:c r="A196" s="191" t="str">
        <x:v>CTA-LMFT-MQB-0195</x:v>
      </x:c>
      <x:c r="B196" s="192" t="str">
        <x:v>LMFT-WB12-QB-Q008</x:v>
      </x:c>
      <x:c r="C196" s="192" t="str">
        <x:v>Workbook Question Bank</x:v>
      </x:c>
      <x:c r="D196" s="192" t="str">
        <x:v>Workbook 12</x:v>
      </x:c>
      <x:c r="E196" s="192" t="str">
        <x:v>An LMFT notices becoming unusually angry with one partner in couple therapy because the partner's behavior resembles the therapist's former spouse. The therapist has started interrupting that partner more often. What should the LMFT do NEXT?</x:v>
      </x:c>
      <x:c r="F196" s="192" t="str">
        <x:v>Tell the couple that the partner is triggering the therapist's unresolved personal history.</x:v>
      </x:c>
      <x:c r="G196" s="192" t="str">
        <x:v>Continue unchanged because strong feelings demonstrate clinical intuition.</x:v>
      </x:c>
      <x:c r="H196" s="192" t="str">
        <x:v>Terminate the couple immediately without evaluating whether the reaction can be managed.</x:v>
      </x:c>
      <x:c r="I196" s="192" t="str">
        <x:v>Recognize and contain the reaction, seek consultation or supervision, assess its effect on treatment, and modify or transfer care if objectivity cannot be restored.</x:v>
      </x:c>
      <x:c r="J196" s="192" t="str">
        <x:v>D</x:v>
      </x:c>
      <x:c r="K196" s="192" t="str">
        <x:v>Incorrect. Extensive disclosure may burden the clients and does not first manage the therapist's impaired objectivity.</x:v>
      </x:c>
      <x:c r="L196" s="192" t="str">
        <x:v>Incorrect. The behavior described suggests that personal reactions are affecting fairness and clinical process.</x:v>
      </x:c>
      <x:c r="M196" s="192" t="str">
        <x:v>Incorrect. Immediate termination may be unnecessary if the reaction can be responsibly managed.</x:v>
      </x:c>
      <x:c r="N196" s="192" t="str">
        <x:v>Correct. The therapist should address the reaction early, protect clients, obtain consultation, and adjust care as needed.</x:v>
      </x:c>
      <x:c r="O196" s="192" t="str">
        <x:v>A. Incorrect. Extensive disclosure may burden the clients and does not first manage the therapist's impaired objectivity.
B. Incorrect. The behavior described suggests that personal reactions are affecting fairness and clinical process.
C. Incorrect. Immediate termination may be unnecessary if the reaction can be responsibly managed.
D. Correct. The therapist should address the reaction early, protect clients, obtain consultation, and adjust care as needed.</x:v>
      </x:c>
      <x:c r="P196" s="192" t="str">
        <x:v>When personal reactions alter treatment behavior, choose awareness, containment, consultation, impact assessment, and proportionate corrective action.</x:v>
      </x:c>
      <x:c r="Q196" s="194" t="str">
        <x:v>CTA LMFT Workbook 12</x:v>
      </x:c>
    </x:row>
    <x:row r="197">
      <x:c r="A197" s="191" t="str">
        <x:v>CTA-LMFT-MQB-0196</x:v>
      </x:c>
      <x:c r="B197" s="192" t="str">
        <x:v>LMFT-WB12-QB-Q009</x:v>
      </x:c>
      <x:c r="C197" s="192" t="str">
        <x:v>Workbook Question Bank</x:v>
      </x:c>
      <x:c r="D197" s="192" t="str">
        <x:v>Workbook 12</x:v>
      </x:c>
      <x:c r="E197" s="192" t="str">
        <x:v>A health plan asks an LMFT for “everything in the chart” to review continued authorization. The existing authorization supports limited utilization information. What should the LMFT do?</x:v>
      </x:c>
      <x:c r="F197" s="192" t="str">
        <x:v>Clarify the purpose and valid basis, provide only information supported and relevant to that purpose, and discuss any broader request with the client as appropriate.</x:v>
      </x:c>
      <x:c r="G197" s="192" t="str">
        <x:v>Send the entire record because the payer funds treatment.</x:v>
      </x:c>
      <x:c r="H197" s="192" t="str">
        <x:v>Refuse every form of communication with the payer, including authorized information.</x:v>
      </x:c>
      <x:c r="I197" s="192" t="str">
        <x:v>Provide an undocumented telephone summary because spoken information is not a disclosure.</x:v>
      </x:c>
      <x:c r="J197" s="192" t="str">
        <x:v>A</x:v>
      </x:c>
      <x:c r="K197" s="192" t="str">
        <x:v>Correct. Payment does not create unlimited access; disclosure should follow the valid scope, purpose, and minimum relevant information.</x:v>
      </x:c>
      <x:c r="L197" s="192" t="str">
        <x:v>Incorrect. Funding treatment does not automatically authorize the complete chart.</x:v>
      </x:c>
      <x:c r="M197" s="192" t="str">
        <x:v>Incorrect. Properly authorized and relevant communication may be appropriate.</x:v>
      </x:c>
      <x:c r="N197" s="192" t="str">
        <x:v>Incorrect. Verbal information is still a disclosure and should be supported and documented.</x:v>
      </x:c>
      <x:c r="O197" s="192" t="str">
        <x:v>A. Correct. Payment does not create unlimited access; disclosure should follow the valid scope, purpose, and minimum relevant information.
B. Incorrect. Funding treatment does not automatically authorize the complete chart.
C. Incorrect. Properly authorized and relevant communication may be appropriate.
D. Incorrect. Verbal information is still a disclosure and should be supported and documented.</x:v>
      </x:c>
      <x:c r="P197" s="192" t="str">
        <x:v>Match the information to the exact requester, purpose, authority, scope, and minimum relevant disclosure.</x:v>
      </x:c>
      <x:c r="Q197" s="194" t="str">
        <x:v>CTA LMFT Workbook 12</x:v>
      </x:c>
    </x:row>
    <x:row r="198">
      <x:c r="A198" s="191" t="str">
        <x:v>CTA-LMFT-MQB-0197</x:v>
      </x:c>
      <x:c r="B198" s="192" t="str">
        <x:v>LMFT-WB12-QB-Q010</x:v>
      </x:c>
      <x:c r="C198" s="192" t="str">
        <x:v>Workbook Question Bank</x:v>
      </x:c>
      <x:c r="D198" s="192" t="str">
        <x:v>Workbook 12</x:v>
      </x:c>
      <x:c r="E198" s="192" t="str">
        <x:v>A couple begins conjoint therapy under a written policy explaining how individual contacts will be handled. One partner later emails the LMFT privately with information that would materially affect the couple's treatment. What should the LMFT do FIRST?</x:v>
      </x:c>
      <x:c r="F198" s="192" t="str">
        <x:v>Promise permanent secrecy regardless of the established treatment agreement.</x:v>
      </x:c>
      <x:c r="G198" s="192" t="str">
        <x:v>Review the agreed policy, clarify the sender's expectations and the clinical significance, and determine how to proceed consistently with the treatment structure and informed consent.</x:v>
      </x:c>
      <x:c r="H198" s="192" t="str">
        <x:v>Forward the email immediately to the other partner without analysis.</x:v>
      </x:c>
      <x:c r="I198" s="192" t="str">
        <x:v>Delete the message so it does not become part of the clinical situation.</x:v>
      </x:c>
      <x:c r="J198" s="192" t="str">
        <x:v>B</x:v>
      </x:c>
      <x:c r="K198" s="192" t="str">
        <x:v>Incorrect. A new promise may conflict with the established treatment structure and informed consent.</x:v>
      </x:c>
      <x:c r="L198" s="192" t="str">
        <x:v>Correct. The therapist should use the previously clarified policy, assess significance, and address expectations before acting.</x:v>
      </x:c>
      <x:c r="M198" s="192" t="str">
        <x:v>Incorrect. Automatic forwarding may violate expectations, safety, or the agreed process.</x:v>
      </x:c>
      <x:c r="N198" s="192" t="str">
        <x:v>Incorrect. Deleting clinically relevant information does not resolve the issue and may undermine record integrity.</x:v>
      </x:c>
      <x:c r="O198" s="192" t="str">
        <x:v>A. Incorrect. A new promise may conflict with the established treatment structure and informed consent.
B. Correct. The therapist should use the previously clarified policy, assess significance, and address expectations before acting.
C. Incorrect. Automatic forwarding may violate expectations, safety, or the agreed process.
D. Incorrect. Deleting clinically relevant information does not resolve the issue and may undermine record integrity.</x:v>
      </x:c>
      <x:c r="P198" s="192" t="str">
        <x:v>In relational treatment, return to the clarified treatment unit, individual-contact policy, confidentiality structure, safety, and informed consent.</x:v>
      </x:c>
      <x:c r="Q198" s="194" t="str">
        <x:v>CTA LMFT Workbook 12</x:v>
      </x:c>
    </x:row>
    <x:row r="199">
      <x:c r="A199" s="191" t="str">
        <x:v>CTA-LMFT-MQB-0198</x:v>
      </x:c>
      <x:c r="B199" s="192" t="str">
        <x:v>LMFT-WB12-QB-Q011</x:v>
      </x:c>
      <x:c r="C199" s="192" t="str">
        <x:v>Workbook Question Bank</x:v>
      </x:c>
      <x:c r="D199" s="192" t="str">
        <x:v>Workbook 12</x:v>
      </x:c>
      <x:c r="E199" s="192" t="str">
        <x:v>A client has an overdue balance and is in the middle of treatment for significant functional impairment, but no immediate crisis is present. What should the LMFT do?</x:v>
      </x:c>
      <x:c r="F199" s="192" t="str">
        <x:v>Stop responding immediately and cancel all appointments without notice.</x:v>
      </x:c>
      <x:c r="G199" s="192" t="str">
        <x:v>Continue indefinitely without discussing fees or options.</x:v>
      </x:c>
      <x:c r="H199" s="192" t="str">
        <x:v>Address the financial agreement transparently, assess clinical risk and dependence, provide reasonable notice and options, and arrange referrals or transition support if services must end.</x:v>
      </x:c>
      <x:c r="I199" s="192" t="str">
        <x:v>Contact the client's employer to obtain payment information.</x:v>
      </x:c>
      <x:c r="J199" s="192" t="str">
        <x:v>C</x:v>
      </x:c>
      <x:c r="K199" s="192" t="str">
        <x:v>Incorrect. Abrupt cessation may create abandonment and continuity concerns.</x:v>
      </x:c>
      <x:c r="L199" s="192" t="str">
        <x:v>Incorrect. Avoiding the issue does not create a sustainable or transparent treatment arrangement.</x:v>
      </x:c>
      <x:c r="M199" s="192" t="str">
        <x:v>Correct. The therapist should integrate the fee agreement with client welfare, risk, notice, referrals, transition, and documentation.</x:v>
      </x:c>
      <x:c r="N199" s="192" t="str">
        <x:v>Incorrect. Employer contact would generally be an unauthorized disclosure and does not solve the clinical issue.</x:v>
      </x:c>
      <x:c r="O199" s="192" t="str">
        <x:v>A. Incorrect. Abrupt cessation may create abandonment and continuity concerns.
B. Incorrect. Avoiding the issue does not create a sustainable or transparent treatment arrangement.
C. Correct. The therapist should integrate the fee agreement with client welfare, risk, notice, referrals, transition, and documentation.
D. Incorrect. Employer contact would generally be an unauthorized disclosure and does not solve the clinical issue.</x:v>
      </x:c>
      <x:c r="P199" s="192" t="str">
        <x:v>Nonpayment does not erase continuity duties. Choose a response that addresses both the financial boundary and safe transition.</x:v>
      </x:c>
      <x:c r="Q199" s="194" t="str">
        <x:v>CTA LMFT Workbook 12</x:v>
      </x:c>
    </x:row>
    <x:row r="200">
      <x:c r="A200" s="191" t="str">
        <x:v>CTA-LMFT-MQB-0199</x:v>
      </x:c>
      <x:c r="B200" s="192" t="str">
        <x:v>LMFT-WB12-QB-Q012</x:v>
      </x:c>
      <x:c r="C200" s="192" t="str">
        <x:v>Workbook Question Bank</x:v>
      </x:c>
      <x:c r="D200" s="192" t="str">
        <x:v>Workbook 12</x:v>
      </x:c>
      <x:c r="E200" s="192" t="str">
        <x:v>An LMFT receives a legal document requesting records from family therapy, and the therapist is uncertain whether it is a subpoena, court order, or informal attorney request. What should the therapist do FIRST?</x:v>
      </x:c>
      <x:c r="F200" s="192" t="str">
        <x:v>Ignore the document because legal requests never require a response.</x:v>
      </x:c>
      <x:c r="G200" s="192" t="str">
        <x:v>Send the entire family record to avoid appearing uncooperative.</x:v>
      </x:c>
      <x:c r="H200" s="192" t="str">
        <x:v>Ask one family member to authorize release for every participant.</x:v>
      </x:c>
      <x:c r="I200" s="192" t="str">
        <x:v>Clarify the nature and validity of the demand, identify the client system and privilege issues, review notice and authorization, and obtain appropriate consultation before disclosure.</x:v>
      </x:c>
      <x:c r="J200" s="192" t="str">
        <x:v>D</x:v>
      </x:c>
      <x:c r="K200" s="192" t="str">
        <x:v>Incorrect. The document should be analyzed and addressed through the proper process rather than ignored.</x:v>
      </x:c>
      <x:c r="L200" s="192" t="str">
        <x:v>Incorrect. A request does not automatically establish lawful authority for complete disclosure.</x:v>
      </x:c>
      <x:c r="M200" s="192" t="str">
        <x:v>Incorrect. One participant may not control authorization or privilege for the entire relational record.</x:v>
      </x:c>
      <x:c r="N200" s="192" t="str">
        <x:v>Correct. The therapist must identify the legal process, client or client system, privilege, authorization, notice, and scope before releasing information.</x:v>
      </x:c>
      <x:c r="O200" s="192" t="str">
        <x:v>A. Incorrect. The document should be analyzed and addressed through the proper process rather than ignored.
B. Incorrect. A request does not automatically establish lawful authority for complete disclosure.
C. Incorrect. One participant may not control authorization or privilege for the entire relational record.
D. Correct. The therapist must identify the legal process, client or client system, privilege, authorization, notice, and scope before releasing information.</x:v>
      </x:c>
      <x:c r="P200" s="192" t="str">
        <x:v>Do not collapse every legal paper into permission to disclose. Clarify document, client system, privilege, authorization, notice, scope, and consultation.</x:v>
      </x:c>
      <x:c r="Q200" s="194" t="str">
        <x:v>CTA LMFT Workbook 12</x:v>
      </x:c>
    </x:row>
    <x:row r="201">
      <x:c r="A201" s="191" t="str">
        <x:v>CTA-LMFT-MQB-0200</x:v>
      </x:c>
      <x:c r="B201" s="192" t="str">
        <x:v>LMFT-WB12-QB-Q013</x:v>
      </x:c>
      <x:c r="C201" s="192" t="str">
        <x:v>Workbook Question Bank</x:v>
      </x:c>
      <x:c r="D201" s="192" t="str">
        <x:v>Workbook 12</x:v>
      </x:c>
      <x:c r="E201" s="192" t="str">
        <x:v>A couple separates during conjoint treatment. One partner asks the LMFT to remove all statements made by the other partner and create an individual record that can be released to a new therapist. What is the BEST response?</x:v>
      </x:c>
      <x:c r="F201" s="192" t="str">
        <x:v>Review the original treatment unit and record structure, explain that intertwined clinical documentation cannot simply be rewritten as one person's individual record, analyze authorization and access, and consider an appropriate summary or transfer process.</x:v>
      </x:c>
      <x:c r="G201" s="192" t="str">
        <x:v>Delete every reference to the other partner and backdate the revised record.</x:v>
      </x:c>
      <x:c r="H201" s="192" t="str">
        <x:v>Release the complete record to the requester because separation ends the other partner's interests.</x:v>
      </x:c>
      <x:c r="I201" s="192" t="str">
        <x:v>Refuse all future records coordination even if a lawful and clinically appropriate process is available.</x:v>
      </x:c>
      <x:c r="J201" s="192" t="str">
        <x:v>A</x:v>
      </x:c>
      <x:c r="K201" s="192" t="str">
        <x:v>Correct. The LMFT should preserve record integrity while analyzing client status, joint documentation, authorization, access, and clinically appropriate transfer options.</x:v>
      </x:c>
      <x:c r="L201" s="192" t="str">
        <x:v>Incorrect. Deletion and backdating would create a false record history.</x:v>
      </x:c>
      <x:c r="M201" s="192" t="str">
        <x:v>Incorrect. Separation does not automatically give one participant unilateral control over an intertwined relational record.</x:v>
      </x:c>
      <x:c r="N201" s="192" t="str">
        <x:v>Incorrect. Appropriate coordination may be possible after the legal and clinical framework is clarified.</x:v>
      </x:c>
      <x:c r="O201" s="192" t="str">
        <x:v>A. Correct. The LMFT should preserve record integrity while analyzing client status, joint documentation, authorization, access, and clinically appropriate transfer options.
B. Incorrect. Deletion and backdating would create a false record history.
C. Incorrect. Separation does not automatically give one participant unilateral control over an intertwined relational record.
D. Incorrect. Appropriate coordination may be possible after the legal and clinical framework is clarified.</x:v>
      </x:c>
      <x:c r="P201" s="192" t="str">
        <x:v>Complex relational-record questions require client-system analysis, record integrity, authorization, access, and continuity—not reconstruction of history.</x:v>
      </x:c>
      <x:c r="Q201" s="194" t="str">
        <x:v>CTA LMFT Workbook 12</x:v>
      </x:c>
    </x:row>
    <x:row r="202">
      <x:c r="A202" s="191" t="str">
        <x:v>CTA-LMFT-MQB-0201</x:v>
      </x:c>
      <x:c r="B202" s="192" t="str">
        <x:v>LMFT-WB12-QB-Q014</x:v>
      </x:c>
      <x:c r="C202" s="192" t="str">
        <x:v>Workbook Question Bank</x:v>
      </x:c>
      <x:c r="D202" s="192" t="str">
        <x:v>Workbook 12</x:v>
      </x:c>
      <x:c r="E202" s="192" t="str">
        <x:v>A practice plans to use an automated service that creates session transcripts and draft notes. The vendor may store data outside the practice system. What should the LMFT do BEFORE using it with clients?</x:v>
      </x:c>
      <x:c r="F202" s="192" t="str">
        <x:v>Begin using it silently because the output will be reviewed by a clinician.</x:v>
      </x:c>
      <x:c r="G202" s="192" t="str">
        <x:v>Evaluate privacy, security, data use and retention, accuracy, vendor terms, legal and policy requirements, alternatives, informed consent, and the therapist's continuing responsibility for the record.</x:v>
      </x:c>
      <x:c r="H202" s="192" t="str">
        <x:v>Ask clients to waive every privacy right as a condition of treatment.</x:v>
      </x:c>
      <x:c r="I202" s="192" t="str">
        <x:v>Treat the automated draft as the final clinical record without review.</x:v>
      </x:c>
      <x:c r="J202" s="192" t="str">
        <x:v>B</x:v>
      </x:c>
      <x:c r="K202" s="192" t="str">
        <x:v>Incorrect. Clinician review does not eliminate consent, privacy, security, storage, and vendor concerns.</x:v>
      </x:c>
      <x:c r="L202" s="192" t="str">
        <x:v>Correct. The therapist should evaluate the technology comprehensively, support informed participation, and remain responsible for accuracy and clinical judgment.</x:v>
      </x:c>
      <x:c r="M202" s="192" t="str">
        <x:v>Incorrect. Blanket waivers do not substitute for lawful, ethical, and voluntary consent.</x:v>
      </x:c>
      <x:c r="N202" s="192" t="str">
        <x:v>Incorrect. Automated output may be incomplete or inaccurate and does not replace clinician review and responsibility.</x:v>
      </x:c>
      <x:c r="O202" s="192" t="str">
        <x:v>A. Incorrect. Clinician review does not eliminate consent, privacy, security, storage, and vendor concerns.
B. Correct. The therapist should evaluate the technology comprehensively, support informed participation, and remain responsible for accuracy and clinical judgment.
C. Incorrect. Blanket waivers do not substitute for lawful, ethical, and voluntary consent.
D. Incorrect. Automated output may be incomplete or inaccurate and does not replace clinician review and responsibility.</x:v>
      </x:c>
      <x:c r="P202" s="192" t="str">
        <x:v>Technology questions require more than convenience. Examine privacy, security, vendor practices, consent, alternatives, accuracy, and retained professional responsibility.</x:v>
      </x:c>
      <x:c r="Q202" s="194" t="str">
        <x:v>CTA LMFT Workbook 12</x:v>
      </x:c>
    </x:row>
    <x:row r="203">
      <x:c r="A203" s="191" t="str">
        <x:v>CTA-LMFT-MQB-0202</x:v>
      </x:c>
      <x:c r="B203" s="192" t="str">
        <x:v>LMFT-WB12-QB-Q015</x:v>
      </x:c>
      <x:c r="C203" s="192" t="str">
        <x:v>Workbook Question Bank</x:v>
      </x:c>
      <x:c r="D203" s="192" t="str">
        <x:v>Workbook 12</x:v>
      </x:c>
      <x:c r="E203" s="192" t="str">
        <x:v>An LMFT experiences an acute medical condition that significantly reduces concentration. One client has recent suicidal behavior, and another is scheduled for routine follow-up. What is the BEST immediate plan?</x:v>
      </x:c>
      <x:c r="F203" s="192" t="str">
        <x:v>Continue both sessions to avoid disappointing the clients.</x:v>
      </x:c>
      <x:c r="G203" s="192" t="str">
        <x:v>Cancel both sessions without arranging any coverage or emergency information.</x:v>
      </x:c>
      <x:c r="H203" s="192" t="str">
        <x:v>Assess the therapist's current ability to practice safely, prioritize the high-risk client's continuity and emergency coverage, modify or stop unsafe duties, arrange appropriate communication and referrals, and document the transition.</x:v>
      </x:c>
      <x:c r="I203" s="192" t="str">
        <x:v>Ask the high-risk client to decide whether the therapist is competent enough to proceed.</x:v>
      </x:c>
      <x:c r="J203" s="192" t="str">
        <x:v>C</x:v>
      </x:c>
      <x:c r="K203" s="192" t="str">
        <x:v>Incorrect. Continuing despite significant impairment may expose clients to harm.</x:v>
      </x:c>
      <x:c r="L203" s="192" t="str">
        <x:v>Incorrect. Abrupt cancellation without continuity planning is especially concerning for a high-risk client.</x:v>
      </x:c>
      <x:c r="M203" s="192" t="str">
        <x:v>Correct. The therapist should protect current clients through risk-based triage, consultation, coverage, workload change, referral, communication, and documentation.</x:v>
      </x:c>
      <x:c r="N203" s="192" t="str">
        <x:v>Incorrect. Clients should not be placed in the role of judging or managing the therapist's impairment.</x:v>
      </x:c>
      <x:c r="O203" s="192" t="str">
        <x:v>A. Incorrect. Continuing despite significant impairment may expose clients to harm.
B. Incorrect. Abrupt cancellation without continuity planning is especially concerning for a high-risk client.
C. Correct. The therapist should protect current clients through risk-based triage, consultation, coverage, workload change, referral, communication, and documentation.
D. Incorrect. Clients should not be placed in the role of judging or managing the therapist's impairment.</x:v>
      </x:c>
      <x:c r="P203" s="192" t="str">
        <x:v>Integrated impairment questions prioritize actual functioning, client risk, proportionate workload change, coverage, continuity, and documentation.</x:v>
      </x:c>
      <x:c r="Q203" s="194" t="str">
        <x:v>CTA LMFT Workbook 12</x:v>
      </x:c>
    </x:row>
    <x:row r="204">
      <x:c r="A204" s="191" t="str">
        <x:v>CTA-LMFT-MQB-0203</x:v>
      </x:c>
      <x:c r="B204" s="192" t="str">
        <x:v>LMFT-WB12-QB-Q016</x:v>
      </x:c>
      <x:c r="C204" s="192" t="str">
        <x:v>Workbook Question Bank</x:v>
      </x:c>
      <x:c r="D204" s="192" t="str">
        <x:v>Workbook 12</x:v>
      </x:c>
      <x:c r="E204" s="192" t="str">
        <x:v>An LMFT treating a family is asked by one parent's attorney to provide a definitive custody recommendation based on the therapy sessions. The original consent described treatment, not forensic evaluation. What should the LMFT do?</x:v>
      </x:c>
      <x:c r="F204" s="192" t="str">
        <x:v>Provide the recommendation because the therapist knows the family well.</x:v>
      </x:c>
      <x:c r="G204" s="192" t="str">
        <x:v>Send the entire family record directly to the attorney without a valid basis.</x:v>
      </x:c>
      <x:c r="H204" s="192" t="str">
        <x:v>Ask the requesting parent to write the conclusion for the LMFT to sign.</x:v>
      </x:c>
      <x:c r="I204" s="192" t="str">
        <x:v>Clarify the therapeutic role and limits, avoid converting treatment into an unsupported forensic evaluation, analyze any authorized factual communication, and discuss an independent evaluator when appropriate.</x:v>
      </x:c>
      <x:c r="J204" s="192" t="str">
        <x:v>D</x:v>
      </x:c>
      <x:c r="K204" s="192" t="str">
        <x:v>Incorrect. Familiarity from treatment does not create forensic role, methods, neutrality, or competence.</x:v>
      </x:c>
      <x:c r="L204" s="192" t="str">
        <x:v>Incorrect. Record disclosure requires a valid legal basis and careful relational-record analysis.</x:v>
      </x:c>
      <x:c r="M204" s="192" t="str">
        <x:v>Incorrect. Signing a party's desired conclusion abandons independent professional judgment.</x:v>
      </x:c>
      <x:c r="N204" s="192" t="str">
        <x:v>Correct. The therapist should preserve role clarity, avoid conflicting functions, and use appropriate authorization and independent evaluation options.</x:v>
      </x:c>
      <x:c r="O204" s="192" t="str">
        <x:v>A. Incorrect. Familiarity from treatment does not create forensic role, methods, neutrality, or competence.
B. Incorrect. Record disclosure requires a valid legal basis and careful relational-record analysis.
C. Incorrect. Signing a party's desired conclusion abandons independent professional judgment.
D. Correct. The therapist should preserve role clarity, avoid conflicting functions, and use appropriate authorization and independent evaluation options.</x:v>
      </x:c>
      <x:c r="P204" s="192" t="str">
        <x:v>Differentiate treatment from evaluation. A third party's request does not expand the therapist's role, competence, authority, or disclosure rights.</x:v>
      </x:c>
      <x:c r="Q204" s="194" t="str">
        <x:v>CTA LMFT Workbook 12</x:v>
      </x:c>
    </x:row>
    <x:row r="205">
      <x:c r="A205" s="191" t="str">
        <x:v>CTA-LMFT-MQB-0204</x:v>
      </x:c>
      <x:c r="B205" s="192" t="str">
        <x:v>LMFT-WB12-QB-Q017</x:v>
      </x:c>
      <x:c r="C205" s="192" t="str">
        <x:v>Workbook Question Bank</x:v>
      </x:c>
      <x:c r="D205" s="192" t="str">
        <x:v>Workbook 12</x:v>
      </x:c>
      <x:c r="E205" s="192" t="str">
        <x:v>An LMFT in a rural community learns that a long-term client has been elected to the board of the only local nonprofit where the therapist volunteers. The client needs continued care, and alternative providers are distant. What is the BEST response?</x:v>
      </x:c>
      <x:c r="F205" s="192" t="str">
        <x:v>Discuss the unavoidable overlap, assess power, confidentiality, objectivity, access, alternatives, and likely impact, establish boundaries, consult and document, and monitor whether competent care can continue.</x:v>
      </x:c>
      <x:c r="G205" s="192" t="str">
        <x:v>Terminate immediately without referrals because any overlap is automatically prohibited.</x:v>
      </x:c>
      <x:c r="H205" s="192" t="str">
        <x:v>Continue silently so the client does not become uncomfortable.</x:v>
      </x:c>
      <x:c r="I205" s="192" t="str">
        <x:v>Ask the client to resign from the board as a condition of treatment.</x:v>
      </x:c>
      <x:c r="J205" s="192" t="str">
        <x:v>A</x:v>
      </x:c>
      <x:c r="K205" s="192" t="str">
        <x:v>Correct. The therapist should use transparent, context-sensitive analysis that protects access, boundaries, confidentiality, objectivity, and continuity.</x:v>
      </x:c>
      <x:c r="L205" s="192" t="str">
        <x:v>Incorrect. Immediate termination may unnecessarily reduce access and create continuity concerns.</x:v>
      </x:c>
      <x:c r="M205" s="192" t="str">
        <x:v>Incorrect. Silence prevents informed boundary planning and monitoring.</x:v>
      </x:c>
      <x:c r="N205" s="192" t="str">
        <x:v>Incorrect. Requiring resignation may misuse professional power and ignore less intrusive alternatives.</x:v>
      </x:c>
      <x:c r="O205" s="192" t="str">
        <x:v>A. Correct. The therapist should use transparent, context-sensitive analysis that protects access, boundaries, confidentiality, objectivity, and continuity.
B. Incorrect. Immediate termination may unnecessarily reduce access and create continuity concerns.
C. Incorrect. Silence prevents informed boundary planning and monitoring.
D. Incorrect. Requiring resignation may misuse professional power and ignore less intrusive alternatives.</x:v>
      </x:c>
      <x:c r="P205" s="192" t="str">
        <x:v>For unavoidable community overlaps, avoid automatic acceptance or termination. Analyze risk, access, power, boundaries, alternatives, consultation, documentation, and monitoring.</x:v>
      </x:c>
      <x:c r="Q205" s="194" t="str">
        <x:v>CTA LMFT Workbook 12</x:v>
      </x:c>
    </x:row>
    <x:row r="206">
      <x:c r="A206" s="191" t="str">
        <x:v>CTA-LMFT-MQB-0205</x:v>
      </x:c>
      <x:c r="B206" s="192" t="str">
        <x:v>LMFT-MQB-FA-CR-005</x:v>
      </x:c>
      <x:c r="C206" s="192" t="str">
        <x:v>Comprehensive Simulation</x:v>
      </x:c>
      <x:c r="D206" s="192" t="str">
        <x:v>Form A</x:v>
      </x:c>
      <x:c r="E206" s="192" t="str">
        <x:v>A client discloses escalating partner violence but is not ready to leave. What is the BEST response?</x:v>
      </x:c>
      <x:c r="F206" s="192" t="str">
        <x:v>Begin conjoint therapy with the abusive partner.</x:v>
      </x:c>
      <x:c r="G206" s="192" t="str">
        <x:v>Tell the client the violence will stop if communication improves.</x:v>
      </x:c>
      <x:c r="H206" s="192" t="str">
        <x:v>Order the client to leave immediately.</x:v>
      </x:c>
      <x:c r="I206" s="192" t="str">
        <x:v>Validate the disclosure, assess immediate danger and coercive control, support the client’s autonomy, develop a personalized safety plan, and connect resources.</x:v>
      </x:c>
      <x:c r="J206" s="192" t="str">
        <x:v>D</x:v>
      </x:c>
      <x:c r="K206" s="192" t="str">
        <x:v>Incorrect. Conjoint treatment may be unsafe in coercive violence.</x:v>
      </x:c>
      <x:c r="L206" s="192" t="str">
        <x:v>Incorrect. Violence is not explained or resolved by ordinary communication skill alone.</x:v>
      </x:c>
      <x:c r="M206" s="192" t="str">
        <x:v>Incorrect. Leaving can increase danger and must be planned by the client.</x:v>
      </x:c>
      <x:c r="N206" s="192" t="str">
        <x:v>Correct. The therapist should combine safety, autonomy, practical planning, and resource linkage without blaming or coercing.</x:v>
      </x:c>
      <x:c r="O206" s="192" t="str">
        <x:v>A. Incorrect. Conjoint treatment may be unsafe in coercive violence.
B. Incorrect. Violence is not explained or resolved by ordinary communication skill alone.
C. Incorrect. Leaving can increase danger and must be planned by the client.
D. Correct. The therapist should combine safety, autonomy, practical planning, and resource linkage without blaming or coercing.</x:v>
      </x:c>
      <x:c r="P206" s="192" t="str">
        <x:v>Safety planning is collaborative; avoid both minimizing violence and replacing the client’s decisions.</x:v>
      </x:c>
      <x:c r="Q206" s="194" t="str">
        <x:v>CTA LMFT WB6; Pearson VUE LMFT Outline Area 3</x:v>
      </x:c>
    </x:row>
    <x:row r="207">
      <x:c r="A207" s="191" t="str">
        <x:v>CTA-LMFT-MQB-0206</x:v>
      </x:c>
      <x:c r="B207" s="192" t="str">
        <x:v>LMFT-MQB-FA-CP-009</x:v>
      </x:c>
      <x:c r="C207" s="192" t="str">
        <x:v>Comprehensive Simulation</x:v>
      </x:c>
      <x:c r="D207" s="192" t="str">
        <x:v>Form A</x:v>
      </x:c>
      <x:c r="E207" s="192" t="str">
        <x:v>A client with repeated self-harm, unstable housing, and inability to use an outpatient safety plan requests weekly therapy only. What is the BEST planning response?</x:v>
      </x:c>
      <x:c r="F207" s="192" t="str">
        <x:v>Agree to weekly therapy because client preference always determines level of care.</x:v>
      </x:c>
      <x:c r="G207" s="192" t="str">
        <x:v>Refuse any further contact.</x:v>
      </x:c>
      <x:c r="H207" s="192" t="str">
        <x:v>Promise that outpatient therapy will prevent all future self-harm.</x:v>
      </x:c>
      <x:c r="I207" s="192" t="str">
        <x:v>Discuss why a higher level of care or additional supports are indicated and coordinate a safer plan while preserving the client’s involvement.</x:v>
      </x:c>
      <x:c r="J207" s="192" t="str">
        <x:v>D</x:v>
      </x:c>
      <x:c r="K207" s="192" t="str">
        <x:v>Incorrect. Preference is important but does not eliminate safety-based professional judgment.</x:v>
      </x:c>
      <x:c r="L207" s="192" t="str">
        <x:v>Incorrect. Abandonment is not an appropriate response.</x:v>
      </x:c>
      <x:c r="M207" s="192" t="str">
        <x:v>Incorrect. No treatment can guarantee prevention.</x:v>
      </x:c>
      <x:c r="N207" s="192" t="str">
        <x:v>Correct. The therapist should respect autonomy while clearly addressing why the current level may not safely meet the client’s needs.</x:v>
      </x:c>
      <x:c r="O207" s="192" t="str">
        <x:v>A. Incorrect. Preference is important but does not eliminate safety-based professional judgment.
B. Incorrect. Abandonment is not an appropriate response.
C. Incorrect. No treatment can guarantee prevention.
D. Correct. The therapist should respect autonomy while clearly addressing why the current level may not safely meet the client’s needs.</x:v>
      </x:c>
      <x:c r="P207" s="192" t="str">
        <x:v>When desired care is insufficient, explain the risk, offer the least restrictive effective alternative, and support transition.</x:v>
      </x:c>
      <x:c r="Q207" s="194" t="str">
        <x:v>CTA LMFT WB6; CTA LMFT WB7; Pearson VUE LMFT Outline Area 4</x:v>
      </x:c>
    </x:row>
    <x:row r="208">
      <x:c r="A208" s="191" t="str">
        <x:v>CTA-LMFT-MQB-0207</x:v>
      </x:c>
      <x:c r="B208" s="192" t="str">
        <x:v>LMFT-MQB-FA-DI-001</x:v>
      </x:c>
      <x:c r="C208" s="192" t="str">
        <x:v>Comprehensive Simulation</x:v>
      </x:c>
      <x:c r="D208" s="192" t="str">
        <x:v>Form A</x:v>
      </x:c>
      <x:c r="E208" s="192" t="str">
        <x:v>When is a provisional diagnostic impression MOST appropriate?</x:v>
      </x:c>
      <x:c r="F208" s="192" t="str">
        <x:v>Whenever a client disagrees with the therapist.</x:v>
      </x:c>
      <x:c r="G208" s="192" t="str">
        <x:v>When the available information strongly suggests a diagnosis but important confirmation, duration, or rule-out information is still pending.</x:v>
      </x:c>
      <x:c r="H208" s="192" t="str">
        <x:v>When the therapist wants to avoid documenting uncertainty.</x:v>
      </x:c>
      <x:c r="I208" s="192" t="str">
        <x:v>Only when no symptoms are present.</x:v>
      </x:c>
      <x:c r="J208" s="192" t="str">
        <x:v>B</x:v>
      </x:c>
      <x:c r="K208" s="192" t="str">
        <x:v>Incorrect. Client disagreement does not determine diagnostic status.</x:v>
      </x:c>
      <x:c r="L208" s="192" t="str">
        <x:v>Correct. A provisional label communicates a reasoned working impression while acknowledging incomplete confirmation.</x:v>
      </x:c>
      <x:c r="M208" s="192" t="str">
        <x:v>Incorrect. Provisional status is a transparent expression of uncertainty, not a way to hide it.</x:v>
      </x:c>
      <x:c r="N208" s="192" t="str">
        <x:v>Incorrect. A diagnosis requires clinically relevant symptoms or conditions.</x:v>
      </x:c>
      <x:c r="O208" s="192" t="str">
        <x:v>A. Incorrect. Client disagreement does not determine diagnostic status.
B. Correct. A provisional label communicates a reasoned working impression while acknowledging incomplete confirmation.
C. Incorrect. Provisional status is a transparent expression of uncertainty, not a way to hide it.
D. Incorrect. A diagnosis requires clinically relevant symptoms or conditions.</x:v>
      </x:c>
      <x:c r="P208" s="192" t="str">
        <x:v>Choose provisional when the pattern is plausible but material evidence remains incomplete.</x:v>
      </x:c>
      <x:c r="Q208" s="194" t="str">
        <x:v>CTA LMFT WB5; Pearson VUE LMFT Outline Area 2</x:v>
      </x:c>
    </x:row>
    <x:row r="209">
      <x:c r="A209" s="191" t="str">
        <x:v>CTA-LMFT-MQB-0208</x:v>
      </x:c>
      <x:c r="B209" s="192" t="str">
        <x:v>LMFT-MQB-FA-CE-028</x:v>
      </x:c>
      <x:c r="C209" s="192" t="str">
        <x:v>Comprehensive Simulation</x:v>
      </x:c>
      <x:c r="D209" s="192" t="str">
        <x:v>Form A</x:v>
      </x:c>
      <x:c r="E209" s="192" t="str">
        <x:v>A client who recently began using a prescribed stimulant reports sleeping two hours nightly, rapid speech, impulsive spending, and unusual confidence. What should the LMFT do NEXT?</x:v>
      </x:c>
      <x:c r="F209" s="192" t="str">
        <x:v>Wait until the next month because increased energy can be positive.</x:v>
      </x:c>
      <x:c r="G209" s="192" t="str">
        <x:v>Assume the medication is the sole cause and advise discontinuation.</x:v>
      </x:c>
      <x:c r="H209" s="192" t="str">
        <x:v>Assess chronology, prior episodes, substance and medication use, impairment, and immediate risk, and coordinate prompt prescriber evaluation.</x:v>
      </x:c>
      <x:c r="I209" s="192" t="str">
        <x:v>Begin couples communication training.</x:v>
      </x:c>
      <x:c r="J209" s="192" t="str">
        <x:v>C</x:v>
      </x:c>
      <x:c r="K209" s="192" t="str">
        <x:v>Incorrect. Delay may allow escalating impairment or risk.</x:v>
      </x:c>
      <x:c r="L209" s="192" t="str">
        <x:v>Incorrect. The cause is not established and medication changes are outside the therapist’s role.</x:v>
      </x:c>
      <x:c r="M209" s="192" t="str">
        <x:v>Correct. The presentation requires differential assessment and timely medical coordination because both mood and medication factors are possible.</x:v>
      </x:c>
      <x:c r="N209" s="192" t="str">
        <x:v>Incorrect. The immediate problem is not primarily communication skill.</x:v>
      </x:c>
      <x:c r="O209" s="192" t="str">
        <x:v>A. Incorrect. Delay may allow escalating impairment or risk.
B. Incorrect. The cause is not established and medication changes are outside the therapist’s role.
C. Correct. The presentation requires differential assessment and timely medical coordination because both mood and medication factors are possible.
D. Incorrect. The immediate problem is not primarily communication skill.</x:v>
      </x:c>
      <x:c r="P209" s="192" t="str">
        <x:v>Use chronology and rule-outs; do not choose between mania and a medication effect without adequate assessment.</x:v>
      </x:c>
      <x:c r="Q209" s="194" t="str">
        <x:v>CTA LMFT WB2; CTA LMFT WB5; Pearson VUE LMFT Outline Area 1</x:v>
      </x:c>
    </x:row>
    <x:row r="210">
      <x:c r="A210" s="191" t="str">
        <x:v>CTA-LMFT-MQB-0209</x:v>
      </x:c>
      <x:c r="B210" s="192" t="str">
        <x:v>LMFT-MQB-FA-CE-014</x:v>
      </x:c>
      <x:c r="C210" s="192" t="str">
        <x:v>Comprehensive Simulation</x:v>
      </x:c>
      <x:c r="D210" s="192" t="str">
        <x:v>Form A</x:v>
      </x:c>
      <x:c r="E210" s="192" t="str">
        <x:v>An anxiety scale score is high, but the client reports that several items were misunderstood because of language differences. What should the LMFT do?</x:v>
      </x:c>
      <x:c r="F210" s="192" t="str">
        <x:v>Accept the score as definitive because standardized tools are objective.</x:v>
      </x:c>
      <x:c r="G210" s="192" t="str">
        <x:v>Diagnose solely from the total score after translating it informally.</x:v>
      </x:c>
      <x:c r="H210" s="192" t="str">
        <x:v>Discard all assessment information from the client.</x:v>
      </x:c>
      <x:c r="I210" s="192" t="str">
        <x:v>Treat the score as one data point, clarify the misunderstood items, use appropriate language support, and integrate the result with interview and functional information.</x:v>
      </x:c>
      <x:c r="J210" s="192" t="str">
        <x:v>D</x:v>
      </x:c>
      <x:c r="K210" s="192" t="str">
        <x:v>Incorrect. Standardization does not make a misunderstood administration valid.</x:v>
      </x:c>
      <x:c r="L210" s="192" t="str">
        <x:v>Incorrect. Informal translation and a single score are insufficient for diagnosis.</x:v>
      </x:c>
      <x:c r="M210" s="192" t="str">
        <x:v>Incorrect. The concern affects the measure, not all client information.</x:v>
      </x:c>
      <x:c r="N210" s="192" t="str">
        <x:v>Correct. Measures support but do not replace clinical judgment, accessibility, cultural-linguistic fit, and direct assessment.</x:v>
      </x:c>
      <x:c r="O210" s="192" t="str">
        <x:v>A. Incorrect. Standardization does not make a misunderstood administration valid.
B. Incorrect. Informal translation and a single score are insufficient for diagnosis.
C. Incorrect. The concern affects the measure, not all client information.
D. Correct. Measures support but do not replace clinical judgment, accessibility, cultural-linguistic fit, and direct assessment.</x:v>
      </x:c>
      <x:c r="P210" s="192" t="str">
        <x:v>A test score is evidence, not a verdict; verify administration quality and clinical fit.</x:v>
      </x:c>
      <x:c r="Q210" s="194" t="str">
        <x:v>CTA LMFT WB4; Pearson VUE LMFT Outline Area 1</x:v>
      </x:c>
    </x:row>
    <x:row r="211">
      <x:c r="A211" s="191" t="str">
        <x:v>CTA-LMFT-MQB-0210</x:v>
      </x:c>
      <x:c r="B211" s="192" t="str">
        <x:v>LMFT-MQB-FA-TX-003</x:v>
      </x:c>
      <x:c r="C211" s="192" t="str">
        <x:v>Comprehensive Simulation</x:v>
      </x:c>
      <x:c r="D211" s="192" t="str">
        <x:v>Form A</x:v>
      </x:c>
      <x:c r="E211" s="192" t="str">
        <x:v>What is a central facilitator task during the initial stage of a therapy group?</x:v>
      </x:c>
      <x:c r="F211" s="192" t="str">
        <x:v>Establishing safety, purpose, norms, roles, and realistic expectations for participation.</x:v>
      </x:c>
      <x:c r="G211" s="192" t="str">
        <x:v>Ignoring anxiety because it is not therapeutic material.</x:v>
      </x:c>
      <x:c r="H211" s="192" t="str">
        <x:v>Forcing immediate deep disclosure.</x:v>
      </x:c>
      <x:c r="I211" s="192" t="str">
        <x:v>Allowing one member to set all norms.</x:v>
      </x:c>
      <x:c r="J211" s="192" t="str">
        <x:v>A</x:v>
      </x:c>
      <x:c r="K211" s="192" t="str">
        <x:v>Correct. Early structure and safety support cohesion and later therapeutic risk-taking.</x:v>
      </x:c>
      <x:c r="L211" s="192" t="str">
        <x:v>Incorrect. Anxiety is expected and can be addressed constructively.</x:v>
      </x:c>
      <x:c r="M211" s="192" t="str">
        <x:v>Incorrect. Premature intensity may overwhelm members.</x:v>
      </x:c>
      <x:c r="N211" s="192" t="str">
        <x:v>Incorrect. The facilitator remains responsible for the group frame.</x:v>
      </x:c>
      <x:c r="O211" s="192" t="str">
        <x:v>A. Correct. Early structure and safety support cohesion and later therapeutic risk-taking.
B. Incorrect. Anxiety is expected and can be addressed constructively.
C. Incorrect. Premature intensity may overwhelm members.
D. Incorrect. The facilitator remains responsible for the group frame.</x:v>
      </x:c>
      <x:c r="P211" s="192" t="str">
        <x:v>Group-stage questions ask what the group needs now, not what may be useful later.</x:v>
      </x:c>
      <x:c r="Q211" s="194" t="str">
        <x:v>CTA LMFT WB8; CTA LMFT WB11; Pearson VUE LMFT Outline Area 5</x:v>
      </x:c>
    </x:row>
    <x:row r="212">
      <x:c r="A212" s="191" t="str">
        <x:v>CTA-LMFT-MQB-0211</x:v>
      </x:c>
      <x:c r="B212" s="192" t="str">
        <x:v>LMFT-MQB-FA-CR-008</x:v>
      </x:c>
      <x:c r="C212" s="192" t="str">
        <x:v>Comprehensive Simulation</x:v>
      </x:c>
      <x:c r="D212" s="192" t="str">
        <x:v>Form A</x:v>
      </x:c>
      <x:c r="E212" s="192" t="str">
        <x:v>A client describes a specific plan to seriously harm a former supervisor and has obtained the supervisor’s work schedule. What should the LMFT do NEXT?</x:v>
      </x:c>
      <x:c r="F212" s="192" t="str">
        <x:v>Assess immediacy and capacity, consult as needed, and take legally and clinically required protective actions without delaying for routine treatment.</x:v>
      </x:c>
      <x:c r="G212" s="192" t="str">
        <x:v>Promise absolute confidentiality.</x:v>
      </x:c>
      <x:c r="H212" s="192" t="str">
        <x:v>Ask the client to return next week with more details.</x:v>
      </x:c>
      <x:c r="I212" s="192" t="str">
        <x:v>Explore childhood anger for the remainder of the session.</x:v>
      </x:c>
      <x:c r="J212" s="192" t="str">
        <x:v>A</x:v>
      </x:c>
      <x:c r="K212" s="192" t="str">
        <x:v>Correct. Specificity, preparation, and an identifiable potential victim create an urgent protection problem.</x:v>
      </x:c>
      <x:c r="L212" s="192" t="str">
        <x:v>Incorrect. Confidentiality has safety-related limits.</x:v>
      </x:c>
      <x:c r="M212" s="192" t="str">
        <x:v>Incorrect. Delay is inconsistent with the described risk.</x:v>
      </x:c>
      <x:c r="N212" s="192" t="str">
        <x:v>Incorrect. Long-term formulation is not the immediate priority.</x:v>
      </x:c>
      <x:c r="O212" s="192" t="str">
        <x:v>A. Correct. Specificity, preparation, and an identifiable potential victim create an urgent protection problem.
B. Incorrect. Confidentiality has safety-related limits.
C. Incorrect. Delay is inconsistent with the described risk.
D. Incorrect. Long-term formulation is not the immediate priority.</x:v>
      </x:c>
      <x:c r="P212" s="192" t="str">
        <x:v>Specific target, plan, preparation, and access are escalation cues.</x:v>
      </x:c>
      <x:c r="Q212" s="194" t="str">
        <x:v>CTA LMFT WB6; Pearson VUE LMFT Outline Area 3</x:v>
      </x:c>
    </x:row>
    <x:row r="213">
      <x:c r="A213" s="191" t="str">
        <x:v>CTA-LMFT-MQB-0212</x:v>
      </x:c>
      <x:c r="B213" s="192" t="str">
        <x:v>LMFT-MQB-FA-CE-002</x:v>
      </x:c>
      <x:c r="C213" s="192" t="str">
        <x:v>Comprehensive Simulation</x:v>
      </x:c>
      <x:c r="D213" s="192" t="str">
        <x:v>Form A</x:v>
      </x:c>
      <x:c r="E213" s="192" t="str">
        <x:v>Which mental-status domain is MOST directly assessed by asking a client to state the current date, location, and identity?</x:v>
      </x:c>
      <x:c r="F213" s="192" t="str">
        <x:v>Insight.</x:v>
      </x:c>
      <x:c r="G213" s="192" t="str">
        <x:v>Affect.</x:v>
      </x:c>
      <x:c r="H213" s="192" t="str">
        <x:v>Impulse control.</x:v>
      </x:c>
      <x:c r="I213" s="192" t="str">
        <x:v>Orientation.</x:v>
      </x:c>
      <x:c r="J213" s="192" t="str">
        <x:v>D</x:v>
      </x:c>
      <x:c r="K213" s="192" t="str">
        <x:v>Incorrect. Insight concerns awareness of one’s condition and need for help.</x:v>
      </x:c>
      <x:c r="L213" s="192" t="str">
        <x:v>Incorrect. Affect is the observable expression of emotion.</x:v>
      </x:c>
      <x:c r="M213" s="192" t="str">
        <x:v>Incorrect. Impulse control concerns the ability to delay or regulate action.</x:v>
      </x:c>
      <x:c r="N213" s="192" t="str">
        <x:v>Correct. Orientation concerns awareness of person, place, time, and situation.</x:v>
      </x:c>
      <x:c r="O213" s="192" t="str">
        <x:v>A. Incorrect. Insight concerns awareness of one’s condition and need for help.
B. Incorrect. Affect is the observable expression of emotion.
C. Incorrect. Impulse control concerns the ability to delay or regulate action.
D. Correct. Orientation concerns awareness of person, place, time, and situation.</x:v>
      </x:c>
      <x:c r="P213" s="192" t="str">
        <x:v>Match the observation or question to the specific MSE domain rather than to the overall diagnosis.</x:v>
      </x:c>
      <x:c r="Q213" s="194" t="str">
        <x:v>CTA LMFT WB2; Pearson VUE LMFT Outline Area 1</x:v>
      </x:c>
    </x:row>
    <x:row r="214">
      <x:c r="A214" s="191" t="str">
        <x:v>CTA-LMFT-MQB-0213</x:v>
      </x:c>
      <x:c r="B214" s="192" t="str">
        <x:v>LMFT-MQB-FA-CE-020</x:v>
      </x:c>
      <x:c r="C214" s="192" t="str">
        <x:v>Comprehensive Simulation</x:v>
      </x:c>
      <x:c r="D214" s="192" t="str">
        <x:v>Form A</x:v>
      </x:c>
      <x:c r="E214" s="192" t="str">
        <x:v>A client with no psychiatric history develops abrupt confusion, visual hallucinations, and fluctuating alertness after a recent infection. What is the BEST evaluation priority?</x:v>
      </x:c>
      <x:c r="F214" s="192" t="str">
        <x:v>Diagnose a primary psychotic disorder from the hallucinations alone.</x:v>
      </x:c>
      <x:c r="G214" s="192" t="str">
        <x:v>Arrange prompt medical assessment because the acute fluctuating presentation may indicate a medical condition.</x:v>
      </x:c>
      <x:c r="H214" s="192" t="str">
        <x:v>Wait several weeks to determine whether family conflict resolves the symptoms.</x:v>
      </x:c>
      <x:c r="I214" s="192" t="str">
        <x:v>Begin long-term insight-oriented therapy.</x:v>
      </x:c>
      <x:c r="J214" s="192" t="str">
        <x:v>B</x:v>
      </x:c>
      <x:c r="K214" s="192" t="str">
        <x:v>Incorrect. Hallucinations alone do not establish a primary psychotic disorder.</x:v>
      </x:c>
      <x:c r="L214" s="192" t="str">
        <x:v>Correct. Abrupt onset and fluctuating attention or alertness are red flags for a medical process requiring urgent evaluation.</x:v>
      </x:c>
      <x:c r="M214" s="192" t="str">
        <x:v>Incorrect. Delay could be dangerous.</x:v>
      </x:c>
      <x:c r="N214" s="192" t="str">
        <x:v>Incorrect. Psychotherapy is not the first response to a possible acute medical condition.</x:v>
      </x:c>
      <x:c r="O214" s="192" t="str">
        <x:v>A. Incorrect. Hallucinations alone do not establish a primary psychotic disorder.
B. Correct. Abrupt onset and fluctuating attention or alertness are red flags for a medical process requiring urgent evaluation.
C. Incorrect. Delay could be dangerous.
D. Incorrect. Psychotherapy is not the first response to a possible acute medical condition.</x:v>
      </x:c>
      <x:c r="P214" s="192" t="str">
        <x:v>Acute change plus altered attention or consciousness should move medical assessment ahead of routine formulation.</x:v>
      </x:c>
      <x:c r="Q214" s="194" t="str">
        <x:v>CTA LMFT WB2; CTA LMFT WB5; Pearson VUE LMFT Outline Area 1</x:v>
      </x:c>
    </x:row>
    <x:row r="215">
      <x:c r="A215" s="191" t="str">
        <x:v>CTA-LMFT-MQB-0214</x:v>
      </x:c>
      <x:c r="B215" s="192" t="str">
        <x:v>LMFT-MQB-FA-LE-011</x:v>
      </x:c>
      <x:c r="C215" s="192" t="str">
        <x:v>Comprehensive Simulation</x:v>
      </x:c>
      <x:c r="D215" s="192" t="str">
        <x:v>Form A</x:v>
      </x:c>
      <x:c r="E215" s="192" t="str">
        <x:v>At the start of a session, a client reports being temporarily located in another state. What should the LMFT do NEXT?</x:v>
      </x:c>
      <x:c r="F215" s="192" t="str">
        <x:v>Ask the client not to disclose travel.</x:v>
      </x:c>
      <x:c r="G215" s="192" t="str">
        <x:v>Continue because the therapist is licensed in California.</x:v>
      </x:c>
      <x:c r="H215" s="192" t="str">
        <x:v>Terminate permanently without referral.</x:v>
      </x:c>
      <x:c r="I215" s="192" t="str">
        <x:v>Verify the client’s location, assess immediate needs, determine whether practice is lawful there, and arrange appropriate continuity if routine treatment cannot proceed.</x:v>
      </x:c>
      <x:c r="J215" s="192" t="str">
        <x:v>D</x:v>
      </x:c>
      <x:c r="K215" s="192" t="str">
        <x:v>Incorrect. Concealing location does not solve the issue.</x:v>
      </x:c>
      <x:c r="L215" s="192" t="str">
        <x:v>Incorrect. The therapist’s location alone does not resolve jurisdiction.</x:v>
      </x:c>
      <x:c r="M215" s="192" t="str">
        <x:v>Incorrect. Continuity options should be considered.</x:v>
      </x:c>
      <x:c r="N215" s="192" t="str">
        <x:v>Correct. The client’s physical location can affect lawful practice and emergency response.</x:v>
      </x:c>
      <x:c r="O215" s="192" t="str">
        <x:v>A. Incorrect. Concealing location does not solve the issue.
B. Incorrect. The therapist’s location alone does not resolve jurisdiction.
C. Incorrect. Continuity options should be considered.
D. Correct. The client’s physical location can affect lawful practice and emergency response.</x:v>
      </x:c>
      <x:c r="P215" s="192" t="str">
        <x:v>Telehealth starts with location, lawful authority, privacy, and emergency capacity.</x:v>
      </x:c>
      <x:c r="Q215" s="194" t="str">
        <x:v>CTA LMFT WB12; Pearson VUE LMFT Outline Area 6</x:v>
      </x:c>
    </x:row>
    <x:row r="216">
      <x:c r="A216" s="191" t="str">
        <x:v>CTA-LMFT-MQB-0215</x:v>
      </x:c>
      <x:c r="B216" s="192" t="str">
        <x:v>LMFT-MQB-FA-TX-034</x:v>
      </x:c>
      <x:c r="C216" s="192" t="str">
        <x:v>Comprehensive Simulation</x:v>
      </x:c>
      <x:c r="D216" s="192" t="str">
        <x:v>Form A</x:v>
      </x:c>
      <x:c r="E216" s="192" t="str">
        <x:v>A group member repeatedly arrives intoxicated and threatens another participant. What should the facilitator do FIRST?</x:v>
      </x:c>
      <x:c r="F216" s="192" t="str">
        <x:v>Ask the group to manage the member.</x:v>
      </x:c>
      <x:c r="G216" s="192" t="str">
        <x:v>Wait until the next session to address it.</x:v>
      </x:c>
      <x:c r="H216" s="192" t="str">
        <x:v>Stop the unsafe interaction, assess immediate risk and intoxication, and arrange an appropriate level of care before deciding about continued group participation.</x:v>
      </x:c>
      <x:c r="I216" s="192" t="str">
        <x:v>Process the threat as ordinary group conflict.</x:v>
      </x:c>
      <x:c r="J216" s="192" t="str">
        <x:v>C</x:v>
      </x:c>
      <x:c r="K216" s="192" t="str">
        <x:v>Incorrect. Other members should not bear responsibility for crisis management.</x:v>
      </x:c>
      <x:c r="L216" s="192" t="str">
        <x:v>Incorrect. Delay exposes the group to further risk.</x:v>
      </x:c>
      <x:c r="M216" s="192" t="str">
        <x:v>Correct. Safety and current impairment take priority over group-process exploration.</x:v>
      </x:c>
      <x:c r="N216" s="192" t="str">
        <x:v>Incorrect. An intoxicated threat is not routine process material.</x:v>
      </x:c>
      <x:c r="O216" s="192" t="str">
        <x:v>A. Incorrect. Other members should not bear responsibility for crisis management.
B. Incorrect. Delay exposes the group to further risk.
C. Correct. Safety and current impairment take priority over group-process exploration.
D. Incorrect. An intoxicated threat is not routine process material.</x:v>
      </x:c>
      <x:c r="P216" s="192" t="str">
        <x:v>Group treatment does not lower the standard for crisis triage.</x:v>
      </x:c>
      <x:c r="Q216" s="194" t="str">
        <x:v>CTA LMFT WB6; CTA LMFT WB11; Pearson VUE LMFT Outline Area 5</x:v>
      </x:c>
    </x:row>
    <x:row r="217">
      <x:c r="A217" s="191" t="str">
        <x:v>CTA-LMFT-MQB-0216</x:v>
      </x:c>
      <x:c r="B217" s="192" t="str">
        <x:v>LMFT-MQB-FA-LE-012</x:v>
      </x:c>
      <x:c r="C217" s="192" t="str">
        <x:v>Comprehensive Simulation</x:v>
      </x:c>
      <x:c r="D217" s="192" t="str">
        <x:v>Form A</x:v>
      </x:c>
      <x:c r="E217" s="192" t="str">
        <x:v>An insurer asks the LMFT to exaggerate impairment so additional sessions will be approved. What should the therapist do?</x:v>
      </x:c>
      <x:c r="F217" s="192" t="str">
        <x:v>Tell the client to change symptoms in the next session.</x:v>
      </x:c>
      <x:c r="G217" s="192" t="str">
        <x:v>Exaggerate because more treatment may help.</x:v>
      </x:c>
      <x:c r="H217" s="192" t="str">
        <x:v>Provide accurate, clinically necessary information, decline misrepresentation, and discuss legitimate appeal or alternative-care options.</x:v>
      </x:c>
      <x:c r="I217" s="192" t="str">
        <x:v>Refuse all communication with the payer.</x:v>
      </x:c>
      <x:c r="J217" s="192" t="str">
        <x:v>C</x:v>
      </x:c>
      <x:c r="K217" s="192" t="str">
        <x:v>Incorrect. Clinical presentation should not be manipulated.</x:v>
      </x:c>
      <x:c r="L217" s="192" t="str">
        <x:v>Incorrect. Beneficent intent does not justify fraud or inaccurate records.</x:v>
      </x:c>
      <x:c r="M217" s="192" t="str">
        <x:v>Correct. Documentation and billing must remain truthful while the therapist advocates through appropriate channels.</x:v>
      </x:c>
      <x:c r="N217" s="192" t="str">
        <x:v>Incorrect. Authorized, relevant communication may be necessary.</x:v>
      </x:c>
      <x:c r="O217" s="192" t="str">
        <x:v>A. Incorrect. Clinical presentation should not be manipulated.
B. Incorrect. Beneficent intent does not justify fraud or inaccurate records.
C. Correct. Documentation and billing must remain truthful while the therapist advocates through appropriate channels.
D. Incorrect. Authorized, relevant communication may be necessary.</x:v>
      </x:c>
      <x:c r="P217" s="192" t="str">
        <x:v>Advocacy does not permit distortion; use accurate documentation and legitimate review processes.</x:v>
      </x:c>
      <x:c r="Q217" s="194" t="str">
        <x:v>CTA LMFT WB12; Pearson VUE LMFT Outline Area 6</x:v>
      </x:c>
    </x:row>
    <x:row r="218">
      <x:c r="A218" s="191" t="str">
        <x:v>CTA-LMFT-MQB-0217</x:v>
      </x:c>
      <x:c r="B218" s="192" t="str">
        <x:v>LMFT-MQB-FA-CR-012</x:v>
      </x:c>
      <x:c r="C218" s="192" t="str">
        <x:v>Comprehensive Simulation</x:v>
      </x:c>
      <x:c r="D218" s="192" t="str">
        <x:v>Form A</x:v>
      </x:c>
      <x:c r="E218" s="192" t="str">
        <x:v>A client discloses a sexual assault that occurred the previous night and appears disoriented and physically injured. What should the LMFT do FIRST?</x:v>
      </x:c>
      <x:c r="F218" s="192" t="str">
        <x:v>Assess immediate medical and safety needs, offer choices about urgent care and advocacy resources, and support the client without pressing for unnecessary detail.</x:v>
      </x:c>
      <x:c r="G218" s="192" t="str">
        <x:v>Require a complete chronological account for the record.</x:v>
      </x:c>
      <x:c r="H218" s="192" t="str">
        <x:v>Decide whether the client should report to law enforcement.</x:v>
      </x:c>
      <x:c r="I218" s="192" t="str">
        <x:v>Tell the client to confront the assailant.</x:v>
      </x:c>
      <x:c r="J218" s="192" t="str">
        <x:v>A</x:v>
      </x:c>
      <x:c r="K218" s="192" t="str">
        <x:v>Correct. Immediate care, choice, stabilization, and resource linkage take priority after recent assault.</x:v>
      </x:c>
      <x:c r="L218" s="192" t="str">
        <x:v>Incorrect. Detailed recounting may increase distress and is not required for initial support.</x:v>
      </x:c>
      <x:c r="M218" s="192" t="str">
        <x:v>Incorrect. The client retains decision-making autonomy unless another legal duty applies.</x:v>
      </x:c>
      <x:c r="N218" s="192" t="str">
        <x:v>Incorrect. Confrontation may increase danger.</x:v>
      </x:c>
      <x:c r="O218" s="192" t="str">
        <x:v>A. Correct. Immediate care, choice, stabilization, and resource linkage take priority after recent assault.
B. Incorrect. Detailed recounting may increase distress and is not required for initial support.
C. Incorrect. The client retains decision-making autonomy unless another legal duty applies.
D. Incorrect. Confrontation may increase danger.</x:v>
      </x:c>
      <x:c r="P218" s="192" t="str">
        <x:v>After recent assault, prioritize medical needs, safety, control, and informed options.</x:v>
      </x:c>
      <x:c r="Q218" s="194" t="str">
        <x:v>CTA LMFT WB6; Pearson VUE LMFT Outline Area 3</x:v>
      </x:c>
    </x:row>
    <x:row r="219">
      <x:c r="A219" s="191" t="str">
        <x:v>CTA-LMFT-MQB-0218</x:v>
      </x:c>
      <x:c r="B219" s="192" t="str">
        <x:v>LMFT-MQB-FA-LE-003</x:v>
      </x:c>
      <x:c r="C219" s="192" t="str">
        <x:v>Comprehensive Simulation</x:v>
      </x:c>
      <x:c r="D219" s="192" t="str">
        <x:v>Form A</x:v>
      </x:c>
      <x:c r="E219" s="192" t="str">
        <x:v>An LMFT discovers an error in a finalized progress note. What is the BEST correction method?</x:v>
      </x:c>
      <x:c r="F219" s="192" t="str">
        <x:v>Backdate a replacement note.</x:v>
      </x:c>
      <x:c r="G219" s="192" t="str">
        <x:v>Delete the original note without notation.</x:v>
      </x:c>
      <x:c r="H219" s="192" t="str">
        <x:v>Ask the client to edit the record.</x:v>
      </x:c>
      <x:c r="I219" s="192" t="str">
        <x:v>Add a dated, transparent correction or addendum that preserves the original record and explains the change.</x:v>
      </x:c>
      <x:c r="J219" s="192" t="str">
        <x:v>D</x:v>
      </x:c>
      <x:c r="K219" s="192" t="str">
        <x:v>Incorrect. Backdating misrepresents when the correction occurred.</x:v>
      </x:c>
      <x:c r="L219" s="192" t="str">
        <x:v>Incorrect. Silent deletion undermines integrity.</x:v>
      </x:c>
      <x:c r="M219" s="192" t="str">
        <x:v>Incorrect. The therapist remains responsible for clinical documentation.</x:v>
      </x:c>
      <x:c r="N219" s="192" t="str">
        <x:v>Correct. A transparent amendment improves accuracy without creating a false history.</x:v>
      </x:c>
      <x:c r="O219" s="192" t="str">
        <x:v>A. Incorrect. Backdating misrepresents when the correction occurred.
B. Incorrect. Silent deletion undermines integrity.
C. Incorrect. The therapist remains responsible for clinical documentation.
D. Correct. A transparent amendment improves accuracy without creating a false history.</x:v>
      </x:c>
      <x:c r="P219" s="192" t="str">
        <x:v>Correct records openly; never make the historical record appear different from what actually occurred.</x:v>
      </x:c>
      <x:c r="Q219" s="194" t="str">
        <x:v>CTA LMFT WB12; Pearson VUE LMFT Outline Area 6</x:v>
      </x:c>
    </x:row>
    <x:row r="220">
      <x:c r="A220" s="191" t="str">
        <x:v>CTA-LMFT-MQB-0219</x:v>
      </x:c>
      <x:c r="B220" s="192" t="str">
        <x:v>LMFT-MQB-FA-CE-037</x:v>
      </x:c>
      <x:c r="C220" s="192" t="str">
        <x:v>Comprehensive Simulation</x:v>
      </x:c>
      <x:c r="D220" s="192" t="str">
        <x:v>Form A</x:v>
      </x:c>
      <x:c r="E220" s="192" t="str">
        <x:v>A couple seeks treatment for communication problems. During intake, one partner reports recent medication changes, minimal sleep, and impulsive gambling; the other reports feeling unsafe during arguments. What should the LMFT do FIRST?</x:v>
      </x:c>
      <x:c r="F220" s="192" t="str">
        <x:v>Pause routine couple assessment to evaluate immediate safety, possible mood or medication factors, and whether conjoint treatment is currently appropriate.</x:v>
      </x:c>
      <x:c r="G220" s="192" t="str">
        <x:v>Select a family-systems diagnosis before gathering more information.</x:v>
      </x:c>
      <x:c r="H220" s="192" t="str">
        <x:v>Ask the couple to agree not to mention safety concerns.</x:v>
      </x:c>
      <x:c r="I220" s="192" t="str">
        <x:v>Begin communication-skills training because that is the stated goal.</x:v>
      </x:c>
      <x:c r="J220" s="192" t="str">
        <x:v>A</x:v>
      </x:c>
      <x:c r="K220" s="192" t="str">
        <x:v>Correct. The vignette contains higher-priority safety and medical-differential concerns that may change the treatment setting and unit.</x:v>
      </x:c>
      <x:c r="L220" s="192" t="str">
        <x:v>Incorrect. A systemic formulation should follow adequate evaluation.</x:v>
      </x:c>
      <x:c r="M220" s="192" t="str">
        <x:v>Incorrect. Suppressing safety information is unsafe and unethical.</x:v>
      </x:c>
      <x:c r="N220" s="192" t="str">
        <x:v>Incorrect. The presenting request does not outrank acute risk.</x:v>
      </x:c>
      <x:c r="O220" s="192" t="str">
        <x:v>A. Correct. The vignette contains higher-priority safety and medical-differential concerns that may change the treatment setting and unit.
B. Incorrect. A systemic formulation should follow adequate evaluation.
C. Incorrect. Suppressing safety information is unsafe and unethical.
D. Incorrect. The presenting request does not outrank acute risk.</x:v>
      </x:c>
      <x:c r="P220" s="192" t="str">
        <x:v>Integrated items often hide a higher-priority task beneath the referral complaint.</x:v>
      </x:c>
      <x:c r="Q220" s="194" t="str">
        <x:v>CTA LMFT WB2; CTA LMFT WB5; CTA LMFT WB6; Pearson VUE LMFT Outline Area 1</x:v>
      </x:c>
    </x:row>
    <x:row r="221">
      <x:c r="A221" s="191" t="str">
        <x:v>CTA-LMFT-MQB-0220</x:v>
      </x:c>
      <x:c r="B221" s="192" t="str">
        <x:v>LMFT-MQB-FA-TX-008</x:v>
      </x:c>
      <x:c r="C221" s="192" t="str">
        <x:v>Comprehensive Simulation</x:v>
      </x:c>
      <x:c r="D221" s="192" t="str">
        <x:v>Form A</x:v>
      </x:c>
      <x:c r="E221" s="192" t="str">
        <x:v>A family says arguments happen “every night,” but recalls one evening when everyone stayed calm. What should the therapist ask NEXT?</x:v>
      </x:c>
      <x:c r="F221" s="192" t="str">
        <x:v>Why the family usually fails.</x:v>
      </x:c>
      <x:c r="G221" s="192" t="str">
        <x:v>Whether the exception proves treatment is unnecessary.</x:v>
      </x:c>
      <x:c r="H221" s="192" t="str">
        <x:v>Which member deserves credit for the exception.</x:v>
      </x:c>
      <x:c r="I221" s="192" t="str">
        <x:v>What was different before and during that evening, and how could the family intentionally repeat those conditions?</x:v>
      </x:c>
      <x:c r="J221" s="192" t="str">
        <x:v>D</x:v>
      </x:c>
      <x:c r="K221" s="192" t="str">
        <x:v>Incorrect. Failure-focused inquiry may reinforce blame.</x:v>
      </x:c>
      <x:c r="L221" s="192" t="str">
        <x:v>Incorrect. One exception shows possibility, not absence of a problem.</x:v>
      </x:c>
      <x:c r="M221" s="192" t="str">
        <x:v>Incorrect. Change usually reflects interaction rather than a single hero.</x:v>
      </x:c>
      <x:c r="N221" s="192" t="str">
        <x:v>Correct. Exception questions identify existing resources and replicable differences.</x:v>
      </x:c>
      <x:c r="O221" s="192" t="str">
        <x:v>A. Incorrect. Failure-focused inquiry may reinforce blame.
B. Incorrect. One exception shows possibility, not absence of a problem.
C. Incorrect. Change usually reflects interaction rather than a single hero.
D. Correct. Exception questions identify existing resources and replicable differences.</x:v>
      </x:c>
      <x:c r="P221" s="192" t="str">
        <x:v>Exceptions are useful when translated into specific, repeatable behaviors and conditions.</x:v>
      </x:c>
      <x:c r="Q221" s="194" t="str">
        <x:v>CTA LMFT WB11; Pearson VUE LMFT Outline Area 5</x:v>
      </x:c>
    </x:row>
    <x:row r="222">
      <x:c r="A222" s="191" t="str">
        <x:v>CTA-LMFT-MQB-0221</x:v>
      </x:c>
      <x:c r="B222" s="192" t="str">
        <x:v>LMFT-MQB-FA-DI-007</x:v>
      </x:c>
      <x:c r="C222" s="192" t="str">
        <x:v>Comprehensive Simulation</x:v>
      </x:c>
      <x:c r="D222" s="192" t="str">
        <x:v>Form A</x:v>
      </x:c>
      <x:c r="E222" s="192" t="str">
        <x:v>A client presents with depression and reports a past week of markedly decreased need for sleep, unusually elevated energy, and risky spending. What should the LMFT do?</x:v>
      </x:c>
      <x:c r="F222" s="192" t="str">
        <x:v>Ignore the past episode because the client is currently depressed.</x:v>
      </x:c>
      <x:c r="G222" s="192" t="str">
        <x:v>Assess the possible elevated-mood episode fully before concluding that the presentation is unipolar depression.</x:v>
      </x:c>
      <x:c r="H222" s="192" t="str">
        <x:v>Assume the episode was healthy productivity.</x:v>
      </x:c>
      <x:c r="I222" s="192" t="str">
        <x:v>Diagnose attention-deficit disorder from the risky spending.</x:v>
      </x:c>
      <x:c r="J222" s="192" t="str">
        <x:v>B</x:v>
      </x:c>
      <x:c r="K222" s="192" t="str">
        <x:v>Incorrect. Current depression does not make past mood episodes irrelevant.</x:v>
      </x:c>
      <x:c r="L222" s="192" t="str">
        <x:v>Correct. A history of episodic elevated energy and decreased need for sleep can substantially change the diagnostic impression and treatment coordination.</x:v>
      </x:c>
      <x:c r="M222" s="192" t="str">
        <x:v>Incorrect. The associated impairment and change from baseline require assessment.</x:v>
      </x:c>
      <x:c r="N222" s="192" t="str">
        <x:v>Incorrect. Risky spending alone does not establish ADHD.</x:v>
      </x:c>
      <x:c r="O222" s="192" t="str">
        <x:v>A. Incorrect. Current depression does not make past mood episodes irrelevant.
B. Correct. A history of episodic elevated energy and decreased need for sleep can substantially change the diagnostic impression and treatment coordination.
C. Incorrect. The associated impairment and change from baseline require assessment.
D. Incorrect. Risky spending alone does not establish ADHD.</x:v>
      </x:c>
      <x:c r="P222" s="192" t="str">
        <x:v>Screen for prior elevated or irritable episodes whenever evaluating depression.</x:v>
      </x:c>
      <x:c r="Q222" s="194" t="str">
        <x:v>CTA LMFT WB5; Pearson VUE LMFT Outline Area 2</x:v>
      </x:c>
    </x:row>
    <x:row r="223">
      <x:c r="A223" s="191" t="str">
        <x:v>CTA-LMFT-MQB-0222</x:v>
      </x:c>
      <x:c r="B223" s="192" t="str">
        <x:v>LMFT-MQB-FA-CE-024</x:v>
      </x:c>
      <x:c r="C223" s="192" t="str">
        <x:v>Comprehensive Simulation</x:v>
      </x:c>
      <x:c r="D223" s="192" t="str">
        <x:v>Form A</x:v>
      </x:c>
      <x:c r="E223" s="192" t="str">
        <x:v>A new client arrives smelling of alcohol, speaks slowly, and has difficulty following questions. What should the LMFT do FIRST?</x:v>
      </x:c>
      <x:c r="F223" s="192" t="str">
        <x:v>Complete the diagnostic interview to preserve the appointment.</x:v>
      </x:c>
      <x:c r="G223" s="192" t="str">
        <x:v>Interpret the presentation as lack of motivation.</x:v>
      </x:c>
      <x:c r="H223" s="192" t="str">
        <x:v>Ask the client to sign all forms before leaving.</x:v>
      </x:c>
      <x:c r="I223" s="192" t="str">
        <x:v>Assess immediate safety, level of intoxication, transportation, and need for medical or emergency assistance before continuing routine intake.</x:v>
      </x:c>
      <x:c r="J223" s="192" t="str">
        <x:v>D</x:v>
      </x:c>
      <x:c r="K223" s="192" t="str">
        <x:v>Incorrect. Intoxication may make the interview unreliable and unsafe.</x:v>
      </x:c>
      <x:c r="L223" s="192" t="str">
        <x:v>Incorrect. The behavior has a plausible substance-related explanation.</x:v>
      </x:c>
      <x:c r="M223" s="192" t="str">
        <x:v>Incorrect. A signature does not resolve impaired understanding.</x:v>
      </x:c>
      <x:c r="N223" s="192" t="str">
        <x:v>Correct. Current safety and capacity take priority over routine evaluation tasks.</x:v>
      </x:c>
      <x:c r="O223" s="192" t="str">
        <x:v>A. Incorrect. Intoxication may make the interview unreliable and unsafe.
B. Incorrect. The behavior has a plausible substance-related explanation.
C. Incorrect. A signature does not resolve impaired understanding.
D. Correct. Current safety and capacity take priority over routine evaluation tasks.</x:v>
      </x:c>
      <x:c r="P223" s="192" t="str">
        <x:v>When current impairment is evident, stabilize and assess safety before gathering ordinary history.</x:v>
      </x:c>
      <x:c r="Q223" s="194" t="str">
        <x:v>CTA LMFT WB2; CTA LMFT WB6; Pearson VUE LMFT Outline Area 1</x:v>
      </x:c>
    </x:row>
    <x:row r="224">
      <x:c r="A224" s="191" t="str">
        <x:v>CTA-LMFT-MQB-0223</x:v>
      </x:c>
      <x:c r="B224" s="192" t="str">
        <x:v>LMFT-MQB-FA-TX-040</x:v>
      </x:c>
      <x:c r="C224" s="192" t="str">
        <x:v>Comprehensive Simulation</x:v>
      </x:c>
      <x:c r="D224" s="192" t="str">
        <x:v>Form A</x:v>
      </x:c>
      <x:c r="E224" s="192" t="str">
        <x:v>A trauma survivor seeks couple therapy because reassurance never feels sufficient. The partner becomes exhausted and withdraws, which intensifies the survivor’s panic. What is the BEST approach?</x:v>
      </x:c>
      <x:c r="F224" s="192" t="str">
        <x:v>Stabilize trauma symptoms, map the reassurance-withdrawal cycle, strengthen direct attachment communication, and avoid making the partner solely responsible for regulation.</x:v>
      </x:c>
      <x:c r="G224" s="192" t="str">
        <x:v>Avoid couple work until every trauma symptom is gone.</x:v>
      </x:c>
      <x:c r="H224" s="192" t="str">
        <x:v>Treat the problem only as irrational thinking.</x:v>
      </x:c>
      <x:c r="I224" s="192" t="str">
        <x:v>Ask the partner to provide unlimited reassurance.</x:v>
      </x:c>
      <x:c r="J224" s="192" t="str">
        <x:v>A</x:v>
      </x:c>
      <x:c r="K224" s="192" t="str">
        <x:v>Correct. The plan integrates individual trauma regulation and relational responsiveness while changing the maintaining cycle.</x:v>
      </x:c>
      <x:c r="L224" s="192" t="str">
        <x:v>Incorrect. Some coordinated couple work may be useful before complete remission if safe and paced.</x:v>
      </x:c>
      <x:c r="M224" s="192" t="str">
        <x:v>Incorrect. Cognition alone does not capture attachment and trauma processes.</x:v>
      </x:c>
      <x:c r="N224" s="192" t="str">
        <x:v>Incorrect. Unlimited reassurance may reinforce dependence and burnout.</x:v>
      </x:c>
      <x:c r="O224" s="192" t="str">
        <x:v>A. Correct. The plan integrates individual trauma regulation and relational responsiveness while changing the maintaining cycle.
B. Incorrect. Some coordinated couple work may be useful before complete remission if safe and paced.
C. Incorrect. Cognition alone does not capture attachment and trauma processes.
D. Incorrect. Unlimited reassurance may reinforce dependence and burnout.</x:v>
      </x:c>
      <x:c r="P224" s="192" t="str">
        <x:v>Do not choose between individual trauma and relational treatment when the mechanisms interact.</x:v>
      </x:c>
      <x:c r="Q224" s="194" t="str">
        <x:v>CTA LMFT WB8; CTA LMFT WB9; Pearson VUE LMFT Outline Area 5</x:v>
      </x:c>
    </x:row>
    <x:row r="225">
      <x:c r="A225" s="191" t="str">
        <x:v>CTA-LMFT-MQB-0224</x:v>
      </x:c>
      <x:c r="B225" s="192" t="str">
        <x:v>LMFT-MQB-FA-TX-014</x:v>
      </x:c>
      <x:c r="C225" s="192" t="str">
        <x:v>Comprehensive Simulation</x:v>
      </x:c>
      <x:c r="D225" s="192" t="str">
        <x:v>Form A</x:v>
      </x:c>
      <x:c r="E225" s="192" t="str">
        <x:v>An adult client becomes emotionally flooded whenever a parent disapproves. Which intervention is MOST Bowen-consistent?</x:v>
      </x:c>
      <x:c r="F225" s="192" t="str">
        <x:v>Confront the parent in a joint session without preparation.</x:v>
      </x:c>
      <x:c r="G225" s="192" t="str">
        <x:v>Help the client observe family emotional processes, clarify personal principles, and respond with greater thoughtfulness rather than automatic reactivity.</x:v>
      </x:c>
      <x:c r="H225" s="192" t="str">
        <x:v>Use rewards to eliminate all emotional response.</x:v>
      </x:c>
      <x:c r="I225" s="192" t="str">
        <x:v>Cut off contact immediately.</x:v>
      </x:c>
      <x:c r="J225" s="192" t="str">
        <x:v>B</x:v>
      </x:c>
      <x:c r="K225" s="192" t="str">
        <x:v>Incorrect. Unprepared confrontation may intensify reactivity.</x:v>
      </x:c>
      <x:c r="L225" s="192" t="str">
        <x:v>Correct. Differentiation involves maintaining connection while acting from a clearer sense of self.</x:v>
      </x:c>
      <x:c r="M225" s="192" t="str">
        <x:v>Incorrect. The goal is regulation and choice, not absence of emotion.</x:v>
      </x:c>
      <x:c r="N225" s="192" t="str">
        <x:v>Incorrect. Emotional cutoff is not the same as differentiation.</x:v>
      </x:c>
      <x:c r="O225" s="192" t="str">
        <x:v>A. Incorrect. Unprepared confrontation may intensify reactivity.
B. Correct. Differentiation involves maintaining connection while acting from a clearer sense of self.
C. Incorrect. The goal is regulation and choice, not absence of emotion.
D. Incorrect. Emotional cutoff is not the same as differentiation.</x:v>
      </x:c>
      <x:c r="P225" s="192" t="str">
        <x:v>Differentiate by increasing observation and choice while staying appropriately connected.</x:v>
      </x:c>
      <x:c r="Q225" s="194" t="str">
        <x:v>CTA LMFT WB11; Pearson VUE LMFT Outline Area 5</x:v>
      </x:c>
    </x:row>
    <x:row r="226">
      <x:c r="A226" s="191" t="str">
        <x:v>CTA-LMFT-MQB-0225</x:v>
      </x:c>
      <x:c r="B226" s="192" t="str">
        <x:v>LMFT-MQB-FA-CR-002</x:v>
      </x:c>
      <x:c r="C226" s="192" t="str">
        <x:v>Comprehensive Simulation</x:v>
      </x:c>
      <x:c r="D226" s="192" t="str">
        <x:v>Form A</x:v>
      </x:c>
      <x:c r="E226" s="192" t="str">
        <x:v>A client with recurring suicidal thoughts asks what a written safety plan should contain. Which plan is MOST clinically useful?</x:v>
      </x:c>
      <x:c r="F226" s="192" t="str">
        <x:v>A general instruction to “think positively.”</x:v>
      </x:c>
      <x:c r="G226" s="192" t="str">
        <x:v>Specific warning signs, internal coping steps, supportive contacts, professional resources, and steps to reduce access to lethal means.</x:v>
      </x:c>
      <x:c r="H226" s="192" t="str">
        <x:v>A promise that the client will never feel suicidal again.</x:v>
      </x:c>
      <x:c r="I226" s="192" t="str">
        <x:v>A requirement that the client contact the therapist before using emergency services.</x:v>
      </x:c>
      <x:c r="J226" s="192" t="str">
        <x:v>B</x:v>
      </x:c>
      <x:c r="K226" s="192" t="str">
        <x:v>Incorrect. Vague encouragement is not an actionable plan.</x:v>
      </x:c>
      <x:c r="L226" s="192" t="str">
        <x:v>Correct. A useful plan is concrete, personalized, accessible, and linked to escalating levels of support.</x:v>
      </x:c>
      <x:c r="M226" s="192" t="str">
        <x:v>Incorrect. No plan can guarantee the absence of future suicidal thoughts.</x:v>
      </x:c>
      <x:c r="N226" s="192" t="str">
        <x:v>Incorrect. Emergency services should not be delayed by an exclusive-contact requirement.</x:v>
      </x:c>
      <x:c r="O226" s="192" t="str">
        <x:v>A. Incorrect. Vague encouragement is not an actionable plan.
B. Correct. A useful plan is concrete, personalized, accessible, and linked to escalating levels of support.
C. Incorrect. No plan can guarantee the absence of future suicidal thoughts.
D. Incorrect. Emergency services should not be delayed by an exclusive-contact requirement.</x:v>
      </x:c>
      <x:c r="P226" s="192" t="str">
        <x:v>Strong safety plans specify what the client will notice and do at each step.</x:v>
      </x:c>
      <x:c r="Q226" s="194" t="str">
        <x:v>CTA LMFT WB6; Pearson VUE LMFT Outline Area 3</x:v>
      </x:c>
    </x:row>
    <x:row r="227">
      <x:c r="A227" s="191" t="str">
        <x:v>CTA-LMFT-MQB-0226</x:v>
      </x:c>
      <x:c r="B227" s="192" t="str">
        <x:v>LMFT-MQB-FA-CR-016</x:v>
      </x:c>
      <x:c r="C227" s="192" t="str">
        <x:v>Comprehensive Simulation</x:v>
      </x:c>
      <x:c r="D227" s="192" t="str">
        <x:v>Form A</x:v>
      </x:c>
      <x:c r="E227" s="192" t="str">
        <x:v>After a wildfire evacuation, a family loses housing. One parent has no access to prescribed medication, a teenager is threatening self-harm, and the younger child is separated from a caregiver. What should the LMFT do FIRST?</x:v>
      </x:c>
      <x:c r="F227" s="192" t="str">
        <x:v>Wait until permanent housing is found before intervening.</x:v>
      </x:c>
      <x:c r="G227" s="192" t="str">
        <x:v>Triage immediate suicide risk and medical needs, mobilize emergency resources and reunification supports, and then organize short-term family stabilization.</x:v>
      </x:c>
      <x:c r="H227" s="192" t="str">
        <x:v>Choose one family member as the identified patient and ignore the others.</x:v>
      </x:c>
      <x:c r="I227" s="192" t="str">
        <x:v>Begin processing the family’s grief in depth.</x:v>
      </x:c>
      <x:c r="J227" s="192" t="str">
        <x:v>B</x:v>
      </x:c>
      <x:c r="K227" s="192" t="str">
        <x:v>Incorrect. Crisis support is needed before permanent resolution.</x:v>
      </x:c>
      <x:c r="L227" s="192" t="str">
        <x:v>Correct. Multiple urgent needs require triage based on lethality, medical stability, and basic safety before longer-term therapy.</x:v>
      </x:c>
      <x:c r="M227" s="192" t="str">
        <x:v>Incorrect. Systemic care still requires prioritization across family members.</x:v>
      </x:c>
      <x:c r="N227" s="192" t="str">
        <x:v>Incorrect. Deep processing is premature during acute instability.</x:v>
      </x:c>
      <x:c r="O227" s="192" t="str">
        <x:v>A. Incorrect. Crisis support is needed before permanent resolution.
B. Correct. Multiple urgent needs require triage based on lethality, medical stability, and basic safety before longer-term therapy.
C. Incorrect. Systemic care still requires prioritization across family members.
D. Incorrect. Deep processing is premature during acute instability.</x:v>
      </x:c>
      <x:c r="P227" s="192" t="str">
        <x:v>Integrated crisis questions reward triage: lethal risk, medical danger, basic needs, then stabilization and recovery.</x:v>
      </x:c>
      <x:c r="Q227" s="194" t="str">
        <x:v>CTA LMFT WB6; CTA LMFT WB10; Pearson VUE LMFT Outline Area 3</x:v>
      </x:c>
    </x:row>
    <x:row r="228">
      <x:c r="A228" s="191" t="str">
        <x:v>CTA-LMFT-MQB-0227</x:v>
      </x:c>
      <x:c r="B228" s="192" t="str">
        <x:v>LMFT-MQB-FA-CE-009</x:v>
      </x:c>
      <x:c r="C228" s="192" t="str">
        <x:v>Comprehensive Simulation</x:v>
      </x:c>
      <x:c r="D228" s="192" t="str">
        <x:v>Form A</x:v>
      </x:c>
      <x:c r="E228" s="192" t="str">
        <x:v>A client reports new restlessness and insomnia two days after a medication dose was increased. What is the BEST evaluation response?</x:v>
      </x:c>
      <x:c r="F228" s="192" t="str">
        <x:v>Tell the client to stop the medication immediately.</x:v>
      </x:c>
      <x:c r="G228" s="192" t="str">
        <x:v>Ignore the change until the next treatment-plan review.</x:v>
      </x:c>
      <x:c r="H228" s="192" t="str">
        <x:v>Clarify the timing, severity, prescriber instructions, and safety impact, and coordinate appropriate medical follow-up within the therapist’s role.</x:v>
      </x:c>
      <x:c r="I228" s="192" t="str">
        <x:v>Assume the symptoms are psychological because the client is in therapy.</x:v>
      </x:c>
      <x:c r="J228" s="192" t="str">
        <x:v>C</x:v>
      </x:c>
      <x:c r="K228" s="192" t="str">
        <x:v>Incorrect. Medication changes should be directed by an authorized prescriber unless an emergency requires immediate medical action.</x:v>
      </x:c>
      <x:c r="L228" s="192" t="str">
        <x:v>Incorrect. Delay may miss a clinically significant adverse effect.</x:v>
      </x:c>
      <x:c r="M228" s="192" t="str">
        <x:v>Correct. The temporal relationship and possible side effects require assessment and medical coordination without practicing outside scope.</x:v>
      </x:c>
      <x:c r="N228" s="192" t="str">
        <x:v>Incorrect. A medical or medication factor should not be dismissed.</x:v>
      </x:c>
      <x:c r="O228" s="192" t="str">
        <x:v>A. Incorrect. Medication changes should be directed by an authorized prescriber unless an emergency requires immediate medical action.
B. Incorrect. Delay may miss a clinically significant adverse effect.
C. Correct. The temporal relationship and possible side effects require assessment and medical coordination without practicing outside scope.
D. Incorrect. A medical or medication factor should not be dismissed.</x:v>
      </x:c>
      <x:c r="P228" s="192" t="str">
        <x:v>When symptoms follow a medication change, assess chronology and urgency before attributing them to the primary clinical problem.</x:v>
      </x:c>
      <x:c r="Q228" s="194" t="str">
        <x:v>CTA LMFT WB2; Pearson VUE LMFT Outline Area 1</x:v>
      </x:c>
    </x:row>
    <x:row r="229">
      <x:c r="A229" s="191" t="str">
        <x:v>CTA-LMFT-MQB-0228</x:v>
      </x:c>
      <x:c r="B229" s="192" t="str">
        <x:v>LMFT-MQB-FA-CP-011</x:v>
      </x:c>
      <x:c r="C229" s="192" t="str">
        <x:v>Comprehensive Simulation</x:v>
      </x:c>
      <x:c r="D229" s="192" t="str">
        <x:v>Form A</x:v>
      </x:c>
      <x:c r="E229" s="192" t="str">
        <x:v>A couple attends regularly but reports no improvement after six sessions of skills training. What should the LMFT do NEXT?</x:v>
      </x:c>
      <x:c r="F229" s="192" t="str">
        <x:v>Review goals and outcome data, reassess the maintaining pattern and treatment fit, and revise the plan collaboratively.</x:v>
      </x:c>
      <x:c r="G229" s="192" t="str">
        <x:v>Add several unrelated techniques without changing the formulation.</x:v>
      </x:c>
      <x:c r="H229" s="192" t="str">
        <x:v>Label the couple resistant.</x:v>
      </x:c>
      <x:c r="I229" s="192" t="str">
        <x:v>Repeat the same intervention indefinitely.</x:v>
      </x:c>
      <x:c r="J229" s="192" t="str">
        <x:v>A</x:v>
      </x:c>
      <x:c r="K229" s="192" t="str">
        <x:v>Correct. Lack of predicted change should trigger reassessment and a coherent revision.</x:v>
      </x:c>
      <x:c r="L229" s="192" t="str">
        <x:v>Incorrect. Technique shopping makes the hypothesis less testable.</x:v>
      </x:c>
      <x:c r="M229" s="192" t="str">
        <x:v>Incorrect. A resistance label may obscure poor fit or missing factors.</x:v>
      </x:c>
      <x:c r="N229" s="192" t="str">
        <x:v>Incorrect. Persistence without evaluation can prolong ineffective care.</x:v>
      </x:c>
      <x:c r="O229" s="192" t="str">
        <x:v>A. Correct. Lack of predicted change should trigger reassessment and a coherent revision.
B. Incorrect. Technique shopping makes the hypothesis less testable.
C. Incorrect. A resistance label may obscure poor fit or missing factors.
D. Incorrect. Persistence without evaluation can prolong ineffective care.</x:v>
      </x:c>
      <x:c r="P229" s="192" t="str">
        <x:v>When the expected mechanism does not change, revisit the hypothesis before intensifying treatment.</x:v>
      </x:c>
      <x:c r="Q229" s="194" t="str">
        <x:v>CTA LMFT WB7; Pearson VUE LMFT Outline Area 4</x:v>
      </x:c>
    </x:row>
    <x:row r="230">
      <x:c r="A230" s="191" t="str">
        <x:v>CTA-LMFT-MQB-0229</x:v>
      </x:c>
      <x:c r="B230" s="192" t="str">
        <x:v>LMFT-MQB-FA-TX-015</x:v>
      </x:c>
      <x:c r="C230" s="192" t="str">
        <x:v>Comprehensive Simulation</x:v>
      </x:c>
      <x:c r="D230" s="192" t="str">
        <x:v>Form A</x:v>
      </x:c>
      <x:c r="E230" s="192" t="str">
        <x:v>A client concludes, “One disagreement means my partner will leave.” What is the BEST CBT intervention?</x:v>
      </x:c>
      <x:c r="F230" s="192" t="str">
        <x:v>Examine the evidence, identify the prediction, develop a more balanced alternative, and test it through behavior.</x:v>
      </x:c>
      <x:c r="G230" s="192" t="str">
        <x:v>Explore only the partner’s childhood.</x:v>
      </x:c>
      <x:c r="H230" s="192" t="str">
        <x:v>Avoid future disagreements.</x:v>
      </x:c>
      <x:c r="I230" s="192" t="str">
        <x:v>Tell the client the thought is irrational and wrong.</x:v>
      </x:c>
      <x:c r="J230" s="192" t="str">
        <x:v>A</x:v>
      </x:c>
      <x:c r="K230" s="192" t="str">
        <x:v>Correct. Collaborative examination and testing reduce certainty in catastrophic interpretations.</x:v>
      </x:c>
      <x:c r="L230" s="192" t="str">
        <x:v>Incorrect. Historical context may matter but does not directly test the cognition.</x:v>
      </x:c>
      <x:c r="M230" s="192" t="str">
        <x:v>Incorrect. Avoidance prevents corrective experience.</x:v>
      </x:c>
      <x:c r="N230" s="192" t="str">
        <x:v>Incorrect. Argument from the therapist may produce defensiveness rather than learning.</x:v>
      </x:c>
      <x:c r="O230" s="192" t="str">
        <x:v>A. Correct. Collaborative examination and testing reduce certainty in catastrophic interpretations.
B. Incorrect. Historical context may matter but does not directly test the cognition.
C. Incorrect. Avoidance prevents corrective experience.
D. Incorrect. Argument from the therapist may produce defensiveness rather than learning.</x:v>
      </x:c>
      <x:c r="P230" s="192" t="str">
        <x:v>CBT works best when thoughts become testable hypotheses rather than therapist-corrected errors.</x:v>
      </x:c>
      <x:c r="Q230" s="194" t="str">
        <x:v>CTA LMFT WB9; CTA LMFT WB11; Pearson VUE LMFT Outline Area 5</x:v>
      </x:c>
    </x:row>
    <x:row r="231">
      <x:c r="A231" s="191" t="str">
        <x:v>CTA-LMFT-MQB-0230</x:v>
      </x:c>
      <x:c r="B231" s="192" t="str">
        <x:v>LMFT-MQB-FA-CE-034</x:v>
      </x:c>
      <x:c r="C231" s="192" t="str">
        <x:v>Comprehensive Simulation</x:v>
      </x:c>
      <x:c r="D231" s="192" t="str">
        <x:v>Form A</x:v>
      </x:c>
      <x:c r="E231" s="192" t="str">
        <x:v>A client develops panic-like episodes after a recent cardiac procedure and avoids activity for fear of another episode. What should the LMFT do NEXT?</x:v>
      </x:c>
      <x:c r="F231" s="192" t="str">
        <x:v>Clarify medical follow-up and symptom timing, assess panic and trauma responses, and coordinate with medical providers before assuming a purely psychological cause.</x:v>
      </x:c>
      <x:c r="G231" s="192" t="str">
        <x:v>Diagnose panic disorder solely because fear recurs.</x:v>
      </x:c>
      <x:c r="H231" s="192" t="str">
        <x:v>Reassure the client that all symptoms are harmless.</x:v>
      </x:c>
      <x:c r="I231" s="192" t="str">
        <x:v>Use exposure immediately without confirming medical guidance.</x:v>
      </x:c>
      <x:c r="J231" s="192" t="str">
        <x:v>A</x:v>
      </x:c>
      <x:c r="K231" s="192" t="str">
        <x:v>Correct. The therapist must integrate medical status, trauma meaning, and anxiety mechanisms before selecting treatment.</x:v>
      </x:c>
      <x:c r="L231" s="192" t="str">
        <x:v>Incorrect. A diagnosis requires rule-outs and full criteria.</x:v>
      </x:c>
      <x:c r="M231" s="192" t="str">
        <x:v>Incorrect. The therapist cannot guarantee that all symptoms are benign.</x:v>
      </x:c>
      <x:c r="N231" s="192" t="str">
        <x:v>Incorrect. Activity recommendations may depend on medical status.</x:v>
      </x:c>
      <x:c r="O231" s="192" t="str">
        <x:v>A. Correct. The therapist must integrate medical status, trauma meaning, and anxiety mechanisms before selecting treatment.
B. Incorrect. A diagnosis requires rule-outs and full criteria.
C. Incorrect. The therapist cannot guarantee that all symptoms are benign.
D. Incorrect. Activity recommendations may depend on medical status.</x:v>
      </x:c>
      <x:c r="P231" s="192" t="str">
        <x:v>When bodily symptoms follow a medical event, combine medical coordination with psychological assessment.</x:v>
      </x:c>
      <x:c r="Q231" s="194" t="str">
        <x:v>CTA LMFT WB2; CTA LMFT WB5; Pearson VUE LMFT Outline Area 1</x:v>
      </x:c>
    </x:row>
    <x:row r="232">
      <x:c r="A232" s="191" t="str">
        <x:v>CTA-LMFT-MQB-0231</x:v>
      </x:c>
      <x:c r="B232" s="192" t="str">
        <x:v>LMFT-MQB-FA-TX-013</x:v>
      </x:c>
      <x:c r="C232" s="192" t="str">
        <x:v>Comprehensive Simulation</x:v>
      </x:c>
      <x:c r="D232" s="192" t="str">
        <x:v>Form A</x:v>
      </x:c>
      <x:c r="E232" s="192" t="str">
        <x:v>A parent repeatedly asks a 10-year-old to mediate marital conflict. Which intervention is MOST appropriate?</x:v>
      </x:c>
      <x:c r="F232" s="192" t="str">
        <x:v>Ask the child to choose which parent is correct.</x:v>
      </x:c>
      <x:c r="G232" s="192" t="str">
        <x:v>Treat the pattern as harmless closeness.</x:v>
      </x:c>
      <x:c r="H232" s="192" t="str">
        <x:v>Strengthen the parental subsystem and redirect conflict resolution away from the child.</x:v>
      </x:c>
      <x:c r="I232" s="192" t="str">
        <x:v>Teach the child more advanced mediation.</x:v>
      </x:c>
      <x:c r="J232" s="192" t="str">
        <x:v>C</x:v>
      </x:c>
      <x:c r="K232" s="192" t="str">
        <x:v>Incorrect. Choosing sides increases triangulation.</x:v>
      </x:c>
      <x:c r="L232" s="192" t="str">
        <x:v>Incorrect. Closeness does not justify a burdensome role.</x:v>
      </x:c>
      <x:c r="M232" s="192" t="str">
        <x:v>Correct. The child is in an inappropriate cross-generational role, and the adult boundary needs reorganization.</x:v>
      </x:c>
      <x:c r="N232" s="192" t="str">
        <x:v>Incorrect. More mediation deepens parentification.</x:v>
      </x:c>
      <x:c r="O232" s="192" t="str">
        <x:v>A. Incorrect. Choosing sides increases triangulation.
B. Incorrect. Closeness does not justify a burdensome role.
C. Correct. The child is in an inappropriate cross-generational role, and the adult boundary needs reorganization.
D. Incorrect. More mediation deepens parentification.</x:v>
      </x:c>
      <x:c r="P232" s="192" t="str">
        <x:v>Structural questions often ask which boundary or hierarchy must change.</x:v>
      </x:c>
      <x:c r="Q232" s="194" t="str">
        <x:v>CTA LMFT WB8; CTA LMFT WB11; Pearson VUE LMFT Outline Area 5</x:v>
      </x:c>
    </x:row>
    <x:row r="233">
      <x:c r="A233" s="191" t="str">
        <x:v>CTA-LMFT-MQB-0232</x:v>
      </x:c>
      <x:c r="B233" s="192" t="str">
        <x:v>LMFT-MQB-FA-LE-002</x:v>
      </x:c>
      <x:c r="C233" s="192" t="str">
        <x:v>Comprehensive Simulation</x:v>
      </x:c>
      <x:c r="D233" s="192" t="str">
        <x:v>Form A</x:v>
      </x:c>
      <x:c r="E233" s="192" t="str">
        <x:v>When a lawful disclosure is permitted or required, what information should the LMFT generally disclose?</x:v>
      </x:c>
      <x:c r="F233" s="192" t="str">
        <x:v>The complete record in every case.</x:v>
      </x:c>
      <x:c r="G233" s="192" t="str">
        <x:v>No information under any circumstances.</x:v>
      </x:c>
      <x:c r="H233" s="192" t="str">
        <x:v>Only the information reasonably necessary for the authorized or protective purpose.</x:v>
      </x:c>
      <x:c r="I233" s="192" t="str">
        <x:v>Whatever the requester says would be helpful.</x:v>
      </x:c>
      <x:c r="J233" s="192" t="str">
        <x:v>C</x:v>
      </x:c>
      <x:c r="K233" s="192" t="str">
        <x:v>Incorrect. The whole record may exceed the need.</x:v>
      </x:c>
      <x:c r="L233" s="192" t="str">
        <x:v>Incorrect. Confidentiality has recognized exceptions and authorizations.</x:v>
      </x:c>
      <x:c r="M233" s="192" t="str">
        <x:v>Correct. Purpose-limited disclosure protects privacy while meeting the applicable duty.</x:v>
      </x:c>
      <x:c r="N233" s="192" t="str">
        <x:v>Incorrect. The requester’s preference does not define the lawful scope.</x:v>
      </x:c>
      <x:c r="O233" s="192" t="str">
        <x:v>A. Incorrect. The whole record may exceed the need.
B. Incorrect. Confidentiality has recognized exceptions and authorizations.
C. Correct. Purpose-limited disclosure protects privacy while meeting the applicable duty.
D. Incorrect. The requester’s preference does not define the lawful scope.</x:v>
      </x:c>
      <x:c r="P233" s="192" t="str">
        <x:v>First identify the authority and purpose, then limit the disclosure to that purpose.</x:v>
      </x:c>
      <x:c r="Q233" s="194" t="str">
        <x:v>CTA LMFT WB12; Pearson VUE LMFT Outline Area 6</x:v>
      </x:c>
    </x:row>
    <x:row r="234">
      <x:c r="A234" s="191" t="str">
        <x:v>CTA-LMFT-MQB-0233</x:v>
      </x:c>
      <x:c r="B234" s="192" t="str">
        <x:v>LMFT-MQB-FA-TX-020</x:v>
      </x:c>
      <x:c r="C234" s="192" t="str">
        <x:v>Comprehensive Simulation</x:v>
      </x:c>
      <x:c r="D234" s="192" t="str">
        <x:v>Form A</x:v>
      </x:c>
      <x:c r="E234" s="192" t="str">
        <x:v>A spouse caring for a partner with progressive illness reports exhaustion and resentment. What is the BEST intervention focus?</x:v>
      </x:c>
      <x:c r="F234" s="192" t="str">
        <x:v>Tell the caregiver resentment is selfish.</x:v>
      </x:c>
      <x:c r="G234" s="192" t="str">
        <x:v>Validate mixed emotions, assess burden and safety, mobilize respite and support, and help the couple renegotiate roles realistically.</x:v>
      </x:c>
      <x:c r="H234" s="192" t="str">
        <x:v>Focus only on the ill partner.</x:v>
      </x:c>
      <x:c r="I234" s="192" t="str">
        <x:v>Recommend immediate separation.</x:v>
      </x:c>
      <x:c r="J234" s="192" t="str">
        <x:v>B</x:v>
      </x:c>
      <x:c r="K234" s="192" t="str">
        <x:v>Incorrect. Shaming increases isolation.</x:v>
      </x:c>
      <x:c r="L234" s="192" t="str">
        <x:v>Correct. Caregiver stress is relational and practical; support should address emotion, resources, role changes, and sustainability.</x:v>
      </x:c>
      <x:c r="M234" s="192" t="str">
        <x:v>Incorrect. Ignoring the caregiver can worsen the whole system.</x:v>
      </x:c>
      <x:c r="N234" s="192" t="str">
        <x:v>Incorrect. Separation is not the only or first response.</x:v>
      </x:c>
      <x:c r="O234" s="192" t="str">
        <x:v>A. Incorrect. Shaming increases isolation.
B. Correct. Caregiver stress is relational and practical; support should address emotion, resources, role changes, and sustainability.
C. Incorrect. Ignoring the caregiver can worsen the whole system.
D. Incorrect. Separation is not the only or first response.</x:v>
      </x:c>
      <x:c r="P234" s="192" t="str">
        <x:v>Caregiver interventions combine validation, resources, boundaries, and realistic role planning.</x:v>
      </x:c>
      <x:c r="Q234" s="194" t="str">
        <x:v>CTA LMFT WB9; CTA LMFT WB10; Pearson VUE LMFT Outline Area 5</x:v>
      </x:c>
    </x:row>
    <x:row r="235">
      <x:c r="A235" s="191" t="str">
        <x:v>CTA-LMFT-MQB-0234</x:v>
      </x:c>
      <x:c r="B235" s="192" t="str">
        <x:v>LMFT-MQB-FA-DI-005</x:v>
      </x:c>
      <x:c r="C235" s="192" t="str">
        <x:v>Comprehensive Simulation</x:v>
      </x:c>
      <x:c r="D235" s="192" t="str">
        <x:v>Form A</x:v>
      </x:c>
      <x:c r="E235" s="192" t="str">
        <x:v>A client develops anxiety and insomnia soon after a job loss and does not report a prior pattern of pervasive anxiety. What information is MOST important before deciding between an adjustment-related condition and a primary anxiety disorder?</x:v>
      </x:c>
      <x:c r="F235" s="192" t="str">
        <x:v>The therapist’s favorite treatment approach.</x:v>
      </x:c>
      <x:c r="G235" s="192" t="str">
        <x:v>Whether a family member has ever attended therapy.</x:v>
      </x:c>
      <x:c r="H235" s="192" t="str">
        <x:v>The client’s preferred diagnosis.</x:v>
      </x:c>
      <x:c r="I235" s="192" t="str">
        <x:v>The timing, duration, breadth of worry, impairment, and whether symptoms persist beyond the stressor context.</x:v>
      </x:c>
      <x:c r="J235" s="192" t="str">
        <x:v>D</x:v>
      </x:c>
      <x:c r="K235" s="192" t="str">
        <x:v>Incorrect. Treatment preference should follow assessment.</x:v>
      </x:c>
      <x:c r="L235" s="192" t="str">
        <x:v>Incorrect. Family therapy history is not the key distinction.</x:v>
      </x:c>
      <x:c r="M235" s="192" t="str">
        <x:v>Incorrect. Preference can be discussed but does not establish criteria.</x:v>
      </x:c>
      <x:c r="N235" s="192" t="str">
        <x:v>Correct. The relationship between symptoms and the identifiable stressor is central to the differential.</x:v>
      </x:c>
      <x:c r="O235" s="192" t="str">
        <x:v>A. Incorrect. Treatment preference should follow assessment.
B. Incorrect. Family therapy history is not the key distinction.
C. Incorrect. Preference can be discussed but does not establish criteria.
D. Correct. The relationship between symptoms and the identifiable stressor is central to the differential.</x:v>
      </x:c>
      <x:c r="P235" s="192" t="str">
        <x:v>Compare onset and symptom pattern with the stressor rather than diagnosing from the presence of anxiety alone.</x:v>
      </x:c>
      <x:c r="Q235" s="194" t="str">
        <x:v>CTA LMFT WB5; Pearson VUE LMFT Outline Area 2</x:v>
      </x:c>
    </x:row>
    <x:row r="236">
      <x:c r="A236" s="191" t="str">
        <x:v>CTA-LMFT-MQB-0235</x:v>
      </x:c>
      <x:c r="B236" s="192" t="str">
        <x:v>LMFT-MQB-FA-TX-041</x:v>
      </x:c>
      <x:c r="C236" s="192" t="str">
        <x:v>Comprehensive Simulation</x:v>
      </x:c>
      <x:c r="D236" s="192" t="str">
        <x:v>Form A</x:v>
      </x:c>
      <x:c r="E236" s="192" t="str">
        <x:v>One autistic partner needs direct language and recovery time after conflict; the other interprets withdrawal as rejection and demands immediate discussion. What is the BEST intervention?</x:v>
      </x:c>
      <x:c r="F236" s="192" t="str">
        <x:v>Tell the nonautistic partner to stop having attachment needs.</x:v>
      </x:c>
      <x:c r="G236" s="192" t="str">
        <x:v>Require immediate eye contact and emotional discussion.</x:v>
      </x:c>
      <x:c r="H236" s="192" t="str">
        <x:v>Create a mutually agreed pause-and-return plan, use explicit communication, validate both needs, and track whether the structure reduces the pursue-withdraw cycle.</x:v>
      </x:c>
      <x:c r="I236" s="192" t="str">
        <x:v>Assume autism makes couple therapy ineffective.</x:v>
      </x:c>
      <x:c r="J236" s="192" t="str">
        <x:v>C</x:v>
      </x:c>
      <x:c r="K236" s="192" t="str">
        <x:v>Incorrect. Both partners’ needs require recognition.</x:v>
      </x:c>
      <x:c r="L236" s="192" t="str">
        <x:v>Incorrect. The demand may increase overload.</x:v>
      </x:c>
      <x:c r="M236" s="192" t="str">
        <x:v>Correct. The intervention adapts access while addressing the relational meaning and cycle for both partners.</x:v>
      </x:c>
      <x:c r="N236" s="192" t="str">
        <x:v>Incorrect. Neurodiversity does not preclude relational change.</x:v>
      </x:c>
      <x:c r="O236" s="192" t="str">
        <x:v>A. Incorrect. Both partners’ needs require recognition.
B. Incorrect. The demand may increase overload.
C. Correct. The intervention adapts access while addressing the relational meaning and cycle for both partners.
D. Incorrect. Neurodiversity does not preclude relational change.</x:v>
      </x:c>
      <x:c r="P236" s="192" t="str">
        <x:v>Adapt the process without erasing either partner’s experience.</x:v>
      </x:c>
      <x:c r="Q236" s="194" t="str">
        <x:v>CTA LMFT WB8; CTA LMFT WB10; Pearson VUE LMFT Outline Area 5</x:v>
      </x:c>
    </x:row>
    <x:row r="237">
      <x:c r="A237" s="191" t="str">
        <x:v>CTA-LMFT-MQB-0236</x:v>
      </x:c>
      <x:c r="B237" s="192" t="str">
        <x:v>LMFT-MQB-FA-CP-013</x:v>
      </x:c>
      <x:c r="C237" s="192" t="str">
        <x:v>Comprehensive Simulation</x:v>
      </x:c>
      <x:c r="D237" s="192" t="str">
        <x:v>Form A</x:v>
      </x:c>
      <x:c r="E237" s="192" t="str">
        <x:v>A client has met goals and maintained gains for several months but becomes anxious when termination is discussed. What should the LMFT do NEXT?</x:v>
      </x:c>
      <x:c r="F237" s="192" t="str">
        <x:v>Explore the meaning of termination, review progress and relapse-prevention plans, and agree on a paced ending or follow-up arrangement.</x:v>
      </x:c>
      <x:c r="G237" s="192" t="str">
        <x:v>Continue therapy indefinitely to avoid discomfort.</x:v>
      </x:c>
      <x:c r="H237" s="192" t="str">
        <x:v>Ignore the anxiety because goals were met.</x:v>
      </x:c>
      <x:c r="I237" s="192" t="str">
        <x:v>Terminate immediately to prevent dependency.</x:v>
      </x:c>
      <x:c r="J237" s="192" t="str">
        <x:v>A</x:v>
      </x:c>
      <x:c r="K237" s="192" t="str">
        <x:v>Correct. Termination is a clinical process that includes attachment, consolidation, autonomy, and planning for future needs.</x:v>
      </x:c>
      <x:c r="L237" s="192" t="str">
        <x:v>Incorrect. Avoidance can create unnecessary treatment continuation.</x:v>
      </x:c>
      <x:c r="M237" s="192" t="str">
        <x:v>Incorrect. Anxiety can be clinically meaningful even when goals are met.</x:v>
      </x:c>
      <x:c r="N237" s="192" t="str">
        <x:v>Incorrect. Abrupt ending may disregard the therapeutic relationship.</x:v>
      </x:c>
      <x:c r="O237" s="192" t="str">
        <x:v>A. Correct. Termination is a clinical process that includes attachment, consolidation, autonomy, and planning for future needs.
B. Incorrect. Avoidance can create unnecessary treatment continuation.
C. Incorrect. Anxiety can be clinically meaningful even when goals are met.
D. Incorrect. Abrupt ending may disregard the therapeutic relationship.</x:v>
      </x:c>
      <x:c r="P237" s="192" t="str">
        <x:v>Meeting goals initiates termination work; it does not eliminate the need to process the ending.</x:v>
      </x:c>
      <x:c r="Q237" s="194" t="str">
        <x:v>CTA LMFT WB7; Pearson VUE LMFT Outline Area 4</x:v>
      </x:c>
    </x:row>
    <x:row r="238">
      <x:c r="A238" s="191" t="str">
        <x:v>CTA-LMFT-MQB-0237</x:v>
      </x:c>
      <x:c r="B238" s="192" t="str">
        <x:v>LMFT-MQB-FA-LE-015</x:v>
      </x:c>
      <x:c r="C238" s="192" t="str">
        <x:v>Comprehensive Simulation</x:v>
      </x:c>
      <x:c r="D238" s="192" t="str">
        <x:v>Form A</x:v>
      </x:c>
      <x:c r="E238" s="192" t="str">
        <x:v>A therapist treating a child in a high-conflict custody case is asked by one parent to write a declaration recommending custody changes. The therapist has not conducted a custody evaluation and has limited information from the other parent. What should the therapist do?</x:v>
      </x:c>
      <x:c r="F238" s="192" t="str">
        <x:v>Clarify the treating role, decline an unsupported custody recommendation, provide only appropriate factual treatment information when authorized or required, and refer evaluation questions to a qualified neutral professional.</x:v>
      </x:c>
      <x:c r="G238" s="192" t="str">
        <x:v>Adopt the child’s current preference as the custody conclusion.</x:v>
      </x:c>
      <x:c r="H238" s="192" t="str">
        <x:v>Write the recommendation because the parent pays for therapy.</x:v>
      </x:c>
      <x:c r="I238" s="192" t="str">
        <x:v>End the child’s treatment immediately.</x:v>
      </x:c>
      <x:c r="J238" s="192" t="str">
        <x:v>A</x:v>
      </x:c>
      <x:c r="K238" s="192" t="str">
        <x:v>Correct. Treating and forensic roles require different methods, data, and neutrality; the therapist should remain within role and competence.</x:v>
      </x:c>
      <x:c r="L238" s="192" t="str">
        <x:v>Incorrect. A child’s preference is relevant but not a complete custody evaluation.</x:v>
      </x:c>
      <x:c r="M238" s="192" t="str">
        <x:v>Incorrect. Payment does not determine professional opinion.</x:v>
      </x:c>
      <x:c r="N238" s="192" t="str">
        <x:v>Incorrect. Role clarification does not automatically require abandoning treatment.</x:v>
      </x:c>
      <x:c r="O238" s="192" t="str">
        <x:v>A. Correct. Treating and forensic roles require different methods, data, and neutrality; the therapist should remain within role and competence.
B. Incorrect. A child’s preference is relevant but not a complete custody evaluation.
C. Incorrect. Payment does not determine professional opinion.
D. Incorrect. Role clarification does not automatically require abandoning treatment.</x:v>
      </x:c>
      <x:c r="P238" s="192" t="str">
        <x:v>Do not let a treating relationship drift into an unsupported forensic role.</x:v>
      </x:c>
      <x:c r="Q238" s="194" t="str">
        <x:v>CTA LMFT WB12; Pearson VUE LMFT Outline Area 6</x:v>
      </x:c>
    </x:row>
    <x:row r="239">
      <x:c r="A239" s="191" t="str">
        <x:v>CTA-LMFT-MQB-0238</x:v>
      </x:c>
      <x:c r="B239" s="192" t="str">
        <x:v>LMFT-MQB-FA-TX-029</x:v>
      </x:c>
      <x:c r="C239" s="192" t="str">
        <x:v>Comprehensive Simulation</x:v>
      </x:c>
      <x:c r="D239" s="192" t="str">
        <x:v>Form A</x:v>
      </x:c>
      <x:c r="E239" s="192" t="str">
        <x:v>Two group members begin criticizing each other, and the rest of the group becomes silent. What should the facilitator do NEXT?</x:v>
      </x:c>
      <x:c r="F239" s="192" t="str">
        <x:v>Remove both members immediately.</x:v>
      </x:c>
      <x:c r="G239" s="192" t="str">
        <x:v>Slow the exchange, clarify safety and norms, help members describe the process and impact, and invite the group back into constructive participation.</x:v>
      </x:c>
      <x:c r="H239" s="192" t="str">
        <x:v>Change the topic without acknowledgment.</x:v>
      </x:c>
      <x:c r="I239" s="192" t="str">
        <x:v>Let the conflict continue until one member wins.</x:v>
      </x:c>
      <x:c r="J239" s="192" t="str">
        <x:v>B</x:v>
      </x:c>
      <x:c r="K239" s="192" t="str">
        <x:v>Incorrect. Immediate removal is often disproportionate.</x:v>
      </x:c>
      <x:c r="L239" s="192" t="str">
        <x:v>Correct. Managed conflict can be therapeutic when the facilitator protects safety and makes the group process explicit.</x:v>
      </x:c>
      <x:c r="M239" s="192" t="str">
        <x:v>Incorrect. Avoidance teaches the group that conflict cannot be addressed.</x:v>
      </x:c>
      <x:c r="N239" s="192" t="str">
        <x:v>Incorrect. Uncontained conflict may damage cohesion.</x:v>
      </x:c>
      <x:c r="O239" s="192" t="str">
        <x:v>A. Incorrect. Immediate removal is often disproportionate.
B. Correct. Managed conflict can be therapeutic when the facilitator protects safety and makes the group process explicit.
C. Incorrect. Avoidance teaches the group that conflict cannot be addressed.
D. Incorrect. Uncontained conflict may damage cohesion.</x:v>
      </x:c>
      <x:c r="P239" s="192" t="str">
        <x:v>Use conflict as process material only after setting limits and restoring safety.</x:v>
      </x:c>
      <x:c r="Q239" s="194" t="str">
        <x:v>CTA LMFT WB11; Pearson VUE LMFT Outline Area 5</x:v>
      </x:c>
    </x:row>
    <x:row r="240">
      <x:c r="A240" s="191" t="str">
        <x:v>CTA-LMFT-MQB-0239</x:v>
      </x:c>
      <x:c r="B240" s="192" t="str">
        <x:v>LMFT-MQB-FA-DI-009</x:v>
      </x:c>
      <x:c r="C240" s="192" t="str">
        <x:v>Comprehensive Simulation</x:v>
      </x:c>
      <x:c r="D240" s="192" t="str">
        <x:v>Form A</x:v>
      </x:c>
      <x:c r="E240" s="192" t="str">
        <x:v>A client has sudden episodes of intense fear after a robbery and also avoids the location, has intrusive memories, and remains hypervigilant. What is the BEST diagnostic approach?</x:v>
      </x:c>
      <x:c r="F240" s="192" t="str">
        <x:v>Assess the full trauma-related symptom pattern and chronology rather than diagnosing panic disorder from the episodes alone.</x:v>
      </x:c>
      <x:c r="G240" s="192" t="str">
        <x:v>Assume panic attacks always indicate panic disorder.</x:v>
      </x:c>
      <x:c r="H240" s="192" t="str">
        <x:v>Ignore the robbery because it occurred in the past.</x:v>
      </x:c>
      <x:c r="I240" s="192" t="str">
        <x:v>Diagnose a phobia solely from location avoidance.</x:v>
      </x:c>
      <x:c r="J240" s="192" t="str">
        <x:v>A</x:v>
      </x:c>
      <x:c r="K240" s="192" t="str">
        <x:v>Correct. Panic-like episodes can occur within trauma-related disorders, and the broader syndrome is diagnostically important.</x:v>
      </x:c>
      <x:c r="L240" s="192" t="str">
        <x:v>Incorrect. Panic attacks are transdiagnostic.</x:v>
      </x:c>
      <x:c r="M240" s="192" t="str">
        <x:v>Incorrect. The event may organize the entire symptom pattern.</x:v>
      </x:c>
      <x:c r="N240" s="192" t="str">
        <x:v>Incorrect. Avoidance is only one feature and requires context.</x:v>
      </x:c>
      <x:c r="O240" s="192" t="str">
        <x:v>A. Correct. Panic-like episodes can occur within trauma-related disorders, and the broader syndrome is diagnostically important.
B. Incorrect. Panic attacks are transdiagnostic.
C. Incorrect. The event may organize the entire symptom pattern.
D. Incorrect. Avoidance is only one feature and requires context.</x:v>
      </x:c>
      <x:c r="P240" s="192" t="str">
        <x:v>Do not diagnose from the most dramatic symptom when a larger syndrome may explain it.</x:v>
      </x:c>
      <x:c r="Q240" s="194" t="str">
        <x:v>CTA LMFT WB5; Pearson VUE LMFT Outline Area 2</x:v>
      </x:c>
    </x:row>
    <x:row r="241">
      <x:c r="A241" s="191" t="str">
        <x:v>CTA-LMFT-MQB-0240</x:v>
      </x:c>
      <x:c r="B241" s="192" t="str">
        <x:v>LMFT-MQB-FA-TX-032</x:v>
      </x:c>
      <x:c r="C241" s="192" t="str">
        <x:v>Comprehensive Simulation</x:v>
      </x:c>
      <x:c r="D241" s="192" t="str">
        <x:v>Form A</x:v>
      </x:c>
      <x:c r="E241" s="192" t="str">
        <x:v>A client treated for panic has completed exposure homework consistently, but episodes occur only after episodes of low blood sugar. What should the therapist do NEXT?</x:v>
      </x:c>
      <x:c r="F241" s="192" t="str">
        <x:v>Ignore the physiological pattern.</x:v>
      </x:c>
      <x:c r="G241" s="192" t="str">
        <x:v>Increase exposure intensity.</x:v>
      </x:c>
      <x:c r="H241" s="192" t="str">
        <x:v>Reassess the formulation and coordinate medical evaluation rather than intensifying exposure based on an inaccurate hypothesis.</x:v>
      </x:c>
      <x:c r="I241" s="192" t="str">
        <x:v>Conclude the client is secretly avoiding treatment.</x:v>
      </x:c>
      <x:c r="J241" s="192" t="str">
        <x:v>C</x:v>
      </x:c>
      <x:c r="K241" s="192" t="str">
        <x:v>Incorrect. The medical pattern is clinically significant.</x:v>
      </x:c>
      <x:c r="L241" s="192" t="str">
        <x:v>Incorrect. More of a mismatched intervention may not help.</x:v>
      </x:c>
      <x:c r="M241" s="192" t="str">
        <x:v>Correct. Outcome and chronology suggest the original formulation may be incomplete or incorrect.</x:v>
      </x:c>
      <x:c r="N241" s="192" t="str">
        <x:v>Incorrect. Adherence argues against a simple avoidance explanation.</x:v>
      </x:c>
      <x:c r="O241" s="192" t="str">
        <x:v>A. Incorrect. The medical pattern is clinically significant.
B. Incorrect. More of a mismatched intervention may not help.
C. Correct. Outcome and chronology suggest the original formulation may be incomplete or incorrect.
D. Incorrect. Adherence argues against a simple avoidance explanation.</x:v>
      </x:c>
      <x:c r="P241" s="192" t="str">
        <x:v>Nonresponse plus disconfirming data should change the hypothesis.</x:v>
      </x:c>
      <x:c r="Q241" s="194" t="str">
        <x:v>CTA LMFT WB5; CTA LMFT WB7; CTA LMFT WB9; Pearson VUE LMFT Outline Area 5</x:v>
      </x:c>
    </x:row>
    <x:row r="242">
      <x:c r="A242" s="191" t="str">
        <x:v>CTA-LMFT-MQB-0241</x:v>
      </x:c>
      <x:c r="B242" s="192" t="str">
        <x:v>LMFT-MQB-FA-CE-029</x:v>
      </x:c>
      <x:c r="C242" s="192" t="str">
        <x:v>Comprehensive Simulation</x:v>
      </x:c>
      <x:c r="D242" s="192" t="str">
        <x:v>Form A</x:v>
      </x:c>
      <x:c r="E242" s="192" t="str">
        <x:v>A couple reports “mutual fighting,” and one partner becomes visibly fearful when the other describes what happens at home. What should the LMFT do NEXT?</x:v>
      </x:c>
      <x:c r="F242" s="192" t="str">
        <x:v>Assume equal responsibility because both used the word “mutual.”</x:v>
      </x:c>
      <x:c r="G242" s="192" t="str">
        <x:v>Teach time-out skills in the joint session immediately.</x:v>
      </x:c>
      <x:c r="H242" s="192" t="str">
        <x:v>Ask the more verbal partner to explain the conflict for both.</x:v>
      </x:c>
      <x:c r="I242" s="192" t="str">
        <x:v>Arrange separate, behaviorally specific safety assessment before continuing routine conjoint work.</x:v>
      </x:c>
      <x:c r="J242" s="192" t="str">
        <x:v>D</x:v>
      </x:c>
      <x:c r="K242" s="192" t="str">
        <x:v>Incorrect. Shared labeling does not establish symmetry.</x:v>
      </x:c>
      <x:c r="L242" s="192" t="str">
        <x:v>Incorrect. Joint skill work can be unsafe before violence and coercion are understood.</x:v>
      </x:c>
      <x:c r="M242" s="192" t="str">
        <x:v>Incorrect. The more dominant account may obscure risk.</x:v>
      </x:c>
      <x:c r="N242" s="192" t="str">
        <x:v>Correct. Fear and possible coercion require private assessment of violence, control, danger, and appropriateness of conjoint treatment.</x:v>
      </x:c>
      <x:c r="O242" s="192" t="str">
        <x:v>A. Incorrect. Shared labeling does not establish symmetry.
B. Incorrect. Joint skill work can be unsafe before violence and coercion are understood.
C. Incorrect. The more dominant account may obscure risk.
D. Correct. Fear and possible coercion require private assessment of violence, control, danger, and appropriateness of conjoint treatment.</x:v>
      </x:c>
      <x:c r="P242" s="192" t="str">
        <x:v>When fear or coercion appears, assess separately before assuming ordinary couple conflict.</x:v>
      </x:c>
      <x:c r="Q242" s="194" t="str">
        <x:v>CTA LMFT WB4; CTA LMFT WB6; Pearson VUE LMFT Outline Area 1</x:v>
      </x:c>
    </x:row>
    <x:row r="243">
      <x:c r="A243" s="191" t="str">
        <x:v>CTA-LMFT-MQB-0242</x:v>
      </x:c>
      <x:c r="B243" s="192" t="str">
        <x:v>LMFT-MQB-FA-LE-013</x:v>
      </x:c>
      <x:c r="C243" s="192" t="str">
        <x:v>Comprehensive Simulation</x:v>
      </x:c>
      <x:c r="D243" s="192" t="str">
        <x:v>Form A</x:v>
      </x:c>
      <x:c r="E243" s="192" t="str">
        <x:v>An LMFT must stop practicing unexpectedly because of a serious illness. What should be done?</x:v>
      </x:c>
      <x:c r="F243" s="192" t="str">
        <x:v>Activate an emergency continuity plan, arrange secure records and qualified coverage or referrals, notify clients appropriately, and address urgent-risk cases first.</x:v>
      </x:c>
      <x:c r="G243" s="192" t="str">
        <x:v>Send all records to a colleague without authorization or lawful basis.</x:v>
      </x:c>
      <x:c r="H243" s="192" t="str">
        <x:v>Wait until recovery before notifying anyone.</x:v>
      </x:c>
      <x:c r="I243" s="192" t="str">
        <x:v>Disappear to protect privacy.</x:v>
      </x:c>
      <x:c r="J243" s="192" t="str">
        <x:v>A</x:v>
      </x:c>
      <x:c r="K243" s="192" t="str">
        <x:v>Correct. Professional responsibility includes continuity planning even when the therapist is suddenly unavailable.</x:v>
      </x:c>
      <x:c r="L243" s="192" t="str">
        <x:v>Incorrect. Record transfer must follow privacy and authority requirements.</x:v>
      </x:c>
      <x:c r="M243" s="192" t="str">
        <x:v>Incorrect. Delay may leave clients without needed care.</x:v>
      </x:c>
      <x:c r="N243" s="192" t="str">
        <x:v>Incorrect. Silence can abandon clients and increase risk.</x:v>
      </x:c>
      <x:c r="O243" s="192" t="str">
        <x:v>A. Correct. Professional responsibility includes continuity planning even when the therapist is suddenly unavailable.
B. Incorrect. Record transfer must follow privacy and authority requirements.
C. Incorrect. Delay may leave clients without needed care.
D. Incorrect. Silence can abandon clients and increase risk.</x:v>
      </x:c>
      <x:c r="P243" s="192" t="str">
        <x:v>Unexpected impairment tests whether the practice has a real continuity plan, not merely good intentions.</x:v>
      </x:c>
      <x:c r="Q243" s="194" t="str">
        <x:v>CTA LMFT WB12; Pearson VUE LMFT Outline Area 6</x:v>
      </x:c>
    </x:row>
    <x:row r="244">
      <x:c r="A244" s="191" t="str">
        <x:v>CTA-LMFT-MQB-0243</x:v>
      </x:c>
      <x:c r="B244" s="192" t="str">
        <x:v>LMFT-MQB-FA-TX-036</x:v>
      </x:c>
      <x:c r="C244" s="192" t="str">
        <x:v>Comprehensive Simulation</x:v>
      </x:c>
      <x:c r="D244" s="192" t="str">
        <x:v>Form A</x:v>
      </x:c>
      <x:c r="E244" s="192" t="str">
        <x:v>A therapist lacks competence to continue treating a complex eating disorder, and the client fears abandonment. What should the therapist do NEXT?</x:v>
      </x:c>
      <x:c r="F244" s="192" t="str">
        <x:v>End treatment immediately after giving a phone number.</x:v>
      </x:c>
      <x:c r="G244" s="192" t="str">
        <x:v>Explain the competence concern, arrange qualified specialty care, coordinate a supported transition, and provide appropriate interim continuity.</x:v>
      </x:c>
      <x:c r="H244" s="192" t="str">
        <x:v>Continue beyond competence to preserve the alliance.</x:v>
      </x:c>
      <x:c r="I244" s="192" t="str">
        <x:v>Hide the reason for referral.</x:v>
      </x:c>
      <x:c r="J244" s="192" t="str">
        <x:v>B</x:v>
      </x:c>
      <x:c r="K244" s="192" t="str">
        <x:v>Incorrect. A bare referral may be insufficient for continuity.</x:v>
      </x:c>
      <x:c r="L244" s="192" t="str">
        <x:v>Correct. Competence and continuity require transparent, clinically supported transfer rather than either overreach or abrupt abandonment.</x:v>
      </x:c>
      <x:c r="M244" s="192" t="str">
        <x:v>Incorrect. Alliance does not justify unsafe practice.</x:v>
      </x:c>
      <x:c r="N244" s="192" t="str">
        <x:v>Incorrect. Honest explanation supports informed participation.</x:v>
      </x:c>
      <x:c r="O244" s="192" t="str">
        <x:v>A. Incorrect. A bare referral may be insufficient for continuity.
B. Correct. Competence and continuity require transparent, clinically supported transfer rather than either overreach or abrupt abandonment.
C. Incorrect. Alliance does not justify unsafe practice.
D. Incorrect. Honest explanation supports informed participation.</x:v>
      </x:c>
      <x:c r="P244" s="192" t="str">
        <x:v>Referral is an intervention when it includes explanation, linkage, coordination, and follow-through.</x:v>
      </x:c>
      <x:c r="Q244" s="194" t="str">
        <x:v>CTA LMFT WB11; CTA LMFT WB12; Pearson VUE LMFT Outline Area 5</x:v>
      </x:c>
    </x:row>
    <x:row r="245">
      <x:c r="A245" s="191" t="str">
        <x:v>CTA-LMFT-MQB-0244</x:v>
      </x:c>
      <x:c r="B245" s="192" t="str">
        <x:v>LMFT-MQB-FA-DI-006</x:v>
      </x:c>
      <x:c r="C245" s="192" t="str">
        <x:v>Comprehensive Simulation</x:v>
      </x:c>
      <x:c r="D245" s="192" t="str">
        <x:v>Form A</x:v>
      </x:c>
      <x:c r="E245" s="192" t="str">
        <x:v>A client experiences panic only during heavy cannabis use and for a short period afterward. What diagnostic question should the LMFT prioritize?</x:v>
      </x:c>
      <x:c r="F245" s="192" t="str">
        <x:v>Whether panic is common in the client’s neighborhood.</x:v>
      </x:c>
      <x:c r="G245" s="192" t="str">
        <x:v>Whether the anxiety is temporally linked to intoxication or withdrawal and occurs independently during sustained nonuse.</x:v>
      </x:c>
      <x:c r="H245" s="192" t="str">
        <x:v>Whether the client dislikes the effects.</x:v>
      </x:c>
      <x:c r="I245" s="192" t="str">
        <x:v>Whether the client’s partner approves of cannabis.</x:v>
      </x:c>
      <x:c r="J245" s="192" t="str">
        <x:v>B</x:v>
      </x:c>
      <x:c r="K245" s="192" t="str">
        <x:v>Incorrect. Community prevalence does not resolve the individual timeline.</x:v>
      </x:c>
      <x:c r="L245" s="192" t="str">
        <x:v>Correct. Temporal linkage and persistence outside substance exposure help distinguish a primary disorder from a substance-induced presentation.</x:v>
      </x:c>
      <x:c r="M245" s="192" t="str">
        <x:v>Incorrect. Dislike does not determine diagnostic origin.</x:v>
      </x:c>
      <x:c r="N245" s="192" t="str">
        <x:v>Incorrect. Partner approval is not a diagnostic criterion.</x:v>
      </x:c>
      <x:c r="O245" s="192" t="str">
        <x:v>A. Incorrect. Community prevalence does not resolve the individual timeline.
B. Correct. Temporal linkage and persistence outside substance exposure help distinguish a primary disorder from a substance-induced presentation.
C. Incorrect. Dislike does not determine diagnostic origin.
D. Incorrect. Partner approval is not a diagnostic criterion.</x:v>
      </x:c>
      <x:c r="P245" s="192" t="str">
        <x:v>Ask whether the syndrome exists when the suspected inducing factor is absent.</x:v>
      </x:c>
      <x:c r="Q245" s="194" t="str">
        <x:v>CTA LMFT WB5; Pearson VUE LMFT Outline Area 2</x:v>
      </x:c>
    </x:row>
    <x:row r="246">
      <x:c r="A246" s="191" t="str">
        <x:v>CTA-LMFT-MQB-0245</x:v>
      </x:c>
      <x:c r="B246" s="192" t="str">
        <x:v>LMFT-MQB-FA-LE-010</x:v>
      </x:c>
      <x:c r="C246" s="192" t="str">
        <x:v>Comprehensive Simulation</x:v>
      </x:c>
      <x:c r="D246" s="192" t="str">
        <x:v>Form A</x:v>
      </x:c>
      <x:c r="E246" s="192" t="str">
        <x:v>An LMFT going through a divorce becomes unusually critical of a client who is considering reconciliation. What should the therapist do NEXT?</x:v>
      </x:c>
      <x:c r="F246" s="192" t="str">
        <x:v>Ignore the reaction because therapists can compartmentalize.</x:v>
      </x:c>
      <x:c r="G246" s="192" t="str">
        <x:v>Tell the client the therapist’s spouse behaved similarly.</x:v>
      </x:c>
      <x:c r="H246" s="192" t="str">
        <x:v>Advise separation to prevent the therapist’s discomfort.</x:v>
      </x:c>
      <x:c r="I246" s="192" t="str">
        <x:v>Recognize the reaction, seek consultation or personal support, monitor clinical impact, and modify or transfer care if objectivity cannot be maintained.</x:v>
      </x:c>
      <x:c r="J246" s="192" t="str">
        <x:v>D</x:v>
      </x:c>
      <x:c r="K246" s="192" t="str">
        <x:v>Incorrect. Unexamined countertransference can affect judgment.</x:v>
      </x:c>
      <x:c r="L246" s="192" t="str">
        <x:v>Incorrect. Self-disclosure may center the therapist and reinforce bias.</x:v>
      </x:c>
      <x:c r="M246" s="192" t="str">
        <x:v>Incorrect. Advice based on personal conflict is not client-centered.</x:v>
      </x:c>
      <x:c r="N246" s="192" t="str">
        <x:v>Correct. Professional use of self requires active management of personal reactions that may distort treatment.</x:v>
      </x:c>
      <x:c r="O246" s="192" t="str">
        <x:v>A. Incorrect. Unexamined countertransference can affect judgment.
B. Incorrect. Self-disclosure may center the therapist and reinforce bias.
C. Incorrect. Advice based on personal conflict is not client-centered.
D. Correct. Professional use of self requires active management of personal reactions that may distort treatment.</x:v>
      </x:c>
      <x:c r="P246" s="192" t="str">
        <x:v>The ethical task is not to have no reactions; it is to recognize and manage them before clients are harmed.</x:v>
      </x:c>
      <x:c r="Q246" s="194" t="str">
        <x:v>CTA LMFT WB12; Pearson VUE LMFT Outline Area 6</x:v>
      </x:c>
    </x:row>
    <x:row r="247">
      <x:c r="A247" s="191" t="str">
        <x:v>CTA-LMFT-MQB-0246</x:v>
      </x:c>
      <x:c r="B247" s="192" t="str">
        <x:v>LMFT-MQB-FA-CE-027</x:v>
      </x:c>
      <x:c r="C247" s="192" t="str">
        <x:v>Comprehensive Simulation</x:v>
      </x:c>
      <x:c r="D247" s="192" t="str">
        <x:v>Form A</x:v>
      </x:c>
      <x:c r="E247" s="192" t="str">
        <x:v>During telehealth, an adolescent repeatedly looks offscreen before answering and whispers that a parent is listening nearby. What should the LMFT do NEXT?</x:v>
      </x:c>
      <x:c r="F247" s="192" t="str">
        <x:v>Tell the adolescent to confront the parent immediately.</x:v>
      </x:c>
      <x:c r="G247" s="192" t="str">
        <x:v>Clarify privacy and safety, determine whether the adolescent can speak freely, and adjust the session setting or plan before sensitive assessment.</x:v>
      </x:c>
      <x:c r="H247" s="192" t="str">
        <x:v>End therapy permanently.</x:v>
      </x:c>
      <x:c r="I247" s="192" t="str">
        <x:v>Continue asking detailed questions because the camera is on.</x:v>
      </x:c>
      <x:c r="J247" s="192" t="str">
        <x:v>B</x:v>
      </x:c>
      <x:c r="K247" s="192" t="str">
        <x:v>Incorrect. Immediate confrontation may increase risk.</x:v>
      </x:c>
      <x:c r="L247" s="192" t="str">
        <x:v>Correct. Privacy conditions affect the reliability and safety of disclosure, especially with minors and family conflict.</x:v>
      </x:c>
      <x:c r="M247" s="192" t="str">
        <x:v>Incorrect. The situation calls for problem-solving rather than automatic termination.</x:v>
      </x:c>
      <x:c r="N247" s="192" t="str">
        <x:v>Incorrect. Visual connection does not ensure privacy.</x:v>
      </x:c>
      <x:c r="O247" s="192" t="str">
        <x:v>A. Incorrect. Immediate confrontation may increase risk.
B. Correct. Privacy conditions affect the reliability and safety of disclosure, especially with minors and family conflict.
C. Incorrect. The situation calls for problem-solving rather than automatic termination.
D. Incorrect. Visual connection does not ensure privacy.</x:v>
      </x:c>
      <x:c r="P247" s="192" t="str">
        <x:v>In telehealth, assess the room, privacy, location, and who can hear before interpreting limited disclosure.</x:v>
      </x:c>
      <x:c r="Q247" s="194" t="str">
        <x:v>CTA LMFT WB2; CTA LMFT WB12; Pearson VUE LMFT Outline Area 1</x:v>
      </x:c>
    </x:row>
    <x:row r="248">
      <x:c r="A248" s="191" t="str">
        <x:v>CTA-LMFT-MQB-0247</x:v>
      </x:c>
      <x:c r="B248" s="192" t="str">
        <x:v>LMFT-MQB-FA-CE-019</x:v>
      </x:c>
      <x:c r="C248" s="192" t="str">
        <x:v>Comprehensive Simulation</x:v>
      </x:c>
      <x:c r="D248" s="192" t="str">
        <x:v>Form A</x:v>
      </x:c>
      <x:c r="E248" s="192" t="str">
        <x:v>During assessment, one parent criticizes the child, the other parent rescues the child, and the first parent then becomes more critical. What should the LMFT document?</x:v>
      </x:c>
      <x:c r="F248" s="192" t="str">
        <x:v>Proof that the child is the sole cause of the conflict.</x:v>
      </x:c>
      <x:c r="G248" s="192" t="str">
        <x:v>A definitive diagnosis for each family member.</x:v>
      </x:c>
      <x:c r="H248" s="192" t="str">
        <x:v>Evidence that the rescuing parent should control treatment.</x:v>
      </x:c>
      <x:c r="I248" s="192" t="str">
        <x:v>A recurring interaction sequence and possible coalition that may maintain the presenting problem.</x:v>
      </x:c>
      <x:c r="J248" s="192" t="str">
        <x:v>D</x:v>
      </x:c>
      <x:c r="K248" s="192" t="str">
        <x:v>Incorrect. The pattern is relational rather than proof of a single cause.</x:v>
      </x:c>
      <x:c r="L248" s="192" t="str">
        <x:v>Incorrect. Observation alone does not establish multiple diagnoses.</x:v>
      </x:c>
      <x:c r="M248" s="192" t="str">
        <x:v>Incorrect. A coalition does not confer treatment authority.</x:v>
      </x:c>
      <x:c r="N248" s="192" t="str">
        <x:v>Correct. The observed sequence provides systemic information about reciprocity, hierarchy, alliances, and escalation.</x:v>
      </x:c>
      <x:c r="O248" s="192" t="str">
        <x:v>A. Incorrect. The pattern is relational rather than proof of a single cause.
B. Incorrect. Observation alone does not establish multiple diagnoses.
C. Incorrect. A coalition does not confer treatment authority.
D. Correct. The observed sequence provides systemic information about reciprocity, hierarchy, alliances, and escalation.</x:v>
      </x:c>
      <x:c r="P248" s="192" t="str">
        <x:v>Describe who does what next and how the sequence repeats before assigning motives or blame.</x:v>
      </x:c>
      <x:c r="Q248" s="194" t="str">
        <x:v>CTA LMFT WB4; Pearson VUE LMFT Outline Area 1</x:v>
      </x:c>
    </x:row>
    <x:row r="249">
      <x:c r="A249" s="191" t="str">
        <x:v>CTA-LMFT-MQB-0248</x:v>
      </x:c>
      <x:c r="B249" s="192" t="str">
        <x:v>LMFT-MQB-FA-CP-015</x:v>
      </x:c>
      <x:c r="C249" s="192" t="str">
        <x:v>Comprehensive Simulation</x:v>
      </x:c>
      <x:c r="D249" s="192" t="str">
        <x:v>Form A</x:v>
      </x:c>
      <x:c r="E249" s="192" t="str">
        <x:v>A client has severe symptoms, but medical and substance rule-outs are still pending. What is the BEST planning approach?</x:v>
      </x:c>
      <x:c r="F249" s="192" t="str">
        <x:v>Hide the uncertainty from the client.</x:v>
      </x:c>
      <x:c r="G249" s="192" t="str">
        <x:v>Use a provisional formulation, address current safety and impairment, coordinate needed evaluations, and select interventions that remain appropriate under uncertainty.</x:v>
      </x:c>
      <x:c r="H249" s="192" t="str">
        <x:v>Choose a highly specific treatment that depends on an unconfirmed diagnosis.</x:v>
      </x:c>
      <x:c r="I249" s="192" t="str">
        <x:v>Delay all care until every diagnosis is certain.</x:v>
      </x:c>
      <x:c r="J249" s="192" t="str">
        <x:v>B</x:v>
      </x:c>
      <x:c r="K249" s="192" t="str">
        <x:v>Incorrect. Informed collaboration requires honest discussion of uncertainty.</x:v>
      </x:c>
      <x:c r="L249" s="192" t="str">
        <x:v>Correct. Treatment can begin with transparent uncertainty when the plan is safe, flexible, and tied to current needs.</x:v>
      </x:c>
      <x:c r="M249" s="192" t="str">
        <x:v>Incorrect. Overly specific treatment may be mismatched.</x:v>
      </x:c>
      <x:c r="N249" s="192" t="str">
        <x:v>Incorrect. Waiting may prolong risk and impairment.</x:v>
      </x:c>
      <x:c r="O249" s="192" t="str">
        <x:v>A. Incorrect. Informed collaboration requires honest discussion of uncertainty.
B. Correct. Treatment can begin with transparent uncertainty when the plan is safe, flexible, and tied to current needs.
C. Incorrect. Overly specific treatment may be mismatched.
D. Incorrect. Waiting may prolong risk and impairment.</x:v>
      </x:c>
      <x:c r="P249" s="192" t="str">
        <x:v>Plan around what is known now while gathering what is still needed.</x:v>
      </x:c>
      <x:c r="Q249" s="194" t="str">
        <x:v>CTA LMFT WB5; CTA LMFT WB7; Pearson VUE LMFT Outline Area 4</x:v>
      </x:c>
    </x:row>
    <x:row r="250">
      <x:c r="A250" s="191" t="str">
        <x:v>CTA-LMFT-MQB-0249</x:v>
      </x:c>
      <x:c r="B250" s="192" t="str">
        <x:v>LMFT-MQB-FA-CR-007</x:v>
      </x:c>
      <x:c r="C250" s="192" t="str">
        <x:v>Comprehensive Simulation</x:v>
      </x:c>
      <x:c r="D250" s="192" t="str">
        <x:v>Form A</x:v>
      </x:c>
      <x:c r="E250" s="192" t="str">
        <x:v>During telehealth, a client states an intention to overdose tonight, has pills nearby, and stops responding. What should the LMFT do FIRST?</x:v>
      </x:c>
      <x:c r="F250" s="192" t="str">
        <x:v>Wait ten minutes to see whether the client reconnects.</x:v>
      </x:c>
      <x:c r="G250" s="192" t="str">
        <x:v>Send an email asking the client to reschedule.</x:v>
      </x:c>
      <x:c r="H250" s="192" t="str">
        <x:v>Use the known location and emergency plan to initiate immediate emergency intervention while attempting to maintain contact.</x:v>
      </x:c>
      <x:c r="I250" s="192" t="str">
        <x:v>Contact a family member only after the next session.</x:v>
      </x:c>
      <x:c r="J250" s="192" t="str">
        <x:v>C</x:v>
      </x:c>
      <x:c r="K250" s="192" t="str">
        <x:v>Incorrect. Delay may increase danger.</x:v>
      </x:c>
      <x:c r="L250" s="192" t="str">
        <x:v>Incorrect. Routine communication is inadequate.</x:v>
      </x:c>
      <x:c r="M250" s="192" t="str">
        <x:v>Correct. The described intent, means, and loss of contact require immediate protective action.</x:v>
      </x:c>
      <x:c r="N250" s="192" t="str">
        <x:v>Incorrect. Future follow-up does not address the current emergency.</x:v>
      </x:c>
      <x:c r="O250" s="192" t="str">
        <x:v>A. Incorrect. Delay may increase danger.
B. Incorrect. Routine communication is inadequate.
C. Correct. The described intent, means, and loss of contact require immediate protective action.
D. Incorrect. Future follow-up does not address the current emergency.</x:v>
      </x:c>
      <x:c r="P250" s="192" t="str">
        <x:v>In telehealth crises, location and emergency contacts must convert assessment into action quickly.</x:v>
      </x:c>
      <x:c r="Q250" s="194" t="str">
        <x:v>CTA LMFT WB6; CTA LMFT WB12; Pearson VUE LMFT Outline Area 3</x:v>
      </x:c>
    </x:row>
    <x:row r="251">
      <x:c r="A251" s="191" t="str">
        <x:v>CTA-LMFT-MQB-0250</x:v>
      </x:c>
      <x:c r="B251" s="192" t="str">
        <x:v>LMFT-MQB-FA-CE-041</x:v>
      </x:c>
      <x:c r="C251" s="192" t="str">
        <x:v>Comprehensive Simulation</x:v>
      </x:c>
      <x:c r="D251" s="192" t="str">
        <x:v>Form A</x:v>
      </x:c>
      <x:c r="E251" s="192" t="str">
        <x:v>Separated parents request therapy for a child’s anxiety. Each demands private updates, accuses the other of abuse, and provides conflicting court documents. What is the BEST initial response?</x:v>
      </x:c>
      <x:c r="F251" s="192" t="str">
        <x:v>Clarify legal authority and the therapist’s role, review relevant documents, assess child safety, establish communication and confidentiality policies, and avoid becoming an evaluator or advocate beyond the agreed role.</x:v>
      </x:c>
      <x:c r="G251" s="192" t="str">
        <x:v>Accept the first parent’s account and begin treatment immediately.</x:v>
      </x:c>
      <x:c r="H251" s="192" t="str">
        <x:v>Write a custody recommendation after one child session.</x:v>
      </x:c>
      <x:c r="I251" s="192" t="str">
        <x:v>Promise identical private updates to both parents.</x:v>
      </x:c>
      <x:c r="J251" s="192" t="str">
        <x:v>A</x:v>
      </x:c>
      <x:c r="K251" s="192" t="str">
        <x:v>Correct. The therapist must integrate authority, safety, role boundaries, multi-party communication, and clinical evaluation before proceeding.</x:v>
      </x:c>
      <x:c r="L251" s="192" t="str">
        <x:v>Incorrect. Speed does not justify acting without authority or role clarity.</x:v>
      </x:c>
      <x:c r="M251" s="192" t="str">
        <x:v>Incorrect. A custody recommendation is a distinct evaluative role requiring appropriate competence and process.</x:v>
      </x:c>
      <x:c r="N251" s="192" t="str">
        <x:v>Incorrect. Private parallel updates may create conflicting alliances and disclosure problems.</x:v>
      </x:c>
      <x:c r="O251" s="192" t="str">
        <x:v>A. Correct. The therapist must integrate authority, safety, role boundaries, multi-party communication, and clinical evaluation before proceeding.
B. Incorrect. Speed does not justify acting without authority or role clarity.
C. Incorrect. A custody recommendation is a distinct evaluative role requiring appropriate competence and process.
D. Incorrect. Private parallel updates may create conflicting alliances and disclosure problems.</x:v>
      </x:c>
      <x:c r="P251" s="192" t="str">
        <x:v>In court-involved cases, role clarity and authority are clinical safety tools, not administrative details.</x:v>
      </x:c>
      <x:c r="Q251" s="194" t="str">
        <x:v>CTA LMFT WB2; CTA LMFT WB12; Pearson VUE LMFT Outline Area 1</x:v>
      </x:c>
    </x:row>
    <x:row r="252">
      <x:c r="A252" s="191" t="str">
        <x:v>CTA-LMFT-MQB-0251</x:v>
      </x:c>
      <x:c r="B252" s="192" t="str">
        <x:v>LMFT-MQB-FA-CP-012</x:v>
      </x:c>
      <x:c r="C252" s="192" t="str">
        <x:v>Comprehensive Simulation</x:v>
      </x:c>
      <x:c r="D252" s="192" t="str">
        <x:v>Form A</x:v>
      </x:c>
      <x:c r="E252" s="192" t="str">
        <x:v>Parents want a teenager to become more obedient, while the teenager wants help with panic at school. What should the LMFT do NEXT?</x:v>
      </x:c>
      <x:c r="F252" s="192" t="str">
        <x:v>Choose the goal that is easiest to measure.</x:v>
      </x:c>
      <x:c r="G252" s="192" t="str">
        <x:v>Adopt the teenager’s goal and exclude parents automatically.</x:v>
      </x:c>
      <x:c r="H252" s="192" t="str">
        <x:v>Adopt the parents’ goal because they consented to treatment.</x:v>
      </x:c>
      <x:c r="I252" s="192" t="str">
        <x:v>Clarify the treatment unit, assess both concerns and safety, and negotiate goals that are clinically appropriate and understandable to all participants.</x:v>
      </x:c>
      <x:c r="J252" s="192" t="str">
        <x:v>D</x:v>
      </x:c>
      <x:c r="K252" s="192" t="str">
        <x:v>Incorrect. Ease is not the basis for goal priority.</x:v>
      </x:c>
      <x:c r="L252" s="192" t="str">
        <x:v>Incorrect. Exclusion may be unnecessary and reduce systemic understanding.</x:v>
      </x:c>
      <x:c r="M252" s="192" t="str">
        <x:v>Incorrect. Parental authority does not make every requested goal clinically appropriate.</x:v>
      </x:c>
      <x:c r="N252" s="192" t="str">
        <x:v>Correct. Planning in family work requires role clarity and collaborative goals without treating one participant’s demand as automatically controlling.</x:v>
      </x:c>
      <x:c r="O252" s="192" t="str">
        <x:v>A. Incorrect. Ease is not the basis for goal priority.
B. Incorrect. Exclusion may be unnecessary and reduce systemic understanding.
C. Incorrect. Parental authority does not make every requested goal clinically appropriate.
D. Correct. Planning in family work requires role clarity and collaborative goals without treating one participant’s demand as automatically controlling.</x:v>
      </x:c>
      <x:c r="P252" s="192" t="str">
        <x:v>Separate authority from clinical appropriateness and build goals around assessed needs.</x:v>
      </x:c>
      <x:c r="Q252" s="194" t="str">
        <x:v>CTA LMFT WB7; Pearson VUE LMFT Outline Area 4</x:v>
      </x:c>
    </x:row>
    <x:row r="253">
      <x:c r="A253" s="191" t="str">
        <x:v>CTA-LMFT-MQB-0252</x:v>
      </x:c>
      <x:c r="B253" s="192" t="str">
        <x:v>LMFT-MQB-FA-CE-021</x:v>
      </x:c>
      <x:c r="C253" s="192" t="str">
        <x:v>Comprehensive Simulation</x:v>
      </x:c>
      <x:c r="D253" s="192" t="str">
        <x:v>Form A</x:v>
      </x:c>
      <x:c r="E253" s="192" t="str">
        <x:v>A transgender client reports anxiety that is strongest at work after repeated misgendering, but minimal in affirming settings. What is the BEST evaluation formulation?</x:v>
      </x:c>
      <x:c r="F253" s="192" t="str">
        <x:v>Assess anxiety symptoms while also examining minority stress, workplace context, safety, supports, and the difference across environments.</x:v>
      </x:c>
      <x:c r="G253" s="192" t="str">
        <x:v>Assume gender identity is the disorder.</x:v>
      </x:c>
      <x:c r="H253" s="192" t="str">
        <x:v>Conclude there is no clinical concern because symptoms vary by setting.</x:v>
      </x:c>
      <x:c r="I253" s="192" t="str">
        <x:v>Ignore workplace conditions and diagnose only an internal anxiety problem.</x:v>
      </x:c>
      <x:c r="J253" s="192" t="str">
        <x:v>A</x:v>
      </x:c>
      <x:c r="K253" s="192" t="str">
        <x:v>Correct. The setting-specific pattern suggests an interaction between symptoms and environmental stressors rather than pathology inherent in identity.</x:v>
      </x:c>
      <x:c r="L253" s="192" t="str">
        <x:v>Incorrect. Gender identity is not itself a disorder.</x:v>
      </x:c>
      <x:c r="M253" s="192" t="str">
        <x:v>Incorrect. Variation by setting is informative and does not eliminate impairment.</x:v>
      </x:c>
      <x:c r="N253" s="192" t="str">
        <x:v>Incorrect. Context may be central to onset and maintenance.</x:v>
      </x:c>
      <x:c r="O253" s="192" t="str">
        <x:v>A. Correct. The setting-specific pattern suggests an interaction between symptoms and environmental stressors rather than pathology inherent in identity.
B. Incorrect. Gender identity is not itself a disorder.
C. Incorrect. Variation by setting is informative and does not eliminate impairment.
D. Incorrect. Context may be central to onset and maintenance.</x:v>
      </x:c>
      <x:c r="P253" s="192" t="str">
        <x:v>Distinguish identity from distress and ask what changes across settings.</x:v>
      </x:c>
      <x:c r="Q253" s="194" t="str">
        <x:v>CTA LMFT WB3; CTA LMFT WB10; Pearson VUE LMFT Outline Area 1</x:v>
      </x:c>
    </x:row>
    <x:row r="254">
      <x:c r="A254" s="191" t="str">
        <x:v>CTA-LMFT-MQB-0253</x:v>
      </x:c>
      <x:c r="B254" s="192" t="str">
        <x:v>LMFT-MQB-FA-LE-006</x:v>
      </x:c>
      <x:c r="C254" s="192" t="str">
        <x:v>Comprehensive Simulation</x:v>
      </x:c>
      <x:c r="D254" s="192" t="str">
        <x:v>Form A</x:v>
      </x:c>
      <x:c r="E254" s="192" t="str">
        <x:v>A client sends clinical details through a scheduling-only text line. What should the LMFT do?</x:v>
      </x:c>
      <x:c r="F254" s="192" t="str">
        <x:v>Continue therapy by text because the client initiated it.</x:v>
      </x:c>
      <x:c r="G254" s="192" t="str">
        <x:v>Ignore any safety content.</x:v>
      </x:c>
      <x:c r="H254" s="192" t="str">
        <x:v>Assess any urgency, remind the client of the communication limits, redirect clinical discussion to an appropriate channel, and document the response.</x:v>
      </x:c>
      <x:c r="I254" s="192" t="str">
        <x:v>Post a public reminder about the client’s behavior.</x:v>
      </x:c>
      <x:c r="J254" s="192" t="str">
        <x:v>C</x:v>
      </x:c>
      <x:c r="K254" s="192" t="str">
        <x:v>Incorrect. Client initiation does not eliminate professional duties.</x:v>
      </x:c>
      <x:c r="L254" s="192" t="str">
        <x:v>Incorrect. Urgent information cannot be ignored.</x:v>
      </x:c>
      <x:c r="M254" s="192" t="str">
        <x:v>Correct. The therapist should manage privacy, boundaries, urgency, and records rather than treat initiation as consent to a new service format.</x:v>
      </x:c>
      <x:c r="N254" s="192" t="str">
        <x:v>Incorrect. Public communication may expose the treatment relationship.</x:v>
      </x:c>
      <x:c r="O254" s="192" t="str">
        <x:v>A. Incorrect. Client initiation does not eliminate professional duties.
B. Incorrect. Urgent information cannot be ignored.
C. Correct. The therapist should manage privacy, boundaries, urgency, and records rather than treat initiation as consent to a new service format.
D. Incorrect. Public communication may expose the treatment relationship.</x:v>
      </x:c>
      <x:c r="P254" s="192" t="str">
        <x:v>Electronic boundary questions combine urgency, privacy, channel, consent, and documentation.</x:v>
      </x:c>
      <x:c r="Q254" s="194" t="str">
        <x:v>CTA LMFT WB12; Pearson VUE LMFT Outline Area 6</x:v>
      </x:c>
    </x:row>
    <x:row r="255">
      <x:c r="A255" s="191" t="str">
        <x:v>CTA-LMFT-MQB-0254</x:v>
      </x:c>
      <x:c r="B255" s="192" t="str">
        <x:v>LMFT-MQB-FA-CE-031</x:v>
      </x:c>
      <x:c r="C255" s="192" t="str">
        <x:v>Comprehensive Simulation</x:v>
      </x:c>
      <x:c r="D255" s="192" t="str">
        <x:v>Form A</x:v>
      </x:c>
      <x:c r="E255" s="192" t="str">
        <x:v>Parents request treatment to make their adolescent “stop identifying as nonbinary.” The adolescent reports anxiety only when family members criticize the identity. What should the LMFT do FIRST?</x:v>
      </x:c>
      <x:c r="F255" s="192" t="str">
        <x:v>Agree to the parents’ goal because they initiated treatment.</x:v>
      </x:c>
      <x:c r="G255" s="192" t="str">
        <x:v>End the session without assessing family safety.</x:v>
      </x:c>
      <x:c r="H255" s="192" t="str">
        <x:v>Clarify roles and goals, assess safety and distress, affirm the adolescent’s dignity, and explore the family interaction and environmental stress without treating identity as pathology.</x:v>
      </x:c>
      <x:c r="I255" s="192" t="str">
        <x:v>Tell the adolescent to hide the identity until adulthood.</x:v>
      </x:c>
      <x:c r="J255" s="192" t="str">
        <x:v>C</x:v>
      </x:c>
      <x:c r="K255" s="192" t="str">
        <x:v>Incorrect. Referral initiation does not make a harmful goal clinically appropriate.</x:v>
      </x:c>
      <x:c r="L255" s="192" t="str">
        <x:v>Incorrect. Safety and role clarification remain necessary.</x:v>
      </x:c>
      <x:c r="M255" s="192" t="str">
        <x:v>Correct. The therapist should not pathologize identity and must assess the relational and minority-stress context while clarifying the treatment unit.</x:v>
      </x:c>
      <x:c r="N255" s="192" t="str">
        <x:v>Incorrect. Concealment may increase distress and is not a neutral clinical directive.</x:v>
      </x:c>
      <x:c r="O255" s="192" t="str">
        <x:v>A. Incorrect. Referral initiation does not make a harmful goal clinically appropriate.
B. Incorrect. Safety and role clarification remain necessary.
C. Correct. The therapist should not pathologize identity and must assess the relational and minority-stress context while clarifying the treatment unit.
D. Incorrect. Concealment may increase distress and is not a neutral clinical directive.</x:v>
      </x:c>
      <x:c r="P255" s="192" t="str">
        <x:v>Identify what is causing impairment: identity itself, or rejection, coercion, and environmental stress.</x:v>
      </x:c>
      <x:c r="Q255" s="194" t="str">
        <x:v>CTA LMFT WB3; CTA LMFT WB10; Pearson VUE LMFT Outline Area 1</x:v>
      </x:c>
    </x:row>
    <x:row r="256">
      <x:c r="A256" s="191" t="str">
        <x:v>CTA-LMFT-MQB-0255</x:v>
      </x:c>
      <x:c r="B256" s="192" t="str">
        <x:v>LMFT-MQB-FA-TX-009</x:v>
      </x:c>
      <x:c r="C256" s="192" t="str">
        <x:v>Comprehensive Simulation</x:v>
      </x:c>
      <x:c r="D256" s="192" t="str">
        <x:v>Form A</x:v>
      </x:c>
      <x:c r="E256" s="192" t="str">
        <x:v>A child says, “I am a bad kid because anger controls me.” Which response is MOST narrative-consistent?</x:v>
      </x:c>
      <x:c r="F256" s="192" t="str">
        <x:v>“Let’s ignore the story and use rewards only.”</x:v>
      </x:c>
      <x:c r="G256" s="192" t="str">
        <x:v>“Your parents caused the anger.”</x:v>
      </x:c>
      <x:c r="H256" s="192" t="str">
        <x:v>“When does the anger problem take over, and when have you been able to stand up to it?”</x:v>
      </x:c>
      <x:c r="I256" s="192" t="str">
        <x:v>“You are correct that you are bad when angry.”</x:v>
      </x:c>
      <x:c r="J256" s="192" t="str">
        <x:v>C</x:v>
      </x:c>
      <x:c r="K256" s="192" t="str">
        <x:v>Incorrect. Behavioral tools may help but the option does not use the stated approach.</x:v>
      </x:c>
      <x:c r="L256" s="192" t="str">
        <x:v>Incorrect. Narrative work does not simply assign blame elsewhere.</x:v>
      </x:c>
      <x:c r="M256" s="192" t="str">
        <x:v>Correct. Externalizing separates identity from the problem and explores unique outcomes.</x:v>
      </x:c>
      <x:c r="N256" s="192" t="str">
        <x:v>Incorrect. The response reinforces a problem-saturated identity.</x:v>
      </x:c>
      <x:c r="O256" s="192" t="str">
        <x:v>A. Incorrect. Behavioral tools may help but the option does not use the stated approach.
B. Incorrect. Narrative work does not simply assign blame elsewhere.
C. Correct. Externalizing separates identity from the problem and explores unique outcomes.
D. Incorrect. The response reinforces a problem-saturated identity.</x:v>
      </x:c>
      <x:c r="P256" s="192" t="str">
        <x:v>Separate the person from the problem and look for evidence of agency.</x:v>
      </x:c>
      <x:c r="Q256" s="194" t="str">
        <x:v>CTA LMFT WB11; Pearson VUE LMFT Outline Area 5</x:v>
      </x:c>
    </x:row>
    <x:row r="257">
      <x:c r="A257" s="191" t="str">
        <x:v>CTA-LMFT-MQB-0256</x:v>
      </x:c>
      <x:c r="B257" s="192" t="str">
        <x:v>LMFT-MQB-FA-CR-013</x:v>
      </x:c>
      <x:c r="C257" s="192" t="str">
        <x:v>Comprehensive Simulation</x:v>
      </x:c>
      <x:c r="D257" s="192" t="str">
        <x:v>Form A</x:v>
      </x:c>
      <x:c r="E257" s="192" t="str">
        <x:v>During a couple session, one partner reveals a hidden weapon and threatens the other. What should the LMFT do FIRST?</x:v>
      </x:c>
      <x:c r="F257" s="192" t="str">
        <x:v>Continue the session to avoid embarrassing the threatening partner.</x:v>
      </x:c>
      <x:c r="G257" s="192" t="str">
        <x:v>Interpret the threat as a metaphor.</x:v>
      </x:c>
      <x:c r="H257" s="192" t="str">
        <x:v>Ask each partner to use reflective listening.</x:v>
      </x:c>
      <x:c r="I257" s="192" t="str">
        <x:v>Shift immediately from conjoint therapy to emergency safety procedures, separate or evacuate participants if safely possible, and obtain emergency assistance.</x:v>
      </x:c>
      <x:c r="J257" s="192" t="str">
        <x:v>D</x:v>
      </x:c>
      <x:c r="K257" s="192" t="str">
        <x:v>Incorrect. Avoiding embarrassment cannot outweigh safety.</x:v>
      </x:c>
      <x:c r="L257" s="192" t="str">
        <x:v>Incorrect. The literal risk must be addressed before symbolic interpretation.</x:v>
      </x:c>
      <x:c r="M257" s="192" t="str">
        <x:v>Incorrect. Communication skills are not adequate to manage an armed threat.</x:v>
      </x:c>
      <x:c r="N257" s="192" t="str">
        <x:v>Correct. An active weapon threat requires immediate protective action, not relational processing.</x:v>
      </x:c>
      <x:c r="O257" s="192" t="str">
        <x:v>A. Incorrect. Avoiding embarrassment cannot outweigh safety.
B. Incorrect. The literal risk must be addressed before symbolic interpretation.
C. Incorrect. Communication skills are not adequate to manage an armed threat.
D. Correct. An active weapon threat requires immediate protective action, not relational processing.</x:v>
      </x:c>
      <x:c r="P257" s="192" t="str">
        <x:v>When a weapon appears, the treatment frame has changed; act for immediate safety.</x:v>
      </x:c>
      <x:c r="Q257" s="194" t="str">
        <x:v>CTA LMFT WB6; Pearson VUE LMFT Outline Area 3</x:v>
      </x:c>
    </x:row>
    <x:row r="258">
      <x:c r="A258" s="191" t="str">
        <x:v>CTA-LMFT-MQB-0257</x:v>
      </x:c>
      <x:c r="B258" s="192" t="str">
        <x:v>LMFT-MQB-FA-CE-011</x:v>
      </x:c>
      <x:c r="C258" s="192" t="str">
        <x:v>Comprehensive Simulation</x:v>
      </x:c>
      <x:c r="D258" s="192" t="str">
        <x:v>Form A</x:v>
      </x:c>
      <x:c r="E258" s="192" t="str">
        <x:v>A client reports drinking “only socially,” but has several unexplained work absences and a recent impaired-driving charge. What should the LMFT do?</x:v>
      </x:c>
      <x:c r="F258" s="192" t="str">
        <x:v>Accept the label “socially” as sufficient.</x:v>
      </x:c>
      <x:c r="G258" s="192" t="str">
        <x:v>Ask the client’s partner to decide whether the client has a disorder.</x:v>
      </x:c>
      <x:c r="H258" s="192" t="str">
        <x:v>Use nonjudgmental, behaviorally specific questions about amount, frequency, consequences, tolerance, withdrawal, and attempts to cut down.</x:v>
      </x:c>
      <x:c r="I258" s="192" t="str">
        <x:v>Confront the client with a substance-use diagnosis immediately.</x:v>
      </x:c>
      <x:c r="J258" s="192" t="str">
        <x:v>C</x:v>
      </x:c>
      <x:c r="K258" s="192" t="str">
        <x:v>Incorrect. The client’s label may not capture consequences or severity.</x:v>
      </x:c>
      <x:c r="L258" s="192" t="str">
        <x:v>Incorrect. Collateral information may help but does not replace clinical evaluation.</x:v>
      </x:c>
      <x:c r="M258" s="192" t="str">
        <x:v>Correct. Behaviorally specific assessment reduces reliance on labels and clarifies pattern, impact, and risk.</x:v>
      </x:c>
      <x:c r="N258" s="192" t="str">
        <x:v>Incorrect. Diagnosis should follow adequate assessment.</x:v>
      </x:c>
      <x:c r="O258" s="192" t="str">
        <x:v>A. Incorrect. The client’s label may not capture consequences or severity.
B. Incorrect. Collateral information may help but does not replace clinical evaluation.
C. Correct. Behaviorally specific assessment reduces reliance on labels and clarifies pattern, impact, and risk.
D. Incorrect. Diagnosis should follow adequate assessment.</x:v>
      </x:c>
      <x:c r="P258" s="192" t="str">
        <x:v>Translate vague labels into observable patterns, consequences, and chronology.</x:v>
      </x:c>
      <x:c r="Q258" s="194" t="str">
        <x:v>CTA LMFT WB2; Pearson VUE LMFT Outline Area 1</x:v>
      </x:c>
    </x:row>
    <x:row r="259">
      <x:c r="A259" s="191" t="str">
        <x:v>CTA-LMFT-MQB-0258</x:v>
      </x:c>
      <x:c r="B259" s="192" t="str">
        <x:v>LMFT-MQB-FA-TX-030</x:v>
      </x:c>
      <x:c r="C259" s="192" t="str">
        <x:v>Comprehensive Simulation</x:v>
      </x:c>
      <x:c r="D259" s="192" t="str">
        <x:v>Form A</x:v>
      </x:c>
      <x:c r="E259" s="192" t="str">
        <x:v>A client with a chronic psychotic disorder wants to return to part-time work despite residual symptoms. What should the therapist do NEXT?</x:v>
      </x:c>
      <x:c r="F259" s="192" t="str">
        <x:v>Promise that employment will eliminate symptoms.</x:v>
      </x:c>
      <x:c r="G259" s="192" t="str">
        <x:v>Support the goal, assess current functioning and risk, identify accommodations and supports, and coordinate with the treatment team.</x:v>
      </x:c>
      <x:c r="H259" s="192" t="str">
        <x:v>Focus only on medication compliance.</x:v>
      </x:c>
      <x:c r="I259" s="192" t="str">
        <x:v>Discourage work until all symptoms disappear.</x:v>
      </x:c>
      <x:c r="J259" s="192" t="str">
        <x:v>B</x:v>
      </x:c>
      <x:c r="K259" s="192" t="str">
        <x:v>Incorrect. Employment cannot be guaranteed to cure symptoms.</x:v>
      </x:c>
      <x:c r="L259" s="192" t="str">
        <x:v>Correct. Recovery-oriented care supports meaningful roles while managing symptoms and practical supports.</x:v>
      </x:c>
      <x:c r="M259" s="192" t="str">
        <x:v>Incorrect. Medication is only one component of recovery.</x:v>
      </x:c>
      <x:c r="N259" s="192" t="str">
        <x:v>Incorrect. Full symptom remission is not always necessary for valued activity.</x:v>
      </x:c>
      <x:c r="O259" s="192" t="str">
        <x:v>A. Incorrect. Employment cannot be guaranteed to cure symptoms.
B. Correct. Recovery-oriented care supports meaningful roles while managing symptoms and practical supports.
C. Incorrect. Medication is only one component of recovery.
D. Incorrect. Full symptom remission is not always necessary for valued activity.</x:v>
      </x:c>
      <x:c r="P259" s="192" t="str">
        <x:v>Measure recovery by meaningful functioning and self-directed goals, not only symptom absence.</x:v>
      </x:c>
      <x:c r="Q259" s="194" t="str">
        <x:v>CTA LMFT WB9; CTA LMFT WB11; Pearson VUE LMFT Outline Area 5</x:v>
      </x:c>
    </x:row>
    <x:row r="260">
      <x:c r="A260" s="191" t="str">
        <x:v>CTA-LMFT-MQB-0259</x:v>
      </x:c>
      <x:c r="B260" s="192" t="str">
        <x:v>LMFT-MQB-FA-LE-004</x:v>
      </x:c>
      <x:c r="C260" s="192" t="str">
        <x:v>Comprehensive Simulation</x:v>
      </x:c>
      <x:c r="D260" s="192" t="str">
        <x:v>Form A</x:v>
      </x:c>
      <x:c r="E260" s="192" t="str">
        <x:v>An LMFT is asked to provide a specialized service for which the therapist lacks training. What should the LMFT do?</x:v>
      </x:c>
      <x:c r="F260" s="192" t="str">
        <x:v>Explain the limitation and arrange qualified consultation, training, referral, or transfer while protecting continuity.</x:v>
      </x:c>
      <x:c r="G260" s="192" t="str">
        <x:v>Reject the client without resources.</x:v>
      </x:c>
      <x:c r="H260" s="192" t="str">
        <x:v>Claim competence because the service is related to mental health.</x:v>
      </x:c>
      <x:c r="I260" s="192" t="str">
        <x:v>Accept the case and learn through trial and error.</x:v>
      </x:c>
      <x:c r="J260" s="192" t="str">
        <x:v>A</x:v>
      </x:c>
      <x:c r="K260" s="192" t="str">
        <x:v>Correct. Scope and competence require honest limits and an active continuity plan.</x:v>
      </x:c>
      <x:c r="L260" s="192" t="str">
        <x:v>Incorrect. Abrupt rejection may create abandonment concerns.</x:v>
      </x:c>
      <x:c r="M260" s="192" t="str">
        <x:v>Incorrect. Related subject matter does not establish competence.</x:v>
      </x:c>
      <x:c r="N260" s="192" t="str">
        <x:v>Incorrect. Client care should not be the therapist’s unsupervised training experiment.</x:v>
      </x:c>
      <x:c r="O260" s="192" t="str">
        <x:v>A. Correct. Scope and competence require honest limits and an active continuity plan.
B. Incorrect. Abrupt rejection may create abandonment concerns.
C. Incorrect. Related subject matter does not establish competence.
D. Incorrect. Client care should not be the therapist’s unsupervised training experiment.</x:v>
      </x:c>
      <x:c r="P260" s="192" t="str">
        <x:v>Competence questions ask both whether the therapist can provide the service and how the client will remain supported if not.</x:v>
      </x:c>
      <x:c r="Q260" s="194" t="str">
        <x:v>CTA LMFT WB12; Pearson VUE LMFT Outline Area 6</x:v>
      </x:c>
    </x:row>
    <x:row r="261">
      <x:c r="A261" s="191" t="str">
        <x:v>CTA-LMFT-MQB-0260</x:v>
      </x:c>
      <x:c r="B261" s="192" t="str">
        <x:v>LMFT-MQB-FA-TX-039</x:v>
      </x:c>
      <x:c r="C261" s="192" t="str">
        <x:v>Comprehensive Simulation</x:v>
      </x:c>
      <x:c r="D261" s="192" t="str">
        <x:v>Form A</x:v>
      </x:c>
      <x:c r="E261" s="192" t="str">
        <x:v>A client values spiritual explanations for anxiety and also wants practical coping tools. What is the BEST approach?</x:v>
      </x:c>
      <x:c r="F261" s="192" t="str">
        <x:v>Use spiritual practices only and avoid clinical methods.</x:v>
      </x:c>
      <x:c r="G261" s="192" t="str">
        <x:v>Apply a standard protocol without asking about fit.</x:v>
      </x:c>
      <x:c r="H261" s="192" t="str">
        <x:v>Collaboratively integrate culturally congruent meaning and supports with evidence-informed coping and behavioral experiments, monitoring whether the adaptation helps.</x:v>
      </x:c>
      <x:c r="I261" s="192" t="str">
        <x:v>Require the client to abandon spiritual beliefs.</x:v>
      </x:c>
      <x:c r="J261" s="192" t="str">
        <x:v>C</x:v>
      </x:c>
      <x:c r="K261" s="192" t="str">
        <x:v>Incorrect. Spiritual resources may help but do not replace indicated assessment and treatment.</x:v>
      </x:c>
      <x:c r="L261" s="192" t="str">
        <x:v>Incorrect. Unadapted protocols may reduce relevance and access.</x:v>
      </x:c>
      <x:c r="M261" s="192" t="str">
        <x:v>Correct. Culturally responsive treatment can integrate meaning and evidence-informed methods without assuming either is sufficient alone.</x:v>
      </x:c>
      <x:c r="N261" s="192" t="str">
        <x:v>Incorrect. Dismissal can damage alliance and cultural humility.</x:v>
      </x:c>
      <x:c r="O261" s="192" t="str">
        <x:v>A. Incorrect. Spiritual resources may help but do not replace indicated assessment and treatment.
B. Incorrect. Unadapted protocols may reduce relevance and access.
C. Correct. Culturally responsive treatment can integrate meaning and evidence-informed methods without assuming either is sufficient alone.
D. Incorrect. Dismissal can damage alliance and cultural humility.</x:v>
      </x:c>
      <x:c r="P261" s="192" t="str">
        <x:v>Adapt collaboratively and evaluate outcomes rather than assuming culture and evidence are opposites.</x:v>
      </x:c>
      <x:c r="Q261" s="194" t="str">
        <x:v>CTA LMFT WB9; CTA LMFT WB10; Pearson VUE LMFT Outline Area 5</x:v>
      </x:c>
    </x:row>
    <x:row r="262">
      <x:c r="A262" s="191" t="str">
        <x:v>CTA-LMFT-MQB-0261</x:v>
      </x:c>
      <x:c r="B262" s="192" t="str">
        <x:v>LMFT-MQB-FA-CE-032</x:v>
      </x:c>
      <x:c r="C262" s="192" t="str">
        <x:v>Comprehensive Simulation</x:v>
      </x:c>
      <x:c r="D262" s="192" t="str">
        <x:v>Form A</x:v>
      </x:c>
      <x:c r="E262" s="192" t="str">
        <x:v>A trauma survivor appears to “space out” during conflict discussions and later cannot recall parts of the conversation. What should the LMFT do NEXT?</x:v>
      </x:c>
      <x:c r="F262" s="192" t="str">
        <x:v>Diagnose attention-deficit disorder immediately.</x:v>
      </x:c>
      <x:c r="G262" s="192" t="str">
        <x:v>Assume deliberate avoidance.</x:v>
      </x:c>
      <x:c r="H262" s="192" t="str">
        <x:v>Increase confrontation so the client stays focused.</x:v>
      </x:c>
      <x:c r="I262" s="192" t="str">
        <x:v>Assess triggers, awareness, memory gaps, trauma symptoms, neurological or substance factors, and current safety before assigning meaning.</x:v>
      </x:c>
      <x:c r="J262" s="192" t="str">
        <x:v>D</x:v>
      </x:c>
      <x:c r="K262" s="192" t="str">
        <x:v>Incorrect. Inattention has multiple possible causes.</x:v>
      </x:c>
      <x:c r="L262" s="192" t="str">
        <x:v>Incorrect. Intent cannot be inferred from the behavior.</x:v>
      </x:c>
      <x:c r="M262" s="192" t="str">
        <x:v>Incorrect. Confrontation may intensify dissociation or shame.</x:v>
      </x:c>
      <x:c r="N262" s="192" t="str">
        <x:v>Correct. The behavior may reflect dissociation or another condition and requires careful differential assessment and pacing.</x:v>
      </x:c>
      <x:c r="O262" s="192" t="str">
        <x:v>A. Incorrect. Inattention has multiple possible causes.
B. Incorrect. Intent cannot be inferred from the behavior.
C. Incorrect. Confrontation may intensify dissociation or shame.
D. Correct. The behavior may reflect dissociation or another condition and requires careful differential assessment and pacing.</x:v>
      </x:c>
      <x:c r="P262" s="192" t="str">
        <x:v>Describe the episode, timing, triggers, and recovery before deciding whether it is avoidance, dissociation, attention difficulty, or a medical issue.</x:v>
      </x:c>
      <x:c r="Q262" s="194" t="str">
        <x:v>CTA LMFT WB4; CTA LMFT WB5; Pearson VUE LMFT Outline Area 1</x:v>
      </x:c>
    </x:row>
    <x:row r="263">
      <x:c r="A263" s="191" t="str">
        <x:v>CTA-LMFT-MQB-0262</x:v>
      </x:c>
      <x:c r="B263" s="192" t="str">
        <x:v>LMFT-MQB-FA-CR-010</x:v>
      </x:c>
      <x:c r="C263" s="192" t="str">
        <x:v>Comprehensive Simulation</x:v>
      </x:c>
      <x:c r="D263" s="192" t="str">
        <x:v>Form A</x:v>
      </x:c>
      <x:c r="E263" s="192" t="str">
        <x:v>A client who abruptly stopped heavy alcohol use reports tremors, sweating, confusion, and seeing insects. What should the LMFT do FIRST?</x:v>
      </x:c>
      <x:c r="F263" s="192" t="str">
        <x:v>Arrange urgent medical evaluation because severe withdrawal may be life-threatening.</x:v>
      </x:c>
      <x:c r="G263" s="192" t="str">
        <x:v>Wait for the hallucinations to pass.</x:v>
      </x:c>
      <x:c r="H263" s="192" t="str">
        <x:v>Use relaxation breathing and continue outpatient therapy.</x:v>
      </x:c>
      <x:c r="I263" s="192" t="str">
        <x:v>Ask the client to resume drinking a small amount.</x:v>
      </x:c>
      <x:c r="J263" s="192" t="str">
        <x:v>A</x:v>
      </x:c>
      <x:c r="K263" s="192" t="str">
        <x:v>Correct. Confusion, autonomic symptoms, and hallucinations after abrupt cessation signal possible severe withdrawal.</x:v>
      </x:c>
      <x:c r="L263" s="192" t="str">
        <x:v>Incorrect. Delay can be dangerous.</x:v>
      </x:c>
      <x:c r="M263" s="192" t="str">
        <x:v>Incorrect. Psychotherapy is not sufficient for a medical emergency.</x:v>
      </x:c>
      <x:c r="N263" s="192" t="str">
        <x:v>Incorrect. The therapist should not prescribe alcohol use.</x:v>
      </x:c>
      <x:c r="O263" s="192" t="str">
        <x:v>A. Correct. Confusion, autonomic symptoms, and hallucinations after abrupt cessation signal possible severe withdrawal.
B. Incorrect. Delay can be dangerous.
C. Incorrect. Psychotherapy is not sufficient for a medical emergency.
D. Incorrect. The therapist should not prescribe alcohol use.</x:v>
      </x:c>
      <x:c r="P263" s="192" t="str">
        <x:v>Substance crises may be medical crises; identify the red flags and escalate care.</x:v>
      </x:c>
      <x:c r="Q263" s="194" t="str">
        <x:v>CTA LMFT WB6; Pearson VUE LMFT Outline Area 3</x:v>
      </x:c>
    </x:row>
    <x:row r="264">
      <x:c r="A264" s="191" t="str">
        <x:v>CTA-LMFT-MQB-0263</x:v>
      </x:c>
      <x:c r="B264" s="192" t="str">
        <x:v>LMFT-MQB-FA-TX-016</x:v>
      </x:c>
      <x:c r="C264" s="192" t="str">
        <x:v>Comprehensive Simulation</x:v>
      </x:c>
      <x:c r="D264" s="192" t="str">
        <x:v>Form A</x:v>
      </x:c>
      <x:c r="E264" s="192" t="str">
        <x:v>A client with trauma-related avoidance wants to begin detailed exposure immediately despite severe dissociation and no grounding skills. What should the therapist do?</x:v>
      </x:c>
      <x:c r="F264" s="192" t="str">
        <x:v>Avoid all trauma work permanently.</x:v>
      </x:c>
      <x:c r="G264" s="192" t="str">
        <x:v>Use surprise exposure to prevent avoidance.</x:v>
      </x:c>
      <x:c r="H264" s="192" t="str">
        <x:v>Explain the need for stabilization and present-focused regulation, assess readiness, and pace trauma processing to the client’s capacity.</x:v>
      </x:c>
      <x:c r="I264" s="192" t="str">
        <x:v>Proceed because faster exposure is always more effective.</x:v>
      </x:c>
      <x:c r="J264" s="192" t="str">
        <x:v>C</x:v>
      </x:c>
      <x:c r="K264" s="192" t="str">
        <x:v>Incorrect. Permanent avoidance may maintain symptoms.</x:v>
      </x:c>
      <x:c r="L264" s="192" t="str">
        <x:v>Incorrect. Surprise exposure undermines consent and safety.</x:v>
      </x:c>
      <x:c r="M264" s="192" t="str">
        <x:v>Correct. Trauma processing should occur within a window of tolerance and with sufficient safety and regulation.</x:v>
      </x:c>
      <x:c r="N264" s="192" t="str">
        <x:v>Incorrect. Overwhelming exposure can worsen dissociation and dropout.</x:v>
      </x:c>
      <x:c r="O264" s="192" t="str">
        <x:v>A. Incorrect. Permanent avoidance may maintain symptoms.
B. Incorrect. Surprise exposure undermines consent and safety.
C. Correct. Trauma processing should occur within a window of tolerance and with sufficient safety and regulation.
D. Incorrect. Overwhelming exposure can worsen dissociation and dropout.</x:v>
      </x:c>
      <x:c r="P264" s="192" t="str">
        <x:v>Trauma-informed treatment balances approach with pacing; readiness is not the same as urgency.</x:v>
      </x:c>
      <x:c r="Q264" s="194" t="str">
        <x:v>CTA LMFT WB9; Pearson VUE LMFT Outline Area 5</x:v>
      </x:c>
    </x:row>
    <x:row r="265">
      <x:c r="A265" s="191" t="str">
        <x:v>CTA-LMFT-MQB-0264</x:v>
      </x:c>
      <x:c r="B265" s="192" t="str">
        <x:v>LMFT-MQB-FA-CE-003</x:v>
      </x:c>
      <x:c r="C265" s="192" t="str">
        <x:v>Comprehensive Simulation</x:v>
      </x:c>
      <x:c r="D265" s="192" t="str">
        <x:v>Form A</x:v>
      </x:c>
      <x:c r="E265" s="192" t="str">
        <x:v>Which finding is a protective factor rather than a risk factor?</x:v>
      </x:c>
      <x:c r="F265" s="192" t="str">
        <x:v>Increasing social isolation.</x:v>
      </x:c>
      <x:c r="G265" s="192" t="str">
        <x:v>A reliable support person who can participate in a safety or care plan.</x:v>
      </x:c>
      <x:c r="H265" s="192" t="str">
        <x:v>Recent access to a lethal method.</x:v>
      </x:c>
      <x:c r="I265" s="192" t="str">
        <x:v>Escalating substance use.</x:v>
      </x:c>
      <x:c r="J265" s="192" t="str">
        <x:v>B</x:v>
      </x:c>
      <x:c r="K265" s="192" t="str">
        <x:v>Incorrect. Isolation can reduce support and increase vulnerability.</x:v>
      </x:c>
      <x:c r="L265" s="192" t="str">
        <x:v>Correct. Reliable support can increase monitoring, connection, coping, and access to help.</x:v>
      </x:c>
      <x:c r="M265" s="192" t="str">
        <x:v>Incorrect. Access to a lethal method increases potential danger.</x:v>
      </x:c>
      <x:c r="N265" s="192" t="str">
        <x:v>Incorrect. Escalating substance use can worsen judgment and risk.</x:v>
      </x:c>
      <x:c r="O265" s="192" t="str">
        <x:v>A. Incorrect. Isolation can reduce support and increase vulnerability.
B. Correct. Reliable support can increase monitoring, connection, coping, and access to help.
C. Incorrect. Access to a lethal method increases potential danger.
D. Incorrect. Escalating substance use can worsen judgment and risk.</x:v>
      </x:c>
      <x:c r="P265" s="192" t="str">
        <x:v>Protective factors do not erase risk; they are resources that can reduce vulnerability or support intervention.</x:v>
      </x:c>
      <x:c r="Q265" s="194" t="str">
        <x:v>CTA LMFT WB4; Pearson VUE LMFT Outline Area 1</x:v>
      </x:c>
    </x:row>
    <x:row r="266">
      <x:c r="A266" s="191" t="str">
        <x:v>CTA-LMFT-MQB-0265</x:v>
      </x:c>
      <x:c r="B266" s="192" t="str">
        <x:v>LMFT-MQB-FA-CR-001</x:v>
      </x:c>
      <x:c r="C266" s="192" t="str">
        <x:v>Comprehensive Simulation</x:v>
      </x:c>
      <x:c r="D266" s="192" t="str">
        <x:v>Form A</x:v>
      </x:c>
      <x:c r="E266" s="192" t="str">
        <x:v>In a crisis vignette, what generally takes priority over routine exploration and interpretation?</x:v>
      </x:c>
      <x:c r="F266" s="192" t="str">
        <x:v>Completing the planned intervention exactly as scheduled.</x:v>
      </x:c>
      <x:c r="G266" s="192" t="str">
        <x:v>Identifying the client’s deepest childhood conflict.</x:v>
      </x:c>
      <x:c r="H266" s="192" t="str">
        <x:v>Preserving the therapist’s convenience.</x:v>
      </x:c>
      <x:c r="I266" s="192" t="str">
        <x:v>Immediate safety, medical stability, and the least restrictive effective protective response.</x:v>
      </x:c>
      <x:c r="J266" s="192" t="str">
        <x:v>D</x:v>
      </x:c>
      <x:c r="K266" s="192" t="str">
        <x:v>Incorrect. Routine plans must be modified when safety changes.</x:v>
      </x:c>
      <x:c r="L266" s="192" t="str">
        <x:v>Incorrect. Long-term formulation follows stabilization.</x:v>
      </x:c>
      <x:c r="M266" s="192" t="str">
        <x:v>Incorrect. Convenience is not the controlling clinical priority.</x:v>
      </x:c>
      <x:c r="N266" s="192" t="str">
        <x:v>Correct. Crisis management begins with danger, medical need, capacity, and stabilization.</x:v>
      </x:c>
      <x:c r="O266" s="192" t="str">
        <x:v>A. Incorrect. Routine plans must be modified when safety changes.
B. Incorrect. Long-term formulation follows stabilization.
C. Incorrect. Convenience is not the controlling clinical priority.
D. Correct. Crisis management begins with danger, medical need, capacity, and stabilization.</x:v>
      </x:c>
      <x:c r="P266" s="192" t="str">
        <x:v>Ask whether the situation requires assessment or action now; safety and medical stability come first.</x:v>
      </x:c>
      <x:c r="Q266" s="194" t="str">
        <x:v>CTA LMFT WB6; Pearson VUE LMFT Outline Area 3</x:v>
      </x:c>
    </x:row>
    <x:row r="267">
      <x:c r="A267" s="191" t="str">
        <x:v>CTA-LMFT-MQB-0266</x:v>
      </x:c>
      <x:c r="B267" s="192" t="str">
        <x:v>LMFT-MQB-FA-CE-005</x:v>
      </x:c>
      <x:c r="C267" s="192" t="str">
        <x:v>Comprehensive Simulation</x:v>
      </x:c>
      <x:c r="D267" s="192" t="str">
        <x:v>Form A</x:v>
      </x:c>
      <x:c r="E267" s="192" t="str">
        <x:v>What is the primary purpose of collateral information in an LMFT evaluation?</x:v>
      </x:c>
      <x:c r="F267" s="192" t="str">
        <x:v>To allow relatives to direct treatment.</x:v>
      </x:c>
      <x:c r="G267" s="192" t="str">
        <x:v>To clarify or supplement clinically relevant information while preserving role, consent, and confidentiality boundaries.</x:v>
      </x:c>
      <x:c r="H267" s="192" t="str">
        <x:v>To obtain unrestricted information from any available source.</x:v>
      </x:c>
      <x:c r="I267" s="192" t="str">
        <x:v>To replace the client’s account whenever another person disagrees.</x:v>
      </x:c>
      <x:c r="J267" s="192" t="str">
        <x:v>B</x:v>
      </x:c>
      <x:c r="K267" s="192" t="str">
        <x:v>Incorrect. Relatives do not acquire treatment authority merely by providing information.</x:v>
      </x:c>
      <x:c r="L267" s="192" t="str">
        <x:v>Correct. Collateral data can improve context and accuracy but must be integrated rather than automatically privileged over the client’s report.</x:v>
      </x:c>
      <x:c r="M267" s="192" t="str">
        <x:v>Incorrect. Information gathering remains limited by authorization, law, relevance, and professional role.</x:v>
      </x:c>
      <x:c r="N267" s="192" t="str">
        <x:v>Incorrect. Disagreement calls for assessment, not automatic replacement of one account.</x:v>
      </x:c>
      <x:c r="O267" s="192" t="str">
        <x:v>A. Incorrect. Relatives do not acquire treatment authority merely by providing information.
B. Correct. Collateral data can improve context and accuracy but must be integrated rather than automatically privileged over the client’s report.
C. Incorrect. Information gathering remains limited by authorization, law, relevance, and professional role.
D. Incorrect. Disagreement calls for assessment, not automatic replacement of one account.</x:v>
      </x:c>
      <x:c r="P267" s="192" t="str">
        <x:v>Treat collateral data as one source of evidence, not as an automatic verdict.</x:v>
      </x:c>
      <x:c r="Q267" s="194" t="str">
        <x:v>CTA LMFT WB2; Pearson VUE LMFT Outline Area 1</x:v>
      </x:c>
    </x:row>
    <x:row r="268">
      <x:c r="A268" s="191" t="str">
        <x:v>CTA-LMFT-MQB-0267</x:v>
      </x:c>
      <x:c r="B268" s="192" t="str">
        <x:v>LMFT-MQB-FA-TX-043</x:v>
      </x:c>
      <x:c r="C268" s="192" t="str">
        <x:v>Comprehensive Simulation</x:v>
      </x:c>
      <x:c r="D268" s="192" t="str">
        <x:v>Form A</x:v>
      </x:c>
      <x:c r="E268" s="192" t="str">
        <x:v>A client has improved substantially but still depends on the therapist for reassurance before every difficult decision. The client requests indefinite weekly therapy. What should the LMFT do?</x:v>
      </x:c>
      <x:c r="F268" s="192" t="str">
        <x:v>Terminate immediately to force independence.</x:v>
      </x:c>
      <x:c r="G268" s="192" t="str">
        <x:v>Assure the client the therapist will always be available before decisions.</x:v>
      </x:c>
      <x:c r="H268" s="192" t="str">
        <x:v>Review goals and gains, explore the reassurance pattern, shift responsibility through graduated independence, and develop a planned step-down or termination process with criteria for recontact.</x:v>
      </x:c>
      <x:c r="I268" s="192" t="str">
        <x:v>Continue unchanged indefinitely.</x:v>
      </x:c>
      <x:c r="J268" s="192" t="str">
        <x:v>C</x:v>
      </x:c>
      <x:c r="K268" s="192" t="str">
        <x:v>Incorrect. Abrupt termination can be harmful and miss therapeutic work.</x:v>
      </x:c>
      <x:c r="L268" s="192" t="str">
        <x:v>Incorrect. Unlimited availability reinforces dependence and creates boundary problems.</x:v>
      </x:c>
      <x:c r="M268" s="192" t="str">
        <x:v>Correct. The response addresses remaining dependence while avoiding both unnecessary continuation and abrupt withdrawal.</x:v>
      </x:c>
      <x:c r="N268" s="192" t="str">
        <x:v>Incorrect. Unchanged treatment may reinforce the pattern.</x:v>
      </x:c>
      <x:c r="O268" s="192" t="str">
        <x:v>A. Incorrect. Abrupt termination can be harmful and miss therapeutic work.
B. Incorrect. Unlimited availability reinforces dependence and creates boundary problems.
C. Correct. The response addresses remaining dependence while avoiding both unnecessary continuation and abrupt withdrawal.
D. Incorrect. Unchanged treatment may reinforce the pattern.</x:v>
      </x:c>
      <x:c r="P268" s="192" t="str">
        <x:v>Termination decisions should be based on goals, function, remaining mechanisms, and a deliberate transition plan.</x:v>
      </x:c>
      <x:c r="Q268" s="194" t="str">
        <x:v>CTA LMFT WB7; CTA LMFT WB12; Pearson VUE LMFT Outline Area 5</x:v>
      </x:c>
    </x:row>
    <x:row r="269">
      <x:c r="A269" s="191" t="str">
        <x:v>CTA-LMFT-MQB-0268</x:v>
      </x:c>
      <x:c r="B269" s="192" t="str">
        <x:v>LMFT-MQB-FA-CE-001</x:v>
      </x:c>
      <x:c r="C269" s="192" t="str">
        <x:v>Comprehensive Simulation</x:v>
      </x:c>
      <x:c r="D269" s="192" t="str">
        <x:v>Form A</x:v>
      </x:c>
      <x:c r="E269" s="192" t="str">
        <x:v>In relational practice, what does the unit of treatment identify?</x:v>
      </x:c>
      <x:c r="F269" s="192" t="str">
        <x:v>The individual who pays the fee.</x:v>
      </x:c>
      <x:c r="G269" s="192" t="str">
        <x:v>The person who made the referral.</x:v>
      </x:c>
      <x:c r="H269" s="192" t="str">
        <x:v>The person or relationship system whose functioning is the primary focus of clinical work.</x:v>
      </x:c>
      <x:c r="I269" s="192" t="str">
        <x:v>Every person who ever attends a session.</x:v>
      </x:c>
      <x:c r="J269" s="192" t="str">
        <x:v>C</x:v>
      </x:c>
      <x:c r="K269" s="192" t="str">
        <x:v>Incorrect. Payment status does not establish the clinical unit.</x:v>
      </x:c>
      <x:c r="L269" s="192" t="str">
        <x:v>Incorrect. A referral source may influence context without becoming the client system.</x:v>
      </x:c>
      <x:c r="M269" s="192" t="str">
        <x:v>Correct. The unit of treatment clarifies the clinical focus and guides consent, assessment, documentation, and intervention.</x:v>
      </x:c>
      <x:c r="N269" s="192" t="str">
        <x:v>Incorrect. Attendance alone does not determine client status or the treatment focus.</x:v>
      </x:c>
      <x:c r="O269" s="192" t="str">
        <x:v>A. Incorrect. Payment status does not establish the clinical unit.
B. Incorrect. A referral source may influence context without becoming the client system.
C. Correct. The unit of treatment clarifies the clinical focus and guides consent, assessment, documentation, and intervention.
D. Incorrect. Attendance alone does not determine client status or the treatment focus.</x:v>
      </x:c>
      <x:c r="P269" s="192" t="str">
        <x:v>Separate client status, participant role, payer role, and referral role before reasoning about the case.</x:v>
      </x:c>
      <x:c r="Q269" s="194" t="str">
        <x:v>CTA LMFT WB2; Pearson VUE LMFT Outline Area 1</x:v>
      </x:c>
    </x:row>
    <x:row r="270">
      <x:c r="A270" s="191" t="str">
        <x:v>CTA-LMFT-MQB-0269</x:v>
      </x:c>
      <x:c r="B270" s="192" t="str">
        <x:v>LMFT-MQB-FA-TX-010</x:v>
      </x:c>
      <x:c r="C270" s="192" t="str">
        <x:v>Comprehensive Simulation</x:v>
      </x:c>
      <x:c r="D270" s="192" t="str">
        <x:v>Form A</x:v>
      </x:c>
      <x:c r="E270" s="192" t="str">
        <x:v>Parents inconsistently respond to a child’s bedtime refusal. Which intervention is MOST appropriate?</x:v>
      </x:c>
      <x:c r="F270" s="192" t="str">
        <x:v>Ask parents to argue about consequences in front of the child.</x:v>
      </x:c>
      <x:c r="G270" s="192" t="str">
        <x:v>Have the child design separate rules for each parent.</x:v>
      </x:c>
      <x:c r="H270" s="192" t="str">
        <x:v>Use punishment that increases each time a parent feels frustrated.</x:v>
      </x:c>
      <x:c r="I270" s="192" t="str">
        <x:v>Help caregivers agree on a predictable routine, calm limit, and consistent reinforcement plan.</x:v>
      </x:c>
      <x:c r="J270" s="192" t="str">
        <x:v>D</x:v>
      </x:c>
      <x:c r="K270" s="192" t="str">
        <x:v>Incorrect. Open conflict can intensify the child’s distress and triangulation.</x:v>
      </x:c>
      <x:c r="L270" s="192" t="str">
        <x:v>Incorrect. Different rules may maintain testing and inconsistency.</x:v>
      </x:c>
      <x:c r="M270" s="192" t="str">
        <x:v>Incorrect. Emotion-driven punishment is not predictable or developmentally sound.</x:v>
      </x:c>
      <x:c r="N270" s="192" t="str">
        <x:v>Correct. Consistency and coordinated caregiving reduce intermittent reinforcement and conflict around the behavior.</x:v>
      </x:c>
      <x:c r="O270" s="192" t="str">
        <x:v>A. Incorrect. Open conflict can intensify the child’s distress and triangulation.
B. Incorrect. Different rules may maintain testing and inconsistency.
C. Incorrect. Emotion-driven punishment is not predictable or developmentally sound.
D. Correct. Consistency and coordinated caregiving reduce intermittent reinforcement and conflict around the behavior.</x:v>
      </x:c>
      <x:c r="P270" s="192" t="str">
        <x:v>For child behavior, ask whether adult responses are coordinated, predictable, and proportionate.</x:v>
      </x:c>
      <x:c r="Q270" s="194" t="str">
        <x:v>CTA LMFT WB8; CTA LMFT WB9; Pearson VUE LMFT Outline Area 5</x:v>
      </x:c>
    </x:row>
    <x:row r="271">
      <x:c r="A271" s="191" t="str">
        <x:v>CTA-LMFT-MQB-0270</x:v>
      </x:c>
      <x:c r="B271" s="192" t="str">
        <x:v>LMFT-MQB-FA-CE-010</x:v>
      </x:c>
      <x:c r="C271" s="192" t="str">
        <x:v>Comprehensive Simulation</x:v>
      </x:c>
      <x:c r="D271" s="192" t="str">
        <x:v>Form A</x:v>
      </x:c>
      <x:c r="E271" s="192" t="str">
        <x:v>A couple describes frequent conflict but also reports that they can cooperate effectively during medical emergencies. How should the LMFT use this information?</x:v>
      </x:c>
      <x:c r="F271" s="192" t="str">
        <x:v>Explore the conditions that support their cooperation and consider how those strengths can be transferred to recurring conflict situations.</x:v>
      </x:c>
      <x:c r="G271" s="192" t="str">
        <x:v>Ignore it because strengths do not belong in assessment.</x:v>
      </x:c>
      <x:c r="H271" s="192" t="str">
        <x:v>Use the example to pressure the couple to stop arguing.</x:v>
      </x:c>
      <x:c r="I271" s="192" t="str">
        <x:v>Conclude that the couple has no clinically significant problems.</x:v>
      </x:c>
      <x:c r="J271" s="192" t="str">
        <x:v>A</x:v>
      </x:c>
      <x:c r="K271" s="192" t="str">
        <x:v>Correct. Exceptions and existing competencies can reveal resources, roles, and interaction patterns that support change.</x:v>
      </x:c>
      <x:c r="L271" s="192" t="str">
        <x:v>Incorrect. Strengths are part of a comprehensive evaluation.</x:v>
      </x:c>
      <x:c r="M271" s="192" t="str">
        <x:v>Incorrect. Shaming does not translate a strength into a usable intervention.</x:v>
      </x:c>
      <x:c r="N271" s="192" t="str">
        <x:v>Incorrect. A strength does not eliminate the presenting problem.</x:v>
      </x:c>
      <x:c r="O271" s="192" t="str">
        <x:v>A. Correct. Exceptions and existing competencies can reveal resources, roles, and interaction patterns that support change.
B. Incorrect. Strengths are part of a comprehensive evaluation.
C. Incorrect. Shaming does not translate a strength into a usable intervention.
D. Incorrect. A strength does not eliminate the presenting problem.</x:v>
      </x:c>
      <x:c r="P271" s="192" t="str">
        <x:v>Look for exceptions, successful sequences, and existing resources—not only deficits.</x:v>
      </x:c>
      <x:c r="Q271" s="194" t="str">
        <x:v>CTA LMFT WB4; Pearson VUE LMFT Outline Area 1</x:v>
      </x:c>
    </x:row>
    <x:row r="272">
      <x:c r="A272" s="191" t="str">
        <x:v>CTA-LMFT-MQB-0271</x:v>
      </x:c>
      <x:c r="B272" s="192" t="str">
        <x:v>LMFT-MQB-FA-TX-038</x:v>
      </x:c>
      <x:c r="C272" s="192" t="str">
        <x:v>Comprehensive Simulation</x:v>
      </x:c>
      <x:c r="D272" s="192" t="str">
        <x:v>Form A</x:v>
      </x:c>
      <x:c r="E272" s="192" t="str">
        <x:v>A client is reducing alcohol use, while the partner monitors every behavior and responds with accusations. Relapses are followed by secrecy and escalating conflict. What is the BEST treatment approach?</x:v>
      </x:c>
      <x:c r="F272" s="192" t="str">
        <x:v>Coordinate substance treatment, use a relapse and safety plan, address accountability without surveillance, and help the couple change the accusation-secrecy cycle.</x:v>
      </x:c>
      <x:c r="G272" s="192" t="str">
        <x:v>Exclude the partner from all discussion.</x:v>
      </x:c>
      <x:c r="H272" s="192" t="str">
        <x:v>Give the partner complete control of the client’s recovery.</x:v>
      </x:c>
      <x:c r="I272" s="192" t="str">
        <x:v>Focus only on communication and ignore alcohol use.</x:v>
      </x:c>
      <x:c r="J272" s="192" t="str">
        <x:v>A</x:v>
      </x:c>
      <x:c r="K272" s="192" t="str">
        <x:v>Correct. The intervention addresses both the substance-related risk and the relational cycle without transferring responsibility.</x:v>
      </x:c>
      <x:c r="L272" s="192" t="str">
        <x:v>Incorrect. Appropriate partner involvement may support change.</x:v>
      </x:c>
      <x:c r="M272" s="192" t="str">
        <x:v>Incorrect. Partner control can worsen secrecy and does not create recovery.</x:v>
      </x:c>
      <x:c r="N272" s="192" t="str">
        <x:v>Incorrect. Communication cannot be separated from active substance risk.</x:v>
      </x:c>
      <x:c r="O272" s="192" t="str">
        <x:v>A. Correct. The intervention addresses both the substance-related risk and the relational cycle without transferring responsibility.
B. Incorrect. Appropriate partner involvement may support change.
C. Incorrect. Partner control can worsen secrecy and does not create recovery.
D. Incorrect. Communication cannot be separated from active substance risk.</x:v>
      </x:c>
      <x:c r="P272" s="192" t="str">
        <x:v>Integrated work assigns responsibility clearly while targeting the cycle around the problem.</x:v>
      </x:c>
      <x:c r="Q272" s="194" t="str">
        <x:v>CTA LMFT WB8; CTA LMFT WB9; Pearson VUE LMFT Outline Area 5</x:v>
      </x:c>
    </x:row>
    <x:row r="273">
      <x:c r="A273" s="191" t="str">
        <x:v>CTA-LMFT-MQB-0272</x:v>
      </x:c>
      <x:c r="B273" s="192" t="str">
        <x:v>LMFT-MQB-FA-CR-011</x:v>
      </x:c>
      <x:c r="C273" s="192" t="str">
        <x:v>Comprehensive Simulation</x:v>
      </x:c>
      <x:c r="D273" s="192" t="str">
        <x:v>Form A</x:v>
      </x:c>
      <x:c r="E273" s="192" t="str">
        <x:v>A client with severe psychosis has not eaten for several days, cannot identify shelter, and is wandering in traffic. What should the LMFT do NEXT?</x:v>
      </x:c>
      <x:c r="F273" s="192" t="str">
        <x:v>Arrange emergency evaluation for immediate safety and inability to meet basic needs.</x:v>
      </x:c>
      <x:c r="G273" s="192" t="str">
        <x:v>Schedule a routine appointment in one week.</x:v>
      </x:c>
      <x:c r="H273" s="192" t="str">
        <x:v>Ask the client to complete a symptom worksheet first.</x:v>
      </x:c>
      <x:c r="I273" s="192" t="str">
        <x:v>Debate the delusional beliefs until the client agrees to eat.</x:v>
      </x:c>
      <x:c r="J273" s="192" t="str">
        <x:v>A</x:v>
      </x:c>
      <x:c r="K273" s="192" t="str">
        <x:v>Correct. The client’s current inability to protect basic survival and traffic safety requires urgent intervention.</x:v>
      </x:c>
      <x:c r="L273" s="192" t="str">
        <x:v>Incorrect. Routine follow-up is inadequate.</x:v>
      </x:c>
      <x:c r="M273" s="192" t="str">
        <x:v>Incorrect. Paperwork should not delay emergency care.</x:v>
      </x:c>
      <x:c r="N273" s="192" t="str">
        <x:v>Incorrect. Argument is unlikely to restore immediate safety.</x:v>
      </x:c>
      <x:c r="O273" s="192" t="str">
        <x:v>A. Correct. The client’s current inability to protect basic survival and traffic safety requires urgent intervention.
B. Incorrect. Routine follow-up is inadequate.
C. Incorrect. Paperwork should not delay emergency care.
D. Incorrect. Argument is unlikely to restore immediate safety.</x:v>
      </x:c>
      <x:c r="P273" s="192" t="str">
        <x:v>When basic needs and physical safety are failing, act before pursuing insight or routine consent tasks.</x:v>
      </x:c>
      <x:c r="Q273" s="194" t="str">
        <x:v>CTA LMFT WB6; Pearson VUE LMFT Outline Area 3</x:v>
      </x:c>
    </x:row>
    <x:row r="274">
      <x:c r="A274" s="191" t="str">
        <x:v>CTA-LMFT-MQB-0273</x:v>
      </x:c>
      <x:c r="B274" s="192" t="str">
        <x:v>LMFT-MQB-FA-CR-004</x:v>
      </x:c>
      <x:c r="C274" s="192" t="str">
        <x:v>Comprehensive Simulation</x:v>
      </x:c>
      <x:c r="D274" s="192" t="str">
        <x:v>Form A</x:v>
      </x:c>
      <x:c r="E274" s="192" t="str">
        <x:v>A client with suicidal ideation has access to an unsecured firearm but denies current intent. What should the LMFT do?</x:v>
      </x:c>
      <x:c r="F274" s="192" t="str">
        <x:v>Assume firearm ownership proves imminent danger.</x:v>
      </x:c>
      <x:c r="G274" s="192" t="str">
        <x:v>Ignore access because intent is denied.</x:v>
      </x:c>
      <x:c r="H274" s="192" t="str">
        <x:v>Assess the full risk picture and collaboratively pursue immediate, lawful steps to reduce access while strengthening monitoring and support.</x:v>
      </x:c>
      <x:c r="I274" s="192" t="str">
        <x:v>Confiscate the firearm personally.</x:v>
      </x:c>
      <x:c r="J274" s="192" t="str">
        <x:v>C</x:v>
      </x:c>
      <x:c r="K274" s="192" t="str">
        <x:v>Incorrect. Access is one factor and must be integrated with the broader assessment.</x:v>
      </x:c>
      <x:c r="L274" s="192" t="str">
        <x:v>Incorrect. Denial of intent does not make access irrelevant.</x:v>
      </x:c>
      <x:c r="M274" s="192" t="str">
        <x:v>Correct. Access to a highly lethal method materially affects risk management even when intent is not currently endorsed.</x:v>
      </x:c>
      <x:c r="N274" s="192" t="str">
        <x:v>Incorrect. The therapist should not personally seize property.</x:v>
      </x:c>
      <x:c r="O274" s="192" t="str">
        <x:v>A. Incorrect. Access is one factor and must be integrated with the broader assessment.
B. Incorrect. Denial of intent does not make access irrelevant.
C. Correct. Access to a highly lethal method materially affects risk management even when intent is not currently endorsed.
D. Incorrect. The therapist should not personally seize property.</x:v>
      </x:c>
      <x:c r="P274" s="192" t="str">
        <x:v>Risk formulation is cumulative; access changes the plan even when it does not by itself determine disposition.</x:v>
      </x:c>
      <x:c r="Q274" s="194" t="str">
        <x:v>CTA LMFT WB6; Pearson VUE LMFT Outline Area 3</x:v>
      </x:c>
    </x:row>
    <x:row r="275">
      <x:c r="A275" s="191" t="str">
        <x:v>CTA-LMFT-MQB-0274</x:v>
      </x:c>
      <x:c r="B275" s="192" t="str">
        <x:v>LMFT-MQB-FA-DI-014</x:v>
      </x:c>
      <x:c r="C275" s="192" t="str">
        <x:v>Comprehensive Simulation</x:v>
      </x:c>
      <x:c r="D275" s="192" t="str">
        <x:v>Form A</x:v>
      </x:c>
      <x:c r="E275" s="192" t="str">
        <x:v>A client develops agitation, insomnia, and grandiosity shortly after starting a corticosteroid and has no prior mood episodes. What is the BEST next step?</x:v>
      </x:c>
      <x:c r="F275" s="192" t="str">
        <x:v>Ignore the chronology because psychiatric symptoms are never medication-related.</x:v>
      </x:c>
      <x:c r="G275" s="192" t="str">
        <x:v>Assess immediate risk and symptom severity, coordinate prompt medical evaluation, and keep both medication-induced and primary mood explanations open.</x:v>
      </x:c>
      <x:c r="H275" s="192" t="str">
        <x:v>Diagnose bipolar disorder immediately.</x:v>
      </x:c>
      <x:c r="I275" s="192" t="str">
        <x:v>Tell the client to stop the medication without medical guidance.</x:v>
      </x:c>
      <x:c r="J275" s="192" t="str">
        <x:v>B</x:v>
      </x:c>
      <x:c r="K275" s="192" t="str">
        <x:v>Incorrect. Medications can contribute to psychiatric symptoms.</x:v>
      </x:c>
      <x:c r="L275" s="192" t="str">
        <x:v>Correct. The temporal relationship is diagnostically important, but causation and safety require medical coordination and fuller assessment.</x:v>
      </x:c>
      <x:c r="M275" s="192" t="str">
        <x:v>Incorrect. A primary mood diagnosis is premature.</x:v>
      </x:c>
      <x:c r="N275" s="192" t="str">
        <x:v>Incorrect. Medication decisions belong with the prescriber unless emergency services are needed.</x:v>
      </x:c>
      <x:c r="O275" s="192" t="str">
        <x:v>A. Incorrect. Medications can contribute to psychiatric symptoms.
B. Correct. The temporal relationship is diagnostically important, but causation and safety require medical coordination and fuller assessment.
C. Incorrect. A primary mood diagnosis is premature.
D. Incorrect. Medication decisions belong with the prescriber unless emergency services are needed.</x:v>
      </x:c>
      <x:c r="P275" s="192" t="str">
        <x:v>When onset follows a medication, do not skip either risk assessment or medical collaboration.</x:v>
      </x:c>
      <x:c r="Q275" s="194" t="str">
        <x:v>CTA LMFT WB5; Pearson VUE LMFT Outline Area 2</x:v>
      </x:c>
    </x:row>
    <x:row r="276">
      <x:c r="A276" s="191" t="str">
        <x:v>CTA-LMFT-MQB-0275</x:v>
      </x:c>
      <x:c r="B276" s="192" t="str">
        <x:v>LMFT-MQB-FA-DI-016</x:v>
      </x:c>
      <x:c r="C276" s="192" t="str">
        <x:v>Comprehensive Simulation</x:v>
      </x:c>
      <x:c r="D276" s="192" t="str">
        <x:v>Form A</x:v>
      </x:c>
      <x:c r="E276" s="192" t="str">
        <x:v>A teenager’s depressed mood began after parental separation, but there is also a prior history of episodic depression unrelated to family stress. What is the BEST diagnostic formulation?</x:v>
      </x:c>
      <x:c r="F276" s="192" t="str">
        <x:v>Ignore the prior episodes because the current stressor is obvious.</x:v>
      </x:c>
      <x:c r="G276" s="192" t="str">
        <x:v>Diagnose adjustment disorder solely because a stressor is present.</x:v>
      </x:c>
      <x:c r="H276" s="192" t="str">
        <x:v>Assess whether a depressive disorder is present while also identifying the separation and family conflict as contextual factors that may precipitate or maintain symptoms.</x:v>
      </x:c>
      <x:c r="I276" s="192" t="str">
        <x:v>Choose either an individual diagnosis or a family formulation, because both cannot be used.</x:v>
      </x:c>
      <x:c r="J276" s="192" t="str">
        <x:v>C</x:v>
      </x:c>
      <x:c r="K276" s="192" t="str">
        <x:v>Incorrect. Prior independent episodes are diagnostically significant.</x:v>
      </x:c>
      <x:c r="L276" s="192" t="str">
        <x:v>Incorrect. A stressor does not exclude a primary mood disorder.</x:v>
      </x:c>
      <x:c r="M276" s="192" t="str">
        <x:v>Correct. Individual diagnosis and systemic context can coexist and improve treatment planning.</x:v>
      </x:c>
      <x:c r="N276" s="192" t="str">
        <x:v>Incorrect. LMFT reasoning integrates rather than forces an either-or choice.</x:v>
      </x:c>
      <x:c r="O276" s="192" t="str">
        <x:v>A. Incorrect. Prior independent episodes are diagnostically significant.
B. Incorrect. A stressor does not exclude a primary mood disorder.
C. Correct. Individual diagnosis and systemic context can coexist and improve treatment planning.
D. Incorrect. LMFT reasoning integrates rather than forces an either-or choice.</x:v>
      </x:c>
      <x:c r="P276" s="192" t="str">
        <x:v>Use diagnosis to describe the syndrome and systemic formulation to explain context and maintenance.</x:v>
      </x:c>
      <x:c r="Q276" s="194" t="str">
        <x:v>CTA LMFT WB5; CTA LMFT WB7; Pearson VUE LMFT Outline Area 2</x:v>
      </x:c>
    </x:row>
    <x:row r="277">
      <x:c r="A277" s="191" t="str">
        <x:v>CTA-LMFT-MQB-0276</x:v>
      </x:c>
      <x:c r="B277" s="192" t="str">
        <x:v>LMFT-MQB-FA-LE-014</x:v>
      </x:c>
      <x:c r="C277" s="192" t="str">
        <x:v>Comprehensive Simulation</x:v>
      </x:c>
      <x:c r="D277" s="192" t="str">
        <x:v>Form A</x:v>
      </x:c>
      <x:c r="E277" s="192" t="str">
        <x:v>A client threatens a specific person and then withdraws authorization for all collateral contact. What should the LMFT do?</x:v>
      </x:c>
      <x:c r="F277" s="192" t="str">
        <x:v>Honor the withdrawal and take no action.</x:v>
      </x:c>
      <x:c r="G277" s="192" t="str">
        <x:v>Assess the threat, take necessary protective actions under applicable law, limit disclosure to what is needed for safety, and document the reasoning.</x:v>
      </x:c>
      <x:c r="H277" s="192" t="str">
        <x:v>Terminate and leave protection decisions to the client.</x:v>
      </x:c>
      <x:c r="I277" s="192" t="str">
        <x:v>Disclose the entire treatment record to everyone involved.</x:v>
      </x:c>
      <x:c r="J277" s="192" t="str">
        <x:v>B</x:v>
      </x:c>
      <x:c r="K277" s="192" t="str">
        <x:v>Incorrect. Authorization is not the only possible basis for protective disclosure.</x:v>
      </x:c>
      <x:c r="L277" s="192" t="str">
        <x:v>Correct. A serious safety duty may override refusal, but privacy still requires purpose-limited action.</x:v>
      </x:c>
      <x:c r="M277" s="192" t="str">
        <x:v>Incorrect. Termination does not discharge immediate protective responsibility.</x:v>
      </x:c>
      <x:c r="N277" s="192" t="str">
        <x:v>Incorrect. Broad disclosure exceeds the likely need.</x:v>
      </x:c>
      <x:c r="O277" s="192" t="str">
        <x:v>A. Incorrect. Authorization is not the only possible basis for protective disclosure.
B. Correct. A serious safety duty may override refusal, but privacy still requires purpose-limited action.
C. Incorrect. Termination does not discharge immediate protective responsibility.
D. Incorrect. Broad disclosure exceeds the likely need.</x:v>
      </x:c>
      <x:c r="P277" s="192" t="str">
        <x:v>Integrated legal items often require both action and restraint: protect, but disclose no more than necessary.</x:v>
      </x:c>
      <x:c r="Q277" s="194" t="str">
        <x:v>CTA LMFT WB6; CTA LMFT WB12; Pearson VUE LMFT Outline Area 6</x:v>
      </x:c>
    </x:row>
    <x:row r="278">
      <x:c r="A278" s="191" t="str">
        <x:v>CTA-LMFT-MQB-0277</x:v>
      </x:c>
      <x:c r="B278" s="192" t="str">
        <x:v>LMFT-MQB-FA-LE-007</x:v>
      </x:c>
      <x:c r="C278" s="192" t="str">
        <x:v>Comprehensive Simulation</x:v>
      </x:c>
      <x:c r="D278" s="192" t="str">
        <x:v>Form A</x:v>
      </x:c>
      <x:c r="E278" s="192" t="str">
        <x:v>An attorney sends a subpoena for a family-therapy record and demands immediate release. What should the LMFT do?</x:v>
      </x:c>
      <x:c r="F278" s="192" t="str">
        <x:v>Review the request and applicable authority, clarify privilege and authorization issues, seek appropriate consultation, and avoid automatic disclosure.</x:v>
      </x:c>
      <x:c r="G278" s="192" t="str">
        <x:v>Ask one family member to authorize disclosure for everyone.</x:v>
      </x:c>
      <x:c r="H278" s="192" t="str">
        <x:v>Send the entire file because an attorney requested it.</x:v>
      </x:c>
      <x:c r="I278" s="192" t="str">
        <x:v>Destroy the record.</x:v>
      </x:c>
      <x:c r="J278" s="192" t="str">
        <x:v>A</x:v>
      </x:c>
      <x:c r="K278" s="192" t="str">
        <x:v>Correct. Legal requests require careful analysis of form, authority, privilege, client status, and scope before disclosure.</x:v>
      </x:c>
      <x:c r="L278" s="192" t="str">
        <x:v>Incorrect. One participant may not control the entire relational record.</x:v>
      </x:c>
      <x:c r="M278" s="192" t="str">
        <x:v>Incorrect. An attorney’s demand is not automatically sufficient authority.</x:v>
      </x:c>
      <x:c r="N278" s="192" t="str">
        <x:v>Incorrect. Record destruction is improper.</x:v>
      </x:c>
      <x:c r="O278" s="192" t="str">
        <x:v>A. Correct. Legal requests require careful analysis of form, authority, privilege, client status, and scope before disclosure.
B. Incorrect. One participant may not control the entire relational record.
C. Incorrect. An attorney’s demand is not automatically sufficient authority.
D. Incorrect. Record destruction is improper.</x:v>
      </x:c>
      <x:c r="P278" s="192" t="str">
        <x:v>Do not treat every legal-looking document as a command to disclose immediately.</x:v>
      </x:c>
      <x:c r="Q278" s="194" t="str">
        <x:v>CTA LMFT WB12; Pearson VUE LMFT Outline Area 6</x:v>
      </x:c>
    </x:row>
    <x:row r="279">
      <x:c r="A279" s="191" t="str">
        <x:v>CTA-LMFT-MQB-0278</x:v>
      </x:c>
      <x:c r="B279" s="192" t="str">
        <x:v>LMFT-MQB-FA-TX-004</x:v>
      </x:c>
      <x:c r="C279" s="192" t="str">
        <x:v>Comprehensive Simulation</x:v>
      </x:c>
      <x:c r="D279" s="192" t="str">
        <x:v>Form A</x:v>
      </x:c>
      <x:c r="E279" s="192" t="str">
        <x:v>Which activity is MOST appropriate during planned termination?</x:v>
      </x:c>
      <x:c r="F279" s="192" t="str">
        <x:v>Introducing several new major goals.</x:v>
      </x:c>
      <x:c r="G279" s="192" t="str">
        <x:v>Avoiding discussion of the relationship ending.</x:v>
      </x:c>
      <x:c r="H279" s="192" t="str">
        <x:v>Guaranteeing that symptoms will never return.</x:v>
      </x:c>
      <x:c r="I279" s="192" t="str">
        <x:v>Reviewing gains, identifying remaining vulnerabilities, rehearsing maintenance strategies, and clarifying future access to care.</x:v>
      </x:c>
      <x:c r="J279" s="192" t="str">
        <x:v>D</x:v>
      </x:c>
      <x:c r="K279" s="192" t="str">
        <x:v>Incorrect. New major goals may require a new treatment phase rather than closure.</x:v>
      </x:c>
      <x:c r="L279" s="192" t="str">
        <x:v>Incorrect. Avoidance can leave attachment and relapse issues unaddressed.</x:v>
      </x:c>
      <x:c r="M279" s="192" t="str">
        <x:v>Incorrect. Recurrence cannot be guaranteed against.</x:v>
      </x:c>
      <x:c r="N279" s="192" t="str">
        <x:v>Correct. Termination consolidates learning, addresses the ending, and supports independent maintenance and future help-seeking.</x:v>
      </x:c>
      <x:c r="O279" s="192" t="str">
        <x:v>A. Incorrect. New major goals may require a new treatment phase rather than closure.
B. Incorrect. Avoidance can leave attachment and relapse issues unaddressed.
C. Incorrect. Recurrence cannot be guaranteed against.
D. Correct. Termination consolidates learning, addresses the ending, and supports independent maintenance and future help-seeking.</x:v>
      </x:c>
      <x:c r="P279" s="192" t="str">
        <x:v>Closure is active clinical work: consolidate, anticipate, connect, and end clearly.</x:v>
      </x:c>
      <x:c r="Q279" s="194" t="str">
        <x:v>CTA LMFT WB7; Pearson VUE LMFT Outline Area 5</x:v>
      </x:c>
    </x:row>
    <x:row r="280">
      <x:c r="A280" s="191" t="str">
        <x:v>CTA-LMFT-MQB-0279</x:v>
      </x:c>
      <x:c r="B280" s="192" t="str">
        <x:v>LMFT-MQB-FA-CE-039</x:v>
      </x:c>
      <x:c r="C280" s="192" t="str">
        <x:v>Comprehensive Simulation</x:v>
      </x:c>
      <x:c r="D280" s="192" t="str">
        <x:v>Form A</x:v>
      </x:c>
      <x:c r="E280" s="192" t="str">
        <x:v>A client from a culture that emphasizes physical expressions of distress reports headaches, fatigue, and family conflict after a violent event. Medical evaluation has not identified an acute cause. What should the LMFT do?</x:v>
      </x:c>
      <x:c r="F280" s="192" t="str">
        <x:v>Avoid family questions because physical symptoms are individual.</x:v>
      </x:c>
      <x:c r="G280" s="192" t="str">
        <x:v>Explore trauma, mood, anxiety, cultural meaning, family responses, functioning, and continued medical follow-up without dismissing the symptoms as “just psychological.”</x:v>
      </x:c>
      <x:c r="H280" s="192" t="str">
        <x:v>Insist that the client describe emotions using the therapist’s preferred vocabulary.</x:v>
      </x:c>
      <x:c r="I280" s="192" t="str">
        <x:v>Conclude that the client is malingering because tests were negative.</x:v>
      </x:c>
      <x:c r="J280" s="192" t="str">
        <x:v>B</x:v>
      </x:c>
      <x:c r="K280" s="192" t="str">
        <x:v>Incorrect. Family responses may influence distress and coping.</x:v>
      </x:c>
      <x:c r="L280" s="192" t="str">
        <x:v>Correct. A biopsychosocial and cultural formulation respects somatic expression, trauma, relational context, and ongoing medical uncertainty.</x:v>
      </x:c>
      <x:c r="M280" s="192" t="str">
        <x:v>Incorrect. Imposing a communication style can reduce engagement and accuracy.</x:v>
      </x:c>
      <x:c r="N280" s="192" t="str">
        <x:v>Incorrect. Negative tests do not prove intentional fabrication.</x:v>
      </x:c>
      <x:c r="O280" s="192" t="str">
        <x:v>A. Incorrect. Family responses may influence distress and coping.
B. Correct. A biopsychosocial and cultural formulation respects somatic expression, trauma, relational context, and ongoing medical uncertainty.
C. Incorrect. Imposing a communication style can reduce engagement and accuracy.
D. Incorrect. Negative tests do not prove intentional fabrication.</x:v>
      </x:c>
      <x:c r="P280" s="192" t="str">
        <x:v>Integrate body, meaning, culture, trauma, and relationships rather than forcing an either-medical-or-psychological choice.</x:v>
      </x:c>
      <x:c r="Q280" s="194" t="str">
        <x:v>CTA LMFT WB3; CTA LMFT WB4; CTA LMFT WB5; Pearson VUE LMFT Outline Area 1</x:v>
      </x:c>
    </x:row>
    <x:row r="281">
      <x:c r="A281" s="191" t="str">
        <x:v>CTA-LMFT-MQB-0280</x:v>
      </x:c>
      <x:c r="B281" s="192" t="str">
        <x:v>LMFT-MQB-FA-CE-036</x:v>
      </x:c>
      <x:c r="C281" s="192" t="str">
        <x:v>Comprehensive Simulation</x:v>
      </x:c>
      <x:c r="D281" s="192" t="str">
        <x:v>Form A</x:v>
      </x:c>
      <x:c r="E281" s="192" t="str">
        <x:v>A refugee family uses a child to interpret during intake because the adults speak limited English. The history includes possible trauma and family conflict. What should the LMFT do NEXT?</x:v>
      </x:c>
      <x:c r="F281" s="192" t="str">
        <x:v>Assume reluctance to disclose reflects denial.</x:v>
      </x:c>
      <x:c r="G281" s="192" t="str">
        <x:v>Continue using the child because the family requested it.</x:v>
      </x:c>
      <x:c r="H281" s="192" t="str">
        <x:v>Arrange qualified language assistance, clarify roles and confidentiality, assess immediate safety, and continue evaluation in a developmentally and culturally appropriate manner.</x:v>
      </x:c>
      <x:c r="I281" s="192" t="str">
        <x:v>Ask only yes-or-no questions to avoid interpretation.</x:v>
      </x:c>
      <x:c r="J281" s="192" t="str">
        <x:v>C</x:v>
      </x:c>
      <x:c r="K281" s="192" t="str">
        <x:v>Incorrect. Reluctance may reflect trauma, culture, fear, or language barriers.</x:v>
      </x:c>
      <x:c r="L281" s="192" t="str">
        <x:v>Incorrect. A child interpreter may distort information and burden the child.</x:v>
      </x:c>
      <x:c r="M281" s="192" t="str">
        <x:v>Correct. Qualified language access protects accuracy, privacy, role boundaries, and the child from inappropriate responsibility.</x:v>
      </x:c>
      <x:c r="N281" s="192" t="str">
        <x:v>Incorrect. Restricted questions do not solve access or understanding.</x:v>
      </x:c>
      <x:c r="O281" s="192" t="str">
        <x:v>A. Incorrect. Reluctance may reflect trauma, culture, fear, or language barriers.
B. Incorrect. A child interpreter may distort information and burden the child.
C. Correct. Qualified language access protects accuracy, privacy, role boundaries, and the child from inappropriate responsibility.
D. Incorrect. Restricted questions do not solve access or understanding.</x:v>
      </x:c>
      <x:c r="P281" s="192" t="str">
        <x:v>Language access is part of competent assessment, not an optional convenience.</x:v>
      </x:c>
      <x:c r="Q281" s="194" t="str">
        <x:v>CTA LMFT WB3; CTA LMFT WB10; Pearson VUE LMFT Outline Area 1</x:v>
      </x:c>
    </x:row>
    <x:row r="282">
      <x:c r="A282" s="191" t="str">
        <x:v>CTA-LMFT-MQB-0281</x:v>
      </x:c>
      <x:c r="B282" s="192" t="str">
        <x:v>LMFT-MQB-FA-DI-017</x:v>
      </x:c>
      <x:c r="C282" s="192" t="str">
        <x:v>Comprehensive Simulation</x:v>
      </x:c>
      <x:c r="D282" s="192" t="str">
        <x:v>Form A</x:v>
      </x:c>
      <x:c r="E282" s="192" t="str">
        <x:v>A client has severe insomnia, paranoia, methamphetamine use, and a family history of psychosis. The client is increasingly unable to care for basic needs. What should the LMFT do FIRST?</x:v>
      </x:c>
      <x:c r="F282" s="192" t="str">
        <x:v>Assume the family history proves a primary psychotic disorder.</x:v>
      </x:c>
      <x:c r="G282" s="192" t="str">
        <x:v>Delay action until the therapist can distinguish substance-induced from primary psychosis.</x:v>
      </x:c>
      <x:c r="H282" s="192" t="str">
        <x:v>Address immediate safety and level-of-care needs while gathering substance timeline, baseline, and psychosis information; definitive diagnosis can follow stabilization.</x:v>
      </x:c>
      <x:c r="I282" s="192" t="str">
        <x:v>Treat insomnia with relaxation exercises only.</x:v>
      </x:c>
      <x:c r="J282" s="192" t="str">
        <x:v>C</x:v>
      </x:c>
      <x:c r="K282" s="192" t="str">
        <x:v>Incorrect. Family history increases consideration but does not establish diagnosis.</x:v>
      </x:c>
      <x:c r="L282" s="192" t="str">
        <x:v>Incorrect. Safety does not require complete diagnostic certainty.</x:v>
      </x:c>
      <x:c r="M282" s="192" t="str">
        <x:v>Correct. Acute functional deterioration requires protective action even when the diagnostic origin remains uncertain.</x:v>
      </x:c>
      <x:c r="N282" s="192" t="str">
        <x:v>Incorrect. A single low-intensity intervention is insufficient for the described severity.</x:v>
      </x:c>
      <x:c r="O282" s="192" t="str">
        <x:v>A. Incorrect. Family history increases consideration but does not establish diagnosis.
B. Incorrect. Safety does not require complete diagnostic certainty.
C. Correct. Acute functional deterioration requires protective action even when the diagnostic origin remains uncertain.
D. Incorrect. A single low-intensity intervention is insufficient for the described severity.</x:v>
      </x:c>
      <x:c r="P282" s="192" t="str">
        <x:v>In crisis-level presentations, stabilize first and refine the diagnosis as reliable information becomes available.</x:v>
      </x:c>
      <x:c r="Q282" s="194" t="str">
        <x:v>CTA LMFT WB5; CTA LMFT WB6; Pearson VUE LMFT Outline Area 2</x:v>
      </x:c>
    </x:row>
    <x:row r="283">
      <x:c r="A283" s="191" t="str">
        <x:v>CTA-LMFT-MQB-0282</x:v>
      </x:c>
      <x:c r="B283" s="192" t="str">
        <x:v>LMFT-MQB-FA-DI-004</x:v>
      </x:c>
      <x:c r="C283" s="192" t="str">
        <x:v>Comprehensive Simulation</x:v>
      </x:c>
      <x:c r="D283" s="192" t="str">
        <x:v>Form A</x:v>
      </x:c>
      <x:c r="E283" s="192" t="str">
        <x:v>Why is chronology especially useful in differential diagnosis?</x:v>
      </x:c>
      <x:c r="F283" s="192" t="str">
        <x:v>It makes functional impairment irrelevant.</x:v>
      </x:c>
      <x:c r="G283" s="192" t="str">
        <x:v>It eliminates the need for collateral information.</x:v>
      </x:c>
      <x:c r="H283" s="192" t="str">
        <x:v>It guarantees a single diagnosis.</x:v>
      </x:c>
      <x:c r="I283" s="192" t="str">
        <x:v>It helps determine whether symptoms preceded, followed, or changed with substances, medications, medical events, trauma, or life stressors.</x:v>
      </x:c>
      <x:c r="J283" s="192" t="str">
        <x:v>D</x:v>
      </x:c>
      <x:c r="K283" s="192" t="str">
        <x:v>Incorrect. Impairment remains important to diagnosis and planning.</x:v>
      </x:c>
      <x:c r="L283" s="192" t="str">
        <x:v>Incorrect. Collateral data can clarify uncertain timing and baseline.</x:v>
      </x:c>
      <x:c r="M283" s="192" t="str">
        <x:v>Incorrect. Multiple explanations may still remain.</x:v>
      </x:c>
      <x:c r="N283" s="192" t="str">
        <x:v>Correct. Onset and sequence often distinguish primary disorders from induced, medical, trauma-related, or adjustment presentations.</x:v>
      </x:c>
      <x:c r="O283" s="192" t="str">
        <x:v>A. Incorrect. Impairment remains important to diagnosis and planning.
B. Incorrect. Collateral data can clarify uncertain timing and baseline.
C. Incorrect. Multiple explanations may still remain.
D. Correct. Onset and sequence often distinguish primary disorders from induced, medical, trauma-related, or adjustment presentations.</x:v>
      </x:c>
      <x:c r="P283" s="192" t="str">
        <x:v>Build a timeline before choosing between diagnoses that share symptoms.</x:v>
      </x:c>
      <x:c r="Q283" s="194" t="str">
        <x:v>CTA LMFT WB5; Pearson VUE LMFT Outline Area 2</x:v>
      </x:c>
    </x:row>
    <x:row r="284">
      <x:c r="A284" s="191" t="str">
        <x:v>CTA-LMFT-MQB-0283</x:v>
      </x:c>
      <x:c r="B284" s="192" t="str">
        <x:v>LMFT-MQB-FA-TX-002</x:v>
      </x:c>
      <x:c r="C284" s="192" t="str">
        <x:v>Comprehensive Simulation</x:v>
      </x:c>
      <x:c r="D284" s="192" t="str">
        <x:v>Form A</x:v>
      </x:c>
      <x:c r="E284" s="192" t="str">
        <x:v>What is the therapist’s primary stance when using motivational interviewing?</x:v>
      </x:c>
      <x:c r="F284" s="192" t="str">
        <x:v>Authoritative confrontation to overcome denial.</x:v>
      </x:c>
      <x:c r="G284" s="192" t="str">
        <x:v>Neutral silence until the client decides independently.</x:v>
      </x:c>
      <x:c r="H284" s="192" t="str">
        <x:v>Collaborative exploration of ambivalence that strengthens the client’s own reasons and confidence for change.</x:v>
      </x:c>
      <x:c r="I284" s="192" t="str">
        <x:v>Education without asking about motivation.</x:v>
      </x:c>
      <x:c r="J284" s="192" t="str">
        <x:v>C</x:v>
      </x:c>
      <x:c r="K284" s="192" t="str">
        <x:v>Incorrect. Confrontation often increases resistance.</x:v>
      </x:c>
      <x:c r="L284" s="192" t="str">
        <x:v>Incorrect. The therapist actively guides exploration rather than remaining passive.</x:v>
      </x:c>
      <x:c r="M284" s="192" t="str">
        <x:v>Correct. MI emphasizes partnership, acceptance, compassion, and evocation rather than coercion.</x:v>
      </x:c>
      <x:c r="N284" s="192" t="str">
        <x:v>Incorrect. Information alone may not address ambivalence.</x:v>
      </x:c>
      <x:c r="O284" s="192" t="str">
        <x:v>A. Incorrect. Confrontation often increases resistance.
B. Incorrect. The therapist actively guides exploration rather than remaining passive.
C. Correct. MI emphasizes partnership, acceptance, compassion, and evocation rather than coercion.
D. Incorrect. Information alone may not address ambivalence.</x:v>
      </x:c>
      <x:c r="P284" s="192" t="str">
        <x:v>Listen for change talk and sustain talk; do not argue the client into readiness.</x:v>
      </x:c>
      <x:c r="Q284" s="194" t="str">
        <x:v>CTA LMFT WB9; Pearson VUE LMFT Outline Area 5</x:v>
      </x:c>
    </x:row>
    <x:row r="285">
      <x:c r="A285" s="191" t="str">
        <x:v>CTA-LMFT-MQB-0284</x:v>
      </x:c>
      <x:c r="B285" s="192" t="str">
        <x:v>LMFT-MQB-FA-CE-035</x:v>
      </x:c>
      <x:c r="C285" s="192" t="str">
        <x:v>Comprehensive Simulation</x:v>
      </x:c>
      <x:c r="D285" s="192" t="str">
        <x:v>Form A</x:v>
      </x:c>
      <x:c r="E285" s="192" t="str">
        <x:v>A child’s school refusal began after witnessing escalating parental violence. The parents request individual behavior treatment for the child and deny that family safety is relevant. What should the LMFT do NEXT?</x:v>
      </x:c>
      <x:c r="F285" s="192" t="str">
        <x:v>Accept the requested focus and avoid asking about violence.</x:v>
      </x:c>
      <x:c r="G285" s="192" t="str">
        <x:v>Assume the child is manipulating the parents.</x:v>
      </x:c>
      <x:c r="H285" s="192" t="str">
        <x:v>Assess current violence and child safety, determine reporting or protective obligations, and formulate the child’s symptoms in the family context before routine behavior treatment.</x:v>
      </x:c>
      <x:c r="I285" s="192" t="str">
        <x:v>Tell the child to attend school regardless of home conditions.</x:v>
      </x:c>
      <x:c r="J285" s="192" t="str">
        <x:v>C</x:v>
      </x:c>
      <x:c r="K285" s="192" t="str">
        <x:v>Incorrect. Ignoring violence could miss immediate danger and required action.</x:v>
      </x:c>
      <x:c r="L285" s="192" t="str">
        <x:v>Incorrect. The available facts support a trauma-context assessment, not a motive judgment.</x:v>
      </x:c>
      <x:c r="M285" s="192" t="str">
        <x:v>Correct. Safety and trauma context take priority and may fundamentally change treatment planning.</x:v>
      </x:c>
      <x:c r="N285" s="192" t="str">
        <x:v>Incorrect. Behavioral demands without safety assessment may worsen distress.</x:v>
      </x:c>
      <x:c r="O285" s="192" t="str">
        <x:v>A. Incorrect. Ignoring violence could miss immediate danger and required action.
B. Incorrect. The available facts support a trauma-context assessment, not a motive judgment.
C. Correct. Safety and trauma context take priority and may fundamentally change treatment planning.
D. Incorrect. Behavioral demands without safety assessment may worsen distress.</x:v>
      </x:c>
      <x:c r="P285" s="192" t="str">
        <x:v>When a symptom follows violence, assess safety and context before treating the symptom as an isolated behavior.</x:v>
      </x:c>
      <x:c r="Q285" s="194" t="str">
        <x:v>CTA LMFT WB4; CTA LMFT WB6; Pearson VUE LMFT Outline Area 1</x:v>
      </x:c>
    </x:row>
    <x:row r="286">
      <x:c r="A286" s="191" t="str">
        <x:v>CTA-LMFT-MQB-0285</x:v>
      </x:c>
      <x:c r="B286" s="192" t="str">
        <x:v>LMFT-MQB-FA-TX-006</x:v>
      </x:c>
      <x:c r="C286" s="192" t="str">
        <x:v>Comprehensive Simulation</x:v>
      </x:c>
      <x:c r="D286" s="192" t="str">
        <x:v>Form A</x:v>
      </x:c>
      <x:c r="E286" s="192" t="str">
        <x:v>A depressed client has stopped all pleasurable and mastery activities. Which intervention is MOST consistent with behavioral activation?</x:v>
      </x:c>
      <x:c r="F286" s="192" t="str">
        <x:v>Wait for motivation to return before acting.</x:v>
      </x:c>
      <x:c r="G286" s="192" t="str">
        <x:v>Recommend an immediate major life change.</x:v>
      </x:c>
      <x:c r="H286" s="192" t="str">
        <x:v>Challenge every negative thought before changing behavior.</x:v>
      </x:c>
      <x:c r="I286" s="192" t="str">
        <x:v>Collaboratively schedule small, specific activities and monitor their effect on mood and functioning.</x:v>
      </x:c>
      <x:c r="J286" s="192" t="str">
        <x:v>D</x:v>
      </x:c>
      <x:c r="K286" s="192" t="str">
        <x:v>Incorrect. Motivation often follows action rather than preceding it.</x:v>
      </x:c>
      <x:c r="L286" s="192" t="str">
        <x:v>Incorrect. Large changes may be unrealistic and destabilizing.</x:v>
      </x:c>
      <x:c r="M286" s="192" t="str">
        <x:v>Incorrect. Cognitive work may help but is not required before behavioral activation.</x:v>
      </x:c>
      <x:c r="N286" s="192" t="str">
        <x:v>Correct. Behavioral activation uses planned action to interrupt withdrawal and increase contact with reinforcement.</x:v>
      </x:c>
      <x:c r="O286" s="192" t="str">
        <x:v>A. Incorrect. Motivation often follows action rather than preceding it.
B. Incorrect. Large changes may be unrealistic and destabilizing.
C. Incorrect. Cognitive work may help but is not required before behavioral activation.
D. Correct. Behavioral activation uses planned action to interrupt withdrawal and increase contact with reinforcement.</x:v>
      </x:c>
      <x:c r="P286" s="192" t="str">
        <x:v>Choose small, observable actions that test whether increased engagement changes mood.</x:v>
      </x:c>
      <x:c r="Q286" s="194" t="str">
        <x:v>CTA LMFT WB9; Pearson VUE LMFT Outline Area 5</x:v>
      </x:c>
    </x:row>
    <x:row r="287">
      <x:c r="A287" s="191" t="str">
        <x:v>CTA-LMFT-MQB-0286</x:v>
      </x:c>
      <x:c r="B287" s="192" t="str">
        <x:v>LMFT-MQB-FA-CP-018</x:v>
      </x:c>
      <x:c r="C287" s="192" t="str">
        <x:v>Comprehensive Simulation</x:v>
      </x:c>
      <x:c r="D287" s="192" t="str">
        <x:v>Form A</x:v>
      </x:c>
      <x:c r="E287" s="192" t="str">
        <x:v>A couple requests intimacy treatment, but assessment reveals coercive control, recent sexual violence, and one partner’s fear of retaliation. What is the BEST plan?</x:v>
      </x:c>
      <x:c r="F287" s="192" t="str">
        <x:v>Ask both partners to sign a no-violence contract and continue.</x:v>
      </x:c>
      <x:c r="G287" s="192" t="str">
        <x:v>Prioritize safety and individual support, determine whether conjoint treatment is contraindicated, connect specialized resources, and revisit relational goals only if conditions become safe.</x:v>
      </x:c>
      <x:c r="H287" s="192" t="str">
        <x:v>Treat the problem as mutual communication difficulty.</x:v>
      </x:c>
      <x:c r="I287" s="192" t="str">
        <x:v>Begin sensate-focus exercises together.</x:v>
      </x:c>
      <x:c r="J287" s="192" t="str">
        <x:v>B</x:v>
      </x:c>
      <x:c r="K287" s="192" t="str">
        <x:v>Incorrect. A contract is not sufficient protection in coercive violence.</x:v>
      </x:c>
      <x:c r="L287" s="192" t="str">
        <x:v>Correct. The safety context changes the treatment unit, modality, and sequence.</x:v>
      </x:c>
      <x:c r="M287" s="192" t="str">
        <x:v>Incorrect. Symmetric communication framing can obscure abuse.</x:v>
      </x:c>
      <x:c r="N287" s="192" t="str">
        <x:v>Incorrect. Conjoint intimacy exercises may increase danger.</x:v>
      </x:c>
      <x:c r="O287" s="192" t="str">
        <x:v>A. Incorrect. A contract is not sufficient protection in coercive violence.
B. Correct. The safety context changes the treatment unit, modality, and sequence.
C. Incorrect. Symmetric communication framing can obscure abuse.
D. Incorrect. Conjoint intimacy exercises may increase danger.</x:v>
      </x:c>
      <x:c r="P287" s="192" t="str">
        <x:v>The presenting goal never outranks safety or appropriateness of conjoint work.</x:v>
      </x:c>
      <x:c r="Q287" s="194" t="str">
        <x:v>CTA LMFT WB6; CTA LMFT WB7; CTA LMFT WB8; Pearson VUE LMFT Outline Area 4</x:v>
      </x:c>
    </x:row>
    <x:row r="288">
      <x:c r="A288" s="191" t="str">
        <x:v>CTA-LMFT-MQB-0287</x:v>
      </x:c>
      <x:c r="B288" s="192" t="str">
        <x:v>LMFT-MQB-FA-CE-004</x:v>
      </x:c>
      <x:c r="C288" s="192" t="str">
        <x:v>Comprehensive Simulation</x:v>
      </x:c>
      <x:c r="D288" s="192" t="str">
        <x:v>Form A</x:v>
      </x:c>
      <x:c r="E288" s="192" t="str">
        <x:v>Why is baseline functioning clinically important during evaluation?</x:v>
      </x:c>
      <x:c r="F288" s="192" t="str">
        <x:v>It determines the treatment modality without considering context.</x:v>
      </x:c>
      <x:c r="G288" s="192" t="str">
        <x:v>It replaces the need for current observation.</x:v>
      </x:c>
      <x:c r="H288" s="192" t="str">
        <x:v>It helps the therapist distinguish a person’s usual presentation from a meaningful change that may require further assessment.</x:v>
      </x:c>
      <x:c r="I288" s="192" t="str">
        <x:v>It guarantees that no diagnosis is present.</x:v>
      </x:c>
      <x:c r="J288" s="192" t="str">
        <x:v>C</x:v>
      </x:c>
      <x:c r="K288" s="192" t="str">
        <x:v>Incorrect. Modality selection requires additional goals, safety, and systemic information.</x:v>
      </x:c>
      <x:c r="L288" s="192" t="str">
        <x:v>Incorrect. Current observations remain essential.</x:v>
      </x:c>
      <x:c r="M288" s="192" t="str">
        <x:v>Correct. Comparison with prior functioning can reveal deterioration, improvement, or an acute medical, substance, or psychiatric change.</x:v>
      </x:c>
      <x:c r="N288" s="192" t="str">
        <x:v>Incorrect. A stable baseline does not rule out a disorder.</x:v>
      </x:c>
      <x:c r="O288" s="192" t="str">
        <x:v>A. Incorrect. Modality selection requires additional goals, safety, and systemic information.
B. Incorrect. Current observations remain essential.
C. Correct. Comparison with prior functioning can reveal deterioration, improvement, or an acute medical, substance, or psychiatric change.
D. Incorrect. A stable baseline does not rule out a disorder.</x:v>
      </x:c>
      <x:c r="P288" s="192" t="str">
        <x:v>When behavior is unusual, ask whether it is new, worsening, episodic, or typical for this client.</x:v>
      </x:c>
      <x:c r="Q288" s="194" t="str">
        <x:v>CTA LMFT WB2; Pearson VUE LMFT Outline Area 1</x:v>
      </x:c>
    </x:row>
    <x:row r="289">
      <x:c r="A289" s="191" t="str">
        <x:v>CTA-LMFT-MQB-0288</x:v>
      </x:c>
      <x:c r="B289" s="192" t="str">
        <x:v>LMFT-MQB-FA-TX-025</x:v>
      </x:c>
      <x:c r="C289" s="192" t="str">
        <x:v>Comprehensive Simulation</x:v>
      </x:c>
      <x:c r="D289" s="192" t="str">
        <x:v>Form A</x:v>
      </x:c>
      <x:c r="E289" s="192" t="str">
        <x:v>A trauma client becomes highly activated during a session and begins losing awareness of the room. What should the therapist do FIRST?</x:v>
      </x:c>
      <x:c r="F289" s="192" t="str">
        <x:v>Interpret the reaction as resistance.</x:v>
      </x:c>
      <x:c r="G289" s="192" t="str">
        <x:v>Pause processing and use grounding, orientation, and present-focused regulation until the client is reconnected and stable.</x:v>
      </x:c>
      <x:c r="H289" s="192" t="str">
        <x:v>Continue asking for more detail to complete the narrative.</x:v>
      </x:c>
      <x:c r="I289" s="192" t="str">
        <x:v>End treatment without discussion.</x:v>
      </x:c>
      <x:c r="J289" s="192" t="str">
        <x:v>B</x:v>
      </x:c>
      <x:c r="K289" s="192" t="str">
        <x:v>Incorrect. The reaction is a clinical state, not proof of resistance.</x:v>
      </x:c>
      <x:c r="L289" s="192" t="str">
        <x:v>Correct. Dissociative activation requires immediate stabilization before further trauma processing.</x:v>
      </x:c>
      <x:c r="M289" s="192" t="str">
        <x:v>Incorrect. More detail may intensify disconnection.</x:v>
      </x:c>
      <x:c r="N289" s="192" t="str">
        <x:v>Incorrect. A single episode does not require abrupt termination.</x:v>
      </x:c>
      <x:c r="O289" s="192" t="str">
        <x:v>A. Incorrect. The reaction is a clinical state, not proof of resistance.
B. Correct. Dissociative activation requires immediate stabilization before further trauma processing.
C. Incorrect. More detail may intensify disconnection.
D. Incorrect. A single episode does not require abrupt termination.</x:v>
      </x:c>
      <x:c r="P289" s="192" t="str">
        <x:v>When present-moment awareness is lost, return to the present before returning to the trauma.</x:v>
      </x:c>
      <x:c r="Q289" s="194" t="str">
        <x:v>CTA LMFT WB9; Pearson VUE LMFT Outline Area 5</x:v>
      </x:c>
    </x:row>
    <x:row r="290">
      <x:c r="A290" s="191" t="str">
        <x:v>CTA-LMFT-MQB-0289</x:v>
      </x:c>
      <x:c r="B290" s="192" t="str">
        <x:v>LMFT-MQB-FA-DI-015</x:v>
      </x:c>
      <x:c r="C290" s="192" t="str">
        <x:v>Comprehensive Simulation</x:v>
      </x:c>
      <x:c r="D290" s="192" t="str">
        <x:v>Form A</x:v>
      </x:c>
      <x:c r="E290" s="192" t="str">
        <x:v>A client reports chronic worry, episodic binge drinking, insomnia, and trauma nightmares. Symptoms began at different times and worsen one another. What should the LMFT do NEXT?</x:v>
      </x:c>
      <x:c r="F290" s="192" t="str">
        <x:v>Construct a timeline, assess independent and interacting syndromes, clarify substance effects and risk, and use a provisional formulation if necessary.</x:v>
      </x:c>
      <x:c r="G290" s="192" t="str">
        <x:v>Choose the single most severe symptom as the only diagnosis.</x:v>
      </x:c>
      <x:c r="H290" s="192" t="str">
        <x:v>Assign every possible diagnosis immediately.</x:v>
      </x:c>
      <x:c r="I290" s="192" t="str">
        <x:v>Delay all treatment until diagnostic certainty is complete.</x:v>
      </x:c>
      <x:c r="J290" s="192" t="str">
        <x:v>A</x:v>
      </x:c>
      <x:c r="K290" s="192" t="str">
        <x:v>Correct. Complex presentations require chronology, comorbidity assessment, and transparent uncertainty rather than forced simplicity or indiscriminate labeling.</x:v>
      </x:c>
      <x:c r="L290" s="192" t="str">
        <x:v>Incorrect. One symptom may not explain the whole pattern.</x:v>
      </x:c>
      <x:c r="M290" s="192" t="str">
        <x:v>Incorrect. Overdiagnosis can obscure relationships among conditions.</x:v>
      </x:c>
      <x:c r="N290" s="192" t="str">
        <x:v>Incorrect. Safety and symptom-focused care can begin while assessment continues.</x:v>
      </x:c>
      <x:c r="O290" s="192" t="str">
        <x:v>A. Correct. Complex presentations require chronology, comorbidity assessment, and transparent uncertainty rather than forced simplicity or indiscriminate labeling.
B. Incorrect. One symptom may not explain the whole pattern.
C. Incorrect. Overdiagnosis can obscure relationships among conditions.
D. Incorrect. Safety and symptom-focused care can begin while assessment continues.</x:v>
      </x:c>
      <x:c r="P290" s="192" t="str">
        <x:v>Diagnostic parsimony means the fewest well-supported explanations, not one diagnosis at any cost.</x:v>
      </x:c>
      <x:c r="Q290" s="194" t="str">
        <x:v>CTA LMFT WB5; Pearson VUE LMFT Outline Area 2</x:v>
      </x:c>
    </x:row>
    <x:row r="291">
      <x:c r="A291" s="191" t="str">
        <x:v>CTA-LMFT-MQB-0290</x:v>
      </x:c>
      <x:c r="B291" s="192" t="str">
        <x:v>LMFT-MQB-FA-CP-014</x:v>
      </x:c>
      <x:c r="C291" s="192" t="str">
        <x:v>Comprehensive Simulation</x:v>
      </x:c>
      <x:c r="D291" s="192" t="str">
        <x:v>Form A</x:v>
      </x:c>
      <x:c r="E291" s="192" t="str">
        <x:v>A therapist is designing a grief group for adults with recent losses. What should be done BEFORE finalizing membership?</x:v>
      </x:c>
      <x:c r="F291" s="192" t="str">
        <x:v>Clarify group purpose, screen for safety and readiness, consider composition and accessibility, and explain expectations and confidentiality limits.</x:v>
      </x:c>
      <x:c r="G291" s="192" t="str">
        <x:v>Admit everyone who expresses interest.</x:v>
      </x:c>
      <x:c r="H291" s="192" t="str">
        <x:v>Select members only by diagnosis.</x:v>
      </x:c>
      <x:c r="I291" s="192" t="str">
        <x:v>Begin the group before defining its purpose.</x:v>
      </x:c>
      <x:c r="J291" s="192" t="str">
        <x:v>A</x:v>
      </x:c>
      <x:c r="K291" s="192" t="str">
        <x:v>Correct. Group planning requires fit, safety, purpose, and informed expectations.</x:v>
      </x:c>
      <x:c r="L291" s="192" t="str">
        <x:v>Incorrect. Interest alone does not establish readiness.</x:v>
      </x:c>
      <x:c r="M291" s="192" t="str">
        <x:v>Incorrect. Diagnosis is only one aspect of group fit.</x:v>
      </x:c>
      <x:c r="N291" s="192" t="str">
        <x:v>Incorrect. Purpose guides screening and structure.</x:v>
      </x:c>
      <x:c r="O291" s="192" t="str">
        <x:v>A. Correct. Group planning requires fit, safety, purpose, and informed expectations.
B. Incorrect. Interest alone does not establish readiness.
C. Incorrect. Diagnosis is only one aspect of group fit.
D. Incorrect. Purpose guides screening and structure.</x:v>
      </x:c>
      <x:c r="P291" s="192" t="str">
        <x:v>Screen for whether this person, this group, and this time fit one another.</x:v>
      </x:c>
      <x:c r="Q291" s="194" t="str">
        <x:v>CTA LMFT WB8; CTA LMFT WB11; Pearson VUE LMFT Outline Area 4</x:v>
      </x:c>
    </x:row>
    <x:row r="292">
      <x:c r="A292" s="191" t="str">
        <x:v>CTA-LMFT-MQB-0291</x:v>
      </x:c>
      <x:c r="B292" s="192" t="str">
        <x:v>LMFT-MQB-FA-CP-005</x:v>
      </x:c>
      <x:c r="C292" s="192" t="str">
        <x:v>Comprehensive Simulation</x:v>
      </x:c>
      <x:c r="D292" s="192" t="str">
        <x:v>Form A</x:v>
      </x:c>
      <x:c r="E292" s="192" t="str">
        <x:v>A child’s anxiety is maintained by escalating parental conflict and inconsistent reassurance. Which modality is MOST directly matched to the formulation?</x:v>
      </x:c>
      <x:c r="F292" s="192" t="str">
        <x:v>A group chosen solely because a space is available.</x:v>
      </x:c>
      <x:c r="G292" s="192" t="str">
        <x:v>Medication management by the LMFT.</x:v>
      </x:c>
      <x:c r="H292" s="192" t="str">
        <x:v>Child-only treatment with no caregiver contact.</x:v>
      </x:c>
      <x:c r="I292" s="192" t="str">
        <x:v>A plan that includes work with caregivers and the family interaction pattern, with individual support as needed.</x:v>
      </x:c>
      <x:c r="J292" s="192" t="str">
        <x:v>D</x:v>
      </x:c>
      <x:c r="K292" s="192" t="str">
        <x:v>Incorrect. Availability does not establish fit.</x:v>
      </x:c>
      <x:c r="L292" s="192" t="str">
        <x:v>Incorrect. Medication management is outside the LMFT role.</x:v>
      </x:c>
      <x:c r="M292" s="192" t="str">
        <x:v>Incorrect. Child-only work may miss the described maintaining cycle.</x:v>
      </x:c>
      <x:c r="N292" s="192" t="str">
        <x:v>Correct. The maintaining mechanism is relational and therefore requires attention to caregiver responses and the family system.</x:v>
      </x:c>
      <x:c r="O292" s="192" t="str">
        <x:v>A. Incorrect. Availability does not establish fit.
B. Incorrect. Medication management is outside the LMFT role.
C. Incorrect. Child-only work may miss the described maintaining cycle.
D. Correct. The maintaining mechanism is relational and therefore requires attention to caregiver responses and the family system.</x:v>
      </x:c>
      <x:c r="P292" s="192" t="str">
        <x:v>Select the treatment system that contains the maintaining pattern.</x:v>
      </x:c>
      <x:c r="Q292" s="194" t="str">
        <x:v>CTA LMFT WB7; CTA LMFT WB8; Pearson VUE LMFT Outline Area 4</x:v>
      </x:c>
    </x:row>
    <x:row r="293">
      <x:c r="A293" s="191" t="str">
        <x:v>CTA-LMFT-MQB-0292</x:v>
      </x:c>
      <x:c r="B293" s="192" t="str">
        <x:v>LMFT-MQB-FA-CE-018</x:v>
      </x:c>
      <x:c r="C293" s="192" t="str">
        <x:v>Comprehensive Simulation</x:v>
      </x:c>
      <x:c r="D293" s="192" t="str">
        <x:v>Form A</x:v>
      </x:c>
      <x:c r="E293" s="192" t="str">
        <x:v>An LMFT recognizes that a client’s sudden cognitive changes may reflect a neurological condition outside the therapist’s competence. What is the BEST response?</x:v>
      </x:c>
      <x:c r="F293" s="192" t="str">
        <x:v>Continue psychotherapy alone until a diagnosis becomes obvious.</x:v>
      </x:c>
      <x:c r="G293" s="192" t="str">
        <x:v>Assess immediate safety, explain the concern within scope, and arrange appropriate medical or specialty evaluation while maintaining relevant clinical support.</x:v>
      </x:c>
      <x:c r="H293" s="192" t="str">
        <x:v>Provide a neurological diagnosis to speed treatment.</x:v>
      </x:c>
      <x:c r="I293" s="192" t="str">
        <x:v>Terminate without referral because the issue is outside scope.</x:v>
      </x:c>
      <x:c r="J293" s="192" t="str">
        <x:v>B</x:v>
      </x:c>
      <x:c r="K293" s="192" t="str">
        <x:v>Incorrect. Delay may increase risk and miss treatable causes.</x:v>
      </x:c>
      <x:c r="L293" s="192" t="str">
        <x:v>Correct. The therapist should protect the client through timely referral and coordination rather than ignoring or practicing beyond competence.</x:v>
      </x:c>
      <x:c r="M293" s="192" t="str">
        <x:v>Incorrect. A neurological diagnosis is outside the therapist’s scope.</x:v>
      </x:c>
      <x:c r="N293" s="192" t="str">
        <x:v>Incorrect. Referral and continuity are preferable to abrupt abandonment.</x:v>
      </x:c>
      <x:c r="O293" s="192" t="str">
        <x:v>A. Incorrect. Delay may increase risk and miss treatable causes.
B. Correct. The therapist should protect the client through timely referral and coordination rather than ignoring or practicing beyond competence.
C. Incorrect. A neurological diagnosis is outside the therapist’s scope.
D. Incorrect. Referral and continuity are preferable to abrupt abandonment.</x:v>
      </x:c>
      <x:c r="P293" s="192" t="str">
        <x:v>Outside competence does not mean outside responsibility; identify, refer, coordinate, and follow up.</x:v>
      </x:c>
      <x:c r="Q293" s="194" t="str">
        <x:v>CTA LMFT WB4; CTA LMFT WB12; Pearson VUE LMFT Outline Area 1</x:v>
      </x:c>
    </x:row>
    <x:row r="294">
      <x:c r="A294" s="191" t="str">
        <x:v>CTA-LMFT-MQB-0293</x:v>
      </x:c>
      <x:c r="B294" s="192" t="str">
        <x:v>LMFT-MQB-FA-TX-023</x:v>
      </x:c>
      <x:c r="C294" s="192" t="str">
        <x:v>Comprehensive Simulation</x:v>
      </x:c>
      <x:c r="D294" s="192" t="str">
        <x:v>Form A</x:v>
      </x:c>
      <x:c r="E294" s="192" t="str">
        <x:v>A client says, “You did not listen to me last session, and I almost did not come back.” What should the LMFT do FIRST?</x:v>
      </x:c>
      <x:c r="F294" s="192" t="str">
        <x:v>Explain why the therapist’s intervention was correct.</x:v>
      </x:c>
      <x:c r="G294" s="192" t="str">
        <x:v>Terminate because the alliance is damaged.</x:v>
      </x:c>
      <x:c r="H294" s="192" t="str">
        <x:v>Change the subject to avoid reinforcing criticism.</x:v>
      </x:c>
      <x:c r="I294" s="192" t="str">
        <x:v>Acknowledge the concern, invite the client’s experience, and explore what repair would make treatment useful again.</x:v>
      </x:c>
      <x:c r="J294" s="192" t="str">
        <x:v>D</x:v>
      </x:c>
      <x:c r="K294" s="192" t="str">
        <x:v>Incorrect. Defending first may deepen the rupture.</x:v>
      </x:c>
      <x:c r="L294" s="192" t="str">
        <x:v>Incorrect. A rupture does not automatically require termination.</x:v>
      </x:c>
      <x:c r="M294" s="192" t="str">
        <x:v>Incorrect. Avoidance leaves the problem unresolved.</x:v>
      </x:c>
      <x:c r="N294" s="192" t="str">
        <x:v>Correct. Direct, nondefensive repair can strengthen collaboration and clarify the treatment relationship.</x:v>
      </x:c>
      <x:c r="O294" s="192" t="str">
        <x:v>A. Incorrect. Defending first may deepen the rupture.
B. Incorrect. A rupture does not automatically require termination.
C. Incorrect. Avoidance leaves the problem unresolved.
D. Correct. Direct, nondefensive repair can strengthen collaboration and clarify the treatment relationship.</x:v>
      </x:c>
      <x:c r="P294" s="192" t="str">
        <x:v>When the client names a rupture, repair precedes persuasion.</x:v>
      </x:c>
      <x:c r="Q294" s="194" t="str">
        <x:v>CTA LMFT WB2; Pearson VUE LMFT Outline Area 5</x:v>
      </x:c>
    </x:row>
    <x:row r="295">
      <x:c r="A295" s="191" t="str">
        <x:v>CTA-LMFT-MQB-0294</x:v>
      </x:c>
      <x:c r="B295" s="192" t="str">
        <x:v>LMFT-MQB-FA-CE-033</x:v>
      </x:c>
      <x:c r="C295" s="192" t="str">
        <x:v>Comprehensive Simulation</x:v>
      </x:c>
      <x:c r="D295" s="192" t="str">
        <x:v>Form A</x:v>
      </x:c>
      <x:c r="E295" s="192" t="str">
        <x:v>In a family evaluation, a parent privately emails allegations about the other parent and demands that the message be kept secret from the family. What should the LMFT do NEXT?</x:v>
      </x:c>
      <x:c r="F295" s="192" t="str">
        <x:v>Ignore the content because it arrived by email.</x:v>
      </x:c>
      <x:c r="G295" s="192" t="str">
        <x:v>Review the established information policy and treatment roles, assess any immediate safety issue, and avoid accepting a secret arrangement that conflicts with the treatment structure.</x:v>
      </x:c>
      <x:c r="H295" s="192" t="str">
        <x:v>Promise secrecy to preserve the parent’s alliance.</x:v>
      </x:c>
      <x:c r="I295" s="192" t="str">
        <x:v>Forward the message to the whole family without assessment.</x:v>
      </x:c>
      <x:c r="J295" s="192" t="str">
        <x:v>B</x:v>
      </x:c>
      <x:c r="K295" s="192" t="str">
        <x:v>Incorrect. The content may contain clinically or safety-relevant information.</x:v>
      </x:c>
      <x:c r="L295" s="192" t="str">
        <x:v>Correct. Multi-client work requires consistent policies, safety review, and clear management of outside communications.</x:v>
      </x:c>
      <x:c r="M295" s="192" t="str">
        <x:v>Incorrect. A private alliance may undermine neutrality and informed expectations.</x:v>
      </x:c>
      <x:c r="N295" s="192" t="str">
        <x:v>Incorrect. Immediate broad disclosure may create harm and exceed the policy.</x:v>
      </x:c>
      <x:c r="O295" s="192" t="str">
        <x:v>A. Incorrect. The content may contain clinically or safety-relevant information.
B. Correct. Multi-client work requires consistent policies, safety review, and clear management of outside communications.
C. Incorrect. A private alliance may undermine neutrality and informed expectations.
D. Incorrect. Immediate broad disclosure may create harm and exceed the policy.</x:v>
      </x:c>
      <x:c r="P295" s="192" t="str">
        <x:v>In relational treatment, do not improvise a secret policy in response to one participant’s demand.</x:v>
      </x:c>
      <x:c r="Q295" s="194" t="str">
        <x:v>CTA LMFT WB2; CTA LMFT WB12; Pearson VUE LMFT Outline Area 1</x:v>
      </x:c>
    </x:row>
    <x:row r="296">
      <x:c r="A296" s="191" t="str">
        <x:v>CTA-LMFT-MQB-0295</x:v>
      </x:c>
      <x:c r="B296" s="192" t="str">
        <x:v>LMFT-MQB-FA-TX-021</x:v>
      </x:c>
      <x:c r="C296" s="192" t="str">
        <x:v>Comprehensive Simulation</x:v>
      </x:c>
      <x:c r="D296" s="192" t="str">
        <x:v>Form A</x:v>
      </x:c>
      <x:c r="E296" s="192" t="str">
        <x:v>A client with restrictive eating reports fainting, chest palpitations, and rapid weight loss. What should the LMFT do?</x:v>
      </x:c>
      <x:c r="F296" s="192" t="str">
        <x:v>Wait for the client to request medical care.</x:v>
      </x:c>
      <x:c r="G296" s="192" t="str">
        <x:v>Prioritize urgent medical evaluation and coordinated specialty care while addressing motivation, family support, and continuity.</x:v>
      </x:c>
      <x:c r="H296" s="192" t="str">
        <x:v>Begin body-image journaling as the only intervention.</x:v>
      </x:c>
      <x:c r="I296" s="192" t="str">
        <x:v>Assure the client the symptoms are anxiety.</x:v>
      </x:c>
      <x:c r="J296" s="192" t="str">
        <x:v>B</x:v>
      </x:c>
      <x:c r="K296" s="192" t="str">
        <x:v>Incorrect. Delay may be dangerous.</x:v>
      </x:c>
      <x:c r="L296" s="192" t="str">
        <x:v>Correct. The physical signs may indicate medical instability requiring urgent multidisciplinary treatment.</x:v>
      </x:c>
      <x:c r="M296" s="192" t="str">
        <x:v>Incorrect. Psychotherapy alone is insufficient.</x:v>
      </x:c>
      <x:c r="N296" s="192" t="str">
        <x:v>Incorrect. The therapist cannot safely attribute these signs to anxiety.</x:v>
      </x:c>
      <x:c r="O296" s="192" t="str">
        <x:v>A. Incorrect. Delay may be dangerous.
B. Correct. The physical signs may indicate medical instability requiring urgent multidisciplinary treatment.
C. Incorrect. Psychotherapy alone is insufficient.
D. Incorrect. The therapist cannot safely attribute these signs to anxiety.</x:v>
      </x:c>
      <x:c r="P296" s="192" t="str">
        <x:v>When eating symptoms produce medical red flags, level of care and coordination precede routine psychotherapy.</x:v>
      </x:c>
      <x:c r="Q296" s="194" t="str">
        <x:v>CTA LMFT WB9; Pearson VUE LMFT Outline Area 5</x:v>
      </x:c>
    </x:row>
    <x:row r="297">
      <x:c r="A297" s="191" t="str">
        <x:v>CTA-LMFT-MQB-0296</x:v>
      </x:c>
      <x:c r="B297" s="192" t="str">
        <x:v>LMFT-MQB-FA-DI-003</x:v>
      </x:c>
      <x:c r="C297" s="192" t="str">
        <x:v>Comprehensive Simulation</x:v>
      </x:c>
      <x:c r="D297" s="192" t="str">
        <x:v>Form A</x:v>
      </x:c>
      <x:c r="E297" s="192" t="str">
        <x:v>A relational problem can be clinically documented even when it is not a mental disorder because it may be what?</x:v>
      </x:c>
      <x:c r="F297" s="192" t="str">
        <x:v>Proof that one partner has a personality disorder.</x:v>
      </x:c>
      <x:c r="G297" s="192" t="str">
        <x:v>A substitute for assessing safety or impairment.</x:v>
      </x:c>
      <x:c r="H297" s="192" t="str">
        <x:v>A condition or circumstance that is a focus of clinical attention.</x:v>
      </x:c>
      <x:c r="I297" s="192" t="str">
        <x:v>An automatic basis for involuntary treatment.</x:v>
      </x:c>
      <x:c r="J297" s="192" t="str">
        <x:v>C</x:v>
      </x:c>
      <x:c r="K297" s="192" t="str">
        <x:v>Incorrect. Relationship conflict does not establish a personality disorder.</x:v>
      </x:c>
      <x:c r="L297" s="192" t="str">
        <x:v>Incorrect. Contextual coding does not replace broader assessment.</x:v>
      </x:c>
      <x:c r="M297" s="192" t="str">
        <x:v>Correct. Relational and contextual conditions can be central treatment targets without being classified as mental disorders.</x:v>
      </x:c>
      <x:c r="N297" s="192" t="str">
        <x:v>Incorrect. A focus-of-attention code does not create detention authority.</x:v>
      </x:c>
      <x:c r="O297" s="192" t="str">
        <x:v>A. Incorrect. Relationship conflict does not establish a personality disorder.
B. Incorrect. Contextual coding does not replace broader assessment.
C. Correct. Relational and contextual conditions can be central treatment targets without being classified as mental disorders.
D. Incorrect. A focus-of-attention code does not create detention authority.</x:v>
      </x:c>
      <x:c r="P297" s="192" t="str">
        <x:v>Do not force every clinically important problem into a mental-disorder category.</x:v>
      </x:c>
      <x:c r="Q297" s="194" t="str">
        <x:v>CTA LMFT WB5; Pearson VUE LMFT Outline Area 2</x:v>
      </x:c>
    </x:row>
    <x:row r="298">
      <x:c r="A298" s="191" t="str">
        <x:v>CTA-LMFT-MQB-0297</x:v>
      </x:c>
      <x:c r="B298" s="192" t="str">
        <x:v>LMFT-MQB-FA-CP-010</x:v>
      </x:c>
      <x:c r="C298" s="192" t="str">
        <x:v>Comprehensive Simulation</x:v>
      </x:c>
      <x:c r="D298" s="192" t="str">
        <x:v>Form A</x:v>
      </x:c>
      <x:c r="E298" s="192" t="str">
        <x:v>After assessment identifies moderate depression, relationship strain, and no acute risk, what should the LMFT do NEXT?</x:v>
      </x:c>
      <x:c r="F298" s="192" t="str">
        <x:v>Begin every available intervention at once.</x:v>
      </x:c>
      <x:c r="G298" s="192" t="str">
        <x:v>Collaboratively define prioritized goals and select interventions linked to the formulation and client preferences.</x:v>
      </x:c>
      <x:c r="H298" s="192" t="str">
        <x:v>Select a plan solely from the diagnosis.</x:v>
      </x:c>
      <x:c r="I298" s="192" t="str">
        <x:v>Wait for symptoms to resolve without treatment.</x:v>
      </x:c>
      <x:c r="J298" s="192" t="str">
        <x:v>B</x:v>
      </x:c>
      <x:c r="K298" s="192" t="str">
        <x:v>Incorrect. Technique overload reduces coherence.</x:v>
      </x:c>
      <x:c r="L298" s="192" t="str">
        <x:v>Correct. Planning follows assessment and connects priorities, mechanisms, and preferences to treatment.</x:v>
      </x:c>
      <x:c r="M298" s="192" t="str">
        <x:v>Incorrect. Diagnosis alone does not specify the maintaining pattern or modality.</x:v>
      </x:c>
      <x:c r="N298" s="192" t="str">
        <x:v>Incorrect. Passive waiting is not a plan.</x:v>
      </x:c>
      <x:c r="O298" s="192" t="str">
        <x:v>A. Incorrect. Technique overload reduces coherence.
B. Correct. Planning follows assessment and connects priorities, mechanisms, and preferences to treatment.
C. Incorrect. Diagnosis alone does not specify the maintaining pattern or modality.
D. Incorrect. Passive waiting is not a plan.</x:v>
      </x:c>
      <x:c r="P298" s="192" t="str">
        <x:v>The next step after adequate assessment is a collaborative, testable plan.</x:v>
      </x:c>
      <x:c r="Q298" s="194" t="str">
        <x:v>CTA LMFT WB7; Pearson VUE LMFT Outline Area 4</x:v>
      </x:c>
    </x:row>
    <x:row r="299">
      <x:c r="A299" s="191" t="str">
        <x:v>CTA-LMFT-MQB-0298</x:v>
      </x:c>
      <x:c r="B299" s="192" t="str">
        <x:v>LMFT-MQB-FA-CR-003</x:v>
      </x:c>
      <x:c r="C299" s="192" t="str">
        <x:v>Comprehensive Simulation</x:v>
      </x:c>
      <x:c r="D299" s="192" t="str">
        <x:v>Form A</x:v>
      </x:c>
      <x:c r="E299" s="192" t="str">
        <x:v>After arranging an emergency evaluation, what should the LMFT document?</x:v>
      </x:c>
      <x:c r="F299" s="192" t="str">
        <x:v>The information received, risk assessment, consultation, actions taken, disclosures made, client response, and follow-up plan.</x:v>
      </x:c>
      <x:c r="G299" s="192" t="str">
        <x:v>Only the final disposition.</x:v>
      </x:c>
      <x:c r="H299" s="192" t="str">
        <x:v>Every personal opinion about the client.</x:v>
      </x:c>
      <x:c r="I299" s="192" t="str">
        <x:v>Nothing, because emergency records increase liability.</x:v>
      </x:c>
      <x:c r="J299" s="192" t="str">
        <x:v>A</x:v>
      </x:c>
      <x:c r="K299" s="192" t="str">
        <x:v>Correct. Crisis documentation should show the facts, reasoning, protective actions, and continuity plan.</x:v>
      </x:c>
      <x:c r="L299" s="192" t="str">
        <x:v>Incorrect. The clinical basis and sequence matter, not only the outcome.</x:v>
      </x:c>
      <x:c r="M299" s="192" t="str">
        <x:v>Incorrect. Speculation and irrelevant opinions reduce record quality.</x:v>
      </x:c>
      <x:c r="N299" s="192" t="str">
        <x:v>Incorrect. Failure to document undermines continuity and accountability.</x:v>
      </x:c>
      <x:c r="O299" s="192" t="str">
        <x:v>A. Correct. Crisis documentation should show the facts, reasoning, protective actions, and continuity plan.
B. Incorrect. The clinical basis and sequence matter, not only the outcome.
C. Incorrect. Speculation and irrelevant opinions reduce record quality.
D. Incorrect. Failure to document undermines continuity and accountability.</x:v>
      </x:c>
      <x:c r="P299" s="192" t="str">
        <x:v>Document the risk picture and decision process, not merely that “safety was addressed.”</x:v>
      </x:c>
      <x:c r="Q299" s="194" t="str">
        <x:v>CTA LMFT WB6; Pearson VUE LMFT Outline Area 3</x:v>
      </x:c>
    </x:row>
    <x:row r="300">
      <x:c r="A300" s="191" t="str">
        <x:v>CTA-LMFT-MQB-0299</x:v>
      </x:c>
      <x:c r="B300" s="192" t="str">
        <x:v>LMFT-MQB-FA-TX-022</x:v>
      </x:c>
      <x:c r="C300" s="192" t="str">
        <x:v>Comprehensive Simulation</x:v>
      </x:c>
      <x:c r="D300" s="192" t="str">
        <x:v>Form A</x:v>
      </x:c>
      <x:c r="E300" s="192" t="str">
        <x:v>A couple asks for communication training, but one partner has severe untreated PTSD, frequent dissociation, and escalating substance use. What should the therapist do?</x:v>
      </x:c>
      <x:c r="F300" s="192" t="str">
        <x:v>Exclude the symptomatic partner from all planning.</x:v>
      </x:c>
      <x:c r="G300" s="192" t="str">
        <x:v>Assume relationship skills will resolve the PTSD and substance use.</x:v>
      </x:c>
      <x:c r="H300" s="192" t="str">
        <x:v>Proceed with standard communication homework only.</x:v>
      </x:c>
      <x:c r="I300" s="192" t="str">
        <x:v>Stabilize and coordinate the higher-priority individual needs while determining what conjoint work can be conducted safely and effectively.</x:v>
      </x:c>
      <x:c r="J300" s="192" t="str">
        <x:v>D</x:v>
      </x:c>
      <x:c r="K300" s="192" t="str">
        <x:v>Incorrect. Exclusion undermines collaboration and may miss safety information.</x:v>
      </x:c>
      <x:c r="L300" s="192" t="str">
        <x:v>Incorrect. Relational work does not replace indicated trauma and substance treatment.</x:v>
      </x:c>
      <x:c r="M300" s="192" t="str">
        <x:v>Incorrect. Skills alone may be poorly timed and insufficient.</x:v>
      </x:c>
      <x:c r="N300" s="192" t="str">
        <x:v>Correct. The therapist should integrate individual stability, relational goals, and treatment sequencing rather than treating all problems at one level.</x:v>
      </x:c>
      <x:c r="O300" s="192" t="str">
        <x:v>A. Incorrect. Exclusion undermines collaboration and may miss safety information.
B. Incorrect. Relational work does not replace indicated trauma and substance treatment.
C. Incorrect. Skills alone may be poorly timed and insufficient.
D. Correct. The therapist should integrate individual stability, relational goals, and treatment sequencing rather than treating all problems at one level.</x:v>
      </x:c>
      <x:c r="P300" s="192" t="str">
        <x:v>Choose the intervention level and sequence that the current stability can support.</x:v>
      </x:c>
      <x:c r="Q300" s="194" t="str">
        <x:v>CTA LMFT WB7; CTA LMFT WB8; CTA LMFT WB9; Pearson VUE LMFT Outline Area 5</x:v>
      </x:c>
    </x:row>
    <x:row r="301">
      <x:c r="A301" s="191" t="str">
        <x:v>CTA-LMFT-MQB-0300</x:v>
      </x:c>
      <x:c r="B301" s="192" t="str">
        <x:v>LMFT-MQB-FA-TX-005</x:v>
      </x:c>
      <x:c r="C301" s="192" t="str">
        <x:v>Comprehensive Simulation</x:v>
      </x:c>
      <x:c r="D301" s="192" t="str">
        <x:v>Form A</x:v>
      </x:c>
      <x:c r="E301" s="192" t="str">
        <x:v>A client says, “Part of me wants to leave the relationship, and part of me is terrified to be alone.” Which response BEST reflects the ambivalence?</x:v>
      </x:c>
      <x:c r="F301" s="192" t="str">
        <x:v>“You should leave because fear is not a reason to stay.”</x:v>
      </x:c>
      <x:c r="G301" s="192" t="str">
        <x:v>“Why have you not made a decision yet?”</x:v>
      </x:c>
      <x:c r="H301" s="192" t="str">
        <x:v>“You feel pulled between protecting yourself in the relationship and fearing what separation might mean.”</x:v>
      </x:c>
      <x:c r="I301" s="192" t="str">
        <x:v>“It sounds like you are committed to staying.”</x:v>
      </x:c>
      <x:c r="J301" s="192" t="str">
        <x:v>C</x:v>
      </x:c>
      <x:c r="K301" s="192" t="str">
        <x:v>Incorrect. Advice bypasses exploration and autonomy.</x:v>
      </x:c>
      <x:c r="L301" s="192" t="str">
        <x:v>Incorrect. The question may sound blaming and does not reflect meaning.</x:v>
      </x:c>
      <x:c r="M301" s="192" t="str">
        <x:v>Correct. The response captures both sides without deciding for the client.</x:v>
      </x:c>
      <x:c r="N301" s="192" t="str">
        <x:v>Incorrect. It represents only one side of the ambivalence.</x:v>
      </x:c>
      <x:c r="O301" s="192" t="str">
        <x:v>A. Incorrect. Advice bypasses exploration and autonomy.
B. Incorrect. The question may sound blaming and does not reflect meaning.
C. Correct. The response captures both sides without deciding for the client.
D. Incorrect. It represents only one side of the ambivalence.</x:v>
      </x:c>
      <x:c r="P301" s="192" t="str">
        <x:v>A good reflection preserves the tension the client is trying to understand.</x:v>
      </x:c>
      <x:c r="Q301" s="194" t="str">
        <x:v>CTA LMFT WB2; CTA LMFT WB9; Pearson VUE LMFT Outline Area 5</x:v>
      </x:c>
    </x:row>
    <x:row r="302">
      <x:c r="A302" s="191" t="str">
        <x:v>CTA-LMFT-MQB-0301</x:v>
      </x:c>
      <x:c r="B302" s="192" t="str">
        <x:v>LMFT-MQB-FA-CE-026</x:v>
      </x:c>
      <x:c r="C302" s="192" t="str">
        <x:v>Comprehensive Simulation</x:v>
      </x:c>
      <x:c r="D302" s="192" t="str">
        <x:v>Form A</x:v>
      </x:c>
      <x:c r="E302" s="192" t="str">
        <x:v>A widowed client reports insomnia, guilt, and wishing to “join” the deceased spouse but denies a plan. What should the LMFT do FIRST?</x:v>
      </x:c>
      <x:c r="F302" s="192" t="str">
        <x:v>Conduct a direct suicide-risk assessment while also evaluating grief, supports, functioning, and protective factors.</x:v>
      </x:c>
      <x:c r="G302" s="192" t="str">
        <x:v>Diagnose major depression immediately.</x:v>
      </x:c>
      <x:c r="H302" s="192" t="str">
        <x:v>Assume the statement is normal grief and avoid discussing suicide.</x:v>
      </x:c>
      <x:c r="I302" s="192" t="str">
        <x:v>Refer the client to a grief group without further assessment.</x:v>
      </x:c>
      <x:c r="J302" s="192" t="str">
        <x:v>A</x:v>
      </x:c>
      <x:c r="K302" s="192" t="str">
        <x:v>Correct. A death wish requires direct risk clarification even when grief is a likely context.</x:v>
      </x:c>
      <x:c r="L302" s="192" t="str">
        <x:v>Incorrect. Diagnosis requires fuller duration, symptom, and impairment information.</x:v>
      </x:c>
      <x:c r="M302" s="192" t="str">
        <x:v>Incorrect. Normalizing without assessment can miss danger.</x:v>
      </x:c>
      <x:c r="N302" s="192" t="str">
        <x:v>Incorrect. Group referral may be useful later but does not replace risk assessment.</x:v>
      </x:c>
      <x:c r="O302" s="192" t="str">
        <x:v>A. Correct. A death wish requires direct risk clarification even when grief is a likely context.
B. Incorrect. Diagnosis requires fuller duration, symptom, and impairment information.
C. Incorrect. Normalizing without assessment can miss danger.
D. Incorrect. Group referral may be useful later but does not replace risk assessment.</x:v>
      </x:c>
      <x:c r="P302" s="192" t="str">
        <x:v>Grief context does not cancel the need to assess the meaning, intent, access, and immediacy of a death-related statement.</x:v>
      </x:c>
      <x:c r="Q302" s="194" t="str">
        <x:v>CTA LMFT WB4; CTA LMFT WB6; Pearson VUE LMFT Outline Area 1</x:v>
      </x:c>
    </x:row>
    <x:row r="303">
      <x:c r="A303" s="191" t="str">
        <x:v>CTA-LMFT-MQB-0302</x:v>
      </x:c>
      <x:c r="B303" s="192" t="str">
        <x:v>LMFT-MQB-FA-CR-006</x:v>
      </x:c>
      <x:c r="C303" s="192" t="str">
        <x:v>Comprehensive Simulation</x:v>
      </x:c>
      <x:c r="D303" s="192" t="str">
        <x:v>Form A</x:v>
      </x:c>
      <x:c r="E303" s="192" t="str">
        <x:v>A client says, “Everyone would be better off without me.” What should the LMFT do FIRST?</x:v>
      </x:c>
      <x:c r="F303" s="192" t="str">
        <x:v>Wait for the client to mention suicide explicitly.</x:v>
      </x:c>
      <x:c r="G303" s="192" t="str">
        <x:v>Ask directly about suicidal thoughts, intent, plan, access to means, and immediate safety.</x:v>
      </x:c>
      <x:c r="H303" s="192" t="str">
        <x:v>Change the subject to preserve rapport.</x:v>
      </x:c>
      <x:c r="I303" s="192" t="str">
        <x:v>Reassure the client that family members disagree.</x:v>
      </x:c>
      <x:c r="J303" s="192" t="str">
        <x:v>B</x:v>
      </x:c>
      <x:c r="K303" s="192" t="str">
        <x:v>Incorrect. The therapist should not require the client to use specific words before assessing.</x:v>
      </x:c>
      <x:c r="L303" s="192" t="str">
        <x:v>Correct. The statement is a clear cue for direct, calm risk assessment.</x:v>
      </x:c>
      <x:c r="M303" s="192" t="str">
        <x:v>Incorrect. Avoidance can miss imminent risk.</x:v>
      </x:c>
      <x:c r="N303" s="192" t="str">
        <x:v>Incorrect. Reassurance does not clarify danger.</x:v>
      </x:c>
      <x:c r="O303" s="192" t="str">
        <x:v>A. Incorrect. The therapist should not require the client to use specific words before assessing.
B. Correct. The statement is a clear cue for direct, calm risk assessment.
C. Incorrect. Avoidance can miss imminent risk.
D. Incorrect. Reassurance does not clarify danger.</x:v>
      </x:c>
      <x:c r="P303" s="192" t="str">
        <x:v>Ambiguous death-related statements should be clarified directly, not interpreted from a distance.</x:v>
      </x:c>
      <x:c r="Q303" s="194" t="str">
        <x:v>CTA LMFT WB6; Pearson VUE LMFT Outline Area 3</x:v>
      </x:c>
    </x:row>
    <x:row r="304">
      <x:c r="A304" s="191" t="str">
        <x:v>CTA-LMFT-MQB-0303</x:v>
      </x:c>
      <x:c r="B304" s="192" t="str">
        <x:v>LMFT-MQB-FA-LE-009</x:v>
      </x:c>
      <x:c r="C304" s="192" t="str">
        <x:v>Comprehensive Simulation</x:v>
      </x:c>
      <x:c r="D304" s="192" t="str">
        <x:v>Form A</x:v>
      </x:c>
      <x:c r="E304" s="192" t="str">
        <x:v>One partner in couple therapy asks for a private copy of all conjoint records and wants the request hidden from the other partner. What should the LMFT do NEXT?</x:v>
      </x:c>
      <x:c r="F304" s="192" t="str">
        <x:v>Let the requesting partner delete portions about the other partner.</x:v>
      </x:c>
      <x:c r="G304" s="192" t="str">
        <x:v>Provide the entire record immediately.</x:v>
      </x:c>
      <x:c r="H304" s="192" t="str">
        <x:v>Refuse every request from a relational client.</x:v>
      </x:c>
      <x:c r="I304" s="192" t="str">
        <x:v>Review client status, record ownership and access rules, the informed-consent policy, and applicable law before releasing or promising secrecy.</x:v>
      </x:c>
      <x:c r="J304" s="192" t="str">
        <x:v>D</x:v>
      </x:c>
      <x:c r="K304" s="192" t="str">
        <x:v>Incorrect. Clients do not rewrite the therapist’s record.</x:v>
      </x:c>
      <x:c r="L304" s="192" t="str">
        <x:v>Incorrect. Immediate release may violate another client’s rights or the treatment agreement.</x:v>
      </x:c>
      <x:c r="M304" s="192" t="str">
        <x:v>Incorrect. A blanket refusal may also be unsupported.</x:v>
      </x:c>
      <x:c r="N304" s="192" t="str">
        <x:v>Correct. Relational records require role and authority analysis rather than a simple individual-record assumption.</x:v>
      </x:c>
      <x:c r="O304" s="192" t="str">
        <x:v>A. Incorrect. Clients do not rewrite the therapist’s record.
B. Incorrect. Immediate release may violate another client’s rights or the treatment agreement.
C. Incorrect. A blanket refusal may also be unsupported.
D. Correct. Relational records require role and authority analysis rather than a simple individual-record assumption.</x:v>
      </x:c>
      <x:c r="P304" s="192" t="str">
        <x:v>In multi-client cases, ask who the clients are, who holds which rights, and what the established policy says.</x:v>
      </x:c>
      <x:c r="Q304" s="194" t="str">
        <x:v>CTA LMFT WB12; Pearson VUE LMFT Outline Area 6</x:v>
      </x:c>
    </x:row>
    <x:row r="305">
      <x:c r="A305" s="191" t="str">
        <x:v>CTA-LMFT-MQB-0304</x:v>
      </x:c>
      <x:c r="B305" s="192" t="str">
        <x:v>LMFT-MQB-FA-TX-035</x:v>
      </x:c>
      <x:c r="C305" s="192" t="str">
        <x:v>Comprehensive Simulation</x:v>
      </x:c>
      <x:c r="D305" s="192" t="str">
        <x:v>Form A</x:v>
      </x:c>
      <x:c r="E305" s="192" t="str">
        <x:v>A parent asks the therapist not to tell children that a terminal illness is worsening, while the children show escalating anxiety and believe they caused the parent’s withdrawal. What should the therapist do?</x:v>
      </x:c>
      <x:c r="F305" s="192" t="str">
        <x:v>Tell the children every medical detail without the parent.</x:v>
      </x:c>
      <x:c r="G305" s="192" t="str">
        <x:v>Explore the parent’s fears and values, assess the children’s developmental needs, and help the family plan truthful, age-appropriate communication and support.</x:v>
      </x:c>
      <x:c r="H305" s="192" t="str">
        <x:v>Blame the parent for the children’s anxiety.</x:v>
      </x:c>
      <x:c r="I305" s="192" t="str">
        <x:v>Agree to indefinite secrecy.</x:v>
      </x:c>
      <x:c r="J305" s="192" t="str">
        <x:v>B</x:v>
      </x:c>
      <x:c r="K305" s="192" t="str">
        <x:v>Incorrect. Unilateral disclosure may violate roles and overwhelm the children.</x:v>
      </x:c>
      <x:c r="L305" s="192" t="str">
        <x:v>Correct. Developmentally appropriate honesty can reduce self-blame and support family coping while respecting medical privacy.</x:v>
      </x:c>
      <x:c r="M305" s="192" t="str">
        <x:v>Incorrect. Blame undermines alliance and collaborative planning.</x:v>
      </x:c>
      <x:c r="N305" s="192" t="str">
        <x:v>Incorrect. Secrecy may intensify confusion and guilt.</x:v>
      </x:c>
      <x:c r="O305" s="192" t="str">
        <x:v>A. Incorrect. Unilateral disclosure may violate roles and overwhelm the children.
B. Correct. Developmentally appropriate honesty can reduce self-blame and support family coping while respecting medical privacy.
C. Incorrect. Blame undermines alliance and collaborative planning.
D. Incorrect. Secrecy may intensify confusion and guilt.</x:v>
      </x:c>
      <x:c r="P305" s="192" t="str">
        <x:v>In family illness, consider what children already perceive and what meaning they are creating.</x:v>
      </x:c>
      <x:c r="Q305" s="194" t="str">
        <x:v>CTA LMFT WB9; CTA LMFT WB10; Pearson VUE LMFT Outline Area 5</x:v>
      </x:c>
    </x:row>
    <x:row r="306">
      <x:c r="A306" s="191" t="str">
        <x:v>CTA-LMFT-MQB-0305</x:v>
      </x:c>
      <x:c r="B306" s="192" t="str">
        <x:v>LMFT-MQB-FA-CE-038</x:v>
      </x:c>
      <x:c r="C306" s="192" t="str">
        <x:v>Comprehensive Simulation</x:v>
      </x:c>
      <x:c r="D306" s="192" t="str">
        <x:v>Form A</x:v>
      </x:c>
      <x:c r="E306" s="192" t="str">
        <x:v>A 13-year-old reports no problem, parents report severe withdrawal, and the school reports sudden grade decline after bullying. What is the BEST evaluation plan?</x:v>
      </x:c>
      <x:c r="F306" s="192" t="str">
        <x:v>Choose the parents’ report because adults are more reliable.</x:v>
      </x:c>
      <x:c r="G306" s="192" t="str">
        <x:v>Diagnose oppositional behavior because reports differ.</x:v>
      </x:c>
      <x:c r="H306" s="192" t="str">
        <x:v>Accept the adolescent’s denial and close the evaluation.</x:v>
      </x:c>
      <x:c r="I306" s="192" t="str">
        <x:v>Assess the adolescent privately and with caregivers as appropriate, clarify bullying and safety, compare functioning across settings, and integrate developmental, family, and school data.</x:v>
      </x:c>
      <x:c r="J306" s="192" t="str">
        <x:v>D</x:v>
      </x:c>
      <x:c r="K306" s="192" t="str">
        <x:v>Incorrect. Adult status does not automatically determine accuracy.</x:v>
      </x:c>
      <x:c r="L306" s="192" t="str">
        <x:v>Incorrect. Disagreement among informants does not establish oppositionality.</x:v>
      </x:c>
      <x:c r="M306" s="192" t="str">
        <x:v>Incorrect. Denial may reflect shame, fear, or limited insight.</x:v>
      </x:c>
      <x:c r="N306" s="192" t="str">
        <x:v>Correct. The plan respects development and confidentiality while integrating cross-setting evidence and immediate contextual risk.</x:v>
      </x:c>
      <x:c r="O306" s="192" t="str">
        <x:v>A. Incorrect. Adult status does not automatically determine accuracy.
B. Incorrect. Disagreement among informants does not establish oppositionality.
C. Incorrect. Denial may reflect shame, fear, or limited insight.
D. Correct. The plan respects development and confidentiality while integrating cross-setting evidence and immediate contextual risk.</x:v>
      </x:c>
      <x:c r="P306" s="192" t="str">
        <x:v>Use multiple informants to map context and change, not to conduct a credibility contest.</x:v>
      </x:c>
      <x:c r="Q306" s="194" t="str">
        <x:v>CTA LMFT WB2; CTA LMFT WB3; CTA LMFT WB4; Pearson VUE LMFT Outline Area 1</x:v>
      </x:c>
    </x:row>
    <x:row r="307">
      <x:c r="A307" s="191" t="str">
        <x:v>CTA-LMFT-MQB-0306</x:v>
      </x:c>
      <x:c r="B307" s="192" t="str">
        <x:v>LMFT-MQB-FA-TX-018</x:v>
      </x:c>
      <x:c r="C307" s="192" t="str">
        <x:v>Comprehensive Simulation</x:v>
      </x:c>
      <x:c r="D307" s="192" t="str">
        <x:v>Form A</x:v>
      </x:c>
      <x:c r="E307" s="192" t="str">
        <x:v>A family values collective decision-making and asks to include an elder in treatment planning. What should the LMFT do?</x:v>
      </x:c>
      <x:c r="F307" s="192" t="str">
        <x:v>Refuse because therapy must be individualistic.</x:v>
      </x:c>
      <x:c r="G307" s="192" t="str">
        <x:v>Explore the request, clarify the elder’s role and consent boundaries, and include the elder when clinically appropriate and authorized.</x:v>
      </x:c>
      <x:c r="H307" s="192" t="str">
        <x:v>Assume the elder should make all decisions.</x:v>
      </x:c>
      <x:c r="I307" s="192" t="str">
        <x:v>Include the elder without discussing confidentiality.</x:v>
      </x:c>
      <x:c r="J307" s="192" t="str">
        <x:v>B</x:v>
      </x:c>
      <x:c r="K307" s="192" t="str">
        <x:v>Incorrect. Individualistic assumptions may reduce fit.</x:v>
      </x:c>
      <x:c r="L307" s="192" t="str">
        <x:v>Correct. Cultural responsiveness adapts participation while preserving informed consent, role clarity, and client welfare.</x:v>
      </x:c>
      <x:c r="M307" s="192" t="str">
        <x:v>Incorrect. Collective values do not automatically remove the client’s voice.</x:v>
      </x:c>
      <x:c r="N307" s="192" t="str">
        <x:v>Incorrect. Participation requires clear information boundaries.</x:v>
      </x:c>
      <x:c r="O307" s="192" t="str">
        <x:v>A. Incorrect. Individualistic assumptions may reduce fit.
B. Correct. Cultural responsiveness adapts participation while preserving informed consent, role clarity, and client welfare.
C. Incorrect. Collective values do not automatically remove the client’s voice.
D. Incorrect. Participation requires clear information boundaries.</x:v>
      </x:c>
      <x:c r="P307" s="192" t="str">
        <x:v>Adapt the process, not the ethical foundation.</x:v>
      </x:c>
      <x:c r="Q307" s="194" t="str">
        <x:v>CTA LMFT WB10; Pearson VUE LMFT Outline Area 5</x:v>
      </x:c>
    </x:row>
    <x:row r="308">
      <x:c r="A308" s="191" t="str">
        <x:v>CTA-LMFT-MQB-0307</x:v>
      </x:c>
      <x:c r="B308" s="192" t="str">
        <x:v>LMFT-MQB-FA-DI-011</x:v>
      </x:c>
      <x:c r="C308" s="192" t="str">
        <x:v>Comprehensive Simulation</x:v>
      </x:c>
      <x:c r="D308" s="192" t="str">
        <x:v>Form A</x:v>
      </x:c>
      <x:c r="E308" s="192" t="str">
        <x:v>Two months after a spouse’s death, a client reports waves of sadness, yearning, preserved self-esteem, and moments of positive connection. What should the LMFT do NEXT?</x:v>
      </x:c>
      <x:c r="F308" s="192" t="str">
        <x:v>Diagnose major depression because sadness has lasted two months.</x:v>
      </x:c>
      <x:c r="G308" s="192" t="str">
        <x:v>Tell the client grief should be finished by now.</x:v>
      </x:c>
      <x:c r="H308" s="192" t="str">
        <x:v>Conclude no diagnosis is possible after a death.</x:v>
      </x:c>
      <x:c r="I308" s="192" t="str">
        <x:v>Continue assessing grief, depression, risk, culture, and functioning without assuming that bereavement automatically is or is not a depressive disorder.</x:v>
      </x:c>
      <x:c r="J308" s="192" t="str">
        <x:v>D</x:v>
      </x:c>
      <x:c r="K308" s="192" t="str">
        <x:v>Incorrect. Duration alone does not establish major depression.</x:v>
      </x:c>
      <x:c r="L308" s="192" t="str">
        <x:v>Incorrect. There is no universal timetable for grief.</x:v>
      </x:c>
      <x:c r="M308" s="192" t="str">
        <x:v>Incorrect. A depressive disorder can occur during bereavement.</x:v>
      </x:c>
      <x:c r="N308" s="192" t="str">
        <x:v>Correct. Bereavement requires careful assessment of the full syndrome, impairment, risk, and cultural context rather than a categorical shortcut.</x:v>
      </x:c>
      <x:c r="O308" s="192" t="str">
        <x:v>A. Incorrect. Duration alone does not establish major depression.
B. Incorrect. There is no universal timetable for grief.
C. Incorrect. A depressive disorder can occur during bereavement.
D. Correct. Bereavement requires careful assessment of the full syndrome, impairment, risk, and cultural context rather than a categorical shortcut.</x:v>
      </x:c>
      <x:c r="P308" s="192" t="str">
        <x:v>Avoid both extremes: pathologizing grief automatically and excluding depression automatically.</x:v>
      </x:c>
      <x:c r="Q308" s="194" t="str">
        <x:v>CTA LMFT WB5; Pearson VUE LMFT Outline Area 2</x:v>
      </x:c>
    </x:row>
    <x:row r="309">
      <x:c r="A309" s="191" t="str">
        <x:v>CTA-LMFT-MQB-0308</x:v>
      </x:c>
      <x:c r="B309" s="192" t="str">
        <x:v>LMFT-MQB-FA-TX-001</x:v>
      </x:c>
      <x:c r="C309" s="192" t="str">
        <x:v>Comprehensive Simulation</x:v>
      </x:c>
      <x:c r="D309" s="192" t="str">
        <x:v>Form A</x:v>
      </x:c>
      <x:c r="E309" s="192" t="str">
        <x:v>Which intervention is MOST characteristic of structural family therapy?</x:v>
      </x:c>
      <x:c r="F309" s="192" t="str">
        <x:v>Using enactment to observe and reorganize boundaries, hierarchy, and interaction patterns in the session.</x:v>
      </x:c>
      <x:c r="G309" s="192" t="str">
        <x:v>Assigning thought records to challenge individual cognitions.</x:v>
      </x:c>
      <x:c r="H309" s="192" t="str">
        <x:v>Avoiding direct observation of family interaction.</x:v>
      </x:c>
      <x:c r="I309" s="192" t="str">
        <x:v>Exploring only the client’s early intrapsychic conflicts.</x:v>
      </x:c>
      <x:c r="J309" s="192" t="str">
        <x:v>A</x:v>
      </x:c>
      <x:c r="K309" s="192" t="str">
        <x:v>Correct. Structural work targets family organization and often uses in-session interaction to change it.</x:v>
      </x:c>
      <x:c r="L309" s="192" t="str">
        <x:v>Incorrect. Thought records are primarily cognitive-behavioral tools.</x:v>
      </x:c>
      <x:c r="M309" s="192" t="str">
        <x:v>Incorrect. Direct observation is central to structural assessment and intervention.</x:v>
      </x:c>
      <x:c r="N309" s="192" t="str">
        <x:v>Incorrect. Historical insight may be useful but is not the defining structural method.</x:v>
      </x:c>
      <x:c r="O309" s="192" t="str">
        <x:v>A. Correct. Structural work targets family organization and often uses in-session interaction to change it.
B. Incorrect. Thought records are primarily cognitive-behavioral tools.
C. Incorrect. Direct observation is central to structural assessment and intervention.
D. Incorrect. Historical insight may be useful but is not the defining structural method.</x:v>
      </x:c>
      <x:c r="P309" s="192" t="str">
        <x:v>Match the intervention to the theory’s target: structure, boundaries, hierarchy, and transactions.</x:v>
      </x:c>
      <x:c r="Q309" s="194" t="str">
        <x:v>CTA LMFT WB8; CTA LMFT WB11; Pearson VUE LMFT Outline Area 5</x:v>
      </x:c>
    </x:row>
    <x:row r="310">
      <x:c r="A310" s="191" t="str">
        <x:v>CTA-LMFT-MQB-0309</x:v>
      </x:c>
      <x:c r="B310" s="192" t="str">
        <x:v>LMFT-MQB-FA-CE-006</x:v>
      </x:c>
      <x:c r="C310" s="192" t="str">
        <x:v>Comprehensive Simulation</x:v>
      </x:c>
      <x:c r="D310" s="192" t="str">
        <x:v>Form A</x:v>
      </x:c>
      <x:c r="E310" s="192" t="str">
        <x:v>A client answers intake questions with brief one-word responses. Which intervention is MOST likely to improve the quality of the initial narrative?</x:v>
      </x:c>
      <x:c r="F310" s="192" t="str">
        <x:v>Interpret the silence as resistance.</x:v>
      </x:c>
      <x:c r="G310" s="192" t="str">
        <x:v>Immediately request records instead of continuing the interview.</x:v>
      </x:c>
      <x:c r="H310" s="192" t="str">
        <x:v>Use a broad open-ended invitation and then follow with focused clarification.</x:v>
      </x:c>
      <x:c r="I310" s="192" t="str">
        <x:v>Ask a rapid series of yes-or-no questions.</x:v>
      </x:c>
      <x:c r="J310" s="192" t="str">
        <x:v>C</x:v>
      </x:c>
      <x:c r="K310" s="192" t="str">
        <x:v>Incorrect. The behavior may reflect anxiety, culture, uncertainty, or limited trust rather than resistance.</x:v>
      </x:c>
      <x:c r="L310" s="192" t="str">
        <x:v>Incorrect. Records may help later but do not replace direct engagement.</x:v>
      </x:c>
      <x:c r="M310" s="192" t="str">
        <x:v>Correct. An open invitation supports engagement and reveals the client’s language, priorities, and meaning before details are narrowed.</x:v>
      </x:c>
      <x:c r="N310" s="192" t="str">
        <x:v>Incorrect. Rapid closed questions may further restrict disclosure.</x:v>
      </x:c>
      <x:c r="O310" s="192" t="str">
        <x:v>A. Incorrect. The behavior may reflect anxiety, culture, uncertainty, or limited trust rather than resistance.
B. Incorrect. Records may help later but do not replace direct engagement.
C. Correct. An open invitation supports engagement and reveals the client’s language, priorities, and meaning before details are narrowed.
D. Incorrect. Rapid closed questions may further restrict disclosure.</x:v>
      </x:c>
      <x:c r="P310" s="192" t="str">
        <x:v>Begin broad, listen for the client’s organizing story, and narrow only after the main concerns emerge.</x:v>
      </x:c>
      <x:c r="Q310" s="194" t="str">
        <x:v>CTA LMFT WB2; Pearson VUE LMFT Outline Area 1</x:v>
      </x:c>
    </x:row>
    <x:row r="311">
      <x:c r="A311" s="191" t="str">
        <x:v>CTA-LMFT-MQB-0310</x:v>
      </x:c>
      <x:c r="B311" s="192" t="str">
        <x:v>LMFT-MQB-FA-CE-030</x:v>
      </x:c>
      <x:c r="C311" s="192" t="str">
        <x:v>Comprehensive Simulation</x:v>
      </x:c>
      <x:c r="D311" s="192" t="str">
        <x:v>Form A</x:v>
      </x:c>
      <x:c r="E311" s="192" t="str">
        <x:v>An older adult is brought by family for “depression,” but the therapist observes repeated questions, getting lost in familiar places, and missed medications. What should the LMFT do NEXT?</x:v>
      </x:c>
      <x:c r="F311" s="192" t="str">
        <x:v>Treat sadness only and avoid discussing memory.</x:v>
      </x:c>
      <x:c r="G311" s="192" t="str">
        <x:v>Tell the family to take over all decisions immediately.</x:v>
      </x:c>
      <x:c r="H311" s="192" t="str">
        <x:v>Assess safety and functional change, obtain appropriate collateral information with authorization, and facilitate medical or cognitive evaluation.</x:v>
      </x:c>
      <x:c r="I311" s="192" t="str">
        <x:v>Diagnose dementia from the first interview.</x:v>
      </x:c>
      <x:c r="J311" s="192" t="str">
        <x:v>C</x:v>
      </x:c>
      <x:c r="K311" s="192" t="str">
        <x:v>Incorrect. The cognitive concerns are clinically significant.</x:v>
      </x:c>
      <x:c r="L311" s="192" t="str">
        <x:v>Incorrect. Decision-making authority cannot be assumed from family concern alone.</x:v>
      </x:c>
      <x:c r="M311" s="192" t="str">
        <x:v>Correct. The functional changes warrant broader assessment and referral without prematurely diagnosing or removing autonomy.</x:v>
      </x:c>
      <x:c r="N311" s="192" t="str">
        <x:v>Incorrect. A diagnosis requires qualified evaluation and additional data.</x:v>
      </x:c>
      <x:c r="O311" s="192" t="str">
        <x:v>A. Incorrect. The cognitive concerns are clinically significant.
B. Incorrect. Decision-making authority cannot be assumed from family concern alone.
C. Correct. The functional changes warrant broader assessment and referral without prematurely diagnosing or removing autonomy.
D. Incorrect. A diagnosis requires qualified evaluation and additional data.</x:v>
      </x:c>
      <x:c r="P311" s="192" t="str">
        <x:v>New cognitive and functional changes call for safety assessment, collateral data, and medical evaluation while preserving autonomy.</x:v>
      </x:c>
      <x:c r="Q311" s="194" t="str">
        <x:v>CTA LMFT WB2; CTA LMFT WB3; Pearson VUE LMFT Outline Area 1</x:v>
      </x:c>
    </x:row>
    <x:row r="312">
      <x:c r="A312" s="191" t="str">
        <x:v>CTA-LMFT-MQB-0311</x:v>
      </x:c>
      <x:c r="B312" s="192" t="str">
        <x:v>LMFT-MQB-FA-TX-024</x:v>
      </x:c>
      <x:c r="C312" s="192" t="str">
        <x:v>Comprehensive Simulation</x:v>
      </x:c>
      <x:c r="D312" s="192" t="str">
        <x:v>Form A</x:v>
      </x:c>
      <x:c r="E312" s="192" t="str">
        <x:v>A parent responds to a child’s whining with lengthy lectures, and the child then whines longer until the parent gives in. What should the therapist do NEXT?</x:v>
      </x:c>
      <x:c r="F312" s="192" t="str">
        <x:v>Ask the parent to lecture more firmly.</x:v>
      </x:c>
      <x:c r="G312" s="192" t="str">
        <x:v>Tell the child to stop being manipulative.</x:v>
      </x:c>
      <x:c r="H312" s="192" t="str">
        <x:v>Map the reinforcement sequence and help the parent use brief, consistent responses and reinforce appropriate requests.</x:v>
      </x:c>
      <x:c r="I312" s="192" t="str">
        <x:v>Ignore all child behavior for a week.</x:v>
      </x:c>
      <x:c r="J312" s="192" t="str">
        <x:v>C</x:v>
      </x:c>
      <x:c r="K312" s="192" t="str">
        <x:v>Incorrect. More of the same response may intensify the cycle.</x:v>
      </x:c>
      <x:c r="L312" s="192" t="str">
        <x:v>Incorrect. The label adds blame without changing the contingency.</x:v>
      </x:c>
      <x:c r="M312" s="192" t="str">
        <x:v>Correct. The sequence suggests intermittent reinforcement and escalating attention that maintain the behavior.</x:v>
      </x:c>
      <x:c r="N312" s="192" t="str">
        <x:v>Incorrect. Planned ignoring may be unsafe or inappropriate when used indiscriminately.</x:v>
      </x:c>
      <x:c r="O312" s="192" t="str">
        <x:v>A. Incorrect. More of the same response may intensify the cycle.
B. Incorrect. The label adds blame without changing the contingency.
C. Correct. The sequence suggests intermittent reinforcement and escalating attention that maintain the behavior.
D. Incorrect. Planned ignoring may be unsafe or inappropriate when used indiscriminately.</x:v>
      </x:c>
      <x:c r="P312" s="192" t="str">
        <x:v>Identify what happens immediately before and after the behavior and change the maintaining consequence.</x:v>
      </x:c>
      <x:c r="Q312" s="194" t="str">
        <x:v>CTA LMFT WB9; Pearson VUE LMFT Outline Area 5</x:v>
      </x:c>
    </x:row>
    <x:row r="313">
      <x:c r="A313" s="191" t="str">
        <x:v>CTA-LMFT-MQB-0312</x:v>
      </x:c>
      <x:c r="B313" s="192" t="str">
        <x:v>LMFT-MQB-FA-CP-008</x:v>
      </x:c>
      <x:c r="C313" s="192" t="str">
        <x:v>Comprehensive Simulation</x:v>
      </x:c>
      <x:c r="D313" s="192" t="str">
        <x:v>Form A</x:v>
      </x:c>
      <x:c r="E313" s="192" t="str">
        <x:v>A managed-care authorization covers brief treatment, while the client’s needs appear more complex. What should the LMFT do?</x:v>
      </x:c>
      <x:c r="F313" s="192" t="str">
        <x:v>End services immediately without transition planning.</x:v>
      </x:c>
      <x:c r="G313" s="192" t="str">
        <x:v>Explain the constraint, prioritize clinically necessary goals, document medical necessity and response, and discuss appropriate alternatives or referrals.</x:v>
      </x:c>
      <x:c r="H313" s="192" t="str">
        <x:v>Ignore the authorization and bill without disclosure.</x:v>
      </x:c>
      <x:c r="I313" s="192" t="str">
        <x:v>Promise that all needs will be resolved within the authorized sessions.</x:v>
      </x:c>
      <x:c r="J313" s="192" t="str">
        <x:v>B</x:v>
      </x:c>
      <x:c r="K313" s="192" t="str">
        <x:v>Incorrect. Abrupt termination may harm the client.</x:v>
      </x:c>
      <x:c r="L313" s="192" t="str">
        <x:v>Correct. Planning should be transparent about external limits while protecting continuity and clinical appropriateness.</x:v>
      </x:c>
      <x:c r="M313" s="192" t="str">
        <x:v>Incorrect. Billing and treatment must remain accurate and authorized.</x:v>
      </x:c>
      <x:c r="N313" s="192" t="str">
        <x:v>Incorrect. Outcomes cannot be guaranteed.</x:v>
      </x:c>
      <x:c r="O313" s="192" t="str">
        <x:v>A. Incorrect. Abrupt termination may harm the client.
B. Correct. Planning should be transparent about external limits while protecting continuity and clinical appropriateness.
C. Incorrect. Billing and treatment must remain accurate and authorized.
D. Incorrect. Outcomes cannot be guaranteed.</x:v>
      </x:c>
      <x:c r="P313" s="192" t="str">
        <x:v>External constraints shape planning but do not erase informed consent, documentation, or continuity duties.</x:v>
      </x:c>
      <x:c r="Q313" s="194" t="str">
        <x:v>CTA LMFT WB7; CTA LMFT WB12; Pearson VUE LMFT Outline Area 4</x:v>
      </x:c>
    </x:row>
    <x:row r="314">
      <x:c r="A314" s="191" t="str">
        <x:v>CTA-LMFT-MQB-0313</x:v>
      </x:c>
      <x:c r="B314" s="192" t="str">
        <x:v>LMFT-MQB-FA-CE-015</x:v>
      </x:c>
      <x:c r="C314" s="192" t="str">
        <x:v>Comprehensive Simulation</x:v>
      </x:c>
      <x:c r="D314" s="192" t="str">
        <x:v>Form A</x:v>
      </x:c>
      <x:c r="E314" s="192" t="str">
        <x:v>A spouse reports frequent explosive outbursts, while the client denies any anger problem. What is the BEST evaluation approach?</x:v>
      </x:c>
      <x:c r="F314" s="192" t="str">
        <x:v>Explore specific examples, timing, triggers, impact, safety, and each person’s perspective without deciding credibility from one statement alone.</x:v>
      </x:c>
      <x:c r="G314" s="192" t="str">
        <x:v>End conjoint assessment because accounts differ.</x:v>
      </x:c>
      <x:c r="H314" s="192" t="str">
        <x:v>Assume the spouse is exaggerating because the client is the identified patient.</x:v>
      </x:c>
      <x:c r="I314" s="192" t="str">
        <x:v>Assume the client is dishonest and confront immediately.</x:v>
      </x:c>
      <x:c r="J314" s="192" t="str">
        <x:v>A</x:v>
      </x:c>
      <x:c r="K314" s="192" t="str">
        <x:v>Correct. Discrepant accounts are clinically meaningful and should be examined for pattern, context, risk, and relational process.</x:v>
      </x:c>
      <x:c r="L314" s="192" t="str">
        <x:v>Incorrect. Different accounts are common and can inform assessment.</x:v>
      </x:c>
      <x:c r="M314" s="192" t="str">
        <x:v>Incorrect. Client status does not make one account automatically more accurate.</x:v>
      </x:c>
      <x:c r="N314" s="192" t="str">
        <x:v>Incorrect. Discrepancy does not prove deception.</x:v>
      </x:c>
      <x:c r="O314" s="192" t="str">
        <x:v>A. Correct. Discrepant accounts are clinically meaningful and should be examined for pattern, context, risk, and relational process.
B. Incorrect. Different accounts are common and can inform assessment.
C. Incorrect. Client status does not make one account automatically more accurate.
D. Incorrect. Discrepancy does not prove deception.</x:v>
      </x:c>
      <x:c r="P314" s="192" t="str">
        <x:v>When reports conflict, move from labels to concrete events, sequences, and impact.</x:v>
      </x:c>
      <x:c r="Q314" s="194" t="str">
        <x:v>CTA LMFT WB4; Pearson VUE LMFT Outline Area 1</x:v>
      </x:c>
    </x:row>
    <x:row r="315">
      <x:c r="A315" s="191" t="str">
        <x:v>CTA-LMFT-MQB-0314</x:v>
      </x:c>
      <x:c r="B315" s="192" t="str">
        <x:v>LMFT-MQB-FA-DI-012</x:v>
      </x:c>
      <x:c r="C315" s="192" t="str">
        <x:v>Comprehensive Simulation</x:v>
      </x:c>
      <x:c r="D315" s="192" t="str">
        <x:v>Form A</x:v>
      </x:c>
      <x:c r="E315" s="192" t="str">
        <x:v>A child shows inattention and restlessness only after witnessing domestic violence and is especially distractible when adults raise their voices. What should the LMFT do NEXT?</x:v>
      </x:c>
      <x:c r="F315" s="192" t="str">
        <x:v>Begin stimulant recommendations.</x:v>
      </x:c>
      <x:c r="G315" s="192" t="str">
        <x:v>Diagnose ADHD because restlessness is present.</x:v>
      </x:c>
      <x:c r="H315" s="192" t="str">
        <x:v>Tell the parents the behavior is intentional.</x:v>
      </x:c>
      <x:c r="I315" s="192" t="str">
        <x:v>Assess trauma symptoms, developmental history, pre-event functioning, cross-setting pattern, and safety before diagnosing ADHD.</x:v>
      </x:c>
      <x:c r="J315" s="192" t="str">
        <x:v>D</x:v>
      </x:c>
      <x:c r="K315" s="192" t="str">
        <x:v>Incorrect. Medication recommendations are outside the therapist’s role and premature.</x:v>
      </x:c>
      <x:c r="L315" s="192" t="str">
        <x:v>Incorrect. ADHD requires a broader developmental and cross-setting pattern.</x:v>
      </x:c>
      <x:c r="M315" s="192" t="str">
        <x:v>Incorrect. Intent cannot be inferred.</x:v>
      </x:c>
      <x:c r="N315" s="192" t="str">
        <x:v>Correct. The timing and trigger-specific pattern make trauma and environmental safety essential differentials.</x:v>
      </x:c>
      <x:c r="O315" s="192" t="str">
        <x:v>A. Incorrect. Medication recommendations are outside the therapist’s role and premature.
B. Incorrect. ADHD requires a broader developmental and cross-setting pattern.
C. Incorrect. Intent cannot be inferred.
D. Correct. The timing and trigger-specific pattern make trauma and environmental safety essential differentials.</x:v>
      </x:c>
      <x:c r="P315" s="192" t="str">
        <x:v>Ask whether the symptoms were present before the event and across settings.</x:v>
      </x:c>
      <x:c r="Q315" s="194" t="str">
        <x:v>CTA LMFT WB3; CTA LMFT WB5; Pearson VUE LMFT Outline Area 2</x:v>
      </x:c>
    </x:row>
    <x:row r="316">
      <x:c r="A316" s="191" t="str">
        <x:v>CTA-LMFT-MQB-0315</x:v>
      </x:c>
      <x:c r="B316" s="192" t="str">
        <x:v>LMFT-MQB-FA-CE-007</x:v>
      </x:c>
      <x:c r="C316" s="192" t="str">
        <x:v>Comprehensive Simulation</x:v>
      </x:c>
      <x:c r="D316" s="192" t="str">
        <x:v>Form A</x:v>
      </x:c>
      <x:c r="E316" s="192" t="str">
        <x:v>Parents bring a teenager for therapy and say the school expects weekly attendance reports. What should the LMFT clarify at intake?</x:v>
      </x:c>
      <x:c r="F316" s="192" t="str">
        <x:v>Whether the school will pay for treatment.</x:v>
      </x:c>
      <x:c r="G316" s="192" t="str">
        <x:v>Which parent should be blamed for the school problem.</x:v>
      </x:c>
      <x:c r="H316" s="192" t="str">
        <x:v>Only the teenager’s preferred diagnosis.</x:v>
      </x:c>
      <x:c r="I316" s="192" t="str">
        <x:v>The referral purpose, who is considered the client, what information may be shared, and the limits of each participant’s role.</x:v>
      </x:c>
      <x:c r="J316" s="192" t="str">
        <x:v>D</x:v>
      </x:c>
      <x:c r="K316" s="192" t="str">
        <x:v>Incorrect. Payment may matter administratively but does not resolve confidentiality and treatment roles.</x:v>
      </x:c>
      <x:c r="L316" s="192" t="str">
        <x:v>Incorrect. Blame is not a clinical intake task.</x:v>
      </x:c>
      <x:c r="M316" s="192" t="str">
        <x:v>Incorrect. Diagnosis is not the only or first role question.</x:v>
      </x:c>
      <x:c r="N316" s="192" t="str">
        <x:v>Correct. Role and disclosure expectations must be clarified before clinical information is collected or released.</x:v>
      </x:c>
      <x:c r="O316" s="192" t="str">
        <x:v>A. Incorrect. Payment may matter administratively but does not resolve confidentiality and treatment roles.
B. Incorrect. Blame is not a clinical intake task.
C. Incorrect. Diagnosis is not the only or first role question.
D. Correct. Role and disclosure expectations must be clarified before clinical information is collected or released.</x:v>
      </x:c>
      <x:c r="P316" s="192" t="str">
        <x:v>Third-party expectations are clues to clarify roles, consent, confidentiality, and reporting before promising anything.</x:v>
      </x:c>
      <x:c r="Q316" s="194" t="str">
        <x:v>CTA LMFT WB2; CTA LMFT WB12; Pearson VUE LMFT Outline Area 1</x:v>
      </x:c>
    </x:row>
    <x:row r="317">
      <x:c r="A317" s="191" t="str">
        <x:v>CTA-LMFT-MQB-0316</x:v>
      </x:c>
      <x:c r="B317" s="192" t="str">
        <x:v>LMFT-MQB-FA-TX-007</x:v>
      </x:c>
      <x:c r="C317" s="192" t="str">
        <x:v>Comprehensive Simulation</x:v>
      </x:c>
      <x:c r="D317" s="192" t="str">
        <x:v>Form A</x:v>
      </x:c>
      <x:c r="E317" s="192" t="str">
        <x:v>A client becomes overwhelmed during conflict and later regrets impulsive messages. Which initial skill is MOST appropriate?</x:v>
      </x:c>
      <x:c r="F317" s="192" t="str">
        <x:v>Suppress all emotion.</x:v>
      </x:c>
      <x:c r="G317" s="192" t="str">
        <x:v>Encourage immediate emotional expression by text.</x:v>
      </x:c>
      <x:c r="H317" s="192" t="str">
        <x:v>Analyze the partner’s motives while highly activated.</x:v>
      </x:c>
      <x:c r="I317" s="192" t="str">
        <x:v>Practice pausing, grounding, and delaying response until arousal decreases enough for deliberate action.</x:v>
      </x:c>
      <x:c r="J317" s="192" t="str">
        <x:v>D</x:v>
      </x:c>
      <x:c r="K317" s="192" t="str">
        <x:v>Incorrect. Regulation is not the same as emotional suppression.</x:v>
      </x:c>
      <x:c r="L317" s="192" t="str">
        <x:v>Incorrect. Immediate messaging may escalate the conflict.</x:v>
      </x:c>
      <x:c r="M317" s="192" t="str">
        <x:v>Incorrect. Complex interpretation is difficult during high arousal.</x:v>
      </x:c>
      <x:c r="N317" s="192" t="str">
        <x:v>Correct. Reducing arousal creates the conditions for effective communication and impulse control.</x:v>
      </x:c>
      <x:c r="O317" s="192" t="str">
        <x:v>A. Incorrect. Regulation is not the same as emotional suppression.
B. Incorrect. Immediate messaging may escalate the conflict.
C. Incorrect. Complex interpretation is difficult during high arousal.
D. Correct. Reducing arousal creates the conditions for effective communication and impulse control.</x:v>
      </x:c>
      <x:c r="P317" s="192" t="str">
        <x:v>When arousal is too high for problem-solving, regulate first and communicate second.</x:v>
      </x:c>
      <x:c r="Q317" s="194" t="str">
        <x:v>CTA LMFT WB9; Pearson VUE LMFT Outline Area 5</x:v>
      </x:c>
    </x:row>
    <x:row r="318">
      <x:c r="A318" s="191" t="str">
        <x:v>CTA-LMFT-MQB-0317</x:v>
      </x:c>
      <x:c r="B318" s="192" t="str">
        <x:v>LMFT-MQB-FA-CP-002</x:v>
      </x:c>
      <x:c r="C318" s="192" t="str">
        <x:v>Comprehensive Simulation</x:v>
      </x:c>
      <x:c r="D318" s="192" t="str">
        <x:v>Form A</x:v>
      </x:c>
      <x:c r="E318" s="192" t="str">
        <x:v>What is the main function of a case conceptualization?</x:v>
      </x:c>
      <x:c r="F318" s="192" t="str">
        <x:v>To organize assessment findings into a testable explanation of what predisposes, precipitates, and maintains the problem and what may support change.</x:v>
      </x:c>
      <x:c r="G318" s="192" t="str">
        <x:v>To list every intervention the therapist knows.</x:v>
      </x:c>
      <x:c r="H318" s="192" t="str">
        <x:v>To prove that one family member causes the problem.</x:v>
      </x:c>
      <x:c r="I318" s="192" t="str">
        <x:v>To restate the diagnosis in longer language.</x:v>
      </x:c>
      <x:c r="J318" s="192" t="str">
        <x:v>A</x:v>
      </x:c>
      <x:c r="K318" s="192" t="str">
        <x:v>Correct. Conceptualization links data to hypotheses and treatment choices.</x:v>
      </x:c>
      <x:c r="L318" s="192" t="str">
        <x:v>Incorrect. A technique list is not a coherent formulation.</x:v>
      </x:c>
      <x:c r="M318" s="192" t="str">
        <x:v>Incorrect. Systemic formulation avoids single-person blame.</x:v>
      </x:c>
      <x:c r="N318" s="192" t="str">
        <x:v>Incorrect. A diagnosis does not fully explain mechanisms or context.</x:v>
      </x:c>
      <x:c r="O318" s="192" t="str">
        <x:v>A. Correct. Conceptualization links data to hypotheses and treatment choices.
B. Incorrect. A technique list is not a coherent formulation.
C. Incorrect. Systemic formulation avoids single-person blame.
D. Incorrect. A diagnosis does not fully explain mechanisms or context.</x:v>
      </x:c>
      <x:c r="P318" s="192" t="str">
        <x:v>A good formulation should help predict which intervention is likely to change the maintaining pattern.</x:v>
      </x:c>
      <x:c r="Q318" s="194" t="str">
        <x:v>CTA LMFT WB7; Pearson VUE LMFT Outline Area 4</x:v>
      </x:c>
    </x:row>
    <x:row r="319">
      <x:c r="A319" s="191" t="str">
        <x:v>CTA-LMFT-MQB-0318</x:v>
      </x:c>
      <x:c r="B319" s="192" t="str">
        <x:v>LMFT-MQB-FA-CR-015</x:v>
      </x:c>
      <x:c r="C319" s="192" t="str">
        <x:v>Comprehensive Simulation</x:v>
      </x:c>
      <x:c r="D319" s="192" t="str">
        <x:v>Form A</x:v>
      </x:c>
      <x:c r="E319" s="192" t="str">
        <x:v>An adult client in individual treatment has escalating suicidal intent and refuses permission to involve a supportive spouse. The client has a detailed plan and immediate access to means. What should the LMFT do?</x:v>
      </x:c>
      <x:c r="F319" s="192" t="str">
        <x:v>Honor the refusal and continue weekly therapy.</x:v>
      </x:c>
      <x:c r="G319" s="192" t="str">
        <x:v>Take necessary emergency and protective actions, disclose only information needed for safety, and document why confidentiality was limited.</x:v>
      </x:c>
      <x:c r="H319" s="192" t="str">
        <x:v>Tell the spouse the client’s complete treatment history.</x:v>
      </x:c>
      <x:c r="I319" s="192" t="str">
        <x:v>Terminate because the client declined family involvement.</x:v>
      </x:c>
      <x:c r="J319" s="192" t="str">
        <x:v>B</x:v>
      </x:c>
      <x:c r="K319" s="192" t="str">
        <x:v>Incorrect. Routine care is insufficient for the described danger.</x:v>
      </x:c>
      <x:c r="L319" s="192" t="str">
        <x:v>Correct. Imminent safety needs can justify limited disclosure and emergency intervention despite refusal.</x:v>
      </x:c>
      <x:c r="M319" s="192" t="str">
        <x:v>Incorrect. Disclosure should be limited to what is necessary.</x:v>
      </x:c>
      <x:c r="N319" s="192" t="str">
        <x:v>Incorrect. Termination does not manage the emergency.</x:v>
      </x:c>
      <x:c r="O319" s="192" t="str">
        <x:v>A. Incorrect. Routine care is insufficient for the described danger.
B. Correct. Imminent safety needs can justify limited disclosure and emergency intervention despite refusal.
C. Incorrect. Disclosure should be limited to what is necessary.
D. Incorrect. Termination does not manage the emergency.</x:v>
      </x:c>
      <x:c r="P319" s="192" t="str">
        <x:v>In high-risk situations, autonomy and confidentiality remain important but do not require passivity.</x:v>
      </x:c>
      <x:c r="Q319" s="194" t="str">
        <x:v>CTA LMFT WB6; CTA LMFT WB12; Pearson VUE LMFT Outline Area 3</x:v>
      </x:c>
    </x:row>
    <x:row r="320">
      <x:c r="A320" s="191" t="str">
        <x:v>CTA-LMFT-MQB-0319</x:v>
      </x:c>
      <x:c r="B320" s="192" t="str">
        <x:v>LMFT-MQB-FA-CP-001</x:v>
      </x:c>
      <x:c r="C320" s="192" t="str">
        <x:v>Comprehensive Simulation</x:v>
      </x:c>
      <x:c r="D320" s="192" t="str">
        <x:v>Form A</x:v>
      </x:c>
      <x:c r="E320" s="192" t="str">
        <x:v>Which treatment goal is MOST measurable?</x:v>
      </x:c>
      <x:c r="F320" s="192" t="str">
        <x:v>The couple will communicate better.</x:v>
      </x:c>
      <x:c r="G320" s="192" t="str">
        <x:v>The couple will never argue again.</x:v>
      </x:c>
      <x:c r="H320" s="192" t="str">
        <x:v>The couple will understand each other completely.</x:v>
      </x:c>
      <x:c r="I320" s="192" t="str">
        <x:v>The couple will use an agreed de-escalation routine during at least four of five identified conflicts over the next month.</x:v>
      </x:c>
      <x:c r="J320" s="192" t="str">
        <x:v>D</x:v>
      </x:c>
      <x:c r="K320" s="192" t="str">
        <x:v>Incorrect. “Better” is not operationalized.</x:v>
      </x:c>
      <x:c r="L320" s="192" t="str">
        <x:v>Incorrect. Eliminating all disagreement is not a realistic therapeutic target.</x:v>
      </x:c>
      <x:c r="M320" s="192" t="str">
        <x:v>Incorrect. Complete understanding is unrealistic and difficult to measure.</x:v>
      </x:c>
      <x:c r="N320" s="192" t="str">
        <x:v>Correct. The goal defines a behavior, context, frequency, and time frame that can be monitored.</x:v>
      </x:c>
      <x:c r="O320" s="192" t="str">
        <x:v>A. Incorrect. “Better” is not operationalized.
B. Incorrect. Eliminating all disagreement is not a realistic therapeutic target.
C. Incorrect. Complete understanding is unrealistic and difficult to measure.
D. Correct. The goal defines a behavior, context, frequency, and time frame that can be monitored.</x:v>
      </x:c>
      <x:c r="P320" s="192" t="str">
        <x:v>A measurable goal states what will change, under what conditions, and how progress will be recognized.</x:v>
      </x:c>
      <x:c r="Q320" s="194" t="str">
        <x:v>CTA LMFT WB7; Pearson VUE LMFT Outline Area 4</x:v>
      </x:c>
    </x:row>
    <x:row r="321">
      <x:c r="A321" s="191" t="str">
        <x:v>CTA-LMFT-MQB-0320</x:v>
      </x:c>
      <x:c r="B321" s="192" t="str">
        <x:v>LMFT-MQB-FA-TX-026</x:v>
      </x:c>
      <x:c r="C321" s="192" t="str">
        <x:v>Comprehensive Simulation</x:v>
      </x:c>
      <x:c r="D321" s="192" t="str">
        <x:v>Form A</x:v>
      </x:c>
      <x:c r="E321" s="192" t="str">
        <x:v>A couple begins shouting and interrupting during a session, and neither can process the other’s words. What should the LMFT do NEXT?</x:v>
      </x:c>
      <x:c r="F321" s="192" t="str">
        <x:v>Allow the argument to continue without limits.</x:v>
      </x:c>
      <x:c r="G321" s="192" t="str">
        <x:v>Interrupt the escalation, slow the interaction, regulate arousal, and structure one speaker and one listener before exploring meaning.</x:v>
      </x:c>
      <x:c r="H321" s="192" t="str">
        <x:v>Choose which partner is more rational.</x:v>
      </x:c>
      <x:c r="I321" s="192" t="str">
        <x:v>Assign intimacy homework immediately.</x:v>
      </x:c>
      <x:c r="J321" s="192" t="str">
        <x:v>B</x:v>
      </x:c>
      <x:c r="K321" s="192" t="str">
        <x:v>Incorrect. Uncontained escalation can become unsafe and unproductive.</x:v>
      </x:c>
      <x:c r="L321" s="192" t="str">
        <x:v>Correct. The couple is outside a workable arousal range, so structure and regulation are needed before deeper intervention.</x:v>
      </x:c>
      <x:c r="M321" s="192" t="str">
        <x:v>Incorrect. Taking sides damages the therapeutic balance.</x:v>
      </x:c>
      <x:c r="N321" s="192" t="str">
        <x:v>Incorrect. Intimacy work is poorly timed during acute escalation.</x:v>
      </x:c>
      <x:c r="O321" s="192" t="str">
        <x:v>A. Incorrect. Uncontained escalation can become unsafe and unproductive.
B. Correct. The couple is outside a workable arousal range, so structure and regulation are needed before deeper intervention.
C. Incorrect. Taking sides damages the therapeutic balance.
D. Incorrect. Intimacy work is poorly timed during acute escalation.</x:v>
      </x:c>
      <x:c r="P321" s="192" t="str">
        <x:v>When processing capacity collapses, regulate the process before interpreting content.</x:v>
      </x:c>
      <x:c r="Q321" s="194" t="str">
        <x:v>CTA LMFT WB8; Pearson VUE LMFT Outline Area 5</x:v>
      </x:c>
    </x:row>
    <x:row r="322">
      <x:c r="A322" s="191" t="str">
        <x:v>CTA-LMFT-MQB-0321</x:v>
      </x:c>
      <x:c r="B322" s="192" t="str">
        <x:v>LMFT-MQB-FA-DI-013</x:v>
      </x:c>
      <x:c r="C322" s="192" t="str">
        <x:v>Comprehensive Simulation</x:v>
      </x:c>
      <x:c r="D322" s="192" t="str">
        <x:v>Form A</x:v>
      </x:c>
      <x:c r="E322" s="192" t="str">
        <x:v>A client describes spiritual communication that is shared and accepted in the client’s community, with no impairment or loss of reality testing. What should the LMFT do?</x:v>
      </x:c>
      <x:c r="F322" s="192" t="str">
        <x:v>Explore cultural meaning, context, control, distress, and functioning before interpreting the experience as psychosis.</x:v>
      </x:c>
      <x:c r="G322" s="192" t="str">
        <x:v>Assume every culturally shared belief is clinically irrelevant.</x:v>
      </x:c>
      <x:c r="H322" s="192" t="str">
        <x:v>Diagnose a psychotic disorder because the experience is unusual to the therapist.</x:v>
      </x:c>
      <x:c r="I322" s="192" t="str">
        <x:v>Avoid all discussion of spirituality.</x:v>
      </x:c>
      <x:c r="J322" s="192" t="str">
        <x:v>A</x:v>
      </x:c>
      <x:c r="K322" s="192" t="str">
        <x:v>Correct. Cultural context and functional impact are necessary to distinguish a belief or practice from psychopathology.</x:v>
      </x:c>
      <x:c r="L322" s="192" t="str">
        <x:v>Incorrect. Culturally congruent experiences can still require assessment if they cause distress or risk.</x:v>
      </x:c>
      <x:c r="M322" s="192" t="str">
        <x:v>Incorrect. The therapist’s unfamiliarity is not diagnostic evidence.</x:v>
      </x:c>
      <x:c r="N322" s="192" t="str">
        <x:v>Incorrect. Avoidance prevents accurate assessment.</x:v>
      </x:c>
      <x:c r="O322" s="192" t="str">
        <x:v>A. Correct. Cultural context and functional impact are necessary to distinguish a belief or practice from psychopathology.
B. Incorrect. Culturally congruent experiences can still require assessment if they cause distress or risk.
C. Incorrect. The therapist’s unfamiliarity is not diagnostic evidence.
D. Incorrect. Avoidance prevents accurate assessment.</x:v>
      </x:c>
      <x:c r="P322" s="192" t="str">
        <x:v>Unfamiliar is not the same as disordered; assess meaning, consensus, distress, control, and impairment.</x:v>
      </x:c>
      <x:c r="Q322" s="194" t="str">
        <x:v>CTA LMFT WB3; CTA LMFT WB5; Pearson VUE LMFT Outline Area 2</x:v>
      </x:c>
    </x:row>
    <x:row r="323">
      <x:c r="A323" s="191" t="str">
        <x:v>CTA-LMFT-MQB-0322</x:v>
      </x:c>
      <x:c r="B323" s="192" t="str">
        <x:v>LMFT-MQB-FA-CP-003</x:v>
      </x:c>
      <x:c r="C323" s="192" t="str">
        <x:v>Comprehensive Simulation</x:v>
      </x:c>
      <x:c r="D323" s="192" t="str">
        <x:v>Form A</x:v>
      </x:c>
      <x:c r="E323" s="192" t="str">
        <x:v>A client has mild relationship dissatisfaction and an untreated severe substance-withdrawal risk. Which planning principle applies?</x:v>
      </x:c>
      <x:c r="F323" s="192" t="str">
        <x:v>Address the acute medical and safety need before routine relationship goals.</x:v>
      </x:c>
      <x:c r="G323" s="192" t="str">
        <x:v>Treat every goal as equal priority.</x:v>
      </x:c>
      <x:c r="H323" s="192" t="str">
        <x:v>Avoid discussing substance use because the referral was relational.</x:v>
      </x:c>
      <x:c r="I323" s="192" t="str">
        <x:v>Begin with the client’s easiest goal.</x:v>
      </x:c>
      <x:c r="J323" s="192" t="str">
        <x:v>A</x:v>
      </x:c>
      <x:c r="K323" s="192" t="str">
        <x:v>Correct. Planning follows a hierarchy in which immediate danger and medical instability precede elective goals.</x:v>
      </x:c>
      <x:c r="L323" s="192" t="str">
        <x:v>Incorrect. Different needs have different urgency.</x:v>
      </x:c>
      <x:c r="M323" s="192" t="str">
        <x:v>Incorrect. The referral label does not erase a higher-priority condition.</x:v>
      </x:c>
      <x:c r="N323" s="192" t="str">
        <x:v>Incorrect. Ease is not the controlling priority.</x:v>
      </x:c>
      <x:c r="O323" s="192" t="str">
        <x:v>A. Correct. Planning follows a hierarchy in which immediate danger and medical instability precede elective goals.
B. Incorrect. Different needs have different urgency.
C. Incorrect. The referral label does not erase a higher-priority condition.
D. Incorrect. Ease is not the controlling priority.</x:v>
      </x:c>
      <x:c r="P323" s="192" t="str">
        <x:v>Sort goals by safety, medical need, stability, functioning, and client priorities.</x:v>
      </x:c>
      <x:c r="Q323" s="194" t="str">
        <x:v>CTA LMFT WB7; Pearson VUE LMFT Outline Area 4</x:v>
      </x:c>
    </x:row>
    <x:row r="324">
      <x:c r="A324" s="191" t="str">
        <x:v>CTA-LMFT-MQB-0323</x:v>
      </x:c>
      <x:c r="B324" s="192" t="str">
        <x:v>LMFT-MQB-FA-LE-008</x:v>
      </x:c>
      <x:c r="C324" s="192" t="str">
        <x:v>Comprehensive Simulation</x:v>
      </x:c>
      <x:c r="D324" s="192" t="str">
        <x:v>Form A</x:v>
      </x:c>
      <x:c r="E324" s="192" t="str">
        <x:v>An LMFT wants to begin recording sessions for consultation. What should the therapist do FIRST?</x:v>
      </x:c>
      <x:c r="F324" s="192" t="str">
        <x:v>Assume general treatment consent includes recording.</x:v>
      </x:c>
      <x:c r="G324" s="192" t="str">
        <x:v>Tell the client refusal will end treatment.</x:v>
      </x:c>
      <x:c r="H324" s="192" t="str">
        <x:v>Explain the purpose, access, storage, risks, alternatives, and voluntary nature of recording and obtain appropriate consent before recording.</x:v>
      </x:c>
      <x:c r="I324" s="192" t="str">
        <x:v>Record first and discuss it later.</x:v>
      </x:c>
      <x:c r="J324" s="192" t="str">
        <x:v>C</x:v>
      </x:c>
      <x:c r="K324" s="192" t="str">
        <x:v>Incorrect. General consent may not cover recording.</x:v>
      </x:c>
      <x:c r="L324" s="192" t="str">
        <x:v>Incorrect. Coercive pressure undermines voluntariness.</x:v>
      </x:c>
      <x:c r="M324" s="192" t="str">
        <x:v>Correct. Recording creates a material privacy and treatment change requiring specific, voluntary discussion.</x:v>
      </x:c>
      <x:c r="N324" s="192" t="str">
        <x:v>Incorrect. Retroactive consent is not adequate.</x:v>
      </x:c>
      <x:c r="O324" s="192" t="str">
        <x:v>A. Incorrect. General consent may not cover recording.
B. Incorrect. Coercive pressure undermines voluntariness.
C. Correct. Recording creates a material privacy and treatment change requiring specific, voluntary discussion.
D. Incorrect. Retroactive consent is not adequate.</x:v>
      </x:c>
      <x:c r="P324" s="192" t="str">
        <x:v>New technology or use of clinical material usually requires renewed, specific consent before implementation.</x:v>
      </x:c>
      <x:c r="Q324" s="194" t="str">
        <x:v>CTA LMFT WB12; Pearson VUE LMFT Outline Area 6</x:v>
      </x:c>
    </x:row>
    <x:row r="325">
      <x:c r="A325" s="191" t="str">
        <x:v>CTA-LMFT-MQB-0324</x:v>
      </x:c>
      <x:c r="B325" s="192" t="str">
        <x:v>LMFT-MQB-FA-CE-023</x:v>
      </x:c>
      <x:c r="C325" s="192" t="str">
        <x:v>Comprehensive Simulation</x:v>
      </x:c>
      <x:c r="D325" s="192" t="str">
        <x:v>Form A</x:v>
      </x:c>
      <x:c r="E325" s="192" t="str">
        <x:v>An employer refers a worker for “anger management,” but the worker says the main problem is grief after a death. What should the LMFT do FIRST?</x:v>
      </x:c>
      <x:c r="F325" s="192" t="str">
        <x:v>Adopt the employer’s goal without discussion.</x:v>
      </x:c>
      <x:c r="G325" s="192" t="str">
        <x:v>Tell the employer the client disagrees with the referral.</x:v>
      </x:c>
      <x:c r="H325" s="192" t="str">
        <x:v>Reject the referral because two goals are present.</x:v>
      </x:c>
      <x:c r="I325" s="192" t="str">
        <x:v>Clarify the referral requirements, confidentiality limits, and the client’s own concerns and goals.</x:v>
      </x:c>
      <x:c r="J325" s="192" t="str">
        <x:v>D</x:v>
      </x:c>
      <x:c r="K325" s="192" t="str">
        <x:v>Incorrect. A third party’s goal does not automatically replace the client’s concerns.</x:v>
      </x:c>
      <x:c r="L325" s="192" t="str">
        <x:v>Incorrect. Disclosure to the employer requires authorization or another basis.</x:v>
      </x:c>
      <x:c r="M325" s="192" t="str">
        <x:v>Incorrect. Different goals can be clarified and negotiated.</x:v>
      </x:c>
      <x:c r="N325" s="192" t="str">
        <x:v>Correct. The therapist must understand the mandate and preserve the client’s participation before defining treatment.</x:v>
      </x:c>
      <x:c r="O325" s="192" t="str">
        <x:v>A. Incorrect. A third party’s goal does not automatically replace the client’s concerns.
B. Incorrect. Disclosure to the employer requires authorization or another basis.
C. Incorrect. Different goals can be clarified and negotiated.
D. Correct. The therapist must understand the mandate and preserve the client’s participation before defining treatment.</x:v>
      </x:c>
      <x:c r="P325" s="192" t="str">
        <x:v>When a third party and client define the problem differently, clarify roles and required reporting before planning.</x:v>
      </x:c>
      <x:c r="Q325" s="194" t="str">
        <x:v>CTA LMFT WB2; CTA LMFT WB12; Pearson VUE LMFT Outline Area 1</x:v>
      </x:c>
    </x:row>
    <x:row r="326">
      <x:c r="A326" s="191" t="str">
        <x:v>CTA-LMFT-MQB-0325</x:v>
      </x:c>
      <x:c r="B326" s="192" t="str">
        <x:v>LMFT-MQB-FA-DI-010</x:v>
      </x:c>
      <x:c r="C326" s="192" t="str">
        <x:v>Comprehensive Simulation</x:v>
      </x:c>
      <x:c r="D326" s="192" t="str">
        <x:v>Form A</x:v>
      </x:c>
      <x:c r="E326" s="192" t="str">
        <x:v>A client with new anxiety, tremor, weight loss, and rapid heartbeat has no prior anxiety history. What should the LMFT do before assigning a primary anxiety diagnosis?</x:v>
      </x:c>
      <x:c r="F326" s="192" t="str">
        <x:v>Begin exposure therapy without further assessment.</x:v>
      </x:c>
      <x:c r="G326" s="192" t="str">
        <x:v>Facilitate medical evaluation and assess whether a physiological condition may better explain the symptoms.</x:v>
      </x:c>
      <x:c r="H326" s="192" t="str">
        <x:v>Assume anxiety because the client feels worried.</x:v>
      </x:c>
      <x:c r="I326" s="192" t="str">
        <x:v>Wait for family therapy to reduce the physical symptoms.</x:v>
      </x:c>
      <x:c r="J326" s="192" t="str">
        <x:v>B</x:v>
      </x:c>
      <x:c r="K326" s="192" t="str">
        <x:v>Incorrect. Treatment selection is premature without rule-out information.</x:v>
      </x:c>
      <x:c r="L326" s="192" t="str">
        <x:v>Correct. The cluster and abrupt change raise a plausible medical rule-out that should be addressed promptly.</x:v>
      </x:c>
      <x:c r="M326" s="192" t="str">
        <x:v>Incorrect. Worry can result from a medical condition.</x:v>
      </x:c>
      <x:c r="N326" s="192" t="str">
        <x:v>Incorrect. Family intervention does not replace medical evaluation.</x:v>
      </x:c>
      <x:c r="O326" s="192" t="str">
        <x:v>A. Incorrect. Treatment selection is premature without rule-out information.
B. Correct. The cluster and abrupt change raise a plausible medical rule-out that should be addressed promptly.
C. Incorrect. Worry can result from a medical condition.
D. Incorrect. Family intervention does not replace medical evaluation.</x:v>
      </x:c>
      <x:c r="P326" s="192" t="str">
        <x:v>New autonomic symptoms plus no prior history should activate medical differential reasoning.</x:v>
      </x:c>
      <x:c r="Q326" s="194" t="str">
        <x:v>CTA LMFT WB5; Pearson VUE LMFT Outline Area 2</x:v>
      </x:c>
    </x:row>
    <x:row r="327">
      <x:c r="A327" s="191" t="str">
        <x:v>CTA-LMFT-MQB-0326</x:v>
      </x:c>
      <x:c r="B327" s="192" t="str">
        <x:v>LMFT-MQB-FA-CE-008</x:v>
      </x:c>
      <x:c r="C327" s="192" t="str">
        <x:v>Comprehensive Simulation</x:v>
      </x:c>
      <x:c r="D327" s="192" t="str">
        <x:v>Form A</x:v>
      </x:c>
      <x:c r="E327" s="192" t="str">
        <x:v>A client says, “I feel fine,” while speaking softly, moving slowly, and appearing tearful. Which documentation is MOST accurate?</x:v>
      </x:c>
      <x:c r="F327" s="192" t="str">
        <x:v>The client has major depressive disorder.</x:v>
      </x:c>
      <x:c r="G327" s="192" t="str">
        <x:v>The client is lying about mood.</x:v>
      </x:c>
      <x:c r="H327" s="192" t="str">
        <x:v>Mood and affect are both normal because the client said “fine.”</x:v>
      </x:c>
      <x:c r="I327" s="192" t="str">
        <x:v>The client reports a fine mood, while observed affect appears constricted and sad.</x:v>
      </x:c>
      <x:c r="J327" s="192" t="str">
        <x:v>D</x:v>
      </x:c>
      <x:c r="K327" s="192" t="str">
        <x:v>Incorrect. A diagnosis requires more than one observation.</x:v>
      </x:c>
      <x:c r="L327" s="192" t="str">
        <x:v>Incorrect. The discrepancy does not establish intentional deception.</x:v>
      </x:c>
      <x:c r="M327" s="192" t="str">
        <x:v>Incorrect. Observed behavior may be incongruent with the reported mood.</x:v>
      </x:c>
      <x:c r="N327" s="192" t="str">
        <x:v>Correct. The note separates the client’s reported internal state from the therapist’s observable emotional expression.</x:v>
      </x:c>
      <x:c r="O327" s="192" t="str">
        <x:v>A. Incorrect. A diagnosis requires more than one observation.
B. Incorrect. The discrepancy does not establish intentional deception.
C. Incorrect. Observed behavior may be incongruent with the reported mood.
D. Correct. The note separates the client’s reported internal state from the therapist’s observable emotional expression.</x:v>
      </x:c>
      <x:c r="P327" s="192" t="str">
        <x:v>Document what the client reports and what you observe without converting a discrepancy into an unsupported diagnosis.</x:v>
      </x:c>
      <x:c r="Q327" s="194" t="str">
        <x:v>CTA LMFT WB2; Pearson VUE LMFT Outline Area 1</x:v>
      </x:c>
    </x:row>
    <x:row r="328">
      <x:c r="A328" s="191" t="str">
        <x:v>CTA-LMFT-MQB-0327</x:v>
      </x:c>
      <x:c r="B328" s="192" t="str">
        <x:v>LMFT-MQB-FA-CE-040</x:v>
      </x:c>
      <x:c r="C328" s="192" t="str">
        <x:v>Comprehensive Simulation</x:v>
      </x:c>
      <x:c r="D328" s="192" t="str">
        <x:v>Form A</x:v>
      </x:c>
      <x:c r="E328" s="192" t="str">
        <x:v>An older adult reports depression after a spouse’s death. Family notes medication errors, weight loss, and recent financial exploitation by a new acquaintance. What should the LMFT do FIRST?</x:v>
      </x:c>
      <x:c r="F328" s="192" t="str">
        <x:v>Assess immediate safety, cognition and functional change, nutrition and medical concerns, exploitation risk, grief and depression, and coordinate appropriate protective and medical resources.</x:v>
      </x:c>
      <x:c r="G328" s="192" t="str">
        <x:v>Treat grief alone because it explains all symptoms.</x:v>
      </x:c>
      <x:c r="H328" s="192" t="str">
        <x:v>Assume incapacity and transfer all decisions to family.</x:v>
      </x:c>
      <x:c r="I328" s="192" t="str">
        <x:v>Confront the acquaintance without the client’s knowledge.</x:v>
      </x:c>
      <x:c r="J328" s="192" t="str">
        <x:v>A</x:v>
      </x:c>
      <x:c r="K328" s="192" t="str">
        <x:v>Correct. The presentation requires integrated evaluation of safety, cognition, medical status, exploitation, autonomy, and grief.</x:v>
      </x:c>
      <x:c r="L328" s="192" t="str">
        <x:v>Incorrect. A single explanation may miss serious co-occurring concerns.</x:v>
      </x:c>
      <x:c r="M328" s="192" t="str">
        <x:v>Incorrect. Capacity and authority require assessment and lawful process.</x:v>
      </x:c>
      <x:c r="N328" s="192" t="str">
        <x:v>Incorrect. Unplanned confrontation may increase risk and exceed the therapist’s role.</x:v>
      </x:c>
      <x:c r="O328" s="192" t="str">
        <x:v>A. Correct. The presentation requires integrated evaluation of safety, cognition, medical status, exploitation, autonomy, and grief.
B. Incorrect. A single explanation may miss serious co-occurring concerns.
C. Incorrect. Capacity and authority require assessment and lawful process.
D. Incorrect. Unplanned confrontation may increase risk and exceed the therapist’s role.</x:v>
      </x:c>
      <x:c r="P328" s="192" t="str">
        <x:v>When several vulnerability signals converge, widen the assessment before choosing one explanation.</x:v>
      </x:c>
      <x:c r="Q328" s="194" t="str">
        <x:v>CTA LMFT WB3; CTA LMFT WB4; CTA LMFT WB6; Pearson VUE LMFT Outline Area 1</x:v>
      </x:c>
    </x:row>
    <x:row r="329">
      <x:c r="A329" s="191" t="str">
        <x:v>CTA-LMFT-MQB-0328</x:v>
      </x:c>
      <x:c r="B329" s="192" t="str">
        <x:v>LMFT-MQB-FA-TX-012</x:v>
      </x:c>
      <x:c r="C329" s="192" t="str">
        <x:v>Comprehensive Simulation</x:v>
      </x:c>
      <x:c r="D329" s="192" t="str">
        <x:v>Form A</x:v>
      </x:c>
      <x:c r="E329" s="192" t="str">
        <x:v>In a pursue-withdraw cycle, the pursuing partner criticizes when afraid of abandonment, and the withdrawing partner shuts down when feeling inadequate. What should the therapist do?</x:v>
      </x:c>
      <x:c r="F329" s="192" t="str">
        <x:v>Help each partner identify the vulnerable emotion and attachment need beneath the protective position and respond to the cycle rather than blaming the person.</x:v>
      </x:c>
      <x:c r="G329" s="192" t="str">
        <x:v>Ask the withdrawing partner to disclose everything immediately.</x:v>
      </x:c>
      <x:c r="H329" s="192" t="str">
        <x:v>Teach debate skills so each can prove the other wrong.</x:v>
      </x:c>
      <x:c r="I329" s="192" t="str">
        <x:v>Determine which partner started the cycle.</x:v>
      </x:c>
      <x:c r="J329" s="192" t="str">
        <x:v>A</x:v>
      </x:c>
      <x:c r="K329" s="192" t="str">
        <x:v>Correct. Attachment-focused work reframes protective behaviors and increases accessible, responsive engagement.</x:v>
      </x:c>
      <x:c r="L329" s="192" t="str">
        <x:v>Incorrect. Pacing is necessary to avoid overwhelming withdrawal.</x:v>
      </x:c>
      <x:c r="M329" s="192" t="str">
        <x:v>Incorrect. Winning arguments does not create secure responsiveness.</x:v>
      </x:c>
      <x:c r="N329" s="192" t="str">
        <x:v>Incorrect. Linear blame misses reciprocity.</x:v>
      </x:c>
      <x:c r="O329" s="192" t="str">
        <x:v>A. Correct. Attachment-focused work reframes protective behaviors and increases accessible, responsive engagement.
B. Incorrect. Pacing is necessary to avoid overwhelming withdrawal.
C. Incorrect. Winning arguments does not create secure responsiveness.
D. Incorrect. Linear blame misses reciprocity.</x:v>
      </x:c>
      <x:c r="P329" s="192" t="str">
        <x:v>Track the cycle and the softer emotion under each position.</x:v>
      </x:c>
      <x:c r="Q329" s="194" t="str">
        <x:v>CTA LMFT WB8; Pearson VUE LMFT Outline Area 5</x:v>
      </x:c>
    </x:row>
    <x:row r="330">
      <x:c r="A330" s="191" t="str">
        <x:v>CTA-LMFT-MQB-0329</x:v>
      </x:c>
      <x:c r="B330" s="192" t="str">
        <x:v>LMFT-MQB-FA-CE-017</x:v>
      </x:c>
      <x:c r="C330" s="192" t="str">
        <x:v>Comprehensive Simulation</x:v>
      </x:c>
      <x:c r="D330" s="192" t="str">
        <x:v>Form A</x:v>
      </x:c>
      <x:c r="E330" s="192" t="str">
        <x:v>A couple presents with reduced sexual contact. Which opening question is MOST clinically useful?</x:v>
      </x:c>
      <x:c r="F330" s="192" t="str">
        <x:v>“How does each of you understand the change, and what medical, relational, cultural, and contextual factors may be contributing?”</x:v>
      </x:c>
      <x:c r="G330" s="192" t="str">
        <x:v>“Would you both agree the issue is simply lack of attraction?”</x:v>
      </x:c>
      <x:c r="H330" s="192" t="str">
        <x:v>“How often should a healthy couple have sex?”</x:v>
      </x:c>
      <x:c r="I330" s="192" t="str">
        <x:v>“Which partner is causing the problem?”</x:v>
      </x:c>
      <x:c r="J330" s="192" t="str">
        <x:v>A</x:v>
      </x:c>
      <x:c r="K330" s="192" t="str">
        <x:v>Correct. The question is neutral, multidimensional, and invites both partners’ meanings without assuming a cause or norm.</x:v>
      </x:c>
      <x:c r="L330" s="192" t="str">
        <x:v>Incorrect. The cause has not been established.</x:v>
      </x:c>
      <x:c r="M330" s="192" t="str">
        <x:v>Incorrect. There is no single universal frequency standard.</x:v>
      </x:c>
      <x:c r="N330" s="192" t="str">
        <x:v>Incorrect. Blame narrows assessment and may intensify conflict.</x:v>
      </x:c>
      <x:c r="O330" s="192" t="str">
        <x:v>A. Correct. The question is neutral, multidimensional, and invites both partners’ meanings without assuming a cause or norm.
B. Incorrect. The cause has not been established.
C. Incorrect. There is no single universal frequency standard.
D. Incorrect. Blame narrows assessment and may intensify conflict.</x:v>
      </x:c>
      <x:c r="P330" s="192" t="str">
        <x:v>Use inclusive, nonassumptive language and assess medical, relational, developmental, cultural, and consent factors.</x:v>
      </x:c>
      <x:c r="Q330" s="194" t="str">
        <x:v>CTA LMFT WB4; Pearson VUE LMFT Outline Area 1</x:v>
      </x:c>
    </x:row>
    <x:row r="331">
      <x:c r="A331" s="191" t="str">
        <x:v>CTA-LMFT-MQB-0330</x:v>
      </x:c>
      <x:c r="B331" s="192" t="str">
        <x:v>LMFT-MQB-FA-CE-022</x:v>
      </x:c>
      <x:c r="C331" s="192" t="str">
        <x:v>Comprehensive Simulation</x:v>
      </x:c>
      <x:c r="D331" s="192" t="str">
        <x:v>Form A</x:v>
      </x:c>
      <x:c r="E331" s="192" t="str">
        <x:v>In the first couple session, one partner speaks for both and the other remains silent. What should the LMFT do FIRST?</x:v>
      </x:c>
      <x:c r="F331" s="192" t="str">
        <x:v>Begin teaching communication skills before assessment.</x:v>
      </x:c>
      <x:c r="G331" s="192" t="str">
        <x:v>Confront the speaking partner as controlling.</x:v>
      </x:c>
      <x:c r="H331" s="192" t="str">
        <x:v>Clarify the purpose and structure of the meeting and invite each partner’s perspective in a balanced, nonblaming way.</x:v>
      </x:c>
      <x:c r="I331" s="192" t="str">
        <x:v>Assume the silent partner has no concerns.</x:v>
      </x:c>
      <x:c r="J331" s="192" t="str">
        <x:v>C</x:v>
      </x:c>
      <x:c r="K331" s="192" t="str">
        <x:v>Incorrect. Intervention should follow sufficient assessment and safety screening.</x:v>
      </x:c>
      <x:c r="L331" s="192" t="str">
        <x:v>Incorrect. A fixed interpretation is premature.</x:v>
      </x:c>
      <x:c r="M331" s="192" t="str">
        <x:v>Correct. Early structure and balanced engagement help establish multiple alliances and obtain usable information.</x:v>
      </x:c>
      <x:c r="N331" s="192" t="str">
        <x:v>Incorrect. Silence may reflect many factors and requires exploration.</x:v>
      </x:c>
      <x:c r="O331" s="192" t="str">
        <x:v>A. Incorrect. Intervention should follow sufficient assessment and safety screening.
B. Incorrect. A fixed interpretation is premature.
C. Correct. Early structure and balanced engagement help establish multiple alliances and obtain usable information.
D. Incorrect. Silence may reflect many factors and requires exploration.</x:v>
      </x:c>
      <x:c r="P331" s="192" t="str">
        <x:v>At intake, create enough structure for each participant to be heard before interpreting the pattern.</x:v>
      </x:c>
      <x:c r="Q331" s="194" t="str">
        <x:v>CTA LMFT WB2; Pearson VUE LMFT Outline Area 1</x:v>
      </x:c>
    </x:row>
    <x:row r="332">
      <x:c r="A332" s="191" t="str">
        <x:v>CTA-LMFT-MQB-0331</x:v>
      </x:c>
      <x:c r="B332" s="192" t="str">
        <x:v>LMFT-MQB-FA-TX-033</x:v>
      </x:c>
      <x:c r="C332" s="192" t="str">
        <x:v>Comprehensive Simulation</x:v>
      </x:c>
      <x:c r="D332" s="192" t="str">
        <x:v>Form A</x:v>
      </x:c>
      <x:c r="E332" s="192" t="str">
        <x:v>In couple therapy, one partner privately reports that the other monitors finances, threatens deportation, and punishes disagreement. What should the therapist do NEXT?</x:v>
      </x:c>
      <x:c r="F332" s="192" t="str">
        <x:v>Assess danger and coercive control privately, reconsider conjoint treatment, support safety planning, and connect specialized resources.</x:v>
      </x:c>
      <x:c r="G332" s="192" t="str">
        <x:v>Frame the problem as equal conflict.</x:v>
      </x:c>
      <x:c r="H332" s="192" t="str">
        <x:v>Use mutual communication exercises in the next joint session.</x:v>
      </x:c>
      <x:c r="I332" s="192" t="str">
        <x:v>Disclose the private report to the partner immediately.</x:v>
      </x:c>
      <x:c r="J332" s="192" t="str">
        <x:v>A</x:v>
      </x:c>
      <x:c r="K332" s="192" t="str">
        <x:v>Correct. Coercive control changes the safety and appropriateness of conjoint treatment.</x:v>
      </x:c>
      <x:c r="L332" s="192" t="str">
        <x:v>Incorrect. The described pattern is not ordinary mutual conflict.</x:v>
      </x:c>
      <x:c r="M332" s="192" t="str">
        <x:v>Incorrect. Symmetric skills work may increase risk.</x:v>
      </x:c>
      <x:c r="N332" s="192" t="str">
        <x:v>Incorrect. Unplanned disclosure can provoke retaliation.</x:v>
      </x:c>
      <x:c r="O332" s="192" t="str">
        <x:v>A. Correct. Coercive control changes the safety and appropriateness of conjoint treatment.
B. Incorrect. The described pattern is not ordinary mutual conflict.
C. Incorrect. Symmetric skills work may increase risk.
D. Incorrect. Unplanned disclosure can provoke retaliation.</x:v>
      </x:c>
      <x:c r="P332" s="192" t="str">
        <x:v>When power and retaliation constrain speech, standard conjoint techniques may be contraindicated.</x:v>
      </x:c>
      <x:c r="Q332" s="194" t="str">
        <x:v>CTA LMFT WB6; CTA LMFT WB8; Pearson VUE LMFT Outline Area 5</x:v>
      </x:c>
    </x:row>
    <x:row r="333">
      <x:c r="A333" s="191" t="str">
        <x:v>CTA-LMFT-MQB-0332</x:v>
      </x:c>
      <x:c r="B333" s="192" t="str">
        <x:v>LMFT-MQB-FA-CR-009</x:v>
      </x:c>
      <x:c r="C333" s="192" t="str">
        <x:v>Comprehensive Simulation</x:v>
      </x:c>
      <x:c r="D333" s="192" t="str">
        <x:v>Form A</x:v>
      </x:c>
      <x:c r="E333" s="192" t="str">
        <x:v>A child describes being hit with an object and shows patterned bruising. The caregiver says the child is exaggerating. What should the LMFT do NEXT?</x:v>
      </x:c>
      <x:c r="F333" s="192" t="str">
        <x:v>Interview every relative before acting.</x:v>
      </x:c>
      <x:c r="G333" s="192" t="str">
        <x:v>Promise the child that no one else will be told.</x:v>
      </x:c>
      <x:c r="H333" s="192" t="str">
        <x:v>Wait until the caregiver admits the abuse.</x:v>
      </x:c>
      <x:c r="I333" s="192" t="str">
        <x:v>Ensure immediate safety and follow mandated-reporting requirements based on the available reasonable suspicion rather than conducting an independent investigation.</x:v>
      </x:c>
      <x:c r="J333" s="192" t="str">
        <x:v>D</x:v>
      </x:c>
      <x:c r="K333" s="192" t="str">
        <x:v>Incorrect. A private investigation can delay protection and interfere with official processes.</x:v>
      </x:c>
      <x:c r="L333" s="192" t="str">
        <x:v>Incorrect. Absolute secrecy cannot be promised.</x:v>
      </x:c>
      <x:c r="M333" s="192" t="str">
        <x:v>Incorrect. Admission is not required.</x:v>
      </x:c>
      <x:c r="N333" s="192" t="str">
        <x:v>Correct. The therapist’s role is to recognize and report suspected abuse and address safety, not prove the case.</x:v>
      </x:c>
      <x:c r="O333" s="192" t="str">
        <x:v>A. Incorrect. A private investigation can delay protection and interfere with official processes.
B. Incorrect. Absolute secrecy cannot be promised.
C. Incorrect. Admission is not required.
D. Correct. The therapist’s role is to recognize and report suspected abuse and address safety, not prove the case.</x:v>
      </x:c>
      <x:c r="P333" s="192" t="str">
        <x:v>For mandated reporting, distinguish reasonable suspicion from proof beyond doubt.</x:v>
      </x:c>
      <x:c r="Q333" s="194" t="str">
        <x:v>CTA LMFT WB6; Pearson VUE LMFT Outline Area 3</x:v>
      </x:c>
    </x:row>
    <x:row r="334">
      <x:c r="A334" s="191" t="str">
        <x:v>CTA-LMFT-MQB-0333</x:v>
      </x:c>
      <x:c r="B334" s="192" t="str">
        <x:v>LMFT-MQB-FA-TX-037</x:v>
      </x:c>
      <x:c r="C334" s="192" t="str">
        <x:v>Comprehensive Simulation</x:v>
      </x:c>
      <x:c r="D334" s="192" t="str">
        <x:v>Form A</x:v>
      </x:c>
      <x:c r="E334" s="192" t="str">
        <x:v>An adolescent’s self-harm has stabilized, but conflict recurs when parents criticize each other and the adolescent intervenes. What is the BEST next treatment focus?</x:v>
      </x:c>
      <x:c r="F334" s="192" t="str">
        <x:v>Maintain the safety plan while strengthening the parental subsystem, reducing triangulation, and helping the adolescent develop separate regulation and communication skills.</x:v>
      </x:c>
      <x:c r="G334" s="192" t="str">
        <x:v>End all safety monitoring because the crisis improved.</x:v>
      </x:c>
      <x:c r="H334" s="192" t="str">
        <x:v>Treat only the adolescent’s behavior.</x:v>
      </x:c>
      <x:c r="I334" s="192" t="str">
        <x:v>Ask the adolescent to mediate more effectively.</x:v>
      </x:c>
      <x:c r="J334" s="192" t="str">
        <x:v>A</x:v>
      </x:c>
      <x:c r="K334" s="192" t="str">
        <x:v>Correct. The plan integrates ongoing risk management with the family mechanism and individual skill needs.</x:v>
      </x:c>
      <x:c r="L334" s="192" t="str">
        <x:v>Incorrect. Recent stabilization does not eliminate relapse planning.</x:v>
      </x:c>
      <x:c r="M334" s="192" t="str">
        <x:v>Incorrect. The relational pattern remains active.</x:v>
      </x:c>
      <x:c r="N334" s="192" t="str">
        <x:v>Incorrect. Mediation reinforces the child’s inappropriate role.</x:v>
      </x:c>
      <x:c r="O334" s="192" t="str">
        <x:v>A. Correct. The plan integrates ongoing risk management with the family mechanism and individual skill needs.
B. Incorrect. Recent stabilization does not eliminate relapse planning.
C. Incorrect. The relational pattern remains active.
D. Incorrect. Mediation reinforces the child’s inappropriate role.</x:v>
      </x:c>
      <x:c r="P334" s="192" t="str">
        <x:v>After crisis stabilization, keep safety in view while moving to the maintaining system.</x:v>
      </x:c>
      <x:c r="Q334" s="194" t="str">
        <x:v>CTA LMFT WB6; CTA LMFT WB8; CTA LMFT WB9; Pearson VUE LMFT Outline Area 5</x:v>
      </x:c>
    </x:row>
    <x:row r="335">
      <x:c r="A335" s="191" t="str">
        <x:v>CTA-LMFT-MQB-0334</x:v>
      </x:c>
      <x:c r="B335" s="192" t="str">
        <x:v>LMFT-MQB-FA-CE-025</x:v>
      </x:c>
      <x:c r="C335" s="192" t="str">
        <x:v>Comprehensive Simulation</x:v>
      </x:c>
      <x:c r="D335" s="192" t="str">
        <x:v>Form A</x:v>
      </x:c>
      <x:c r="E335" s="192" t="str">
        <x:v>Parents report severe tantrums at home, while the teacher reports age-appropriate behavior at school. What should the LMFT do NEXT?</x:v>
      </x:c>
      <x:c r="F335" s="192" t="str">
        <x:v>Diagnose the child from the home report alone.</x:v>
      </x:c>
      <x:c r="G335" s="192" t="str">
        <x:v>Compare triggers, expectations, relationships, routines, and consequences across settings before concluding that either report is inaccurate.</x:v>
      </x:c>
      <x:c r="H335" s="192" t="str">
        <x:v>Tell the parents the behavior cannot be serious because school is going well.</x:v>
      </x:c>
      <x:c r="I335" s="192" t="str">
        <x:v>Ask the teacher to discipline the child for home behavior.</x:v>
      </x:c>
      <x:c r="J335" s="192" t="str">
        <x:v>B</x:v>
      </x:c>
      <x:c r="K335" s="192" t="str">
        <x:v>Incorrect. One setting is insufficient for a broad conclusion.</x:v>
      </x:c>
      <x:c r="L335" s="192" t="str">
        <x:v>Correct. Cross-setting differences can reveal contextual maintaining factors and strengths.</x:v>
      </x:c>
      <x:c r="M335" s="192" t="str">
        <x:v>Incorrect. Functioning in one setting does not invalidate difficulties elsewhere.</x:v>
      </x:c>
      <x:c r="N335" s="192" t="str">
        <x:v>Incorrect. The teacher is not responsible for home consequences.</x:v>
      </x:c>
      <x:c r="O335" s="192" t="str">
        <x:v>A. Incorrect. One setting is insufficient for a broad conclusion.
B. Correct. Cross-setting differences can reveal contextual maintaining factors and strengths.
C. Incorrect. Functioning in one setting does not invalidate difficulties elsewhere.
D. Incorrect. The teacher is not responsible for home consequences.</x:v>
      </x:c>
      <x:c r="P335" s="192" t="str">
        <x:v>Different behavior across settings is data: identify what changes in demands, relationships, and reinforcement.</x:v>
      </x:c>
      <x:c r="Q335" s="194" t="str">
        <x:v>CTA LMFT WB3; CTA LMFT WB4; Pearson VUE LMFT Outline Area 1</x:v>
      </x:c>
    </x:row>
    <x:row r="336">
      <x:c r="A336" s="191" t="str">
        <x:v>CTA-LMFT-MQB-0335</x:v>
      </x:c>
      <x:c r="B336" s="192" t="str">
        <x:v>LMFT-MQB-FA-TX-011</x:v>
      </x:c>
      <x:c r="C336" s="192" t="str">
        <x:v>Comprehensive Simulation</x:v>
      </x:c>
      <x:c r="D336" s="192" t="str">
        <x:v>Form A</x:v>
      </x:c>
      <x:c r="E336" s="192" t="str">
        <x:v>A grieving client worries that moments of enjoyment mean the deceased was not loved. What is the BEST response?</x:v>
      </x:c>
      <x:c r="F336" s="192" t="str">
        <x:v>Confirm that enjoyment is disrespectful.</x:v>
      </x:c>
      <x:c r="G336" s="192" t="str">
        <x:v>Explore the meaning of the guilt and normalize that grief can coexist with connection, pleasure, and continuing bonds.</x:v>
      </x:c>
      <x:c r="H336" s="192" t="str">
        <x:v>Set a deadline for completing grief.</x:v>
      </x:c>
      <x:c r="I336" s="192" t="str">
        <x:v>Tell the client to stop thinking about the deceased.</x:v>
      </x:c>
      <x:c r="J336" s="192" t="str">
        <x:v>B</x:v>
      </x:c>
      <x:c r="K336" s="192" t="str">
        <x:v>Incorrect. The guilt belief need not be reinforced.</x:v>
      </x:c>
      <x:c r="L336" s="192" t="str">
        <x:v>Correct. Grief work can support meaning, oscillation, and continuing connection without prescribing a uniform process.</x:v>
      </x:c>
      <x:c r="M336" s="192" t="str">
        <x:v>Incorrect. Grief does not follow a universal deadline.</x:v>
      </x:c>
      <x:c r="N336" s="192" t="str">
        <x:v>Incorrect. Avoidance may complicate rather than resolve grief.</x:v>
      </x:c>
      <x:c r="O336" s="192" t="str">
        <x:v>A. Incorrect. The guilt belief need not be reinforced.
B. Correct. Grief work can support meaning, oscillation, and continuing connection without prescribing a uniform process.
C. Incorrect. Grief does not follow a universal deadline.
D. Incorrect. Avoidance may complicate rather than resolve grief.</x:v>
      </x:c>
      <x:c r="P336" s="192" t="str">
        <x:v>Do not force grief into either constant sorrow or complete detachment.</x:v>
      </x:c>
      <x:c r="Q336" s="194" t="str">
        <x:v>CTA LMFT WB9; Pearson VUE LMFT Outline Area 5</x:v>
      </x:c>
    </x:row>
    <x:row r="337">
      <x:c r="A337" s="191" t="str">
        <x:v>CTA-LMFT-MQB-0336</x:v>
      </x:c>
      <x:c r="B337" s="192" t="str">
        <x:v>LMFT-MQB-FA-LE-001</x:v>
      </x:c>
      <x:c r="C337" s="192" t="str">
        <x:v>Comprehensive Simulation</x:v>
      </x:c>
      <x:c r="D337" s="192" t="str">
        <x:v>Form A</x:v>
      </x:c>
      <x:c r="E337" s="192" t="str">
        <x:v>Which statement BEST describes informed consent in psychotherapy?</x:v>
      </x:c>
      <x:c r="F337" s="192" t="str">
        <x:v>It is a waiver of the therapist’s professional responsibility.</x:v>
      </x:c>
      <x:c r="G337" s="192" t="str">
        <x:v>It is completed permanently when the intake form is signed.</x:v>
      </x:c>
      <x:c r="H337" s="192" t="str">
        <x:v>It is an ongoing process of understandable information, voluntary participation, and renewed discussion when material conditions change.</x:v>
      </x:c>
      <x:c r="I337" s="192" t="str">
        <x:v>It is required only when the client asks questions.</x:v>
      </x:c>
      <x:c r="J337" s="192" t="str">
        <x:v>C</x:v>
      </x:c>
      <x:c r="K337" s="192" t="str">
        <x:v>Incorrect. Clients do not assume professional liability by consenting.</x:v>
      </x:c>
      <x:c r="L337" s="192" t="str">
        <x:v>Incorrect. Material changes may require renewed discussion.</x:v>
      </x:c>
      <x:c r="M337" s="192" t="str">
        <x:v>Correct. Consent is relational and continuing, not merely a one-time document.</x:v>
      </x:c>
      <x:c r="N337" s="192" t="str">
        <x:v>Incorrect. The therapist has an affirmative responsibility to provide relevant information.</x:v>
      </x:c>
      <x:c r="O337" s="192" t="str">
        <x:v>A. Incorrect. Clients do not assume professional liability by consenting.
B. Incorrect. Material changes may require renewed discussion.
C. Correct. Consent is relational and continuing, not merely a one-time document.
D. Incorrect. The therapist has an affirmative responsibility to provide relevant information.</x:v>
      </x:c>
      <x:c r="P337" s="192" t="str">
        <x:v>When choices contrast process with paperwork, choose the answer centered on meaningful decision-making.</x:v>
      </x:c>
      <x:c r="Q337" s="194" t="str">
        <x:v>CTA LMFT WB12; Pearson VUE LMFT Outline Area 6</x:v>
      </x:c>
    </x:row>
    <x:row r="338">
      <x:c r="A338" s="191" t="str">
        <x:v>CTA-LMFT-MQB-0337</x:v>
      </x:c>
      <x:c r="B338" s="192" t="str">
        <x:v>LMFT-MQB-FA-CP-004</x:v>
      </x:c>
      <x:c r="C338" s="192" t="str">
        <x:v>Comprehensive Simulation</x:v>
      </x:c>
      <x:c r="D338" s="192" t="str">
        <x:v>Form A</x:v>
      </x:c>
      <x:c r="E338" s="192" t="str">
        <x:v>A client says the therapist’s proposed goal is not important to them. What should the LMFT do?</x:v>
      </x:c>
      <x:c r="F338" s="192" t="str">
        <x:v>Keep the goal because the therapist is the expert.</x:v>
      </x:c>
      <x:c r="G338" s="192" t="str">
        <x:v>Terminate immediately.</x:v>
      </x:c>
      <x:c r="H338" s="192" t="str">
        <x:v>Remove all professional recommendations.</x:v>
      </x:c>
      <x:c r="I338" s="192" t="str">
        <x:v>Explore the difference, clarify clinical concerns, and develop a mutually understood goal or document unresolved constraints.</x:v>
      </x:c>
      <x:c r="J338" s="192" t="str">
        <x:v>D</x:v>
      </x:c>
      <x:c r="K338" s="192" t="str">
        <x:v>Incorrect. Expertise does not justify unilateral planning.</x:v>
      </x:c>
      <x:c r="L338" s="192" t="str">
        <x:v>Incorrect. Disagreement can often be explored and negotiated.</x:v>
      </x:c>
      <x:c r="M338" s="192" t="str">
        <x:v>Incorrect. Collaboration does not require abandoning clinical responsibility.</x:v>
      </x:c>
      <x:c r="N338" s="192" t="str">
        <x:v>Correct. Collaboration combines client self-determination with transparent professional judgment.</x:v>
      </x:c>
      <x:c r="O338" s="192" t="str">
        <x:v>A. Incorrect. Expertise does not justify unilateral planning.
B. Incorrect. Disagreement can often be explored and negotiated.
C. Incorrect. Collaboration does not require abandoning clinical responsibility.
D. Correct. Collaboration combines client self-determination with transparent professional judgment.</x:v>
      </x:c>
      <x:c r="P338" s="192" t="str">
        <x:v>Do not confuse collaboration with either therapist control or therapist silence.</x:v>
      </x:c>
      <x:c r="Q338" s="194" t="str">
        <x:v>CTA LMFT WB7; Pearson VUE LMFT Outline Area 4</x:v>
      </x:c>
    </x:row>
    <x:row r="339">
      <x:c r="A339" s="191" t="str">
        <x:v>CTA-LMFT-MQB-0338</x:v>
      </x:c>
      <x:c r="B339" s="192" t="str">
        <x:v>LMFT-MQB-FA-CR-014</x:v>
      </x:c>
      <x:c r="C339" s="192" t="str">
        <x:v>Comprehensive Simulation</x:v>
      </x:c>
      <x:c r="D339" s="192" t="str">
        <x:v>Form A</x:v>
      </x:c>
      <x:c r="E339" s="192" t="str">
        <x:v>A parent arrives intoxicated to pick up a young child after a family session and insists on driving. What should the LMFT do?</x:v>
      </x:c>
      <x:c r="F339" s="192" t="str">
        <x:v>Ask the child to decide whether the parent can drive.</x:v>
      </x:c>
      <x:c r="G339" s="192" t="str">
        <x:v>Prevent an unsafe departure if possible, assess the child’s immediate protection needs, arrange a safe caregiver or emergency assistance, and follow any applicable reporting duties.</x:v>
      </x:c>
      <x:c r="H339" s="192" t="str">
        <x:v>Document the concern and take no immediate action.</x:v>
      </x:c>
      <x:c r="I339" s="192" t="str">
        <x:v>Allow departure because the parent has legal custody.</x:v>
      </x:c>
      <x:c r="J339" s="192" t="str">
        <x:v>B</x:v>
      </x:c>
      <x:c r="K339" s="192" t="str">
        <x:v>Incorrect. The child should not carry responsibility for the decision.</x:v>
      </x:c>
      <x:c r="L339" s="192" t="str">
        <x:v>Correct. Immediate transportation danger and child safety require active protection and lawful escalation.</x:v>
      </x:c>
      <x:c r="M339" s="192" t="str">
        <x:v>Incorrect. Documentation alone does not prevent imminent harm.</x:v>
      </x:c>
      <x:c r="N339" s="192" t="str">
        <x:v>Incorrect. Custody does not authorize unsafe driving.</x:v>
      </x:c>
      <x:c r="O339" s="192" t="str">
        <x:v>A. Incorrect. The child should not carry responsibility for the decision.
B. Correct. Immediate transportation danger and child safety require active protection and lawful escalation.
C. Incorrect. Documentation alone does not prevent imminent harm.
D. Incorrect. Custody does not authorize unsafe driving.</x:v>
      </x:c>
      <x:c r="P339" s="192" t="str">
        <x:v>Integrate current danger, child protection, authority, and the least restrictive effective action.</x:v>
      </x:c>
      <x:c r="Q339" s="194" t="str">
        <x:v>CTA LMFT WB6; CTA LMFT WB12; Pearson VUE LMFT Outline Area 3</x:v>
      </x:c>
    </x:row>
    <x:row r="340">
      <x:c r="A340" s="191" t="str">
        <x:v>CTA-LMFT-MQB-0339</x:v>
      </x:c>
      <x:c r="B340" s="192" t="str">
        <x:v>LMFT-MQB-FA-LE-005</x:v>
      </x:c>
      <x:c r="C340" s="192" t="str">
        <x:v>Comprehensive Simulation</x:v>
      </x:c>
      <x:c r="D340" s="192" t="str">
        <x:v>Form A</x:v>
      </x:c>
      <x:c r="E340" s="192" t="str">
        <x:v>A long-term client offers a low-cost handmade gift with significant cultural meaning. What is the BEST response?</x:v>
      </x:c>
      <x:c r="F340" s="192" t="str">
        <x:v>Reject every gift automatically.</x:v>
      </x:c>
      <x:c r="G340" s="192" t="str">
        <x:v>Accept every gift to avoid cultural offense.</x:v>
      </x:c>
      <x:c r="H340" s="192" t="str">
        <x:v>Accept it secretly and omit documentation.</x:v>
      </x:c>
      <x:c r="I340" s="192" t="str">
        <x:v>Explore the meaning, clinical impact, cultural context, policy, and potential boundary consequences before deciding whether to accept.</x:v>
      </x:c>
      <x:c r="J340" s="192" t="str">
        <x:v>D</x:v>
      </x:c>
      <x:c r="K340" s="192" t="str">
        <x:v>Incorrect. A universal rejection rule may ignore culture and clinical context.</x:v>
      </x:c>
      <x:c r="L340" s="192" t="str">
        <x:v>Incorrect. Automatic acceptance also ignores risk.</x:v>
      </x:c>
      <x:c r="M340" s="192" t="str">
        <x:v>Incorrect. Secrecy undermines transparency and reflection.</x:v>
      </x:c>
      <x:c r="N340" s="192" t="str">
        <x:v>Correct. Ethical boundary decisions are contextual and should consider value, meaning, timing, exploitation risk, and treatment impact.</x:v>
      </x:c>
      <x:c r="O340" s="192" t="str">
        <x:v>A. Incorrect. A universal rejection rule may ignore culture and clinical context.
B. Incorrect. Automatic acceptance also ignores risk.
C. Incorrect. Secrecy undermines transparency and reflection.
D. Correct. Ethical boundary decisions are contextual and should consider value, meaning, timing, exploitation risk, and treatment impact.</x:v>
      </x:c>
      <x:c r="P340" s="192" t="str">
        <x:v>Avoid rigid gift rules; analyze meaning, value, timing, power, and foreseeable impact.</x:v>
      </x:c>
      <x:c r="Q340" s="194" t="str">
        <x:v>CTA LMFT WB12; Pearson VUE LMFT Outline Area 6</x:v>
      </x:c>
    </x:row>
    <x:row r="341">
      <x:c r="A341" s="191" t="str">
        <x:v>CTA-LMFT-MQB-0340</x:v>
      </x:c>
      <x:c r="B341" s="192" t="str">
        <x:v>LMFT-MQB-FA-DI-008</x:v>
      </x:c>
      <x:c r="C341" s="192" t="str">
        <x:v>Comprehensive Simulation</x:v>
      </x:c>
      <x:c r="D341" s="192" t="str">
        <x:v>Form A</x:v>
      </x:c>
      <x:c r="E341" s="192" t="str">
        <x:v>A client reports unwanted intrusive thoughts of harming a loved one, finds them distressing, and engages in rituals to prevent harm. Which feature MOST supports an obsessive-compulsive formulation rather than a psychotic one?</x:v>
      </x:c>
      <x:c r="F341" s="192" t="str">
        <x:v>The thoughts are experienced as unwanted and inconsistent with the client’s values, with preserved awareness that rituals are excessive or uncertain.</x:v>
      </x:c>
      <x:c r="G341" s="192" t="str">
        <x:v>The client feels anxious.</x:v>
      </x:c>
      <x:c r="H341" s="192" t="str">
        <x:v>The thoughts occur repeatedly.</x:v>
      </x:c>
      <x:c r="I341" s="192" t="str">
        <x:v>The content involves harm.</x:v>
      </x:c>
      <x:c r="J341" s="192" t="str">
        <x:v>A</x:v>
      </x:c>
      <x:c r="K341" s="192" t="str">
        <x:v>Correct. Ego-dystonic intrusive thoughts and some insight are more consistent with obsessions than fixed delusional belief.</x:v>
      </x:c>
      <x:c r="L341" s="192" t="str">
        <x:v>Incorrect. Anxiety is nonspecific.</x:v>
      </x:c>
      <x:c r="M341" s="192" t="str">
        <x:v>Incorrect. Repetition alone does not distinguish the disorders.</x:v>
      </x:c>
      <x:c r="N341" s="192" t="str">
        <x:v>Incorrect. Harm content can occur in several conditions.</x:v>
      </x:c>
      <x:c r="O341" s="192" t="str">
        <x:v>A. Correct. Ego-dystonic intrusive thoughts and some insight are more consistent with obsessions than fixed delusional belief.
B. Incorrect. Anxiety is nonspecific.
C. Incorrect. Repetition alone does not distinguish the disorders.
D. Incorrect. Harm content can occur in several conditions.</x:v>
      </x:c>
      <x:c r="P341" s="192" t="str">
        <x:v>Focus on the client’s relationship to the thought—belief, certainty, meaning, and insight—not only its content.</x:v>
      </x:c>
      <x:c r="Q341" s="194" t="str">
        <x:v>CTA LMFT WB5; Pearson VUE LMFT Outline Area 2</x:v>
      </x:c>
    </x:row>
    <x:row r="342">
      <x:c r="A342" s="191" t="str">
        <x:v>CTA-LMFT-MQB-0341</x:v>
      </x:c>
      <x:c r="B342" s="192" t="str">
        <x:v>LMFT-MQB-FA-CP-017</x:v>
      </x:c>
      <x:c r="C342" s="192" t="str">
        <x:v>Comprehensive Simulation</x:v>
      </x:c>
      <x:c r="D342" s="192" t="str">
        <x:v>Form A</x:v>
      </x:c>
      <x:c r="E342" s="192" t="str">
        <x:v>A family’s adolescent conflict escalates when parents disagree in front of the child, and the child then threatens school refusal. Which plan is BEST?</x:v>
      </x:c>
      <x:c r="F342" s="192" t="str">
        <x:v>Address school-safety and attendance needs, strengthen coordinated parental responses, reduce triangulation, and track both conflict sequences and school participation.</x:v>
      </x:c>
      <x:c r="G342" s="192" t="str">
        <x:v>Use a vague goal of improving family functioning.</x:v>
      </x:c>
      <x:c r="H342" s="192" t="str">
        <x:v>Treat only the adolescent’s motivation.</x:v>
      </x:c>
      <x:c r="I342" s="192" t="str">
        <x:v>Ask parents to alternate taking the child’s side.</x:v>
      </x:c>
      <x:c r="J342" s="192" t="str">
        <x:v>A</x:v>
      </x:c>
      <x:c r="K342" s="192" t="str">
        <x:v>Correct. The plan targets the maintaining family sequence and includes concrete functional outcomes.</x:v>
      </x:c>
      <x:c r="L342" s="192" t="str">
        <x:v>Incorrect. A vague goal cannot guide or measure treatment.</x:v>
      </x:c>
      <x:c r="M342" s="192" t="str">
        <x:v>Incorrect. Individual motivation alone does not address the parental pattern.</x:v>
      </x:c>
      <x:c r="N342" s="192" t="str">
        <x:v>Incorrect. Alternating alliances would preserve triangulation.</x:v>
      </x:c>
      <x:c r="O342" s="192" t="str">
        <x:v>A. Correct. The plan targets the maintaining family sequence and includes concrete functional outcomes.
B. Incorrect. A vague goal cannot guide or measure treatment.
C. Incorrect. Individual motivation alone does not address the parental pattern.
D. Incorrect. Alternating alliances would preserve triangulation.</x:v>
      </x:c>
      <x:c r="P342" s="192" t="str">
        <x:v>Integrated planning links systemic mechanism, immediate function, and observable outcomes.</x:v>
      </x:c>
      <x:c r="Q342" s="194" t="str">
        <x:v>CTA LMFT WB7; CTA LMFT WB8; Pearson VUE LMFT Outline Area 4</x:v>
      </x:c>
    </x:row>
    <x:row r="343">
      <x:c r="A343" s="191" t="str">
        <x:v>CTA-LMFT-MQB-0342</x:v>
      </x:c>
      <x:c r="B343" s="192" t="str">
        <x:v>LMFT-MQB-FA-TX-017</x:v>
      </x:c>
      <x:c r="C343" s="192" t="str">
        <x:v>Comprehensive Simulation</x:v>
      </x:c>
      <x:c r="D343" s="192" t="str">
        <x:v>Form A</x:v>
      </x:c>
      <x:c r="E343" s="192" t="str">
        <x:v>A client is not ready to stop drinking but wants fewer relationship and health consequences. What is the BEST response?</x:v>
      </x:c>
      <x:c r="F343" s="192" t="str">
        <x:v>Refuse treatment until complete abstinence is chosen.</x:v>
      </x:c>
      <x:c r="G343" s="192" t="str">
        <x:v>Collaboratively identify achievable risk-reduction goals while continuing to assess severity, safety, and readiness for additional change.</x:v>
      </x:c>
      <x:c r="H343" s="192" t="str">
        <x:v>Ignore drinking and focus only on the partner.</x:v>
      </x:c>
      <x:c r="I343" s="192" t="str">
        <x:v>Assure the client that reduced use is always safe.</x:v>
      </x:c>
      <x:c r="J343" s="192" t="str">
        <x:v>B</x:v>
      </x:c>
      <x:c r="K343" s="192" t="str">
        <x:v>Incorrect. An abstinence-only entry requirement may reduce engagement when not clinically required.</x:v>
      </x:c>
      <x:c r="L343" s="192" t="str">
        <x:v>Correct. Harm reduction can engage the client and reduce risk without abandoning assessment or future change.</x:v>
      </x:c>
      <x:c r="M343" s="192" t="str">
        <x:v>Incorrect. Substance use remains relevant to relational functioning and safety.</x:v>
      </x:c>
      <x:c r="N343" s="192" t="str">
        <x:v>Incorrect. No level of use can be declared universally safe for every client.</x:v>
      </x:c>
      <x:c r="O343" s="192" t="str">
        <x:v>A. Incorrect. An abstinence-only entry requirement may reduce engagement when not clinically required.
B. Correct. Harm reduction can engage the client and reduce risk without abandoning assessment or future change.
C. Incorrect. Substance use remains relevant to relational functioning and safety.
D. Incorrect. No level of use can be declared universally safe for every client.</x:v>
      </x:c>
      <x:c r="P343" s="192" t="str">
        <x:v>Meet the client at the current stage while keeping risk and broader options visible.</x:v>
      </x:c>
      <x:c r="Q343" s="194" t="str">
        <x:v>CTA LMFT WB9; Pearson VUE LMFT Outline Area 5</x:v>
      </x:c>
    </x:row>
    <x:row r="344">
      <x:c r="A344" s="191" t="str">
        <x:v>CTA-LMFT-MQB-0343</x:v>
      </x:c>
      <x:c r="B344" s="192" t="str">
        <x:v>LMFT-MQB-FA-CP-016</x:v>
      </x:c>
      <x:c r="C344" s="192" t="str">
        <x:v>Comprehensive Simulation</x:v>
      </x:c>
      <x:c r="D344" s="192" t="str">
        <x:v>Form A</x:v>
      </x:c>
      <x:c r="E344" s="192" t="str">
        <x:v>A child’s school, divorced parents, and pediatrician each request different treatment priorities. What should the LMFT do FIRST?</x:v>
      </x:c>
      <x:c r="F344" s="192" t="str">
        <x:v>Follow whichever parent contacts the therapist most often.</x:v>
      </x:c>
      <x:c r="G344" s="192" t="str">
        <x:v>Clarify authority, roles, releases, and the child’s clinical needs, then establish a coordinated hierarchy of goals with the appropriate decision-makers.</x:v>
      </x:c>
      <x:c r="H344" s="192" t="str">
        <x:v>Follow the school because it sees the child daily.</x:v>
      </x:c>
      <x:c r="I344" s="192" t="str">
        <x:v>Combine every request into one large goal list.</x:v>
      </x:c>
      <x:c r="J344" s="192" t="str">
        <x:v>B</x:v>
      </x:c>
      <x:c r="K344" s="192" t="str">
        <x:v>Incorrect. Persistence does not determine the treatment plan.</x:v>
      </x:c>
      <x:c r="L344" s="192" t="str">
        <x:v>Correct. Planning must distinguish legal and clinical authority, relevance, and priority before combining third-party requests.</x:v>
      </x:c>
      <x:c r="M344" s="192" t="str">
        <x:v>Incorrect. Frequency of contact does not establish authority.</x:v>
      </x:c>
      <x:c r="N344" s="192" t="str">
        <x:v>Incorrect. An unprioritized list may be contradictory and unmanageable.</x:v>
      </x:c>
      <x:c r="O344" s="192" t="str">
        <x:v>A. Incorrect. Persistence does not determine the treatment plan.
B. Correct. Planning must distinguish legal and clinical authority, relevance, and priority before combining third-party requests.
C. Incorrect. Frequency of contact does not establish authority.
D. Incorrect. An unprioritized list may be contradictory and unmanageable.</x:v>
      </x:c>
      <x:c r="P344" s="192" t="str">
        <x:v>When multiple systems compete, clarify who can decide, who can inform, and what the assessment supports.</x:v>
      </x:c>
      <x:c r="Q344" s="194" t="str">
        <x:v>CTA LMFT WB7; CTA LMFT WB12; Pearson VUE LMFT Outline Area 4</x:v>
      </x:c>
    </x:row>
    <x:row r="345">
      <x:c r="A345" s="191" t="str">
        <x:v>CTA-LMFT-MQB-0344</x:v>
      </x:c>
      <x:c r="B345" s="192" t="str">
        <x:v>LMFT-MQB-FA-CP-006</x:v>
      </x:c>
      <x:c r="C345" s="192" t="str">
        <x:v>Comprehensive Simulation</x:v>
      </x:c>
      <x:c r="D345" s="192" t="str">
        <x:v>Form A</x:v>
      </x:c>
      <x:c r="E345" s="192" t="str">
        <x:v>A client’s symptom score improves, but work attendance and relationship functioning do not. What should the LMFT conclude?</x:v>
      </x:c>
      <x:c r="F345" s="192" t="str">
        <x:v>The client is resisting change.</x:v>
      </x:c>
      <x:c r="G345" s="192" t="str">
        <x:v>Treatment is complete because the score improved.</x:v>
      </x:c>
      <x:c r="H345" s="192" t="str">
        <x:v>Progress is partial, and the plan should be reviewed using both symptom and functional outcomes.</x:v>
      </x:c>
      <x:c r="I345" s="192" t="str">
        <x:v>The measure is useless.</x:v>
      </x:c>
      <x:c r="J345" s="192" t="str">
        <x:v>C</x:v>
      </x:c>
      <x:c r="K345" s="192" t="str">
        <x:v>Incorrect. Nonresponse in some areas does not prove resistance.</x:v>
      </x:c>
      <x:c r="L345" s="192" t="str">
        <x:v>Incorrect. A single indicator does not establish full recovery.</x:v>
      </x:c>
      <x:c r="M345" s="192" t="str">
        <x:v>Correct. Outcome evaluation should integrate symptoms, functioning, goals, and the client’s experience.</x:v>
      </x:c>
      <x:c r="N345" s="192" t="str">
        <x:v>Incorrect. The measure may be informative but incomplete.</x:v>
      </x:c>
      <x:c r="O345" s="192" t="str">
        <x:v>A. Incorrect. Nonresponse in some areas does not prove resistance.
B. Incorrect. A single indicator does not establish full recovery.
C. Correct. Outcome evaluation should integrate symptoms, functioning, goals, and the client’s experience.
D. Incorrect. The measure may be informative but incomplete.</x:v>
      </x:c>
      <x:c r="P345" s="192" t="str">
        <x:v>Use multiple indicators and ask whether the change matters in daily life.</x:v>
      </x:c>
      <x:c r="Q345" s="194" t="str">
        <x:v>CTA LMFT WB7; Pearson VUE LMFT Outline Area 4</x:v>
      </x:c>
    </x:row>
    <x:row r="346">
      <x:c r="A346" s="191" t="str">
        <x:v>CTA-LMFT-MQB-0345</x:v>
      </x:c>
      <x:c r="B346" s="192" t="str">
        <x:v>LMFT-MQB-FA-CE-016</x:v>
      </x:c>
      <x:c r="C346" s="192" t="str">
        <x:v>Comprehensive Simulation</x:v>
      </x:c>
      <x:c r="D346" s="192" t="str">
        <x:v>Form A</x:v>
      </x:c>
      <x:c r="E346" s="192" t="str">
        <x:v>A client becomes visibly tense when asked for detailed trauma information during the first session. What should the LMFT do?</x:v>
      </x:c>
      <x:c r="F346" s="192" t="str">
        <x:v>Interpret tension as evidence that the event did not occur.</x:v>
      </x:c>
      <x:c r="G346" s="192" t="str">
        <x:v>Require a complete trauma narrative before continuing.</x:v>
      </x:c>
      <x:c r="H346" s="192" t="str">
        <x:v>Change the subject permanently and never revisit trauma.</x:v>
      </x:c>
      <x:c r="I346" s="192" t="str">
        <x:v>Acknowledge the reaction, assess immediate safety and current symptoms, obtain only the information necessary for present care, and pace further exploration collaboratively.</x:v>
      </x:c>
      <x:c r="J346" s="192" t="str">
        <x:v>D</x:v>
      </x:c>
      <x:c r="K346" s="192" t="str">
        <x:v>Incorrect. Tension does not determine factual accuracy.</x:v>
      </x:c>
      <x:c r="L346" s="192" t="str">
        <x:v>Incorrect. Forced detail can increase distress and is usually unnecessary at intake.</x:v>
      </x:c>
      <x:c r="M346" s="192" t="str">
        <x:v>Incorrect. Avoidance may leave important needs unassessed.</x:v>
      </x:c>
      <x:c r="N346" s="192" t="str">
        <x:v>Correct. Trauma-informed assessment balances necessary safety and diagnostic information with choice, pacing, and stabilization.</x:v>
      </x:c>
      <x:c r="O346" s="192" t="str">
        <x:v>A. Incorrect. Tension does not determine factual accuracy.
B. Incorrect. Forced detail can increase distress and is usually unnecessary at intake.
C. Incorrect. Avoidance may leave important needs unassessed.
D. Correct. Trauma-informed assessment balances necessary safety and diagnostic information with choice, pacing, and stabilization.</x:v>
      </x:c>
      <x:c r="P346" s="192" t="str">
        <x:v>Ask what is needed now; do not confuse comprehensive eventual understanding with immediate detailed disclosure.</x:v>
      </x:c>
      <x:c r="Q346" s="194" t="str">
        <x:v>CTA LMFT WB4; Pearson VUE LMFT Outline Area 1</x:v>
      </x:c>
    </x:row>
    <x:row r="347">
      <x:c r="A347" s="191" t="str">
        <x:v>CTA-LMFT-MQB-0346</x:v>
      </x:c>
      <x:c r="B347" s="192" t="str">
        <x:v>LMFT-MQB-FA-TX-019</x:v>
      </x:c>
      <x:c r="C347" s="192" t="str">
        <x:v>Comprehensive Simulation</x:v>
      </x:c>
      <x:c r="D347" s="192" t="str">
        <x:v>Form A</x:v>
      </x:c>
      <x:c r="E347" s="192" t="str">
        <x:v>An autistic adult finds unstructured emotional discussion overwhelming. Which adaptation is MOST appropriate?</x:v>
      </x:c>
      <x:c r="F347" s="192" t="str">
        <x:v>Increase ambiguity to build tolerance.</x:v>
      </x:c>
      <x:c r="G347" s="192" t="str">
        <x:v>Require eye contact as proof of engagement.</x:v>
      </x:c>
      <x:c r="H347" s="192" t="str">
        <x:v>Use clear agendas, concrete language, predictable pacing, and collaborative sensory or communication accommodations.</x:v>
      </x:c>
      <x:c r="I347" s="192" t="str">
        <x:v>Conclude the client lacks emotional capacity.</x:v>
      </x:c>
      <x:c r="J347" s="192" t="str">
        <x:v>C</x:v>
      </x:c>
      <x:c r="K347" s="192" t="str">
        <x:v>Incorrect. Unnecessary ambiguity may reduce access.</x:v>
      </x:c>
      <x:c r="L347" s="192" t="str">
        <x:v>Incorrect. Eye contact is not a universal measure of engagement.</x:v>
      </x:c>
      <x:c r="M347" s="192" t="str">
        <x:v>Correct. Structure and accessibility can improve participation without pathologizing neurodivergent communication.</x:v>
      </x:c>
      <x:c r="N347" s="192" t="str">
        <x:v>Incorrect. Communication style does not equal absence of emotion.</x:v>
      </x:c>
      <x:c r="O347" s="192" t="str">
        <x:v>A. Incorrect. Unnecessary ambiguity may reduce access.
B. Incorrect. Eye contact is not a universal measure of engagement.
C. Correct. Structure and accessibility can improve participation without pathologizing neurodivergent communication.
D. Incorrect. Communication style does not equal absence of emotion.</x:v>
      </x:c>
      <x:c r="P347" s="192" t="str">
        <x:v>Competent adaptation changes format and access while preserving the therapeutic goal.</x:v>
      </x:c>
      <x:c r="Q347" s="194" t="str">
        <x:v>CTA LMFT WB10; Pearson VUE LMFT Outline Area 5</x:v>
      </x:c>
    </x:row>
    <x:row r="348">
      <x:c r="A348" s="191" t="str">
        <x:v>CTA-LMFT-MQB-0347</x:v>
      </x:c>
      <x:c r="B348" s="192" t="str">
        <x:v>LMFT-MQB-FA-DI-002</x:v>
      </x:c>
      <x:c r="C348" s="192" t="str">
        <x:v>Comprehensive Simulation</x:v>
      </x:c>
      <x:c r="D348" s="192" t="str">
        <x:v>Form A</x:v>
      </x:c>
      <x:c r="E348" s="192" t="str">
        <x:v>What is the main purpose of differential diagnosis?</x:v>
      </x:c>
      <x:c r="F348" s="192" t="str">
        <x:v>To compare plausible explanations and determine which best accounts for the symptoms, chronology, impairment, and rule-outs.</x:v>
      </x:c>
      <x:c r="G348" s="192" t="str">
        <x:v>To list every diagnosis the client has ever heard of.</x:v>
      </x:c>
      <x:c r="H348" s="192" t="str">
        <x:v>To identify the most severe-sounding label.</x:v>
      </x:c>
      <x:c r="I348" s="192" t="str">
        <x:v>To replace clinical assessment with a checklist.</x:v>
      </x:c>
      <x:c r="J348" s="192" t="str">
        <x:v>A</x:v>
      </x:c>
      <x:c r="K348" s="192" t="str">
        <x:v>Correct. Differential reasoning evaluates competing hypotheses rather than jumping to the first familiar label.</x:v>
      </x:c>
      <x:c r="L348" s="192" t="str">
        <x:v>Incorrect. An indiscriminate list does not clarify the best explanation.</x:v>
      </x:c>
      <x:c r="M348" s="192" t="str">
        <x:v>Incorrect. Severity of a label is not the criterion.</x:v>
      </x:c>
      <x:c r="N348" s="192" t="str">
        <x:v>Incorrect. Criteria support but do not replace clinical judgment and context.</x:v>
      </x:c>
      <x:c r="O348" s="192" t="str">
        <x:v>A. Correct. Differential reasoning evaluates competing hypotheses rather than jumping to the first familiar label.
B. Incorrect. An indiscriminate list does not clarify the best explanation.
C. Incorrect. Severity of a label is not the criterion.
D. Incorrect. Criteria support but do not replace clinical judgment and context.</x:v>
      </x:c>
      <x:c r="P348" s="192" t="str">
        <x:v>Ask what else could explain the presentation and what evidence would distinguish the possibilities.</x:v>
      </x:c>
      <x:c r="Q348" s="194" t="str">
        <x:v>CTA LMFT WB5; Pearson VUE LMFT Outline Area 2</x:v>
      </x:c>
    </x:row>
    <x:row r="349">
      <x:c r="A349" s="191" t="str">
        <x:v>CTA-LMFT-MQB-0348</x:v>
      </x:c>
      <x:c r="B349" s="192" t="str">
        <x:v>LMFT-MQB-FA-TX-031</x:v>
      </x:c>
      <x:c r="C349" s="192" t="str">
        <x:v>Comprehensive Simulation</x:v>
      </x:c>
      <x:c r="D349" s="192" t="str">
        <x:v>Form A</x:v>
      </x:c>
      <x:c r="E349" s="192" t="str">
        <x:v>A parent and child are beginning contact after a long separation. The parent wants an immediate overnight visit, but the child shows fear and minimal trust. What should the therapist do?</x:v>
      </x:c>
      <x:c r="F349" s="192" t="str">
        <x:v>Use gradual, developmentally paced contact, assess safety and the child’s responses, and increase intensity only as evidence supports readiness.</x:v>
      </x:c>
      <x:c r="G349" s="192" t="str">
        <x:v>Require the overnight visit to prove commitment.</x:v>
      </x:c>
      <x:c r="H349" s="192" t="str">
        <x:v>Allow the parent to set the pace alone.</x:v>
      </x:c>
      <x:c r="I349" s="192" t="str">
        <x:v>Avoid all future contact because the child is anxious.</x:v>
      </x:c>
      <x:c r="J349" s="192" t="str">
        <x:v>A</x:v>
      </x:c>
      <x:c r="K349" s="192" t="str">
        <x:v>Correct. Reunification should be paced by safety, attachment, developmental needs, and observed response.</x:v>
      </x:c>
      <x:c r="L349" s="192" t="str">
        <x:v>Incorrect. Forced intensity may worsen fear and attachment disruption.</x:v>
      </x:c>
      <x:c r="M349" s="192" t="str">
        <x:v>Incorrect. Adult preference is not the only consideration.</x:v>
      </x:c>
      <x:c r="N349" s="192" t="str">
        <x:v>Incorrect. Anxiety calls for careful pacing rather than permanent avoidance.</x:v>
      </x:c>
      <x:c r="O349" s="192" t="str">
        <x:v>A. Correct. Reunification should be paced by safety, attachment, developmental needs, and observed response.
B. Incorrect. Forced intensity may worsen fear and attachment disruption.
C. Incorrect. Adult preference is not the only consideration.
D. Incorrect. Anxiety calls for careful pacing rather than permanent avoidance.</x:v>
      </x:c>
      <x:c r="P349" s="192" t="str">
        <x:v>Increase relational demand only after the system demonstrates capacity for the current step.</x:v>
      </x:c>
      <x:c r="Q349" s="194" t="str">
        <x:v>CTA LMFT WB8; CTA LMFT WB10; Pearson VUE LMFT Outline Area 5</x:v>
      </x:c>
    </x:row>
    <x:row r="350">
      <x:c r="A350" s="191" t="str">
        <x:v>CTA-LMFT-MQB-0349</x:v>
      </x:c>
      <x:c r="B350" s="192" t="str">
        <x:v>LMFT-MQB-FA-CE-012</x:v>
      </x:c>
      <x:c r="C350" s="192" t="str">
        <x:v>Comprehensive Simulation</x:v>
      </x:c>
      <x:c r="D350" s="192" t="str">
        <x:v>Form A</x:v>
      </x:c>
      <x:c r="E350" s="192" t="str">
        <x:v>A client says a prior therapist interpreted strong family involvement as unhealthy dependence. What is the BEST response during evaluation?</x:v>
      </x:c>
      <x:c r="F350" s="192" t="str">
        <x:v>Avoid asking about culture because it could be uncomfortable.</x:v>
      </x:c>
      <x:c r="G350" s="192" t="str">
        <x:v>Assure the client that all family involvement is healthy.</x:v>
      </x:c>
      <x:c r="H350" s="192" t="str">
        <x:v>Explore the client’s cultural and personal meaning of family involvement before deciding whether it supports or interferes with functioning.</x:v>
      </x:c>
      <x:c r="I350" s="192" t="str">
        <x:v>Assume the prior therapist was correct because independence is always the goal.</x:v>
      </x:c>
      <x:c r="J350" s="192" t="str">
        <x:v>C</x:v>
      </x:c>
      <x:c r="K350" s="192" t="str">
        <x:v>Incorrect. Avoidance prevents accurate and respectful assessment.</x:v>
      </x:c>
      <x:c r="L350" s="192" t="str">
        <x:v>Incorrect. Family involvement can be supportive or constraining depending on context.</x:v>
      </x:c>
      <x:c r="M350" s="192" t="str">
        <x:v>Correct. Cultural humility requires curiosity about meaning, function, power, and context rather than imposing a universal norm.</x:v>
      </x:c>
      <x:c r="N350" s="192" t="str">
        <x:v>Incorrect. Independence is not the only legitimate relational value.</x:v>
      </x:c>
      <x:c r="O350" s="192" t="str">
        <x:v>A. Incorrect. Avoidance prevents accurate and respectful assessment.
B. Incorrect. Family involvement can be supportive or constraining depending on context.
C. Correct. Cultural humility requires curiosity about meaning, function, power, and context rather than imposing a universal norm.
D. Incorrect. Independence is not the only legitimate relational value.</x:v>
      </x:c>
      <x:c r="P350" s="192" t="str">
        <x:v>Assess function and meaning before labeling a culturally shaped pattern as pathological.</x:v>
      </x:c>
      <x:c r="Q350" s="194" t="str">
        <x:v>CTA LMFT WB3; CTA LMFT WB10; Pearson VUE LMFT Outline Area 1</x:v>
      </x:c>
    </x:row>
    <x:row r="351">
      <x:c r="A351" s="191" t="str">
        <x:v>CTA-LMFT-MQB-0350</x:v>
      </x:c>
      <x:c r="B351" s="192" t="str">
        <x:v>LMFT-MQB-FA-TX-042</x:v>
      </x:c>
      <x:c r="C351" s="192" t="str">
        <x:v>Comprehensive Simulation</x:v>
      </x:c>
      <x:c r="D351" s="192" t="str">
        <x:v>Form A</x:v>
      </x:c>
      <x:c r="E351" s="192" t="str">
        <x:v>A client with bipolar disorder, diabetes, and family conflict is missing medication and medical appointments because relatives give contradictory advice. What should the LMFT do?</x:v>
      </x:c>
      <x:c r="F351" s="192" t="str">
        <x:v>Choose which medical advice is correct.</x:v>
      </x:c>
      <x:c r="G351" s="192" t="str">
        <x:v>With authorization, coordinate a clear care plan across providers, clarify family roles, address barriers and beliefs, and support the client’s decision-making and follow-through.</x:v>
      </x:c>
      <x:c r="H351" s="192" t="str">
        <x:v>Tell the family to manage all medications.</x:v>
      </x:c>
      <x:c r="I351" s="192" t="str">
        <x:v>Focus only on family communication without provider coordination.</x:v>
      </x:c>
      <x:c r="J351" s="192" t="str">
        <x:v>B</x:v>
      </x:c>
      <x:c r="K351" s="192" t="str">
        <x:v>Incorrect. Medical decisions belong with qualified providers.</x:v>
      </x:c>
      <x:c r="L351" s="192" t="str">
        <x:v>Correct. The therapist can improve coordination and family process without practicing medicine or removing autonomy.</x:v>
      </x:c>
      <x:c r="M351" s="192" t="str">
        <x:v>Incorrect. Family support should not replace the client or prescriber.</x:v>
      </x:c>
      <x:c r="N351" s="192" t="str">
        <x:v>Incorrect. Fragmented care is part of the maintaining problem.</x:v>
      </x:c>
      <x:c r="O351" s="192" t="str">
        <x:v>A. Incorrect. Medical decisions belong with qualified providers.
B. Correct. The therapist can improve coordination and family process without practicing medicine or removing autonomy.
C. Incorrect. Family support should not replace the client or prescriber.
D. Incorrect. Fragmented care is part of the maintaining problem.</x:v>
      </x:c>
      <x:c r="P351" s="192" t="str">
        <x:v>Interdisciplinary treatment asks who owns each decision and how information and follow-up will flow.</x:v>
      </x:c>
      <x:c r="Q351" s="194" t="str">
        <x:v>CTA LMFT WB9; CTA LMFT WB11; Pearson VUE LMFT Outline Area 5</x:v>
      </x:c>
    </x:row>
    <x:row r="352">
      <x:c r="A352" s="191" t="str">
        <x:v>CTA-LMFT-MQB-0351</x:v>
      </x:c>
      <x:c r="B352" s="192" t="str">
        <x:v>LMFT-MQB-FA-CE-013</x:v>
      </x:c>
      <x:c r="C352" s="192" t="str">
        <x:v>Comprehensive Simulation</x:v>
      </x:c>
      <x:c r="D352" s="192" t="str">
        <x:v>Form A</x:v>
      </x:c>
      <x:c r="E352" s="192" t="str">
        <x:v>An 8-year-old becomes clingy and has sleep difficulty after the family moves and a new sibling is born. What should the LMFT evaluate FIRST?</x:v>
      </x:c>
      <x:c r="F352" s="192" t="str">
        <x:v>Only the child’s school grades.</x:v>
      </x:c>
      <x:c r="G352" s="192" t="str">
        <x:v>Whether the child is intentionally manipulating the parents.</x:v>
      </x:c>
      <x:c r="H352" s="192" t="str">
        <x:v>A personality disorder.</x:v>
      </x:c>
      <x:c r="I352" s="192" t="str">
        <x:v>The timing, duration, developmental fit, family transition, impairment, and whether symptoms are improving or worsening.</x:v>
      </x:c>
      <x:c r="J352" s="192" t="str">
        <x:v>D</x:v>
      </x:c>
      <x:c r="K352" s="192" t="str">
        <x:v>Incorrect. School data are useful but too narrow.</x:v>
      </x:c>
      <x:c r="L352" s="192" t="str">
        <x:v>Incorrect. Intent should not be assumed from distress behavior.</x:v>
      </x:c>
      <x:c r="M352" s="192" t="str">
        <x:v>Incorrect. Personality diagnosis is not supported by the information.</x:v>
      </x:c>
      <x:c r="N352" s="192" t="str">
        <x:v>Correct. The presentation may reflect a developmental response to multiple transitions, but severity and impairment still require assessment.</x:v>
      </x:c>
      <x:c r="O352" s="192" t="str">
        <x:v>A. Incorrect. School data are useful but too narrow.
B. Incorrect. Intent should not be assumed from distress behavior.
C. Incorrect. Personality diagnosis is not supported by the information.
D. Correct. The presentation may reflect a developmental response to multiple transitions, but severity and impairment still require assessment.</x:v>
      </x:c>
      <x:c r="P352" s="192" t="str">
        <x:v>With children, compare behavior with developmental expectations and recent transitions before making a fixed interpretation.</x:v>
      </x:c>
      <x:c r="Q352" s="194" t="str">
        <x:v>CTA LMFT WB3; Pearson VUE LMFT Outline Area 1</x:v>
      </x:c>
    </x:row>
    <x:row r="353">
      <x:c r="A353" s="191" t="str">
        <x:v>CTA-LMFT-MQB-0352</x:v>
      </x:c>
      <x:c r="B353" s="192" t="str">
        <x:v>LMFT-MQB-FA-TX-028</x:v>
      </x:c>
      <x:c r="C353" s="192" t="str">
        <x:v>Comprehensive Simulation</x:v>
      </x:c>
      <x:c r="D353" s="192" t="str">
        <x:v>Form A</x:v>
      </x:c>
      <x:c r="E353" s="192" t="str">
        <x:v>A newly formed stepfamily expects immediate closeness, and the stepparent becomes punitive when the child remains distant. What should the therapist do NEXT?</x:v>
      </x:c>
      <x:c r="F353" s="192" t="str">
        <x:v>Require the child to call the stepparent “Mom” or “Dad.”</x:v>
      </x:c>
      <x:c r="G353" s="192" t="str">
        <x:v>Interpret distance as rejection of the marriage.</x:v>
      </x:c>
      <x:c r="H353" s="192" t="str">
        <x:v>Normalize gradual relationship development, clarify realistic roles, support the biological parent’s leadership, and create low-pressure opportunities for connection.</x:v>
      </x:c>
      <x:c r="I353" s="192" t="str">
        <x:v>Give the stepparent full disciplinary authority immediately.</x:v>
      </x:c>
      <x:c r="J353" s="192" t="str">
        <x:v>C</x:v>
      </x:c>
      <x:c r="K353" s="192" t="str">
        <x:v>Incorrect. Forced labels may intensify resistance.</x:v>
      </x:c>
      <x:c r="L353" s="192" t="str">
        <x:v>Incorrect. Distance can reflect transition rather than deliberate rejection.</x:v>
      </x:c>
      <x:c r="M353" s="192" t="str">
        <x:v>Correct. Stepfamily integration usually requires time, role clarity, and developmentally appropriate expectations.</x:v>
      </x:c>
      <x:c r="N353" s="192" t="str">
        <x:v>Incorrect. Premature authority can worsen loyalty conflicts.</x:v>
      </x:c>
      <x:c r="O353" s="192" t="str">
        <x:v>A. Incorrect. Forced labels may intensify resistance.
B. Incorrect. Distance can reflect transition rather than deliberate rejection.
C. Correct. Stepfamily integration usually requires time, role clarity, and developmentally appropriate expectations.
D. Incorrect. Premature authority can worsen loyalty conflicts.</x:v>
      </x:c>
      <x:c r="P353" s="192" t="str">
        <x:v>In stepfamilies, pace closeness and authority rather than copying first-family expectations.</x:v>
      </x:c>
      <x:c r="Q353" s="194" t="str">
        <x:v>CTA LMFT WB8; CTA LMFT WB10; Pearson VUE LMFT Outline Area 5</x:v>
      </x:c>
    </x:row>
    <x:row r="354">
      <x:c r="A354" s="191" t="str">
        <x:v>CTA-LMFT-MQB-0353</x:v>
      </x:c>
      <x:c r="B354" s="192" t="str">
        <x:v>LMFT-MQB-FA-TX-027</x:v>
      </x:c>
      <x:c r="C354" s="192" t="str">
        <x:v>Comprehensive Simulation</x:v>
      </x:c>
      <x:c r="D354" s="192" t="str">
        <x:v>Form A</x:v>
      </x:c>
      <x:c r="E354" s="192" t="str">
        <x:v>A court-referred client says, “I am only here because I have to be, and I do not need to change.” What should the therapist do NEXT?</x:v>
      </x:c>
      <x:c r="F354" s="192" t="str">
        <x:v>Pretend attendance is fully voluntary.</x:v>
      </x:c>
      <x:c r="G354" s="192" t="str">
        <x:v>Threaten additional consequences.</x:v>
      </x:c>
      <x:c r="H354" s="192" t="str">
        <x:v>Clarify the mandate and available choices, explore the client’s own concerns, and look for personally meaningful discrepancies without arguing.</x:v>
      </x:c>
      <x:c r="I354" s="192" t="str">
        <x:v>End the session because motivation is absent.</x:v>
      </x:c>
      <x:c r="J354" s="192" t="str">
        <x:v>C</x:v>
      </x:c>
      <x:c r="K354" s="192" t="str">
        <x:v>Incorrect. Ignoring the mandate undermines informed consent.</x:v>
      </x:c>
      <x:c r="L354" s="192" t="str">
        <x:v>Incorrect. Threats increase coercion and resistance.</x:v>
      </x:c>
      <x:c r="M354" s="192" t="str">
        <x:v>Correct. MI can be used in mandated contexts by being transparent and evoking the client’s own goals and choices.</x:v>
      </x:c>
      <x:c r="N354" s="192" t="str">
        <x:v>Incorrect. Low readiness is a treatment focus, not automatic grounds for ending.</x:v>
      </x:c>
      <x:c r="O354" s="192" t="str">
        <x:v>A. Incorrect. Ignoring the mandate undermines informed consent.
B. Incorrect. Threats increase coercion and resistance.
C. Correct. MI can be used in mandated contexts by being transparent and evoking the client’s own goals and choices.
D. Incorrect. Low readiness is a treatment focus, not automatic grounds for ending.</x:v>
      </x:c>
      <x:c r="P354" s="192" t="str">
        <x:v>Mandate limits choice about attendance, not every choice within treatment.</x:v>
      </x:c>
      <x:c r="Q354" s="194" t="str">
        <x:v>CTA LMFT WB9; CTA LMFT WB12; Pearson VUE LMFT Outline Area 5</x:v>
      </x:c>
    </x:row>
    <x:row r="355">
      <x:c r="A355" s="191" t="str">
        <x:v>CTA-LMFT-MQB-0354</x:v>
      </x:c>
      <x:c r="B355" s="192" t="str">
        <x:v>LMFT-MQB-FA-CP-007</x:v>
      </x:c>
      <x:c r="C355" s="192" t="str">
        <x:v>Comprehensive Simulation</x:v>
      </x:c>
      <x:c r="D355" s="192" t="str">
        <x:v>Form A</x:v>
      </x:c>
      <x:c r="E355" s="192" t="str">
        <x:v>A therapist conceptualizes a couple’s distress as a pursue-withdraw attachment cycle. Which plan is MOST coherent?</x:v>
      </x:c>
      <x:c r="F355" s="192" t="str">
        <x:v>Ask the couple to avoid emotional topics permanently.</x:v>
      </x:c>
      <x:c r="G355" s="192" t="str">
        <x:v>Focus exclusively on childhood diagnosis.</x:v>
      </x:c>
      <x:c r="H355" s="192" t="str">
        <x:v>Use only behavioral contracts without discussing attachment cues.</x:v>
      </x:c>
      <x:c r="I355" s="192" t="str">
        <x:v>Increase emotional accessibility and responsiveness while helping partners identify and reorganize the cycle.</x:v>
      </x:c>
      <x:c r="J355" s="192" t="str">
        <x:v>D</x:v>
      </x:c>
      <x:c r="K355" s="192" t="str">
        <x:v>Incorrect. Avoidance would maintain the pattern.</x:v>
      </x:c>
      <x:c r="L355" s="192" t="str">
        <x:v>Incorrect. Historical information may inform the case but is not the sole treatment target.</x:v>
      </x:c>
      <x:c r="M355" s="192" t="str">
        <x:v>Incorrect. Behavioral tools may help but do not directly address the stated cycle when used alone.</x:v>
      </x:c>
      <x:c r="N355" s="192" t="str">
        <x:v>Correct. The intervention targets the mechanism named in the formulation.</x:v>
      </x:c>
      <x:c r="O355" s="192" t="str">
        <x:v>A. Incorrect. Avoidance would maintain the pattern.
B. Incorrect. Historical information may inform the case but is not the sole treatment target.
C. Incorrect. Behavioral tools may help but do not directly address the stated cycle when used alone.
D. Correct. The intervention targets the mechanism named in the formulation.</x:v>
      </x:c>
      <x:c r="P355" s="192" t="str">
        <x:v>Match the intervention to the maintaining mechanism, not merely to the therapist’s preferred technique.</x:v>
      </x:c>
      <x:c r="Q355" s="194" t="str">
        <x:v>CTA LMFT WB7; CTA LMFT WB8; Pearson VUE LMFT Outline Area 4</x:v>
      </x:c>
    </x:row>
    <x:row r="356">
      <x:c r="A356" s="191" t="str">
        <x:v>CTA-LMFT-MQB-0355</x:v>
      </x:c>
      <x:c r="B356" s="192" t="str">
        <x:v>LMFT-MQB-FB-CP-010</x:v>
      </x:c>
      <x:c r="C356" s="192" t="str">
        <x:v>Comprehensive Simulation</x:v>
      </x:c>
      <x:c r="D356" s="192" t="str">
        <x:v>Form B</x:v>
      </x:c>
      <x:c r="E356" s="192" t="str">
        <x:v>Assessment is complete, acute danger is absent, and the client and therapist agree on the main maintaining factors. What should happen next?</x:v>
      </x:c>
      <x:c r="F356" s="192" t="str">
        <x:v>Begin every available intervention at once.</x:v>
      </x:c>
      <x:c r="G356" s="192" t="str">
        <x:v>Select a plan solely from the diagnosis.</x:v>
      </x:c>
      <x:c r="H356" s="192" t="str">
        <x:v>Wait for symptoms to resolve without treatment.</x:v>
      </x:c>
      <x:c r="I356" s="192" t="str">
        <x:v>Collaboratively define prioritized goals and select interventions linked to the formulation and client preferences.</x:v>
      </x:c>
      <x:c r="J356" s="192" t="str">
        <x:v>D</x:v>
      </x:c>
      <x:c r="K356" s="192" t="str">
        <x:v>Incorrect. Technique overload reduces coherence.</x:v>
      </x:c>
      <x:c r="L356" s="192" t="str">
        <x:v>Incorrect. Diagnosis alone does not specify the maintaining pattern or modality.</x:v>
      </x:c>
      <x:c r="M356" s="192" t="str">
        <x:v>Incorrect. Passive waiting is not a plan.</x:v>
      </x:c>
      <x:c r="N356" s="192" t="str">
        <x:v>Correct. Planning follows assessment and connects priorities, mechanisms, and preferences to treatment.</x:v>
      </x:c>
      <x:c r="O356" s="192" t="str">
        <x:v>A. Incorrect. Technique overload reduces coherence.
B. Incorrect. Diagnosis alone does not specify the maintaining pattern or modality.
C. Incorrect. Passive waiting is not a plan.
D. Correct. Planning follows assessment and connects priorities, mechanisms, and preferences to treatment.</x:v>
      </x:c>
      <x:c r="P356" s="192" t="str">
        <x:v>The next step after adequate assessment is a collaborative, testable plan.</x:v>
      </x:c>
      <x:c r="Q356" s="194" t="str">
        <x:v>CTA LMFT WB7; Pearson VUE LMFT Outline Area 4</x:v>
      </x:c>
    </x:row>
    <x:row r="357">
      <x:c r="A357" s="191" t="str">
        <x:v>CTA-LMFT-MQB-0356</x:v>
      </x:c>
      <x:c r="B357" s="192" t="str">
        <x:v>LMFT-MQB-FB-CE-020</x:v>
      </x:c>
      <x:c r="C357" s="192" t="str">
        <x:v>Comprehensive Simulation</x:v>
      </x:c>
      <x:c r="D357" s="192" t="str">
        <x:v>Form B</x:v>
      </x:c>
      <x:c r="E357" s="192" t="str">
        <x:v>A previously healthy adult becomes disoriented and alternates between agitation and drowsiness after starting treatment for an infection. What is the most urgent evaluation step?</x:v>
      </x:c>
      <x:c r="F357" s="192" t="str">
        <x:v>Wait several weeks to determine whether family conflict resolves the symptoms.</x:v>
      </x:c>
      <x:c r="G357" s="192" t="str">
        <x:v>Arrange prompt medical assessment because the acute fluctuating presentation may indicate a medical condition.</x:v>
      </x:c>
      <x:c r="H357" s="192" t="str">
        <x:v>Diagnose a primary psychotic disorder from the hallucinations alone.</x:v>
      </x:c>
      <x:c r="I357" s="192" t="str">
        <x:v>Begin long-term insight-oriented therapy.</x:v>
      </x:c>
      <x:c r="J357" s="192" t="str">
        <x:v>B</x:v>
      </x:c>
      <x:c r="K357" s="192" t="str">
        <x:v>Incorrect. Delay could be dangerous.</x:v>
      </x:c>
      <x:c r="L357" s="192" t="str">
        <x:v>Correct. Abrupt onset and fluctuating attention or alertness are red flags for a medical process requiring urgent evaluation.</x:v>
      </x:c>
      <x:c r="M357" s="192" t="str">
        <x:v>Incorrect. Hallucinations alone do not establish a primary psychotic disorder.</x:v>
      </x:c>
      <x:c r="N357" s="192" t="str">
        <x:v>Incorrect. Psychotherapy is not the first response to a possible acute medical condition.</x:v>
      </x:c>
      <x:c r="O357" s="192" t="str">
        <x:v>A. Incorrect. Delay could be dangerous.
B. Correct. Abrupt onset and fluctuating attention or alertness are red flags for a medical process requiring urgent evaluation.
C. Incorrect. Hallucinations alone do not establish a primary psychotic disorder.
D. Incorrect. Psychotherapy is not the first response to a possible acute medical condition.</x:v>
      </x:c>
      <x:c r="P357" s="192" t="str">
        <x:v>Acute change plus altered attention or consciousness should move medical assessment ahead of routine formulation.</x:v>
      </x:c>
      <x:c r="Q357" s="194" t="str">
        <x:v>CTA LMFT WB2; CTA LMFT WB5; Pearson VUE LMFT Outline Area 1</x:v>
      </x:c>
    </x:row>
    <x:row r="358">
      <x:c r="A358" s="191" t="str">
        <x:v>CTA-LMFT-MQB-0357</x:v>
      </x:c>
      <x:c r="B358" s="192" t="str">
        <x:v>LMFT-MQB-FB-LE-015</x:v>
      </x:c>
      <x:c r="C358" s="192" t="str">
        <x:v>Comprehensive Simulation</x:v>
      </x:c>
      <x:c r="D358" s="192" t="str">
        <x:v>Form B</x:v>
      </x:c>
      <x:c r="E358" s="192" t="str">
        <x:v>A treating therapist in a custody dispute is asked to recommend a custody arrangement despite lacking neutral evaluative data. What is the most appropriate response?</x:v>
      </x:c>
      <x:c r="F358" s="192" t="str">
        <x:v>Write the recommendation because the parent pays for therapy.</x:v>
      </x:c>
      <x:c r="G358" s="192" t="str">
        <x:v>Adopt the child’s current preference as the custody conclusion.</x:v>
      </x:c>
      <x:c r="H358" s="192" t="str">
        <x:v>Clarify the treating role, decline an unsupported custody recommendation, provide only appropriate factual treatment information when authorized or required, and refer evaluation questions to a qualified neutral professional.</x:v>
      </x:c>
      <x:c r="I358" s="192" t="str">
        <x:v>End the child’s treatment immediately.</x:v>
      </x:c>
      <x:c r="J358" s="192" t="str">
        <x:v>C</x:v>
      </x:c>
      <x:c r="K358" s="192" t="str">
        <x:v>Incorrect. Payment does not determine professional opinion.</x:v>
      </x:c>
      <x:c r="L358" s="192" t="str">
        <x:v>Incorrect. A child’s preference is relevant but not a complete custody evaluation.</x:v>
      </x:c>
      <x:c r="M358" s="192" t="str">
        <x:v>Correct. Treating and forensic roles require different methods, data, and neutrality; the therapist should remain within role and competence.</x:v>
      </x:c>
      <x:c r="N358" s="192" t="str">
        <x:v>Incorrect. Role clarification does not automatically require abandoning treatment.</x:v>
      </x:c>
      <x:c r="O358" s="192" t="str">
        <x:v>A. Incorrect. Payment does not determine professional opinion.
B. Incorrect. A child’s preference is relevant but not a complete custody evaluation.
C. Correct. Treating and forensic roles require different methods, data, and neutrality; the therapist should remain within role and competence.
D. Incorrect. Role clarification does not automatically require abandoning treatment.</x:v>
      </x:c>
      <x:c r="P358" s="192" t="str">
        <x:v>Do not let a treating relationship drift into an unsupported forensic role.</x:v>
      </x:c>
      <x:c r="Q358" s="194" t="str">
        <x:v>CTA LMFT WB12; Pearson VUE LMFT Outline Area 6</x:v>
      </x:c>
    </x:row>
    <x:row r="359">
      <x:c r="A359" s="191" t="str">
        <x:v>CTA-LMFT-MQB-0358</x:v>
      </x:c>
      <x:c r="B359" s="192" t="str">
        <x:v>LMFT-MQB-FB-TX-035</x:v>
      </x:c>
      <x:c r="C359" s="192" t="str">
        <x:v>Comprehensive Simulation</x:v>
      </x:c>
      <x:c r="D359" s="192" t="str">
        <x:v>Form B</x:v>
      </x:c>
      <x:c r="E359" s="192" t="str">
        <x:v>Children believe they caused a seriously ill parent’s withdrawal, while the parent asks the therapist to conceal the worsening prognosis. What should the therapist do?</x:v>
      </x:c>
      <x:c r="F359" s="192" t="str">
        <x:v>Explore the parent’s fears and values, assess the children’s developmental needs, and help the family plan truthful, age-appropriate communication and support.</x:v>
      </x:c>
      <x:c r="G359" s="192" t="str">
        <x:v>Agree to indefinite secrecy.</x:v>
      </x:c>
      <x:c r="H359" s="192" t="str">
        <x:v>Blame the parent for the children’s anxiety.</x:v>
      </x:c>
      <x:c r="I359" s="192" t="str">
        <x:v>Tell the children every medical detail without the parent.</x:v>
      </x:c>
      <x:c r="J359" s="192" t="str">
        <x:v>A</x:v>
      </x:c>
      <x:c r="K359" s="192" t="str">
        <x:v>Correct. Developmentally appropriate honesty can reduce self-blame and support family coping while respecting medical privacy.</x:v>
      </x:c>
      <x:c r="L359" s="192" t="str">
        <x:v>Incorrect. Secrecy may intensify confusion and guilt.</x:v>
      </x:c>
      <x:c r="M359" s="192" t="str">
        <x:v>Incorrect. Blame undermines alliance and collaborative planning.</x:v>
      </x:c>
      <x:c r="N359" s="192" t="str">
        <x:v>Incorrect. Unilateral disclosure may violate roles and overwhelm the children.</x:v>
      </x:c>
      <x:c r="O359" s="192" t="str">
        <x:v>A. Correct. Developmentally appropriate honesty can reduce self-blame and support family coping while respecting medical privacy.
B. Incorrect. Secrecy may intensify confusion and guilt.
C. Incorrect. Blame undermines alliance and collaborative planning.
D. Incorrect. Unilateral disclosure may violate roles and overwhelm the children.</x:v>
      </x:c>
      <x:c r="P359" s="192" t="str">
        <x:v>In family illness, consider what children already perceive and what meaning they are creating.</x:v>
      </x:c>
      <x:c r="Q359" s="194" t="str">
        <x:v>CTA LMFT WB9; CTA LMFT WB10; Pearson VUE LMFT Outline Area 5</x:v>
      </x:c>
    </x:row>
    <x:row r="360">
      <x:c r="A360" s="191" t="str">
        <x:v>CTA-LMFT-MQB-0359</x:v>
      </x:c>
      <x:c r="B360" s="192" t="str">
        <x:v>LMFT-MQB-FB-TX-025</x:v>
      </x:c>
      <x:c r="C360" s="192" t="str">
        <x:v>Comprehensive Simulation</x:v>
      </x:c>
      <x:c r="D360" s="192" t="str">
        <x:v>Form B</x:v>
      </x:c>
      <x:c r="E360" s="192" t="str">
        <x:v>While discussing trauma, a client stops responding to the therapist and appears unaware of the room. What should the therapist do first?</x:v>
      </x:c>
      <x:c r="F360" s="192" t="str">
        <x:v>Interpret the reaction as resistance.</x:v>
      </x:c>
      <x:c r="G360" s="192" t="str">
        <x:v>Pause processing and use grounding, orientation, and present-focused regulation until the client is reconnected and stable.</x:v>
      </x:c>
      <x:c r="H360" s="192" t="str">
        <x:v>Continue asking for more detail to complete the narrative.</x:v>
      </x:c>
      <x:c r="I360" s="192" t="str">
        <x:v>End treatment without discussion.</x:v>
      </x:c>
      <x:c r="J360" s="192" t="str">
        <x:v>B</x:v>
      </x:c>
      <x:c r="K360" s="192" t="str">
        <x:v>Incorrect. The reaction is a clinical state, not proof of resistance.</x:v>
      </x:c>
      <x:c r="L360" s="192" t="str">
        <x:v>Correct. Dissociative activation requires immediate stabilization before further trauma processing.</x:v>
      </x:c>
      <x:c r="M360" s="192" t="str">
        <x:v>Incorrect. More detail may intensify disconnection.</x:v>
      </x:c>
      <x:c r="N360" s="192" t="str">
        <x:v>Incorrect. A single episode does not require abrupt termination.</x:v>
      </x:c>
      <x:c r="O360" s="192" t="str">
        <x:v>A. Incorrect. The reaction is a clinical state, not proof of resistance.
B. Correct. Dissociative activation requires immediate stabilization before further trauma processing.
C. Incorrect. More detail may intensify disconnection.
D. Incorrect. A single episode does not require abrupt termination.</x:v>
      </x:c>
      <x:c r="P360" s="192" t="str">
        <x:v>When present-moment awareness is lost, return to the present before returning to the trauma.</x:v>
      </x:c>
      <x:c r="Q360" s="194" t="str">
        <x:v>CTA LMFT WB9; Pearson VUE LMFT Outline Area 5</x:v>
      </x:c>
    </x:row>
    <x:row r="361">
      <x:c r="A361" s="191" t="str">
        <x:v>CTA-LMFT-MQB-0360</x:v>
      </x:c>
      <x:c r="B361" s="192" t="str">
        <x:v>LMFT-MQB-FB-CP-004</x:v>
      </x:c>
      <x:c r="C361" s="192" t="str">
        <x:v>Comprehensive Simulation</x:v>
      </x:c>
      <x:c r="D361" s="192" t="str">
        <x:v>Form B</x:v>
      </x:c>
      <x:c r="E361" s="192" t="str">
        <x:v>An LMFT recommends reducing family conflict, but the client wants to focus first on returning to work. What is the best planning response?</x:v>
      </x:c>
      <x:c r="F361" s="192" t="str">
        <x:v>Remove all professional recommendations.</x:v>
      </x:c>
      <x:c r="G361" s="192" t="str">
        <x:v>Explore the difference, clarify clinical concerns, and develop a mutually understood goal or document unresolved constraints.</x:v>
      </x:c>
      <x:c r="H361" s="192" t="str">
        <x:v>Keep the goal because the therapist is the expert.</x:v>
      </x:c>
      <x:c r="I361" s="192" t="str">
        <x:v>Terminate immediately.</x:v>
      </x:c>
      <x:c r="J361" s="192" t="str">
        <x:v>B</x:v>
      </x:c>
      <x:c r="K361" s="192" t="str">
        <x:v>Incorrect. Collaboration does not require abandoning clinical responsibility.</x:v>
      </x:c>
      <x:c r="L361" s="192" t="str">
        <x:v>Correct. Collaboration combines client self-determination with transparent professional judgment.</x:v>
      </x:c>
      <x:c r="M361" s="192" t="str">
        <x:v>Incorrect. Expertise does not justify unilateral planning.</x:v>
      </x:c>
      <x:c r="N361" s="192" t="str">
        <x:v>Incorrect. Disagreement can often be explored and negotiated.</x:v>
      </x:c>
      <x:c r="O361" s="192" t="str">
        <x:v>A. Incorrect. Collaboration does not require abandoning clinical responsibility.
B. Correct. Collaboration combines client self-determination with transparent professional judgment.
C. Incorrect. Expertise does not justify unilateral planning.
D. Incorrect. Disagreement can often be explored and negotiated.</x:v>
      </x:c>
      <x:c r="P361" s="192" t="str">
        <x:v>Do not confuse collaboration with either therapist control or therapist silence.</x:v>
      </x:c>
      <x:c r="Q361" s="194" t="str">
        <x:v>CTA LMFT WB7; Pearson VUE LMFT Outline Area 4</x:v>
      </x:c>
    </x:row>
    <x:row r="362">
      <x:c r="A362" s="191" t="str">
        <x:v>CTA-LMFT-MQB-0361</x:v>
      </x:c>
      <x:c r="B362" s="192" t="str">
        <x:v>LMFT-MQB-FB-CR-008</x:v>
      </x:c>
      <x:c r="C362" s="192" t="str">
        <x:v>Comprehensive Simulation</x:v>
      </x:c>
      <x:c r="D362" s="192" t="str">
        <x:v>Form B</x:v>
      </x:c>
      <x:c r="E362" s="192" t="str">
        <x:v>A client names a former partner, describes when the person will be alone, and says a weapon has already been obtained. What should the LMFT do next?</x:v>
      </x:c>
      <x:c r="F362" s="192" t="str">
        <x:v>Assess immediacy and capacity, consult as needed, and take legally and clinically required protective actions without delaying for routine treatment.</x:v>
      </x:c>
      <x:c r="G362" s="192" t="str">
        <x:v>Explore childhood anger for the remainder of the session.</x:v>
      </x:c>
      <x:c r="H362" s="192" t="str">
        <x:v>Promise absolute confidentiality.</x:v>
      </x:c>
      <x:c r="I362" s="192" t="str">
        <x:v>Ask the client to return next week with more details.</x:v>
      </x:c>
      <x:c r="J362" s="192" t="str">
        <x:v>A</x:v>
      </x:c>
      <x:c r="K362" s="192" t="str">
        <x:v>Correct. Specificity, preparation, and an identifiable potential victim create an urgent protection problem.</x:v>
      </x:c>
      <x:c r="L362" s="192" t="str">
        <x:v>Incorrect. Long-term formulation is not the immediate priority.</x:v>
      </x:c>
      <x:c r="M362" s="192" t="str">
        <x:v>Incorrect. Confidentiality has safety-related limits.</x:v>
      </x:c>
      <x:c r="N362" s="192" t="str">
        <x:v>Incorrect. Delay is inconsistent with the described risk.</x:v>
      </x:c>
      <x:c r="O362" s="192" t="str">
        <x:v>A. Correct. Specificity, preparation, and an identifiable potential victim create an urgent protection problem.
B. Incorrect. Long-term formulation is not the immediate priority.
C. Incorrect. Confidentiality has safety-related limits.
D. Incorrect. Delay is inconsistent with the described risk.</x:v>
      </x:c>
      <x:c r="P362" s="192" t="str">
        <x:v>Specific target, plan, preparation, and access are escalation cues.</x:v>
      </x:c>
      <x:c r="Q362" s="194" t="str">
        <x:v>CTA LMFT WB6; Pearson VUE LMFT Outline Area 3</x:v>
      </x:c>
    </x:row>
    <x:row r="363">
      <x:c r="A363" s="191" t="str">
        <x:v>CTA-LMFT-MQB-0362</x:v>
      </x:c>
      <x:c r="B363" s="192" t="str">
        <x:v>LMFT-MQB-FB-LE-010</x:v>
      </x:c>
      <x:c r="C363" s="192" t="str">
        <x:v>Comprehensive Simulation</x:v>
      </x:c>
      <x:c r="D363" s="192" t="str">
        <x:v>Form B</x:v>
      </x:c>
      <x:c r="E363" s="192" t="str">
        <x:v>An LMFT notices strong personal reactions are shaping advice to a client whose situation resembles the therapist’s current family conflict. What should the therapist do next?</x:v>
      </x:c>
      <x:c r="F363" s="192" t="str">
        <x:v>Tell the client the therapist’s spouse behaved similarly.</x:v>
      </x:c>
      <x:c r="G363" s="192" t="str">
        <x:v>Ignore the reaction because therapists can compartmentalize.</x:v>
      </x:c>
      <x:c r="H363" s="192" t="str">
        <x:v>Advise separation to prevent the therapist’s discomfort.</x:v>
      </x:c>
      <x:c r="I363" s="192" t="str">
        <x:v>Recognize the reaction, seek consultation or personal support, monitor clinical impact, and modify or transfer care if objectivity cannot be maintained.</x:v>
      </x:c>
      <x:c r="J363" s="192" t="str">
        <x:v>D</x:v>
      </x:c>
      <x:c r="K363" s="192" t="str">
        <x:v>Incorrect. Self-disclosure may center the therapist and reinforce bias.</x:v>
      </x:c>
      <x:c r="L363" s="192" t="str">
        <x:v>Incorrect. Unexamined countertransference can affect judgment.</x:v>
      </x:c>
      <x:c r="M363" s="192" t="str">
        <x:v>Incorrect. Advice based on personal conflict is not client-centered.</x:v>
      </x:c>
      <x:c r="N363" s="192" t="str">
        <x:v>Correct. Professional use of self requires active management of personal reactions that may distort treatment.</x:v>
      </x:c>
      <x:c r="O363" s="192" t="str">
        <x:v>A. Incorrect. Self-disclosure may center the therapist and reinforce bias.
B. Incorrect. Unexamined countertransference can affect judgment.
C. Incorrect. Advice based on personal conflict is not client-centered.
D. Correct. Professional use of self requires active management of personal reactions that may distort treatment.</x:v>
      </x:c>
      <x:c r="P363" s="192" t="str">
        <x:v>The ethical task is not to have no reactions; it is to recognize and manage them before clients are harmed.</x:v>
      </x:c>
      <x:c r="Q363" s="194" t="str">
        <x:v>CTA LMFT WB12; Pearson VUE LMFT Outline Area 6</x:v>
      </x:c>
    </x:row>
    <x:row r="364">
      <x:c r="A364" s="191" t="str">
        <x:v>CTA-LMFT-MQB-0363</x:v>
      </x:c>
      <x:c r="B364" s="192" t="str">
        <x:v>LMFT-MQB-FB-CR-013</x:v>
      </x:c>
      <x:c r="C364" s="192" t="str">
        <x:v>Comprehensive Simulation</x:v>
      </x:c>
      <x:c r="D364" s="192" t="str">
        <x:v>Form B</x:v>
      </x:c>
      <x:c r="E364" s="192" t="str">
        <x:v>During conjoint treatment, a partner blocks the doorway, displays a knife, and threatens the other participant. What should the therapist do immediately?</x:v>
      </x:c>
      <x:c r="F364" s="192" t="str">
        <x:v>Ask each partner to use reflective listening.</x:v>
      </x:c>
      <x:c r="G364" s="192" t="str">
        <x:v>Interpret the threat as a metaphor.</x:v>
      </x:c>
      <x:c r="H364" s="192" t="str">
        <x:v>Shift immediately from conjoint therapy to emergency safety procedures, separate or evacuate participants if safely possible, and obtain emergency assistance.</x:v>
      </x:c>
      <x:c r="I364" s="192" t="str">
        <x:v>Continue the session to avoid embarrassing the threatening partner.</x:v>
      </x:c>
      <x:c r="J364" s="192" t="str">
        <x:v>C</x:v>
      </x:c>
      <x:c r="K364" s="192" t="str">
        <x:v>Incorrect. Communication skills are not adequate to manage an armed threat.</x:v>
      </x:c>
      <x:c r="L364" s="192" t="str">
        <x:v>Incorrect. The literal risk must be addressed before symbolic interpretation.</x:v>
      </x:c>
      <x:c r="M364" s="192" t="str">
        <x:v>Correct. An active weapon threat requires immediate protective action, not relational processing.</x:v>
      </x:c>
      <x:c r="N364" s="192" t="str">
        <x:v>Incorrect. Avoiding embarrassment cannot outweigh safety.</x:v>
      </x:c>
      <x:c r="O364" s="192" t="str">
        <x:v>A. Incorrect. Communication skills are not adequate to manage an armed threat.
B. Incorrect. The literal risk must be addressed before symbolic interpretation.
C. Correct. An active weapon threat requires immediate protective action, not relational processing.
D. Incorrect. Avoiding embarrassment cannot outweigh safety.</x:v>
      </x:c>
      <x:c r="P364" s="192" t="str">
        <x:v>When a weapon appears, the treatment frame has changed; act for immediate safety.</x:v>
      </x:c>
      <x:c r="Q364" s="194" t="str">
        <x:v>CTA LMFT WB6; Pearson VUE LMFT Outline Area 3</x:v>
      </x:c>
    </x:row>
    <x:row r="365">
      <x:c r="A365" s="191" t="str">
        <x:v>CTA-LMFT-MQB-0364</x:v>
      </x:c>
      <x:c r="B365" s="192" t="str">
        <x:v>LMFT-MQB-FB-CE-001</x:v>
      </x:c>
      <x:c r="C365" s="192" t="str">
        <x:v>Comprehensive Simulation</x:v>
      </x:c>
      <x:c r="D365" s="192" t="str">
        <x:v>Form B</x:v>
      </x:c>
      <x:c r="E365" s="192" t="str">
        <x:v>A therapist begins seeing a parent and adult child together, while a sibling occasionally joins for support. Before setting goals, what does identifying the unit of treatment clarify?</x:v>
      </x:c>
      <x:c r="F365" s="192" t="str">
        <x:v>Every person who ever attends a session.</x:v>
      </x:c>
      <x:c r="G365" s="192" t="str">
        <x:v>The individual who pays the fee.</x:v>
      </x:c>
      <x:c r="H365" s="192" t="str">
        <x:v>The person or relationship system whose functioning is the primary focus of clinical work.</x:v>
      </x:c>
      <x:c r="I365" s="192" t="str">
        <x:v>The person who made the referral.</x:v>
      </x:c>
      <x:c r="J365" s="192" t="str">
        <x:v>C</x:v>
      </x:c>
      <x:c r="K365" s="192" t="str">
        <x:v>Incorrect. Attendance alone does not determine client status or the treatment focus.</x:v>
      </x:c>
      <x:c r="L365" s="192" t="str">
        <x:v>Incorrect. Payment status does not establish the clinical unit.</x:v>
      </x:c>
      <x:c r="M365" s="192" t="str">
        <x:v>Correct. The unit of treatment clarifies the clinical focus and guides consent, assessment, documentation, and intervention.</x:v>
      </x:c>
      <x:c r="N365" s="192" t="str">
        <x:v>Incorrect. A referral source may influence context without becoming the client system.</x:v>
      </x:c>
      <x:c r="O365" s="192" t="str">
        <x:v>A. Incorrect. Attendance alone does not determine client status or the treatment focus.
B. Incorrect. Payment status does not establish the clinical unit.
C. Correct. The unit of treatment clarifies the clinical focus and guides consent, assessment, documentation, and intervention.
D. Incorrect. A referral source may influence context without becoming the client system.</x:v>
      </x:c>
      <x:c r="P365" s="192" t="str">
        <x:v>Separate client status, participant role, payer role, and referral role before reasoning about the case.</x:v>
      </x:c>
      <x:c r="Q365" s="194" t="str">
        <x:v>CTA LMFT WB2; Pearson VUE LMFT Outline Area 1</x:v>
      </x:c>
    </x:row>
    <x:row r="366">
      <x:c r="A366" s="191" t="str">
        <x:v>CTA-LMFT-MQB-0365</x:v>
      </x:c>
      <x:c r="B366" s="192" t="str">
        <x:v>LMFT-MQB-FB-CE-015</x:v>
      </x:c>
      <x:c r="C366" s="192" t="str">
        <x:v>Comprehensive Simulation</x:v>
      </x:c>
      <x:c r="D366" s="192" t="str">
        <x:v>Form B</x:v>
      </x:c>
      <x:c r="E366" s="192" t="str">
        <x:v>A parent says a teenager destroys property during arguments, while the teenager says the parent is exaggerating. What should the therapist do before drawing a conclusion?</x:v>
      </x:c>
      <x:c r="F366" s="192" t="str">
        <x:v>Assume the client is dishonest and confront immediately.</x:v>
      </x:c>
      <x:c r="G366" s="192" t="str">
        <x:v>End conjoint assessment because accounts differ.</x:v>
      </x:c>
      <x:c r="H366" s="192" t="str">
        <x:v>Explore specific examples, timing, triggers, impact, safety, and each person’s perspective without deciding credibility from one statement alone.</x:v>
      </x:c>
      <x:c r="I366" s="192" t="str">
        <x:v>Assume the spouse is exaggerating because the client is the identified patient.</x:v>
      </x:c>
      <x:c r="J366" s="192" t="str">
        <x:v>C</x:v>
      </x:c>
      <x:c r="K366" s="192" t="str">
        <x:v>Incorrect. Discrepancy does not prove deception.</x:v>
      </x:c>
      <x:c r="L366" s="192" t="str">
        <x:v>Incorrect. Different accounts are common and can inform assessment.</x:v>
      </x:c>
      <x:c r="M366" s="192" t="str">
        <x:v>Correct. Discrepant accounts are clinically meaningful and should be examined for pattern, context, risk, and relational process.</x:v>
      </x:c>
      <x:c r="N366" s="192" t="str">
        <x:v>Incorrect. Client status does not make one account automatically more accurate.</x:v>
      </x:c>
      <x:c r="O366" s="192" t="str">
        <x:v>A. Incorrect. Discrepancy does not prove deception.
B. Incorrect. Different accounts are common and can inform assessment.
C. Correct. Discrepant accounts are clinically meaningful and should be examined for pattern, context, risk, and relational process.
D. Incorrect. Client status does not make one account automatically more accurate.</x:v>
      </x:c>
      <x:c r="P366" s="192" t="str">
        <x:v>When reports conflict, move from labels to concrete events, sequences, and impact.</x:v>
      </x:c>
      <x:c r="Q366" s="194" t="str">
        <x:v>CTA LMFT WB4; Pearson VUE LMFT Outline Area 1</x:v>
      </x:c>
    </x:row>
    <x:row r="367">
      <x:c r="A367" s="191" t="str">
        <x:v>CTA-LMFT-MQB-0366</x:v>
      </x:c>
      <x:c r="B367" s="192" t="str">
        <x:v>LMFT-MQB-FB-CP-017</x:v>
      </x:c>
      <x:c r="C367" s="192" t="str">
        <x:v>Comprehensive Simulation</x:v>
      </x:c>
      <x:c r="D367" s="192" t="str">
        <x:v>Form B</x:v>
      </x:c>
      <x:c r="E367" s="192" t="str">
        <x:v>A teenager threatens to skip school whenever caregivers begin blaming each other. Which plan best links safety, family interaction, and measurable outcomes?</x:v>
      </x:c>
      <x:c r="F367" s="192" t="str">
        <x:v>Address school-safety and attendance needs, strengthen coordinated parental responses, reduce triangulation, and track both conflict sequences and school participation.</x:v>
      </x:c>
      <x:c r="G367" s="192" t="str">
        <x:v>Use a vague goal of improving family functioning.</x:v>
      </x:c>
      <x:c r="H367" s="192" t="str">
        <x:v>Treat only the adolescent’s motivation.</x:v>
      </x:c>
      <x:c r="I367" s="192" t="str">
        <x:v>Ask parents to alternate taking the child’s side.</x:v>
      </x:c>
      <x:c r="J367" s="192" t="str">
        <x:v>A</x:v>
      </x:c>
      <x:c r="K367" s="192" t="str">
        <x:v>Correct. The plan targets the maintaining family sequence and includes concrete functional outcomes.</x:v>
      </x:c>
      <x:c r="L367" s="192" t="str">
        <x:v>Incorrect. A vague goal cannot guide or measure treatment.</x:v>
      </x:c>
      <x:c r="M367" s="192" t="str">
        <x:v>Incorrect. Individual motivation alone does not address the parental pattern.</x:v>
      </x:c>
      <x:c r="N367" s="192" t="str">
        <x:v>Incorrect. Alternating alliances would preserve triangulation.</x:v>
      </x:c>
      <x:c r="O367" s="192" t="str">
        <x:v>A. Correct. The plan targets the maintaining family sequence and includes concrete functional outcomes.
B. Incorrect. A vague goal cannot guide or measure treatment.
C. Incorrect. Individual motivation alone does not address the parental pattern.
D. Incorrect. Alternating alliances would preserve triangulation.</x:v>
      </x:c>
      <x:c r="P367" s="192" t="str">
        <x:v>Integrated planning links systemic mechanism, immediate function, and observable outcomes.</x:v>
      </x:c>
      <x:c r="Q367" s="194" t="str">
        <x:v>CTA LMFT WB7; CTA LMFT WB8; Pearson VUE LMFT Outline Area 4</x:v>
      </x:c>
    </x:row>
    <x:row r="368">
      <x:c r="A368" s="191" t="str">
        <x:v>CTA-LMFT-MQB-0367</x:v>
      </x:c>
      <x:c r="B368" s="192" t="str">
        <x:v>LMFT-MQB-FB-TX-028</x:v>
      </x:c>
      <x:c r="C368" s="192" t="str">
        <x:v>Comprehensive Simulation</x:v>
      </x:c>
      <x:c r="D368" s="192" t="str">
        <x:v>Form B</x:v>
      </x:c>
      <x:c r="E368" s="192" t="str">
        <x:v>A stepparent expects immediate affection and discipline authority, while the child remains cautious. What should the therapist address next?</x:v>
      </x:c>
      <x:c r="F368" s="192" t="str">
        <x:v>Require the child to call the stepparent “Mom” or “Dad.”</x:v>
      </x:c>
      <x:c r="G368" s="192" t="str">
        <x:v>Normalize gradual relationship development, clarify realistic roles, support the biological parent’s leadership, and create low-pressure opportunities for connection.</x:v>
      </x:c>
      <x:c r="H368" s="192" t="str">
        <x:v>Give the stepparent full disciplinary authority immediately.</x:v>
      </x:c>
      <x:c r="I368" s="192" t="str">
        <x:v>Interpret distance as rejection of the marriage.</x:v>
      </x:c>
      <x:c r="J368" s="192" t="str">
        <x:v>B</x:v>
      </x:c>
      <x:c r="K368" s="192" t="str">
        <x:v>Incorrect. Forced labels may intensify resistance.</x:v>
      </x:c>
      <x:c r="L368" s="192" t="str">
        <x:v>Correct. Stepfamily integration usually requires time, role clarity, and developmentally appropriate expectations.</x:v>
      </x:c>
      <x:c r="M368" s="192" t="str">
        <x:v>Incorrect. Premature authority can worsen loyalty conflicts.</x:v>
      </x:c>
      <x:c r="N368" s="192" t="str">
        <x:v>Incorrect. Distance can reflect transition rather than deliberate rejection.</x:v>
      </x:c>
      <x:c r="O368" s="192" t="str">
        <x:v>A. Incorrect. Forced labels may intensify resistance.
B. Correct. Stepfamily integration usually requires time, role clarity, and developmentally appropriate expectations.
C. Incorrect. Premature authority can worsen loyalty conflicts.
D. Incorrect. Distance can reflect transition rather than deliberate rejection.</x:v>
      </x:c>
      <x:c r="P368" s="192" t="str">
        <x:v>In stepfamilies, pace closeness and authority rather than copying first-family expectations.</x:v>
      </x:c>
      <x:c r="Q368" s="194" t="str">
        <x:v>CTA LMFT WB8; CTA LMFT WB10; Pearson VUE LMFT Outline Area 5</x:v>
      </x:c>
    </x:row>
    <x:row r="369">
      <x:c r="A369" s="191" t="str">
        <x:v>CTA-LMFT-MQB-0368</x:v>
      </x:c>
      <x:c r="B369" s="192" t="str">
        <x:v>LMFT-MQB-FB-CE-012</x:v>
      </x:c>
      <x:c r="C369" s="192" t="str">
        <x:v>Comprehensive Simulation</x:v>
      </x:c>
      <x:c r="D369" s="192" t="str">
        <x:v>Form B</x:v>
      </x:c>
      <x:c r="E369" s="192" t="str">
        <x:v>A client explains that major decisions are routinely made with extended family and feels judged by providers who call this “enmeshment.” How should the LMFT proceed?</x:v>
      </x:c>
      <x:c r="F369" s="192" t="str">
        <x:v>Assure the client that all family involvement is healthy.</x:v>
      </x:c>
      <x:c r="G369" s="192" t="str">
        <x:v>Avoid asking about culture because it could be uncomfortable.</x:v>
      </x:c>
      <x:c r="H369" s="192" t="str">
        <x:v>Assume the prior therapist was correct because independence is always the goal.</x:v>
      </x:c>
      <x:c r="I369" s="192" t="str">
        <x:v>Explore the client’s cultural and personal meaning of family involvement before deciding whether it supports or interferes with functioning.</x:v>
      </x:c>
      <x:c r="J369" s="192" t="str">
        <x:v>D</x:v>
      </x:c>
      <x:c r="K369" s="192" t="str">
        <x:v>Incorrect. Family involvement can be supportive or constraining depending on context.</x:v>
      </x:c>
      <x:c r="L369" s="192" t="str">
        <x:v>Incorrect. Avoidance prevents accurate and respectful assessment.</x:v>
      </x:c>
      <x:c r="M369" s="192" t="str">
        <x:v>Incorrect. Independence is not the only legitimate relational value.</x:v>
      </x:c>
      <x:c r="N369" s="192" t="str">
        <x:v>Correct. Cultural humility requires curiosity about meaning, function, power, and context rather than imposing a universal norm.</x:v>
      </x:c>
      <x:c r="O369" s="192" t="str">
        <x:v>A. Incorrect. Family involvement can be supportive or constraining depending on context.
B. Incorrect. Avoidance prevents accurate and respectful assessment.
C. Incorrect. Independence is not the only legitimate relational value.
D. Correct. Cultural humility requires curiosity about meaning, function, power, and context rather than imposing a universal norm.</x:v>
      </x:c>
      <x:c r="P369" s="192" t="str">
        <x:v>Assess function and meaning before labeling a culturally shaped pattern as pathological.</x:v>
      </x:c>
      <x:c r="Q369" s="194" t="str">
        <x:v>CTA LMFT WB3; CTA LMFT WB10; Pearson VUE LMFT Outline Area 1</x:v>
      </x:c>
    </x:row>
    <x:row r="370">
      <x:c r="A370" s="191" t="str">
        <x:v>CTA-LMFT-MQB-0369</x:v>
      </x:c>
      <x:c r="B370" s="192" t="str">
        <x:v>LMFT-MQB-FB-CE-008</x:v>
      </x:c>
      <x:c r="C370" s="192" t="str">
        <x:v>Comprehensive Simulation</x:v>
      </x:c>
      <x:c r="D370" s="192" t="str">
        <x:v>Form B</x:v>
      </x:c>
      <x:c r="E370" s="192" t="str">
        <x:v>A client describes feeling “calm,” yet wrings both hands, avoids eye contact, and cries intermittently. Which entry best separates the client’s report from the therapist’s observation?</x:v>
      </x:c>
      <x:c r="F370" s="192" t="str">
        <x:v>The client reports a fine mood, while observed affect appears constricted and sad.</x:v>
      </x:c>
      <x:c r="G370" s="192" t="str">
        <x:v>The client is lying about mood.</x:v>
      </x:c>
      <x:c r="H370" s="192" t="str">
        <x:v>Mood and affect are both normal because the client said “fine.”</x:v>
      </x:c>
      <x:c r="I370" s="192" t="str">
        <x:v>The client has major depressive disorder.</x:v>
      </x:c>
      <x:c r="J370" s="192" t="str">
        <x:v>A</x:v>
      </x:c>
      <x:c r="K370" s="192" t="str">
        <x:v>Correct. The note separates the client’s reported internal state from the therapist’s observable emotional expression.</x:v>
      </x:c>
      <x:c r="L370" s="192" t="str">
        <x:v>Incorrect. The discrepancy does not establish intentional deception.</x:v>
      </x:c>
      <x:c r="M370" s="192" t="str">
        <x:v>Incorrect. Observed behavior may be incongruent with the reported mood.</x:v>
      </x:c>
      <x:c r="N370" s="192" t="str">
        <x:v>Incorrect. A diagnosis requires more than one observation.</x:v>
      </x:c>
      <x:c r="O370" s="192" t="str">
        <x:v>A. Correct. The note separates the client’s reported internal state from the therapist’s observable emotional expression.
B. Incorrect. The discrepancy does not establish intentional deception.
C. Incorrect. Observed behavior may be incongruent with the reported mood.
D. Incorrect. A diagnosis requires more than one observation.</x:v>
      </x:c>
      <x:c r="P370" s="192" t="str">
        <x:v>Document what the client reports and what you observe without converting a discrepancy into an unsupported diagnosis.</x:v>
      </x:c>
      <x:c r="Q370" s="194" t="str">
        <x:v>CTA LMFT WB2; Pearson VUE LMFT Outline Area 1</x:v>
      </x:c>
    </x:row>
    <x:row r="371">
      <x:c r="A371" s="191" t="str">
        <x:v>CTA-LMFT-MQB-0370</x:v>
      </x:c>
      <x:c r="B371" s="192" t="str">
        <x:v>LMFT-MQB-FB-DI-009</x:v>
      </x:c>
      <x:c r="C371" s="192" t="str">
        <x:v>Comprehensive Simulation</x:v>
      </x:c>
      <x:c r="D371" s="192" t="str">
        <x:v>Form B</x:v>
      </x:c>
      <x:c r="E371" s="192" t="str">
        <x:v>Following a serious collision, a client has sudden surges of fear plus nightmares, avoidance, and exaggerated startle. How should the LMFT approach diagnosis?</x:v>
      </x:c>
      <x:c r="F371" s="192" t="str">
        <x:v>Assess the full trauma-related symptom pattern and chronology rather than diagnosing panic disorder from the episodes alone.</x:v>
      </x:c>
      <x:c r="G371" s="192" t="str">
        <x:v>Assume panic attacks always indicate panic disorder.</x:v>
      </x:c>
      <x:c r="H371" s="192" t="str">
        <x:v>Ignore the robbery because it occurred in the past.</x:v>
      </x:c>
      <x:c r="I371" s="192" t="str">
        <x:v>Diagnose a phobia solely from location avoidance.</x:v>
      </x:c>
      <x:c r="J371" s="192" t="str">
        <x:v>A</x:v>
      </x:c>
      <x:c r="K371" s="192" t="str">
        <x:v>Correct. Panic-like episodes can occur within trauma-related disorders, and the broader syndrome is diagnostically important.</x:v>
      </x:c>
      <x:c r="L371" s="192" t="str">
        <x:v>Incorrect. Panic attacks are transdiagnostic.</x:v>
      </x:c>
      <x:c r="M371" s="192" t="str">
        <x:v>Incorrect. The event may organize the entire symptom pattern.</x:v>
      </x:c>
      <x:c r="N371" s="192" t="str">
        <x:v>Incorrect. Avoidance is only one feature and requires context.</x:v>
      </x:c>
      <x:c r="O371" s="192" t="str">
        <x:v>A. Correct. Panic-like episodes can occur within trauma-related disorders, and the broader syndrome is diagnostically important.
B. Incorrect. Panic attacks are transdiagnostic.
C. Incorrect. The event may organize the entire symptom pattern.
D. Incorrect. Avoidance is only one feature and requires context.</x:v>
      </x:c>
      <x:c r="P371" s="192" t="str">
        <x:v>Do not diagnose from the most dramatic symptom when a larger syndrome may explain it.</x:v>
      </x:c>
      <x:c r="Q371" s="194" t="str">
        <x:v>CTA LMFT WB5; Pearson VUE LMFT Outline Area 2</x:v>
      </x:c>
    </x:row>
    <x:row r="372">
      <x:c r="A372" s="191" t="str">
        <x:v>CTA-LMFT-MQB-0371</x:v>
      </x:c>
      <x:c r="B372" s="192" t="str">
        <x:v>LMFT-MQB-FB-CE-027</x:v>
      </x:c>
      <x:c r="C372" s="192" t="str">
        <x:v>Comprehensive Simulation</x:v>
      </x:c>
      <x:c r="D372" s="192" t="str">
        <x:v>Form B</x:v>
      </x:c>
      <x:c r="E372" s="192" t="str">
        <x:v>During a video session, a client repeatedly changes answers after glancing toward someone outside the camera view. What should the LMFT determine before continuing sensitive questions?</x:v>
      </x:c>
      <x:c r="F372" s="192" t="str">
        <x:v>Continue asking detailed questions because the camera is on.</x:v>
      </x:c>
      <x:c r="G372" s="192" t="str">
        <x:v>Clarify privacy and safety, determine whether the adolescent can speak freely, and adjust the session setting or plan before sensitive assessment.</x:v>
      </x:c>
      <x:c r="H372" s="192" t="str">
        <x:v>Tell the adolescent to confront the parent immediately.</x:v>
      </x:c>
      <x:c r="I372" s="192" t="str">
        <x:v>End therapy permanently.</x:v>
      </x:c>
      <x:c r="J372" s="192" t="str">
        <x:v>B</x:v>
      </x:c>
      <x:c r="K372" s="192" t="str">
        <x:v>Incorrect. Visual connection does not ensure privacy.</x:v>
      </x:c>
      <x:c r="L372" s="192" t="str">
        <x:v>Correct. Privacy conditions affect the reliability and safety of disclosure, especially with minors and family conflict.</x:v>
      </x:c>
      <x:c r="M372" s="192" t="str">
        <x:v>Incorrect. Immediate confrontation may increase risk.</x:v>
      </x:c>
      <x:c r="N372" s="192" t="str">
        <x:v>Incorrect. The situation calls for problem-solving rather than automatic termination.</x:v>
      </x:c>
      <x:c r="O372" s="192" t="str">
        <x:v>A. Incorrect. Visual connection does not ensure privacy.
B. Correct. Privacy conditions affect the reliability and safety of disclosure, especially with minors and family conflict.
C. Incorrect. Immediate confrontation may increase risk.
D. Incorrect. The situation calls for problem-solving rather than automatic termination.</x:v>
      </x:c>
      <x:c r="P372" s="192" t="str">
        <x:v>In telehealth, assess the room, privacy, location, and who can hear before interpreting limited disclosure.</x:v>
      </x:c>
      <x:c r="Q372" s="194" t="str">
        <x:v>CTA LMFT WB2; CTA LMFT WB12; Pearson VUE LMFT Outline Area 1</x:v>
      </x:c>
    </x:row>
    <x:row r="373">
      <x:c r="A373" s="191" t="str">
        <x:v>CTA-LMFT-MQB-0372</x:v>
      </x:c>
      <x:c r="B373" s="192" t="str">
        <x:v>LMFT-MQB-FB-LE-009</x:v>
      </x:c>
      <x:c r="C373" s="192" t="str">
        <x:v>Comprehensive Simulation</x:v>
      </x:c>
      <x:c r="D373" s="192" t="str">
        <x:v>Form B</x:v>
      </x:c>
      <x:c r="E373" s="192" t="str">
        <x:v>One member of a family-treatment case requests the entire record and asks that the request remain secret from other participants. What should the therapist do next?</x:v>
      </x:c>
      <x:c r="F373" s="192" t="str">
        <x:v>Review client status, record ownership and access rules, the informed-consent policy, and applicable law before releasing or promising secrecy.</x:v>
      </x:c>
      <x:c r="G373" s="192" t="str">
        <x:v>Let the requesting partner delete portions about the other partner.</x:v>
      </x:c>
      <x:c r="H373" s="192" t="str">
        <x:v>Provide the entire record immediately.</x:v>
      </x:c>
      <x:c r="I373" s="192" t="str">
        <x:v>Refuse every request from a relational client.</x:v>
      </x:c>
      <x:c r="J373" s="192" t="str">
        <x:v>A</x:v>
      </x:c>
      <x:c r="K373" s="192" t="str">
        <x:v>Correct. Relational records require role and authority analysis rather than a simple individual-record assumption.</x:v>
      </x:c>
      <x:c r="L373" s="192" t="str">
        <x:v>Incorrect. Clients do not rewrite the therapist’s record.</x:v>
      </x:c>
      <x:c r="M373" s="192" t="str">
        <x:v>Incorrect. Immediate release may violate another client’s rights or the treatment agreement.</x:v>
      </x:c>
      <x:c r="N373" s="192" t="str">
        <x:v>Incorrect. A blanket refusal may also be unsupported.</x:v>
      </x:c>
      <x:c r="O373" s="192" t="str">
        <x:v>A. Correct. Relational records require role and authority analysis rather than a simple individual-record assumption.
B. Incorrect. Clients do not rewrite the therapist’s record.
C. Incorrect. Immediate release may violate another client’s rights or the treatment agreement.
D. Incorrect. A blanket refusal may also be unsupported.</x:v>
      </x:c>
      <x:c r="P373" s="192" t="str">
        <x:v>In multi-client cases, ask who the clients are, who holds which rights, and what the established policy says.</x:v>
      </x:c>
      <x:c r="Q373" s="194" t="str">
        <x:v>CTA LMFT WB12; Pearson VUE LMFT Outline Area 6</x:v>
      </x:c>
    </x:row>
    <x:row r="374">
      <x:c r="A374" s="191" t="str">
        <x:v>CTA-LMFT-MQB-0373</x:v>
      </x:c>
      <x:c r="B374" s="192" t="str">
        <x:v>LMFT-MQB-FB-TX-032</x:v>
      </x:c>
      <x:c r="C374" s="192" t="str">
        <x:v>Comprehensive Simulation</x:v>
      </x:c>
      <x:c r="D374" s="192" t="str">
        <x:v>Form B</x:v>
      </x:c>
      <x:c r="E374" s="192" t="str">
        <x:v>A client treated for panic notices that every episode follows a documented drop in blood glucose despite consistent exposure practice. What should the therapist do next?</x:v>
      </x:c>
      <x:c r="F374" s="192" t="str">
        <x:v>Increase exposure intensity.</x:v>
      </x:c>
      <x:c r="G374" s="192" t="str">
        <x:v>Ignore the physiological pattern.</x:v>
      </x:c>
      <x:c r="H374" s="192" t="str">
        <x:v>Reassess the formulation and coordinate medical evaluation rather than intensifying exposure based on an inaccurate hypothesis.</x:v>
      </x:c>
      <x:c r="I374" s="192" t="str">
        <x:v>Conclude the client is secretly avoiding treatment.</x:v>
      </x:c>
      <x:c r="J374" s="192" t="str">
        <x:v>C</x:v>
      </x:c>
      <x:c r="K374" s="192" t="str">
        <x:v>Incorrect. More of a mismatched intervention may not help.</x:v>
      </x:c>
      <x:c r="L374" s="192" t="str">
        <x:v>Incorrect. The medical pattern is clinically significant.</x:v>
      </x:c>
      <x:c r="M374" s="192" t="str">
        <x:v>Correct. Outcome and chronology suggest the original formulation may be incomplete or incorrect.</x:v>
      </x:c>
      <x:c r="N374" s="192" t="str">
        <x:v>Incorrect. Adherence argues against a simple avoidance explanation.</x:v>
      </x:c>
      <x:c r="O374" s="192" t="str">
        <x:v>A. Incorrect. More of a mismatched intervention may not help.
B. Incorrect. The medical pattern is clinically significant.
C. Correct. Outcome and chronology suggest the original formulation may be incomplete or incorrect.
D. Incorrect. Adherence argues against a simple avoidance explanation.</x:v>
      </x:c>
      <x:c r="P374" s="192" t="str">
        <x:v>Nonresponse plus disconfirming data should change the hypothesis.</x:v>
      </x:c>
      <x:c r="Q374" s="194" t="str">
        <x:v>CTA LMFT WB5; CTA LMFT WB7; CTA LMFT WB9; Pearson VUE LMFT Outline Area 5</x:v>
      </x:c>
    </x:row>
    <x:row r="375">
      <x:c r="A375" s="191" t="str">
        <x:v>CTA-LMFT-MQB-0374</x:v>
      </x:c>
      <x:c r="B375" s="192" t="str">
        <x:v>LMFT-MQB-FB-CE-026</x:v>
      </x:c>
      <x:c r="C375" s="192" t="str">
        <x:v>Comprehensive Simulation</x:v>
      </x:c>
      <x:c r="D375" s="192" t="str">
        <x:v>Form B</x:v>
      </x:c>
      <x:c r="E375" s="192" t="str">
        <x:v>Six weeks after a partner’s death, a client says life no longer feels worth living and sometimes imagines not waking up. What should the LMFT do first?</x:v>
      </x:c>
      <x:c r="F375" s="192" t="str">
        <x:v>Assume the statement is normal grief and avoid discussing suicide.</x:v>
      </x:c>
      <x:c r="G375" s="192" t="str">
        <x:v>Conduct a direct suicide-risk assessment while also evaluating grief, supports, functioning, and protective factors.</x:v>
      </x:c>
      <x:c r="H375" s="192" t="str">
        <x:v>Refer the client to a grief group without further assessment.</x:v>
      </x:c>
      <x:c r="I375" s="192" t="str">
        <x:v>Diagnose major depression immediately.</x:v>
      </x:c>
      <x:c r="J375" s="192" t="str">
        <x:v>B</x:v>
      </x:c>
      <x:c r="K375" s="192" t="str">
        <x:v>Incorrect. Normalizing without assessment can miss danger.</x:v>
      </x:c>
      <x:c r="L375" s="192" t="str">
        <x:v>Correct. A death wish requires direct risk clarification even when grief is a likely context.</x:v>
      </x:c>
      <x:c r="M375" s="192" t="str">
        <x:v>Incorrect. Group referral may be useful later but does not replace risk assessment.</x:v>
      </x:c>
      <x:c r="N375" s="192" t="str">
        <x:v>Incorrect. Diagnosis requires fuller duration, symptom, and impairment information.</x:v>
      </x:c>
      <x:c r="O375" s="192" t="str">
        <x:v>A. Incorrect. Normalizing without assessment can miss danger.
B. Correct. A death wish requires direct risk clarification even when grief is a likely context.
C. Incorrect. Group referral may be useful later but does not replace risk assessment.
D. Incorrect. Diagnosis requires fuller duration, symptom, and impairment information.</x:v>
      </x:c>
      <x:c r="P375" s="192" t="str">
        <x:v>Grief context does not cancel the need to assess the meaning, intent, access, and immediacy of a death-related statement.</x:v>
      </x:c>
      <x:c r="Q375" s="194" t="str">
        <x:v>CTA LMFT WB4; CTA LMFT WB6; Pearson VUE LMFT Outline Area 1</x:v>
      </x:c>
    </x:row>
    <x:row r="376">
      <x:c r="A376" s="191" t="str">
        <x:v>CTA-LMFT-MQB-0375</x:v>
      </x:c>
      <x:c r="B376" s="192" t="str">
        <x:v>LMFT-MQB-FB-CR-016</x:v>
      </x:c>
      <x:c r="C376" s="192" t="str">
        <x:v>Comprehensive Simulation</x:v>
      </x:c>
      <x:c r="D376" s="192" t="str">
        <x:v>Form B</x:v>
      </x:c>
      <x:c r="E376" s="192" t="str">
        <x:v>Following a major earthquake, one family member has stopped essential medication, another is actively suicidal, and a young child is missing from the evacuation site. What should the LMFT prioritize?</x:v>
      </x:c>
      <x:c r="F376" s="192" t="str">
        <x:v>Choose one family member as the identified patient and ignore the others.</x:v>
      </x:c>
      <x:c r="G376" s="192" t="str">
        <x:v>Begin processing the family’s grief in depth.</x:v>
      </x:c>
      <x:c r="H376" s="192" t="str">
        <x:v>Wait until permanent housing is found before intervening.</x:v>
      </x:c>
      <x:c r="I376" s="192" t="str">
        <x:v>Triage immediate suicide risk and medical needs, mobilize emergency resources and reunification supports, and then organize short-term family stabilization.</x:v>
      </x:c>
      <x:c r="J376" s="192" t="str">
        <x:v>D</x:v>
      </x:c>
      <x:c r="K376" s="192" t="str">
        <x:v>Incorrect. Systemic care still requires prioritization across family members.</x:v>
      </x:c>
      <x:c r="L376" s="192" t="str">
        <x:v>Incorrect. Deep processing is premature during acute instability.</x:v>
      </x:c>
      <x:c r="M376" s="192" t="str">
        <x:v>Incorrect. Crisis support is needed before permanent resolution.</x:v>
      </x:c>
      <x:c r="N376" s="192" t="str">
        <x:v>Correct. Multiple urgent needs require triage based on lethality, medical stability, and basic safety before longer-term therapy.</x:v>
      </x:c>
      <x:c r="O376" s="192" t="str">
        <x:v>A. Incorrect. Systemic care still requires prioritization across family members.
B. Incorrect. Deep processing is premature during acute instability.
C. Incorrect. Crisis support is needed before permanent resolution.
D. Correct. Multiple urgent needs require triage based on lethality, medical stability, and basic safety before longer-term therapy.</x:v>
      </x:c>
      <x:c r="P376" s="192" t="str">
        <x:v>Integrated crisis questions reward triage: lethal risk, medical danger, basic needs, then stabilization and recovery.</x:v>
      </x:c>
      <x:c r="Q376" s="194" t="str">
        <x:v>CTA LMFT WB6; CTA LMFT WB10; Pearson VUE LMFT Outline Area 3</x:v>
      </x:c>
    </x:row>
    <x:row r="377">
      <x:c r="A377" s="191" t="str">
        <x:v>CTA-LMFT-MQB-0376</x:v>
      </x:c>
      <x:c r="B377" s="192" t="str">
        <x:v>LMFT-MQB-FB-LE-006</x:v>
      </x:c>
      <x:c r="C377" s="192" t="str">
        <x:v>Comprehensive Simulation</x:v>
      </x:c>
      <x:c r="D377" s="192" t="str">
        <x:v>Form B</x:v>
      </x:c>
      <x:c r="E377" s="192" t="str">
        <x:v>A client sends a message about escalating self-harm through a portal designated only for appointment changes. What should the therapist do?</x:v>
      </x:c>
      <x:c r="F377" s="192" t="str">
        <x:v>Post a public reminder about the client’s behavior.</x:v>
      </x:c>
      <x:c r="G377" s="192" t="str">
        <x:v>Assess any urgency, remind the client of the communication limits, redirect clinical discussion to an appropriate channel, and document the response.</x:v>
      </x:c>
      <x:c r="H377" s="192" t="str">
        <x:v>Continue therapy by text because the client initiated it.</x:v>
      </x:c>
      <x:c r="I377" s="192" t="str">
        <x:v>Ignore any safety content.</x:v>
      </x:c>
      <x:c r="J377" s="192" t="str">
        <x:v>B</x:v>
      </x:c>
      <x:c r="K377" s="192" t="str">
        <x:v>Incorrect. Public communication may expose the treatment relationship.</x:v>
      </x:c>
      <x:c r="L377" s="192" t="str">
        <x:v>Correct. The therapist should manage privacy, boundaries, urgency, and records rather than treat initiation as consent to a new service format.</x:v>
      </x:c>
      <x:c r="M377" s="192" t="str">
        <x:v>Incorrect. Client initiation does not eliminate professional duties.</x:v>
      </x:c>
      <x:c r="N377" s="192" t="str">
        <x:v>Incorrect. Urgent information cannot be ignored.</x:v>
      </x:c>
      <x:c r="O377" s="192" t="str">
        <x:v>A. Incorrect. Public communication may expose the treatment relationship.
B. Correct. The therapist should manage privacy, boundaries, urgency, and records rather than treat initiation as consent to a new service format.
C. Incorrect. Client initiation does not eliminate professional duties.
D. Incorrect. Urgent information cannot be ignored.</x:v>
      </x:c>
      <x:c r="P377" s="192" t="str">
        <x:v>Electronic boundary questions combine urgency, privacy, channel, consent, and documentation.</x:v>
      </x:c>
      <x:c r="Q377" s="194" t="str">
        <x:v>CTA LMFT WB12; Pearson VUE LMFT Outline Area 6</x:v>
      </x:c>
    </x:row>
    <x:row r="378">
      <x:c r="A378" s="191" t="str">
        <x:v>CTA-LMFT-MQB-0377</x:v>
      </x:c>
      <x:c r="B378" s="192" t="str">
        <x:v>LMFT-MQB-FB-TX-019</x:v>
      </x:c>
      <x:c r="C378" s="192" t="str">
        <x:v>Comprehensive Simulation</x:v>
      </x:c>
      <x:c r="D378" s="192" t="str">
        <x:v>Form B</x:v>
      </x:c>
      <x:c r="E378" s="192" t="str">
        <x:v>A neurodivergent client processes slowly and becomes overwhelmed by unstructured conversation. Which adaptation is most appropriate?</x:v>
      </x:c>
      <x:c r="F378" s="192" t="str">
        <x:v>Conclude the client lacks emotional capacity.</x:v>
      </x:c>
      <x:c r="G378" s="192" t="str">
        <x:v>Increase ambiguity to build tolerance.</x:v>
      </x:c>
      <x:c r="H378" s="192" t="str">
        <x:v>Use clear agendas, concrete language, predictable pacing, and collaborative sensory or communication accommodations.</x:v>
      </x:c>
      <x:c r="I378" s="192" t="str">
        <x:v>Require eye contact as proof of engagement.</x:v>
      </x:c>
      <x:c r="J378" s="192" t="str">
        <x:v>C</x:v>
      </x:c>
      <x:c r="K378" s="192" t="str">
        <x:v>Incorrect. Communication style does not equal absence of emotion.</x:v>
      </x:c>
      <x:c r="L378" s="192" t="str">
        <x:v>Incorrect. Unnecessary ambiguity may reduce access.</x:v>
      </x:c>
      <x:c r="M378" s="192" t="str">
        <x:v>Correct. Structure and accessibility can improve participation without pathologizing neurodivergent communication.</x:v>
      </x:c>
      <x:c r="N378" s="192" t="str">
        <x:v>Incorrect. Eye contact is not a universal measure of engagement.</x:v>
      </x:c>
      <x:c r="O378" s="192" t="str">
        <x:v>A. Incorrect. Communication style does not equal absence of emotion.
B. Incorrect. Unnecessary ambiguity may reduce access.
C. Correct. Structure and accessibility can improve participation without pathologizing neurodivergent communication.
D. Incorrect. Eye contact is not a universal measure of engagement.</x:v>
      </x:c>
      <x:c r="P378" s="192" t="str">
        <x:v>Competent adaptation changes format and access while preserving the therapeutic goal.</x:v>
      </x:c>
      <x:c r="Q378" s="194" t="str">
        <x:v>CTA LMFT WB10; Pearson VUE LMFT Outline Area 5</x:v>
      </x:c>
    </x:row>
    <x:row r="379">
      <x:c r="A379" s="191" t="str">
        <x:v>CTA-LMFT-MQB-0378</x:v>
      </x:c>
      <x:c r="B379" s="192" t="str">
        <x:v>LMFT-MQB-FB-CE-003</x:v>
      </x:c>
      <x:c r="C379" s="192" t="str">
        <x:v>Comprehensive Simulation</x:v>
      </x:c>
      <x:c r="D379" s="192" t="str">
        <x:v>Form B</x:v>
      </x:c>
      <x:c r="E379" s="192" t="str">
        <x:v>A client has recent suicidal thoughts. Which additional finding would most clearly strengthen the client’s immediate safety resources?</x:v>
      </x:c>
      <x:c r="F379" s="192" t="str">
        <x:v>Increasing social isolation.</x:v>
      </x:c>
      <x:c r="G379" s="192" t="str">
        <x:v>Recent access to a lethal method.</x:v>
      </x:c>
      <x:c r="H379" s="192" t="str">
        <x:v>Escalating substance use.</x:v>
      </x:c>
      <x:c r="I379" s="192" t="str">
        <x:v>A reliable support person who can participate in a safety or care plan.</x:v>
      </x:c>
      <x:c r="J379" s="192" t="str">
        <x:v>D</x:v>
      </x:c>
      <x:c r="K379" s="192" t="str">
        <x:v>Incorrect. Isolation can reduce support and increase vulnerability.</x:v>
      </x:c>
      <x:c r="L379" s="192" t="str">
        <x:v>Incorrect. Access to a lethal method increases potential danger.</x:v>
      </x:c>
      <x:c r="M379" s="192" t="str">
        <x:v>Incorrect. Escalating substance use can worsen judgment and risk.</x:v>
      </x:c>
      <x:c r="N379" s="192" t="str">
        <x:v>Correct. Reliable support can increase monitoring, connection, coping, and access to help.</x:v>
      </x:c>
      <x:c r="O379" s="192" t="str">
        <x:v>A. Incorrect. Isolation can reduce support and increase vulnerability.
B. Incorrect. Access to a lethal method increases potential danger.
C. Incorrect. Escalating substance use can worsen judgment and risk.
D. Correct. Reliable support can increase monitoring, connection, coping, and access to help.</x:v>
      </x:c>
      <x:c r="P379" s="192" t="str">
        <x:v>Protective factors do not erase risk; they are resources that can reduce vulnerability or support intervention.</x:v>
      </x:c>
      <x:c r="Q379" s="194" t="str">
        <x:v>CTA LMFT WB4; Pearson VUE LMFT Outline Area 1</x:v>
      </x:c>
    </x:row>
    <x:row r="380">
      <x:c r="A380" s="191" t="str">
        <x:v>CTA-LMFT-MQB-0379</x:v>
      </x:c>
      <x:c r="B380" s="192" t="str">
        <x:v>LMFT-MQB-FB-TX-024</x:v>
      </x:c>
      <x:c r="C380" s="192" t="str">
        <x:v>Comprehensive Simulation</x:v>
      </x:c>
      <x:c r="D380" s="192" t="str">
        <x:v>Form B</x:v>
      </x:c>
      <x:c r="E380" s="192" t="str">
        <x:v>A child protests, a caregiver gives a long explanation, the protest intensifies, and the caregiver finally removes the limit. What should the therapist do next?</x:v>
      </x:c>
      <x:c r="F380" s="192" t="str">
        <x:v>Ignore all child behavior for a week.</x:v>
      </x:c>
      <x:c r="G380" s="192" t="str">
        <x:v>Ask the parent to lecture more firmly.</x:v>
      </x:c>
      <x:c r="H380" s="192" t="str">
        <x:v>Map the reinforcement sequence and help the parent use brief, consistent responses and reinforce appropriate requests.</x:v>
      </x:c>
      <x:c r="I380" s="192" t="str">
        <x:v>Tell the child to stop being manipulative.</x:v>
      </x:c>
      <x:c r="J380" s="192" t="str">
        <x:v>C</x:v>
      </x:c>
      <x:c r="K380" s="192" t="str">
        <x:v>Incorrect. Planned ignoring may be unsafe or inappropriate when used indiscriminately.</x:v>
      </x:c>
      <x:c r="L380" s="192" t="str">
        <x:v>Incorrect. More of the same response may intensify the cycle.</x:v>
      </x:c>
      <x:c r="M380" s="192" t="str">
        <x:v>Correct. The sequence suggests intermittent reinforcement and escalating attention that maintain the behavior.</x:v>
      </x:c>
      <x:c r="N380" s="192" t="str">
        <x:v>Incorrect. The label adds blame without changing the contingency.</x:v>
      </x:c>
      <x:c r="O380" s="192" t="str">
        <x:v>A. Incorrect. Planned ignoring may be unsafe or inappropriate when used indiscriminately.
B. Incorrect. More of the same response may intensify the cycle.
C. Correct. The sequence suggests intermittent reinforcement and escalating attention that maintain the behavior.
D. Incorrect. The label adds blame without changing the contingency.</x:v>
      </x:c>
      <x:c r="P380" s="192" t="str">
        <x:v>Identify what happens immediately before and after the behavior and change the maintaining consequence.</x:v>
      </x:c>
      <x:c r="Q380" s="194" t="str">
        <x:v>CTA LMFT WB9; Pearson VUE LMFT Outline Area 5</x:v>
      </x:c>
    </x:row>
    <x:row r="381">
      <x:c r="A381" s="191" t="str">
        <x:v>CTA-LMFT-MQB-0380</x:v>
      </x:c>
      <x:c r="B381" s="192" t="str">
        <x:v>LMFT-MQB-FB-LE-011</x:v>
      </x:c>
      <x:c r="C381" s="192" t="str">
        <x:v>Comprehensive Simulation</x:v>
      </x:c>
      <x:c r="D381" s="192" t="str">
        <x:v>Form B</x:v>
      </x:c>
      <x:c r="E381" s="192" t="str">
        <x:v>A client logs into telehealth while visiting a jurisdiction where the LMFT may not be authorized to practice. What should the therapist do next?</x:v>
      </x:c>
      <x:c r="F381" s="192" t="str">
        <x:v>Ask the client not to disclose travel.</x:v>
      </x:c>
      <x:c r="G381" s="192" t="str">
        <x:v>Continue because the therapist is licensed in California.</x:v>
      </x:c>
      <x:c r="H381" s="192" t="str">
        <x:v>Terminate permanently without referral.</x:v>
      </x:c>
      <x:c r="I381" s="192" t="str">
        <x:v>Verify the client’s location, assess immediate needs, determine whether practice is lawful there, and arrange appropriate continuity if routine treatment cannot proceed.</x:v>
      </x:c>
      <x:c r="J381" s="192" t="str">
        <x:v>D</x:v>
      </x:c>
      <x:c r="K381" s="192" t="str">
        <x:v>Incorrect. Concealing location does not solve the issue.</x:v>
      </x:c>
      <x:c r="L381" s="192" t="str">
        <x:v>Incorrect. The therapist’s location alone does not resolve jurisdiction.</x:v>
      </x:c>
      <x:c r="M381" s="192" t="str">
        <x:v>Incorrect. Continuity options should be considered.</x:v>
      </x:c>
      <x:c r="N381" s="192" t="str">
        <x:v>Correct. The client’s physical location can affect lawful practice and emergency response.</x:v>
      </x:c>
      <x:c r="O381" s="192" t="str">
        <x:v>A. Incorrect. Concealing location does not solve the issue.
B. Incorrect. The therapist’s location alone does not resolve jurisdiction.
C. Incorrect. Continuity options should be considered.
D. Correct. The client’s physical location can affect lawful practice and emergency response.</x:v>
      </x:c>
      <x:c r="P381" s="192" t="str">
        <x:v>Telehealth starts with location, lawful authority, privacy, and emergency capacity.</x:v>
      </x:c>
      <x:c r="Q381" s="194" t="str">
        <x:v>CTA LMFT WB12; Pearson VUE LMFT Outline Area 6</x:v>
      </x:c>
    </x:row>
    <x:row r="382">
      <x:c r="A382" s="191" t="str">
        <x:v>CTA-LMFT-MQB-0381</x:v>
      </x:c>
      <x:c r="B382" s="192" t="str">
        <x:v>LMFT-MQB-FB-CR-014</x:v>
      </x:c>
      <x:c r="C382" s="192" t="str">
        <x:v>Comprehensive Simulation</x:v>
      </x:c>
      <x:c r="D382" s="192" t="str">
        <x:v>Form B</x:v>
      </x:c>
      <x:c r="E382" s="192" t="str">
        <x:v>After a family appointment, a caregiver appears intoxicated and attempts to drive away with two young children. What should the LMFT do?</x:v>
      </x:c>
      <x:c r="F382" s="192" t="str">
        <x:v>Document the concern and take no immediate action.</x:v>
      </x:c>
      <x:c r="G382" s="192" t="str">
        <x:v>Ask the child to decide whether the parent can drive.</x:v>
      </x:c>
      <x:c r="H382" s="192" t="str">
        <x:v>Allow departure because the parent has legal custody.</x:v>
      </x:c>
      <x:c r="I382" s="192" t="str">
        <x:v>Prevent an unsafe departure if possible, assess the child’s immediate protection needs, arrange a safe caregiver or emergency assistance, and follow any applicable reporting duties.</x:v>
      </x:c>
      <x:c r="J382" s="192" t="str">
        <x:v>D</x:v>
      </x:c>
      <x:c r="K382" s="192" t="str">
        <x:v>Incorrect. Documentation alone does not prevent imminent harm.</x:v>
      </x:c>
      <x:c r="L382" s="192" t="str">
        <x:v>Incorrect. The child should not carry responsibility for the decision.</x:v>
      </x:c>
      <x:c r="M382" s="192" t="str">
        <x:v>Incorrect. Custody does not authorize unsafe driving.</x:v>
      </x:c>
      <x:c r="N382" s="192" t="str">
        <x:v>Correct. Immediate transportation danger and child safety require active protection and lawful escalation.</x:v>
      </x:c>
      <x:c r="O382" s="192" t="str">
        <x:v>A. Incorrect. Documentation alone does not prevent imminent harm.
B. Incorrect. The child should not carry responsibility for the decision.
C. Incorrect. Custody does not authorize unsafe driving.
D. Correct. Immediate transportation danger and child safety require active protection and lawful escalation.</x:v>
      </x:c>
      <x:c r="P382" s="192" t="str">
        <x:v>Integrate current danger, child protection, authority, and the least restrictive effective action.</x:v>
      </x:c>
      <x:c r="Q382" s="194" t="str">
        <x:v>CTA LMFT WB6; CTA LMFT WB12; Pearson VUE LMFT Outline Area 3</x:v>
      </x:c>
    </x:row>
    <x:row r="383">
      <x:c r="A383" s="191" t="str">
        <x:v>CTA-LMFT-MQB-0382</x:v>
      </x:c>
      <x:c r="B383" s="192" t="str">
        <x:v>LMFT-MQB-FB-CE-032</x:v>
      </x:c>
      <x:c r="C383" s="192" t="str">
        <x:v>Comprehensive Simulation</x:v>
      </x:c>
      <x:c r="D383" s="192" t="str">
        <x:v>Form B</x:v>
      </x:c>
      <x:c r="E383" s="192" t="str">
        <x:v>During arguments, a client becomes blank, loses track of time, and later remembers only fragments of what occurred. What should the therapist assess before labeling the behavior?</x:v>
      </x:c>
      <x:c r="F383" s="192" t="str">
        <x:v>Diagnose attention-deficit disorder immediately.</x:v>
      </x:c>
      <x:c r="G383" s="192" t="str">
        <x:v>Assess triggers, awareness, memory gaps, trauma symptoms, neurological or substance factors, and current safety before assigning meaning.</x:v>
      </x:c>
      <x:c r="H383" s="192" t="str">
        <x:v>Assume deliberate avoidance.</x:v>
      </x:c>
      <x:c r="I383" s="192" t="str">
        <x:v>Increase confrontation so the client stays focused.</x:v>
      </x:c>
      <x:c r="J383" s="192" t="str">
        <x:v>B</x:v>
      </x:c>
      <x:c r="K383" s="192" t="str">
        <x:v>Incorrect. Inattention has multiple possible causes.</x:v>
      </x:c>
      <x:c r="L383" s="192" t="str">
        <x:v>Correct. The behavior may reflect dissociation or another condition and requires careful differential assessment and pacing.</x:v>
      </x:c>
      <x:c r="M383" s="192" t="str">
        <x:v>Incorrect. Intent cannot be inferred from the behavior.</x:v>
      </x:c>
      <x:c r="N383" s="192" t="str">
        <x:v>Incorrect. Confrontation may intensify dissociation or shame.</x:v>
      </x:c>
      <x:c r="O383" s="192" t="str">
        <x:v>A. Incorrect. Inattention has multiple possible causes.
B. Correct. The behavior may reflect dissociation or another condition and requires careful differential assessment and pacing.
C. Incorrect. Intent cannot be inferred from the behavior.
D. Incorrect. Confrontation may intensify dissociation or shame.</x:v>
      </x:c>
      <x:c r="P383" s="192" t="str">
        <x:v>Describe the episode, timing, triggers, and recovery before deciding whether it is avoidance, dissociation, attention difficulty, or a medical issue.</x:v>
      </x:c>
      <x:c r="Q383" s="194" t="str">
        <x:v>CTA LMFT WB4; CTA LMFT WB5; Pearson VUE LMFT Outline Area 1</x:v>
      </x:c>
    </x:row>
    <x:row r="384">
      <x:c r="A384" s="191" t="str">
        <x:v>CTA-LMFT-MQB-0383</x:v>
      </x:c>
      <x:c r="B384" s="192" t="str">
        <x:v>LMFT-MQB-FB-CP-001</x:v>
      </x:c>
      <x:c r="C384" s="192" t="str">
        <x:v>Comprehensive Simulation</x:v>
      </x:c>
      <x:c r="D384" s="192" t="str">
        <x:v>Form B</x:v>
      </x:c>
      <x:c r="E384" s="192" t="str">
        <x:v>Which proposed objective would allow an LMFT and couple to determine clearly whether the targeted interaction has changed?</x:v>
      </x:c>
      <x:c r="F384" s="192" t="str">
        <x:v>The couple will understand each other completely.</x:v>
      </x:c>
      <x:c r="G384" s="192" t="str">
        <x:v>The couple will communicate better.</x:v>
      </x:c>
      <x:c r="H384" s="192" t="str">
        <x:v>The couple will use an agreed de-escalation routine during at least four of five identified conflicts over the next month.</x:v>
      </x:c>
      <x:c r="I384" s="192" t="str">
        <x:v>The couple will never argue again.</x:v>
      </x:c>
      <x:c r="J384" s="192" t="str">
        <x:v>C</x:v>
      </x:c>
      <x:c r="K384" s="192" t="str">
        <x:v>Incorrect. Complete understanding is unrealistic and difficult to measure.</x:v>
      </x:c>
      <x:c r="L384" s="192" t="str">
        <x:v>Incorrect. “Better” is not operationalized.</x:v>
      </x:c>
      <x:c r="M384" s="192" t="str">
        <x:v>Correct. The goal defines a behavior, context, frequency, and time frame that can be monitored.</x:v>
      </x:c>
      <x:c r="N384" s="192" t="str">
        <x:v>Incorrect. Eliminating all disagreement is not a realistic therapeutic target.</x:v>
      </x:c>
      <x:c r="O384" s="192" t="str">
        <x:v>A. Incorrect. Complete understanding is unrealistic and difficult to measure.
B. Incorrect. “Better” is not operationalized.
C. Correct. The goal defines a behavior, context, frequency, and time frame that can be monitored.
D. Incorrect. Eliminating all disagreement is not a realistic therapeutic target.</x:v>
      </x:c>
      <x:c r="P384" s="192" t="str">
        <x:v>A measurable goal states what will change, under what conditions, and how progress will be recognized.</x:v>
      </x:c>
      <x:c r="Q384" s="194" t="str">
        <x:v>CTA LMFT WB7; Pearson VUE LMFT Outline Area 4</x:v>
      </x:c>
    </x:row>
    <x:row r="385">
      <x:c r="A385" s="191" t="str">
        <x:v>CTA-LMFT-MQB-0384</x:v>
      </x:c>
      <x:c r="B385" s="192" t="str">
        <x:v>LMFT-MQB-FB-LE-013</x:v>
      </x:c>
      <x:c r="C385" s="192" t="str">
        <x:v>Comprehensive Simulation</x:v>
      </x:c>
      <x:c r="D385" s="192" t="str">
        <x:v>Form B</x:v>
      </x:c>
      <x:c r="E385" s="192" t="str">
        <x:v>A sudden hospitalization makes an LMFT unable to contact clients or continue practice. What should the therapist’s designated continuity process accomplish?</x:v>
      </x:c>
      <x:c r="F385" s="192" t="str">
        <x:v>Activate an emergency continuity plan, arrange secure records and qualified coverage or referrals, notify clients appropriately, and address urgent-risk cases first.</x:v>
      </x:c>
      <x:c r="G385" s="192" t="str">
        <x:v>Wait until recovery before notifying anyone.</x:v>
      </x:c>
      <x:c r="H385" s="192" t="str">
        <x:v>Send all records to a colleague without authorization or lawful basis.</x:v>
      </x:c>
      <x:c r="I385" s="192" t="str">
        <x:v>Disappear to protect privacy.</x:v>
      </x:c>
      <x:c r="J385" s="192" t="str">
        <x:v>A</x:v>
      </x:c>
      <x:c r="K385" s="192" t="str">
        <x:v>Correct. Professional responsibility includes continuity planning even when the therapist is suddenly unavailable.</x:v>
      </x:c>
      <x:c r="L385" s="192" t="str">
        <x:v>Incorrect. Delay may leave clients without needed care.</x:v>
      </x:c>
      <x:c r="M385" s="192" t="str">
        <x:v>Incorrect. Record transfer must follow privacy and authority requirements.</x:v>
      </x:c>
      <x:c r="N385" s="192" t="str">
        <x:v>Incorrect. Silence can abandon clients and increase risk.</x:v>
      </x:c>
      <x:c r="O385" s="192" t="str">
        <x:v>A. Correct. Professional responsibility includes continuity planning even when the therapist is suddenly unavailable.
B. Incorrect. Delay may leave clients without needed care.
C. Incorrect. Record transfer must follow privacy and authority requirements.
D. Incorrect. Silence can abandon clients and increase risk.</x:v>
      </x:c>
      <x:c r="P385" s="192" t="str">
        <x:v>Unexpected impairment tests whether the practice has a real continuity plan, not merely good intentions.</x:v>
      </x:c>
      <x:c r="Q385" s="194" t="str">
        <x:v>CTA LMFT WB12; Pearson VUE LMFT Outline Area 6</x:v>
      </x:c>
    </x:row>
    <x:row r="386">
      <x:c r="A386" s="191" t="str">
        <x:v>CTA-LMFT-MQB-0385</x:v>
      </x:c>
      <x:c r="B386" s="192" t="str">
        <x:v>LMFT-MQB-FB-CE-006</x:v>
      </x:c>
      <x:c r="C386" s="192" t="str">
        <x:v>Comprehensive Simulation</x:v>
      </x:c>
      <x:c r="D386" s="192" t="str">
        <x:v>Form B</x:v>
      </x:c>
      <x:c r="E386" s="192" t="str">
        <x:v>At a first appointment, a highly anxious client gives short factual answers and waits for the therapist to lead. Which interviewing approach is most likely to elicit the client’s own account of the problem?</x:v>
      </x:c>
      <x:c r="F386" s="192" t="str">
        <x:v>Ask a rapid series of yes-or-no questions.</x:v>
      </x:c>
      <x:c r="G386" s="192" t="str">
        <x:v>Interpret the silence as resistance.</x:v>
      </x:c>
      <x:c r="H386" s="192" t="str">
        <x:v>Immediately request records instead of continuing the interview.</x:v>
      </x:c>
      <x:c r="I386" s="192" t="str">
        <x:v>Use a broad open-ended invitation and then follow with focused clarification.</x:v>
      </x:c>
      <x:c r="J386" s="192" t="str">
        <x:v>D</x:v>
      </x:c>
      <x:c r="K386" s="192" t="str">
        <x:v>Incorrect. Rapid closed questions may further restrict disclosure.</x:v>
      </x:c>
      <x:c r="L386" s="192" t="str">
        <x:v>Incorrect. The behavior may reflect anxiety, culture, uncertainty, or limited trust rather than resistance.</x:v>
      </x:c>
      <x:c r="M386" s="192" t="str">
        <x:v>Incorrect. Records may help later but do not replace direct engagement.</x:v>
      </x:c>
      <x:c r="N386" s="192" t="str">
        <x:v>Correct. An open invitation supports engagement and reveals the client’s language, priorities, and meaning before details are narrowed.</x:v>
      </x:c>
      <x:c r="O386" s="192" t="str">
        <x:v>A. Incorrect. Rapid closed questions may further restrict disclosure.
B. Incorrect. The behavior may reflect anxiety, culture, uncertainty, or limited trust rather than resistance.
C. Incorrect. Records may help later but do not replace direct engagement.
D. Correct. An open invitation supports engagement and reveals the client’s language, priorities, and meaning before details are narrowed.</x:v>
      </x:c>
      <x:c r="P386" s="192" t="str">
        <x:v>Begin broad, listen for the client’s organizing story, and narrow only after the main concerns emerge.</x:v>
      </x:c>
      <x:c r="Q386" s="194" t="str">
        <x:v>CTA LMFT WB2; Pearson VUE LMFT Outline Area 1</x:v>
      </x:c>
    </x:row>
    <x:row r="387">
      <x:c r="A387" s="191" t="str">
        <x:v>CTA-LMFT-MQB-0386</x:v>
      </x:c>
      <x:c r="B387" s="192" t="str">
        <x:v>LMFT-MQB-FB-TX-018</x:v>
      </x:c>
      <x:c r="C387" s="192" t="str">
        <x:v>Comprehensive Simulation</x:v>
      </x:c>
      <x:c r="D387" s="192" t="str">
        <x:v>Form B</x:v>
      </x:c>
      <x:c r="E387" s="192" t="str">
        <x:v>A family asks that a respected community elder join planning meetings. How should the LMFT respond?</x:v>
      </x:c>
      <x:c r="F387" s="192" t="str">
        <x:v>Assume the elder should make all decisions.</x:v>
      </x:c>
      <x:c r="G387" s="192" t="str">
        <x:v>Explore the request, clarify the elder’s role and consent boundaries, and include the elder when clinically appropriate and authorized.</x:v>
      </x:c>
      <x:c r="H387" s="192" t="str">
        <x:v>Include the elder without discussing confidentiality.</x:v>
      </x:c>
      <x:c r="I387" s="192" t="str">
        <x:v>Refuse because therapy must be individualistic.</x:v>
      </x:c>
      <x:c r="J387" s="192" t="str">
        <x:v>B</x:v>
      </x:c>
      <x:c r="K387" s="192" t="str">
        <x:v>Incorrect. Collective values do not automatically remove the client’s voice.</x:v>
      </x:c>
      <x:c r="L387" s="192" t="str">
        <x:v>Correct. Cultural responsiveness adapts participation while preserving informed consent, role clarity, and client welfare.</x:v>
      </x:c>
      <x:c r="M387" s="192" t="str">
        <x:v>Incorrect. Participation requires clear information boundaries.</x:v>
      </x:c>
      <x:c r="N387" s="192" t="str">
        <x:v>Incorrect. Individualistic assumptions may reduce fit.</x:v>
      </x:c>
      <x:c r="O387" s="192" t="str">
        <x:v>A. Incorrect. Collective values do not automatically remove the client’s voice.
B. Correct. Cultural responsiveness adapts participation while preserving informed consent, role clarity, and client welfare.
C. Incorrect. Participation requires clear information boundaries.
D. Incorrect. Individualistic assumptions may reduce fit.</x:v>
      </x:c>
      <x:c r="P387" s="192" t="str">
        <x:v>Adapt the process, not the ethical foundation.</x:v>
      </x:c>
      <x:c r="Q387" s="194" t="str">
        <x:v>CTA LMFT WB10; Pearson VUE LMFT Outline Area 5</x:v>
      </x:c>
    </x:row>
    <x:row r="388">
      <x:c r="A388" s="191" t="str">
        <x:v>CTA-LMFT-MQB-0387</x:v>
      </x:c>
      <x:c r="B388" s="192" t="str">
        <x:v>LMFT-MQB-FB-CE-041</x:v>
      </x:c>
      <x:c r="C388" s="192" t="str">
        <x:v>Comprehensive Simulation</x:v>
      </x:c>
      <x:c r="D388" s="192" t="str">
        <x:v>Form B</x:v>
      </x:c>
      <x:c r="E388" s="192" t="str">
        <x:v>Divorcing parents seek therapy for their child, present conflicting orders, request separate confidential reports, and accuse each other of dangerous behavior. What is the best initial response?</x:v>
      </x:c>
      <x:c r="F388" s="192" t="str">
        <x:v>Accept the first parent’s account and begin treatment immediately.</x:v>
      </x:c>
      <x:c r="G388" s="192" t="str">
        <x:v>Promise identical private updates to both parents.</x:v>
      </x:c>
      <x:c r="H388" s="192" t="str">
        <x:v>Write a custody recommendation after one child session.</x:v>
      </x:c>
      <x:c r="I388" s="192" t="str">
        <x:v>Clarify legal authority and the therapist’s role, review relevant documents, assess child safety, establish communication and confidentiality policies, and avoid becoming an evaluator or advocate beyond the agreed role.</x:v>
      </x:c>
      <x:c r="J388" s="192" t="str">
        <x:v>D</x:v>
      </x:c>
      <x:c r="K388" s="192" t="str">
        <x:v>Incorrect. Speed does not justify acting without authority or role clarity.</x:v>
      </x:c>
      <x:c r="L388" s="192" t="str">
        <x:v>Incorrect. Private parallel updates may create conflicting alliances and disclosure problems.</x:v>
      </x:c>
      <x:c r="M388" s="192" t="str">
        <x:v>Incorrect. A custody recommendation is a distinct evaluative role requiring appropriate competence and process.</x:v>
      </x:c>
      <x:c r="N388" s="192" t="str">
        <x:v>Correct. The therapist must integrate authority, safety, role boundaries, multi-party communication, and clinical evaluation before proceeding.</x:v>
      </x:c>
      <x:c r="O388" s="192" t="str">
        <x:v>A. Incorrect. Speed does not justify acting without authority or role clarity.
B. Incorrect. Private parallel updates may create conflicting alliances and disclosure problems.
C. Incorrect. A custody recommendation is a distinct evaluative role requiring appropriate competence and process.
D. Correct. The therapist must integrate authority, safety, role boundaries, multi-party communication, and clinical evaluation before proceeding.</x:v>
      </x:c>
      <x:c r="P388" s="192" t="str">
        <x:v>In court-involved cases, role clarity and authority are clinical safety tools, not administrative details.</x:v>
      </x:c>
      <x:c r="Q388" s="194" t="str">
        <x:v>CTA LMFT WB2; CTA LMFT WB12; Pearson VUE LMFT Outline Area 1</x:v>
      </x:c>
    </x:row>
    <x:row r="389">
      <x:c r="A389" s="191" t="str">
        <x:v>CTA-LMFT-MQB-0388</x:v>
      </x:c>
      <x:c r="B389" s="192" t="str">
        <x:v>LMFT-MQB-FB-LE-003</x:v>
      </x:c>
      <x:c r="C389" s="192" t="str">
        <x:v>Comprehensive Simulation</x:v>
      </x:c>
      <x:c r="D389" s="192" t="str">
        <x:v>Form B</x:v>
      </x:c>
      <x:c r="E389" s="192" t="str">
        <x:v>After signing a note, a therapist discovers that the medication name was entered incorrectly. How should the record be corrected?</x:v>
      </x:c>
      <x:c r="F389" s="192" t="str">
        <x:v>Delete the original note without notation.</x:v>
      </x:c>
      <x:c r="G389" s="192" t="str">
        <x:v>Backdate a replacement note.</x:v>
      </x:c>
      <x:c r="H389" s="192" t="str">
        <x:v>Add a dated, transparent correction or addendum that preserves the original record and explains the change.</x:v>
      </x:c>
      <x:c r="I389" s="192" t="str">
        <x:v>Ask the client to edit the record.</x:v>
      </x:c>
      <x:c r="J389" s="192" t="str">
        <x:v>C</x:v>
      </x:c>
      <x:c r="K389" s="192" t="str">
        <x:v>Incorrect. Silent deletion undermines integrity.</x:v>
      </x:c>
      <x:c r="L389" s="192" t="str">
        <x:v>Incorrect. Backdating misrepresents when the correction occurred.</x:v>
      </x:c>
      <x:c r="M389" s="192" t="str">
        <x:v>Correct. A transparent amendment improves accuracy without creating a false history.</x:v>
      </x:c>
      <x:c r="N389" s="192" t="str">
        <x:v>Incorrect. The therapist remains responsible for clinical documentation.</x:v>
      </x:c>
      <x:c r="O389" s="192" t="str">
        <x:v>A. Incorrect. Silent deletion undermines integrity.
B. Incorrect. Backdating misrepresents when the correction occurred.
C. Correct. A transparent amendment improves accuracy without creating a false history.
D. Incorrect. The therapist remains responsible for clinical documentation.</x:v>
      </x:c>
      <x:c r="P389" s="192" t="str">
        <x:v>Correct records openly; never make the historical record appear different from what actually occurred.</x:v>
      </x:c>
      <x:c r="Q389" s="194" t="str">
        <x:v>CTA LMFT WB12; Pearson VUE LMFT Outline Area 6</x:v>
      </x:c>
    </x:row>
    <x:row r="390">
      <x:c r="A390" s="191" t="str">
        <x:v>CTA-LMFT-MQB-0389</x:v>
      </x:c>
      <x:c r="B390" s="192" t="str">
        <x:v>LMFT-MQB-FB-TX-021</x:v>
      </x:c>
      <x:c r="C390" s="192" t="str">
        <x:v>Comprehensive Simulation</x:v>
      </x:c>
      <x:c r="D390" s="192" t="str">
        <x:v>Form B</x:v>
      </x:c>
      <x:c r="E390" s="192" t="str">
        <x:v>A client with severe restriction has fainted twice and reports an irregular heartbeat. What should the LMFT do?</x:v>
      </x:c>
      <x:c r="F390" s="192" t="str">
        <x:v>Begin body-image journaling as the only intervention.</x:v>
      </x:c>
      <x:c r="G390" s="192" t="str">
        <x:v>Assure the client the symptoms are anxiety.</x:v>
      </x:c>
      <x:c r="H390" s="192" t="str">
        <x:v>Prioritize urgent medical evaluation and coordinated specialty care while addressing motivation, family support, and continuity.</x:v>
      </x:c>
      <x:c r="I390" s="192" t="str">
        <x:v>Wait for the client to request medical care.</x:v>
      </x:c>
      <x:c r="J390" s="192" t="str">
        <x:v>C</x:v>
      </x:c>
      <x:c r="K390" s="192" t="str">
        <x:v>Incorrect. Psychotherapy alone is insufficient.</x:v>
      </x:c>
      <x:c r="L390" s="192" t="str">
        <x:v>Incorrect. The therapist cannot safely attribute these signs to anxiety.</x:v>
      </x:c>
      <x:c r="M390" s="192" t="str">
        <x:v>Correct. The physical signs may indicate medical instability requiring urgent multidisciplinary treatment.</x:v>
      </x:c>
      <x:c r="N390" s="192" t="str">
        <x:v>Incorrect. Delay may be dangerous.</x:v>
      </x:c>
      <x:c r="O390" s="192" t="str">
        <x:v>A. Incorrect. Psychotherapy alone is insufficient.
B. Incorrect. The therapist cannot safely attribute these signs to anxiety.
C. Correct. The physical signs may indicate medical instability requiring urgent multidisciplinary treatment.
D. Incorrect. Delay may be dangerous.</x:v>
      </x:c>
      <x:c r="P390" s="192" t="str">
        <x:v>When eating symptoms produce medical red flags, level of care and coordination precede routine psychotherapy.</x:v>
      </x:c>
      <x:c r="Q390" s="194" t="str">
        <x:v>CTA LMFT WB9; Pearson VUE LMFT Outline Area 5</x:v>
      </x:c>
    </x:row>
    <x:row r="391">
      <x:c r="A391" s="191" t="str">
        <x:v>CTA-LMFT-MQB-0390</x:v>
      </x:c>
      <x:c r="B391" s="192" t="str">
        <x:v>LMFT-MQB-FB-LE-004</x:v>
      </x:c>
      <x:c r="C391" s="192" t="str">
        <x:v>Comprehensive Simulation</x:v>
      </x:c>
      <x:c r="D391" s="192" t="str">
        <x:v>Form B</x:v>
      </x:c>
      <x:c r="E391" s="192" t="str">
        <x:v>A client requests a specialized forensic service that the treating LMFT has never been trained to provide. What is the therapist’s best response?</x:v>
      </x:c>
      <x:c r="F391" s="192" t="str">
        <x:v>Accept the case and learn through trial and error.</x:v>
      </x:c>
      <x:c r="G391" s="192" t="str">
        <x:v>Explain the limitation and arrange qualified consultation, training, referral, or transfer while protecting continuity.</x:v>
      </x:c>
      <x:c r="H391" s="192" t="str">
        <x:v>Reject the client without resources.</x:v>
      </x:c>
      <x:c r="I391" s="192" t="str">
        <x:v>Claim competence because the service is related to mental health.</x:v>
      </x:c>
      <x:c r="J391" s="192" t="str">
        <x:v>B</x:v>
      </x:c>
      <x:c r="K391" s="192" t="str">
        <x:v>Incorrect. Client care should not be the therapist’s unsupervised training experiment.</x:v>
      </x:c>
      <x:c r="L391" s="192" t="str">
        <x:v>Correct. Scope and competence require honest limits and an active continuity plan.</x:v>
      </x:c>
      <x:c r="M391" s="192" t="str">
        <x:v>Incorrect. Abrupt rejection may create abandonment concerns.</x:v>
      </x:c>
      <x:c r="N391" s="192" t="str">
        <x:v>Incorrect. Related subject matter does not establish competence.</x:v>
      </x:c>
      <x:c r="O391" s="192" t="str">
        <x:v>A. Incorrect. Client care should not be the therapist’s unsupervised training experiment.
B. Correct. Scope and competence require honest limits and an active continuity plan.
C. Incorrect. Abrupt rejection may create abandonment concerns.
D. Incorrect. Related subject matter does not establish competence.</x:v>
      </x:c>
      <x:c r="P391" s="192" t="str">
        <x:v>Competence questions ask both whether the therapist can provide the service and how the client will remain supported if not.</x:v>
      </x:c>
      <x:c r="Q391" s="194" t="str">
        <x:v>CTA LMFT WB12; Pearson VUE LMFT Outline Area 6</x:v>
      </x:c>
    </x:row>
    <x:row r="392">
      <x:c r="A392" s="191" t="str">
        <x:v>CTA-LMFT-MQB-0391</x:v>
      </x:c>
      <x:c r="B392" s="192" t="str">
        <x:v>LMFT-MQB-FB-TX-004</x:v>
      </x:c>
      <x:c r="C392" s="192" t="str">
        <x:v>Comprehensive Simulation</x:v>
      </x:c>
      <x:c r="D392" s="192" t="str">
        <x:v>Form B</x:v>
      </x:c>
      <x:c r="E392" s="192" t="str">
        <x:v>As planned therapy ends, which activity best supports consolidation and future self-management?</x:v>
      </x:c>
      <x:c r="F392" s="192" t="str">
        <x:v>Introducing several new major goals.</x:v>
      </x:c>
      <x:c r="G392" s="192" t="str">
        <x:v>Reviewing gains, identifying remaining vulnerabilities, rehearsing maintenance strategies, and clarifying future access to care.</x:v>
      </x:c>
      <x:c r="H392" s="192" t="str">
        <x:v>Avoiding discussion of the relationship ending.</x:v>
      </x:c>
      <x:c r="I392" s="192" t="str">
        <x:v>Guaranteeing that symptoms will never return.</x:v>
      </x:c>
      <x:c r="J392" s="192" t="str">
        <x:v>B</x:v>
      </x:c>
      <x:c r="K392" s="192" t="str">
        <x:v>Incorrect. New major goals may require a new treatment phase rather than closure.</x:v>
      </x:c>
      <x:c r="L392" s="192" t="str">
        <x:v>Correct. Termination consolidates learning, addresses the ending, and supports independent maintenance and future help-seeking.</x:v>
      </x:c>
      <x:c r="M392" s="192" t="str">
        <x:v>Incorrect. Avoidance can leave attachment and relapse issues unaddressed.</x:v>
      </x:c>
      <x:c r="N392" s="192" t="str">
        <x:v>Incorrect. Recurrence cannot be guaranteed against.</x:v>
      </x:c>
      <x:c r="O392" s="192" t="str">
        <x:v>A. Incorrect. New major goals may require a new treatment phase rather than closure.
B. Correct. Termination consolidates learning, addresses the ending, and supports independent maintenance and future help-seeking.
C. Incorrect. Avoidance can leave attachment and relapse issues unaddressed.
D. Incorrect. Recurrence cannot be guaranteed against.</x:v>
      </x:c>
      <x:c r="P392" s="192" t="str">
        <x:v>Closure is active clinical work: consolidate, anticipate, connect, and end clearly.</x:v>
      </x:c>
      <x:c r="Q392" s="194" t="str">
        <x:v>CTA LMFT WB7; Pearson VUE LMFT Outline Area 5</x:v>
      </x:c>
    </x:row>
    <x:row r="393">
      <x:c r="A393" s="191" t="str">
        <x:v>CTA-LMFT-MQB-0392</x:v>
      </x:c>
      <x:c r="B393" s="192" t="str">
        <x:v>LMFT-MQB-FB-TX-009</x:v>
      </x:c>
      <x:c r="C393" s="192" t="str">
        <x:v>Comprehensive Simulation</x:v>
      </x:c>
      <x:c r="D393" s="192" t="str">
        <x:v>Form B</x:v>
      </x:c>
      <x:c r="E393" s="192" t="str">
        <x:v>An adolescent says, “Anxiety runs my whole life.” Which response best uses an externalizing approach?</x:v>
      </x:c>
      <x:c r="F393" s="192" t="str">
        <x:v>“Let’s ignore the story and use rewards only.”</x:v>
      </x:c>
      <x:c r="G393" s="192" t="str">
        <x:v>“Your parents caused the anger.”</x:v>
      </x:c>
      <x:c r="H393" s="192" t="str">
        <x:v>“You are correct that you are bad when angry.”</x:v>
      </x:c>
      <x:c r="I393" s="192" t="str">
        <x:v>“When does the anger problem take over, and when have you been able to stand up to it?”</x:v>
      </x:c>
      <x:c r="J393" s="192" t="str">
        <x:v>D</x:v>
      </x:c>
      <x:c r="K393" s="192" t="str">
        <x:v>Incorrect. Behavioral tools may help but the option does not use the stated approach.</x:v>
      </x:c>
      <x:c r="L393" s="192" t="str">
        <x:v>Incorrect. Narrative work does not simply assign blame elsewhere.</x:v>
      </x:c>
      <x:c r="M393" s="192" t="str">
        <x:v>Incorrect. The response reinforces a problem-saturated identity.</x:v>
      </x:c>
      <x:c r="N393" s="192" t="str">
        <x:v>Correct. Externalizing separates identity from the problem and explores unique outcomes.</x:v>
      </x:c>
      <x:c r="O393" s="192" t="str">
        <x:v>A. Incorrect. Behavioral tools may help but the option does not use the stated approach.
B. Incorrect. Narrative work does not simply assign blame elsewhere.
C. Incorrect. The response reinforces a problem-saturated identity.
D. Correct. Externalizing separates identity from the problem and explores unique outcomes.</x:v>
      </x:c>
      <x:c r="P393" s="192" t="str">
        <x:v>Separate the person from the problem and look for evidence of agency.</x:v>
      </x:c>
      <x:c r="Q393" s="194" t="str">
        <x:v>CTA LMFT WB11; Pearson VUE LMFT Outline Area 5</x:v>
      </x:c>
    </x:row>
    <x:row r="394">
      <x:c r="A394" s="191" t="str">
        <x:v>CTA-LMFT-MQB-0393</x:v>
      </x:c>
      <x:c r="B394" s="192" t="str">
        <x:v>LMFT-MQB-FB-DI-014</x:v>
      </x:c>
      <x:c r="C394" s="192" t="str">
        <x:v>Comprehensive Simulation</x:v>
      </x:c>
      <x:c r="D394" s="192" t="str">
        <x:v>Form B</x:v>
      </x:c>
      <x:c r="E394" s="192" t="str">
        <x:v>Within days of beginning a new medical treatment, a client develops decreased need for sleep, pressured speech, and grandiose plans. What should the LMFT do next?</x:v>
      </x:c>
      <x:c r="F394" s="192" t="str">
        <x:v>Tell the client to stop the medication without medical guidance.</x:v>
      </x:c>
      <x:c r="G394" s="192" t="str">
        <x:v>Ignore the chronology because psychiatric symptoms are never medication-related.</x:v>
      </x:c>
      <x:c r="H394" s="192" t="str">
        <x:v>Diagnose bipolar disorder immediately.</x:v>
      </x:c>
      <x:c r="I394" s="192" t="str">
        <x:v>Assess immediate risk and symptom severity, coordinate prompt medical evaluation, and keep both medication-induced and primary mood explanations open.</x:v>
      </x:c>
      <x:c r="J394" s="192" t="str">
        <x:v>D</x:v>
      </x:c>
      <x:c r="K394" s="192" t="str">
        <x:v>Incorrect. Medication decisions belong with the prescriber unless emergency services are needed.</x:v>
      </x:c>
      <x:c r="L394" s="192" t="str">
        <x:v>Incorrect. Medications can contribute to psychiatric symptoms.</x:v>
      </x:c>
      <x:c r="M394" s="192" t="str">
        <x:v>Incorrect. A primary mood diagnosis is premature.</x:v>
      </x:c>
      <x:c r="N394" s="192" t="str">
        <x:v>Correct. The temporal relationship is diagnostically important, but causation and safety require medical coordination and fuller assessment.</x:v>
      </x:c>
      <x:c r="O394" s="192" t="str">
        <x:v>A. Incorrect. Medication decisions belong with the prescriber unless emergency services are needed.
B. Incorrect. Medications can contribute to psychiatric symptoms.
C. Incorrect. A primary mood diagnosis is premature.
D. Correct. The temporal relationship is diagnostically important, but causation and safety require medical coordination and fuller assessment.</x:v>
      </x:c>
      <x:c r="P394" s="192" t="str">
        <x:v>When onset follows a medication, do not skip either risk assessment or medical collaboration.</x:v>
      </x:c>
      <x:c r="Q394" s="194" t="str">
        <x:v>CTA LMFT WB5; Pearson VUE LMFT Outline Area 2</x:v>
      </x:c>
    </x:row>
    <x:row r="395">
      <x:c r="A395" s="191" t="str">
        <x:v>CTA-LMFT-MQB-0394</x:v>
      </x:c>
      <x:c r="B395" s="192" t="str">
        <x:v>LMFT-MQB-FB-TX-003</x:v>
      </x:c>
      <x:c r="C395" s="192" t="str">
        <x:v>Comprehensive Simulation</x:v>
      </x:c>
      <x:c r="D395" s="192" t="str">
        <x:v>Form B</x:v>
      </x:c>
      <x:c r="E395" s="192" t="str">
        <x:v>Members of a newly formed group are guarded, unclear about expectations, and watching the facilitator closely. What is the facilitator’s central task at this stage?</x:v>
      </x:c>
      <x:c r="F395" s="192" t="str">
        <x:v>Allowing one member to set all norms.</x:v>
      </x:c>
      <x:c r="G395" s="192" t="str">
        <x:v>Forcing immediate deep disclosure.</x:v>
      </x:c>
      <x:c r="H395" s="192" t="str">
        <x:v>Establishing safety, purpose, norms, roles, and realistic expectations for participation.</x:v>
      </x:c>
      <x:c r="I395" s="192" t="str">
        <x:v>Ignoring anxiety because it is not therapeutic material.</x:v>
      </x:c>
      <x:c r="J395" s="192" t="str">
        <x:v>C</x:v>
      </x:c>
      <x:c r="K395" s="192" t="str">
        <x:v>Incorrect. The facilitator remains responsible for the group frame.</x:v>
      </x:c>
      <x:c r="L395" s="192" t="str">
        <x:v>Incorrect. Premature intensity may overwhelm members.</x:v>
      </x:c>
      <x:c r="M395" s="192" t="str">
        <x:v>Correct. Early structure and safety support cohesion and later therapeutic risk-taking.</x:v>
      </x:c>
      <x:c r="N395" s="192" t="str">
        <x:v>Incorrect. Anxiety is expected and can be addressed constructively.</x:v>
      </x:c>
      <x:c r="O395" s="192" t="str">
        <x:v>A. Incorrect. The facilitator remains responsible for the group frame.
B. Incorrect. Premature intensity may overwhelm members.
C. Correct. Early structure and safety support cohesion and later therapeutic risk-taking.
D. Incorrect. Anxiety is expected and can be addressed constructively.</x:v>
      </x:c>
      <x:c r="P395" s="192" t="str">
        <x:v>Group-stage questions ask what the group needs now, not what may be useful later.</x:v>
      </x:c>
      <x:c r="Q395" s="194" t="str">
        <x:v>CTA LMFT WB8; CTA LMFT WB11; Pearson VUE LMFT Outline Area 5</x:v>
      </x:c>
    </x:row>
    <x:row r="396">
      <x:c r="A396" s="191" t="str">
        <x:v>CTA-LMFT-MQB-0395</x:v>
      </x:c>
      <x:c r="B396" s="192" t="str">
        <x:v>LMFT-MQB-FB-DI-007</x:v>
      </x:c>
      <x:c r="C396" s="192" t="str">
        <x:v>Comprehensive Simulation</x:v>
      </x:c>
      <x:c r="D396" s="192" t="str">
        <x:v>Form B</x:v>
      </x:c>
      <x:c r="E396" s="192" t="str">
        <x:v>An adult requesting treatment for depression recalls a prior period of sleeping three hours, feeling unusually powerful, and making costly impulsive decisions. What should the therapist do before assigning a depressive diagnosis?</x:v>
      </x:c>
      <x:c r="F396" s="192" t="str">
        <x:v>Diagnose attention-deficit disorder from the risky spending.</x:v>
      </x:c>
      <x:c r="G396" s="192" t="str">
        <x:v>Assume the episode was healthy productivity.</x:v>
      </x:c>
      <x:c r="H396" s="192" t="str">
        <x:v>Assess the possible elevated-mood episode fully before concluding that the presentation is unipolar depression.</x:v>
      </x:c>
      <x:c r="I396" s="192" t="str">
        <x:v>Ignore the past episode because the client is currently depressed.</x:v>
      </x:c>
      <x:c r="J396" s="192" t="str">
        <x:v>C</x:v>
      </x:c>
      <x:c r="K396" s="192" t="str">
        <x:v>Incorrect. Risky spending alone does not establish ADHD.</x:v>
      </x:c>
      <x:c r="L396" s="192" t="str">
        <x:v>Incorrect. The associated impairment and change from baseline require assessment.</x:v>
      </x:c>
      <x:c r="M396" s="192" t="str">
        <x:v>Correct. A history of episodic elevated energy and decreased need for sleep can substantially change the diagnostic impression and treatment coordination.</x:v>
      </x:c>
      <x:c r="N396" s="192" t="str">
        <x:v>Incorrect. Current depression does not make past mood episodes irrelevant.</x:v>
      </x:c>
      <x:c r="O396" s="192" t="str">
        <x:v>A. Incorrect. Risky spending alone does not establish ADHD.
B. Incorrect. The associated impairment and change from baseline require assessment.
C. Correct. A history of episodic elevated energy and decreased need for sleep can substantially change the diagnostic impression and treatment coordination.
D. Incorrect. Current depression does not make past mood episodes irrelevant.</x:v>
      </x:c>
      <x:c r="P396" s="192" t="str">
        <x:v>Screen for prior elevated or irritable episodes whenever evaluating depression.</x:v>
      </x:c>
      <x:c r="Q396" s="194" t="str">
        <x:v>CTA LMFT WB5; Pearson VUE LMFT Outline Area 2</x:v>
      </x:c>
    </x:row>
    <x:row r="397">
      <x:c r="A397" s="191" t="str">
        <x:v>CTA-LMFT-MQB-0396</x:v>
      </x:c>
      <x:c r="B397" s="192" t="str">
        <x:v>LMFT-MQB-FB-DI-013</x:v>
      </x:c>
      <x:c r="C397" s="192" t="str">
        <x:v>Comprehensive Simulation</x:v>
      </x:c>
      <x:c r="D397" s="192" t="str">
        <x:v>Form B</x:v>
      </x:c>
      <x:c r="E397" s="192" t="str">
        <x:v>A client reports visions during a culturally sanctioned ceremony, remains organized, and is not distressed or impaired. How should the therapist evaluate the experience?</x:v>
      </x:c>
      <x:c r="F397" s="192" t="str">
        <x:v>Explore cultural meaning, context, control, distress, and functioning before interpreting the experience as psychosis.</x:v>
      </x:c>
      <x:c r="G397" s="192" t="str">
        <x:v>Assume every culturally shared belief is clinically irrelevant.</x:v>
      </x:c>
      <x:c r="H397" s="192" t="str">
        <x:v>Diagnose a psychotic disorder because the experience is unusual to the therapist.</x:v>
      </x:c>
      <x:c r="I397" s="192" t="str">
        <x:v>Avoid all discussion of spirituality.</x:v>
      </x:c>
      <x:c r="J397" s="192" t="str">
        <x:v>A</x:v>
      </x:c>
      <x:c r="K397" s="192" t="str">
        <x:v>Correct. Cultural context and functional impact are necessary to distinguish a belief or practice from psychopathology.</x:v>
      </x:c>
      <x:c r="L397" s="192" t="str">
        <x:v>Incorrect. Culturally congruent experiences can still require assessment if they cause distress or risk.</x:v>
      </x:c>
      <x:c r="M397" s="192" t="str">
        <x:v>Incorrect. The therapist’s unfamiliarity is not diagnostic evidence.</x:v>
      </x:c>
      <x:c r="N397" s="192" t="str">
        <x:v>Incorrect. Avoidance prevents accurate assessment.</x:v>
      </x:c>
      <x:c r="O397" s="192" t="str">
        <x:v>A. Correct. Cultural context and functional impact are necessary to distinguish a belief or practice from psychopathology.
B. Incorrect. Culturally congruent experiences can still require assessment if they cause distress or risk.
C. Incorrect. The therapist’s unfamiliarity is not diagnostic evidence.
D. Incorrect. Avoidance prevents accurate assessment.</x:v>
      </x:c>
      <x:c r="P397" s="192" t="str">
        <x:v>Unfamiliar is not the same as disordered; assess meaning, consensus, distress, control, and impairment.</x:v>
      </x:c>
      <x:c r="Q397" s="194" t="str">
        <x:v>CTA LMFT WB3; CTA LMFT WB5; Pearson VUE LMFT Outline Area 2</x:v>
      </x:c>
    </x:row>
    <x:row r="398">
      <x:c r="A398" s="191" t="str">
        <x:v>CTA-LMFT-MQB-0397</x:v>
      </x:c>
      <x:c r="B398" s="192" t="str">
        <x:v>LMFT-MQB-FB-TX-016</x:v>
      </x:c>
      <x:c r="C398" s="192" t="str">
        <x:v>Comprehensive Simulation</x:v>
      </x:c>
      <x:c r="D398" s="192" t="str">
        <x:v>Form B</x:v>
      </x:c>
      <x:c r="E398" s="192" t="str">
        <x:v>A client asks to begin intensive trauma processing but becomes disoriented under mild stress and has no reliable grounding skills. What should the therapist do?</x:v>
      </x:c>
      <x:c r="F398" s="192" t="str">
        <x:v>Proceed because faster exposure is always more effective.</x:v>
      </x:c>
      <x:c r="G398" s="192" t="str">
        <x:v>Explain the need for stabilization and present-focused regulation, assess readiness, and pace trauma processing to the client’s capacity.</x:v>
      </x:c>
      <x:c r="H398" s="192" t="str">
        <x:v>Avoid all trauma work permanently.</x:v>
      </x:c>
      <x:c r="I398" s="192" t="str">
        <x:v>Use surprise exposure to prevent avoidance.</x:v>
      </x:c>
      <x:c r="J398" s="192" t="str">
        <x:v>B</x:v>
      </x:c>
      <x:c r="K398" s="192" t="str">
        <x:v>Incorrect. Overwhelming exposure can worsen dissociation and dropout.</x:v>
      </x:c>
      <x:c r="L398" s="192" t="str">
        <x:v>Correct. Trauma processing should occur within a window of tolerance and with sufficient safety and regulation.</x:v>
      </x:c>
      <x:c r="M398" s="192" t="str">
        <x:v>Incorrect. Permanent avoidance may maintain symptoms.</x:v>
      </x:c>
      <x:c r="N398" s="192" t="str">
        <x:v>Incorrect. Surprise exposure undermines consent and safety.</x:v>
      </x:c>
      <x:c r="O398" s="192" t="str">
        <x:v>A. Incorrect. Overwhelming exposure can worsen dissociation and dropout.
B. Correct. Trauma processing should occur within a window of tolerance and with sufficient safety and regulation.
C. Incorrect. Permanent avoidance may maintain symptoms.
D. Incorrect. Surprise exposure undermines consent and safety.</x:v>
      </x:c>
      <x:c r="P398" s="192" t="str">
        <x:v>Trauma-informed treatment balances approach with pacing; readiness is not the same as urgency.</x:v>
      </x:c>
      <x:c r="Q398" s="194" t="str">
        <x:v>CTA LMFT WB9; Pearson VUE LMFT Outline Area 5</x:v>
      </x:c>
    </x:row>
    <x:row r="399">
      <x:c r="A399" s="191" t="str">
        <x:v>CTA-LMFT-MQB-0398</x:v>
      </x:c>
      <x:c r="B399" s="192" t="str">
        <x:v>LMFT-MQB-FB-DI-008</x:v>
      </x:c>
      <x:c r="C399" s="192" t="str">
        <x:v>Comprehensive Simulation</x:v>
      </x:c>
      <x:c r="D399" s="192" t="str">
        <x:v>Form B</x:v>
      </x:c>
      <x:c r="E399" s="192" t="str">
        <x:v>A client fears causing harm, recognizes the thoughts as unwanted, and performs repeated checking to reduce anxiety. Which feature most strongly argues against a primary psychotic explanation?</x:v>
      </x:c>
      <x:c r="F399" s="192" t="str">
        <x:v>The thoughts are experienced as unwanted and inconsistent with the client’s values, with preserved awareness that rituals are excessive or uncertain.</x:v>
      </x:c>
      <x:c r="G399" s="192" t="str">
        <x:v>The thoughts occur repeatedly.</x:v>
      </x:c>
      <x:c r="H399" s="192" t="str">
        <x:v>The content involves harm.</x:v>
      </x:c>
      <x:c r="I399" s="192" t="str">
        <x:v>The client feels anxious.</x:v>
      </x:c>
      <x:c r="J399" s="192" t="str">
        <x:v>A</x:v>
      </x:c>
      <x:c r="K399" s="192" t="str">
        <x:v>Correct. Ego-dystonic intrusive thoughts and some insight are more consistent with obsessions than fixed delusional belief.</x:v>
      </x:c>
      <x:c r="L399" s="192" t="str">
        <x:v>Incorrect. Repetition alone does not distinguish the disorders.</x:v>
      </x:c>
      <x:c r="M399" s="192" t="str">
        <x:v>Incorrect. Harm content can occur in several conditions.</x:v>
      </x:c>
      <x:c r="N399" s="192" t="str">
        <x:v>Incorrect. Anxiety is nonspecific.</x:v>
      </x:c>
      <x:c r="O399" s="192" t="str">
        <x:v>A. Correct. Ego-dystonic intrusive thoughts and some insight are more consistent with obsessions than fixed delusional belief.
B. Incorrect. Repetition alone does not distinguish the disorders.
C. Incorrect. Harm content can occur in several conditions.
D. Incorrect. Anxiety is nonspecific.</x:v>
      </x:c>
      <x:c r="P399" s="192" t="str">
        <x:v>Focus on the client’s relationship to the thought—belief, certainty, meaning, and insight—not only its content.</x:v>
      </x:c>
      <x:c r="Q399" s="194" t="str">
        <x:v>CTA LMFT WB5; Pearson VUE LMFT Outline Area 2</x:v>
      </x:c>
    </x:row>
    <x:row r="400">
      <x:c r="A400" s="191" t="str">
        <x:v>CTA-LMFT-MQB-0399</x:v>
      </x:c>
      <x:c r="B400" s="192" t="str">
        <x:v>LMFT-MQB-FB-CE-033</x:v>
      </x:c>
      <x:c r="C400" s="192" t="str">
        <x:v>Comprehensive Simulation</x:v>
      </x:c>
      <x:c r="D400" s="192" t="str">
        <x:v>Form B</x:v>
      </x:c>
      <x:c r="E400" s="192" t="str">
        <x:v>One family member sends the therapist a private message containing accusations and demands that no one else be told. What should the LMFT do before using the information?</x:v>
      </x:c>
      <x:c r="F400" s="192" t="str">
        <x:v>Ignore the content because it arrived by email.</x:v>
      </x:c>
      <x:c r="G400" s="192" t="str">
        <x:v>Promise secrecy to preserve the parent’s alliance.</x:v>
      </x:c>
      <x:c r="H400" s="192" t="str">
        <x:v>Forward the message to the whole family without assessment.</x:v>
      </x:c>
      <x:c r="I400" s="192" t="str">
        <x:v>Review the established information policy and treatment roles, assess any immediate safety issue, and avoid accepting a secret arrangement that conflicts with the treatment structure.</x:v>
      </x:c>
      <x:c r="J400" s="192" t="str">
        <x:v>D</x:v>
      </x:c>
      <x:c r="K400" s="192" t="str">
        <x:v>Incorrect. The content may contain clinically or safety-relevant information.</x:v>
      </x:c>
      <x:c r="L400" s="192" t="str">
        <x:v>Incorrect. A private alliance may undermine neutrality and informed expectations.</x:v>
      </x:c>
      <x:c r="M400" s="192" t="str">
        <x:v>Incorrect. Immediate broad disclosure may create harm and exceed the policy.</x:v>
      </x:c>
      <x:c r="N400" s="192" t="str">
        <x:v>Correct. Multi-client work requires consistent policies, safety review, and clear management of outside communications.</x:v>
      </x:c>
      <x:c r="O400" s="192" t="str">
        <x:v>A. Incorrect. The content may contain clinically or safety-relevant information.
B. Incorrect. A private alliance may undermine neutrality and informed expectations.
C. Incorrect. Immediate broad disclosure may create harm and exceed the policy.
D. Correct. Multi-client work requires consistent policies, safety review, and clear management of outside communications.</x:v>
      </x:c>
      <x:c r="P400" s="192" t="str">
        <x:v>In relational treatment, do not improvise a secret policy in response to one participant’s demand.</x:v>
      </x:c>
      <x:c r="Q400" s="194" t="str">
        <x:v>CTA LMFT WB2; CTA LMFT WB12; Pearson VUE LMFT Outline Area 1</x:v>
      </x:c>
    </x:row>
    <x:row r="401">
      <x:c r="A401" s="191" t="str">
        <x:v>CTA-LMFT-MQB-0400</x:v>
      </x:c>
      <x:c r="B401" s="192" t="str">
        <x:v>LMFT-MQB-FB-TX-043</x:v>
      </x:c>
      <x:c r="C401" s="192" t="str">
        <x:v>Comprehensive Simulation</x:v>
      </x:c>
      <x:c r="D401" s="192" t="str">
        <x:v>Form B</x:v>
      </x:c>
      <x:c r="E401" s="192" t="str">
        <x:v>A client has met major goals but calls the therapist before ordinary decisions and requests permanent weekly sessions. What should the therapist do?</x:v>
      </x:c>
      <x:c r="F401" s="192" t="str">
        <x:v>Review goals and gains, explore the reassurance pattern, shift responsibility through graduated independence, and develop a planned step-down or termination process with criteria for recontact.</x:v>
      </x:c>
      <x:c r="G401" s="192" t="str">
        <x:v>Assure the client the therapist will always be available before decisions.</x:v>
      </x:c>
      <x:c r="H401" s="192" t="str">
        <x:v>Terminate immediately to force independence.</x:v>
      </x:c>
      <x:c r="I401" s="192" t="str">
        <x:v>Continue unchanged indefinitely.</x:v>
      </x:c>
      <x:c r="J401" s="192" t="str">
        <x:v>A</x:v>
      </x:c>
      <x:c r="K401" s="192" t="str">
        <x:v>Correct. The response addresses remaining dependence while avoiding both unnecessary continuation and abrupt withdrawal.</x:v>
      </x:c>
      <x:c r="L401" s="192" t="str">
        <x:v>Incorrect. Unlimited availability reinforces dependence and creates boundary problems.</x:v>
      </x:c>
      <x:c r="M401" s="192" t="str">
        <x:v>Incorrect. Abrupt termination can be harmful and miss therapeutic work.</x:v>
      </x:c>
      <x:c r="N401" s="192" t="str">
        <x:v>Incorrect. Unchanged treatment may reinforce the pattern.</x:v>
      </x:c>
      <x:c r="O401" s="192" t="str">
        <x:v>A. Correct. The response addresses remaining dependence while avoiding both unnecessary continuation and abrupt withdrawal.
B. Incorrect. Unlimited availability reinforces dependence and creates boundary problems.
C. Incorrect. Abrupt termination can be harmful and miss therapeutic work.
D. Incorrect. Unchanged treatment may reinforce the pattern.</x:v>
      </x:c>
      <x:c r="P401" s="192" t="str">
        <x:v>Termination decisions should be based on goals, function, remaining mechanisms, and a deliberate transition plan.</x:v>
      </x:c>
      <x:c r="Q401" s="194" t="str">
        <x:v>CTA LMFT WB7; CTA LMFT WB12; Pearson VUE LMFT Outline Area 5</x:v>
      </x:c>
    </x:row>
    <x:row r="402">
      <x:c r="A402" s="191" t="str">
        <x:v>CTA-LMFT-MQB-0401</x:v>
      </x:c>
      <x:c r="B402" s="192" t="str">
        <x:v>LMFT-MQB-FB-TX-007</x:v>
      </x:c>
      <x:c r="C402" s="192" t="str">
        <x:v>Comprehensive Simulation</x:v>
      </x:c>
      <x:c r="D402" s="192" t="str">
        <x:v>Form B</x:v>
      </x:c>
      <x:c r="E402" s="192" t="str">
        <x:v>During arguments, a client sends impulsive texts and later feels ashamed. Which skill should be practiced first?</x:v>
      </x:c>
      <x:c r="F402" s="192" t="str">
        <x:v>Encourage immediate emotional expression by text.</x:v>
      </x:c>
      <x:c r="G402" s="192" t="str">
        <x:v>Suppress all emotion.</x:v>
      </x:c>
      <x:c r="H402" s="192" t="str">
        <x:v>Analyze the partner’s motives while highly activated.</x:v>
      </x:c>
      <x:c r="I402" s="192" t="str">
        <x:v>Practice pausing, grounding, and delaying response until arousal decreases enough for deliberate action.</x:v>
      </x:c>
      <x:c r="J402" s="192" t="str">
        <x:v>D</x:v>
      </x:c>
      <x:c r="K402" s="192" t="str">
        <x:v>Incorrect. Immediate messaging may escalate the conflict.</x:v>
      </x:c>
      <x:c r="L402" s="192" t="str">
        <x:v>Incorrect. Regulation is not the same as emotional suppression.</x:v>
      </x:c>
      <x:c r="M402" s="192" t="str">
        <x:v>Incorrect. Complex interpretation is difficult during high arousal.</x:v>
      </x:c>
      <x:c r="N402" s="192" t="str">
        <x:v>Correct. Reducing arousal creates the conditions for effective communication and impulse control.</x:v>
      </x:c>
      <x:c r="O402" s="192" t="str">
        <x:v>A. Incorrect. Immediate messaging may escalate the conflict.
B. Incorrect. Regulation is not the same as emotional suppression.
C. Incorrect. Complex interpretation is difficult during high arousal.
D. Correct. Reducing arousal creates the conditions for effective communication and impulse control.</x:v>
      </x:c>
      <x:c r="P402" s="192" t="str">
        <x:v>When arousal is too high for problem-solving, regulate first and communicate second.</x:v>
      </x:c>
      <x:c r="Q402" s="194" t="str">
        <x:v>CTA LMFT WB9; Pearson VUE LMFT Outline Area 5</x:v>
      </x:c>
    </x:row>
    <x:row r="403">
      <x:c r="A403" s="191" t="str">
        <x:v>CTA-LMFT-MQB-0402</x:v>
      </x:c>
      <x:c r="B403" s="192" t="str">
        <x:v>LMFT-MQB-FB-CR-015</x:v>
      </x:c>
      <x:c r="C403" s="192" t="str">
        <x:v>Comprehensive Simulation</x:v>
      </x:c>
      <x:c r="D403" s="192" t="str">
        <x:v>Form B</x:v>
      </x:c>
      <x:c r="E403" s="192" t="str">
        <x:v>A client with immediate suicidal intent refuses permission to contact anyone and has access to the planned method. How should the therapist respond to the confidentiality issue?</x:v>
      </x:c>
      <x:c r="F403" s="192" t="str">
        <x:v>Take necessary emergency and protective actions, disclose only information needed for safety, and document why confidentiality was limited.</x:v>
      </x:c>
      <x:c r="G403" s="192" t="str">
        <x:v>Tell the spouse the client’s complete treatment history.</x:v>
      </x:c>
      <x:c r="H403" s="192" t="str">
        <x:v>Terminate because the client declined family involvement.</x:v>
      </x:c>
      <x:c r="I403" s="192" t="str">
        <x:v>Honor the refusal and continue weekly therapy.</x:v>
      </x:c>
      <x:c r="J403" s="192" t="str">
        <x:v>A</x:v>
      </x:c>
      <x:c r="K403" s="192" t="str">
        <x:v>Correct. Imminent safety needs can justify limited disclosure and emergency intervention despite refusal.</x:v>
      </x:c>
      <x:c r="L403" s="192" t="str">
        <x:v>Incorrect. Disclosure should be limited to what is necessary.</x:v>
      </x:c>
      <x:c r="M403" s="192" t="str">
        <x:v>Incorrect. Termination does not manage the emergency.</x:v>
      </x:c>
      <x:c r="N403" s="192" t="str">
        <x:v>Incorrect. Routine care is insufficient for the described danger.</x:v>
      </x:c>
      <x:c r="O403" s="192" t="str">
        <x:v>A. Correct. Imminent safety needs can justify limited disclosure and emergency intervention despite refusal.
B. Incorrect. Disclosure should be limited to what is necessary.
C. Incorrect. Termination does not manage the emergency.
D. Incorrect. Routine care is insufficient for the described danger.</x:v>
      </x:c>
      <x:c r="P403" s="192" t="str">
        <x:v>In high-risk situations, autonomy and confidentiality remain important but do not require passivity.</x:v>
      </x:c>
      <x:c r="Q403" s="194" t="str">
        <x:v>CTA LMFT WB6; CTA LMFT WB12; Pearson VUE LMFT Outline Area 3</x:v>
      </x:c>
    </x:row>
    <x:row r="404">
      <x:c r="A404" s="191" t="str">
        <x:v>CTA-LMFT-MQB-0403</x:v>
      </x:c>
      <x:c r="B404" s="192" t="str">
        <x:v>LMFT-MQB-FB-CE-038</x:v>
      </x:c>
      <x:c r="C404" s="192" t="str">
        <x:v>Comprehensive Simulation</x:v>
      </x:c>
      <x:c r="D404" s="192" t="str">
        <x:v>Form B</x:v>
      </x:c>
      <x:c r="E404" s="192" t="str">
        <x:v>A middle-school student denies distress, caregivers describe marked isolation, and staff report a sudden decline after online harassment. What evaluation plan is most appropriate?</x:v>
      </x:c>
      <x:c r="F404" s="192" t="str">
        <x:v>Choose the parents’ report because adults are more reliable.</x:v>
      </x:c>
      <x:c r="G404" s="192" t="str">
        <x:v>Diagnose oppositional behavior because reports differ.</x:v>
      </x:c>
      <x:c r="H404" s="192" t="str">
        <x:v>Assess the adolescent privately and with caregivers as appropriate, clarify bullying and safety, compare functioning across settings, and integrate developmental, family, and school data.</x:v>
      </x:c>
      <x:c r="I404" s="192" t="str">
        <x:v>Accept the adolescent’s denial and close the evaluation.</x:v>
      </x:c>
      <x:c r="J404" s="192" t="str">
        <x:v>C</x:v>
      </x:c>
      <x:c r="K404" s="192" t="str">
        <x:v>Incorrect. Adult status does not automatically determine accuracy.</x:v>
      </x:c>
      <x:c r="L404" s="192" t="str">
        <x:v>Incorrect. Disagreement among informants does not establish oppositionality.</x:v>
      </x:c>
      <x:c r="M404" s="192" t="str">
        <x:v>Correct. The plan respects development and confidentiality while integrating cross-setting evidence and immediate contextual risk.</x:v>
      </x:c>
      <x:c r="N404" s="192" t="str">
        <x:v>Incorrect. Denial may reflect shame, fear, or limited insight.</x:v>
      </x:c>
      <x:c r="O404" s="192" t="str">
        <x:v>A. Incorrect. Adult status does not automatically determine accuracy.
B. Incorrect. Disagreement among informants does not establish oppositionality.
C. Correct. The plan respects development and confidentiality while integrating cross-setting evidence and immediate contextual risk.
D. Incorrect. Denial may reflect shame, fear, or limited insight.</x:v>
      </x:c>
      <x:c r="P404" s="192" t="str">
        <x:v>Use multiple informants to map context and change, not to conduct a credibility contest.</x:v>
      </x:c>
      <x:c r="Q404" s="194" t="str">
        <x:v>CTA LMFT WB2; CTA LMFT WB3; CTA LMFT WB4; Pearson VUE LMFT Outline Area 1</x:v>
      </x:c>
    </x:row>
    <x:row r="405">
      <x:c r="A405" s="191" t="str">
        <x:v>CTA-LMFT-MQB-0404</x:v>
      </x:c>
      <x:c r="B405" s="192" t="str">
        <x:v>LMFT-MQB-FB-CE-007</x:v>
      </x:c>
      <x:c r="C405" s="192" t="str">
        <x:v>Comprehensive Simulation</x:v>
      </x:c>
      <x:c r="D405" s="192" t="str">
        <x:v>Form B</x:v>
      </x:c>
      <x:c r="E405" s="192" t="str">
        <x:v>A probation officer refers an adolescent and asks the therapist to confirm attendance and treatment progress. What should the LMFT establish before agreeing to provide services?</x:v>
      </x:c>
      <x:c r="F405" s="192" t="str">
        <x:v>Only the teenager’s preferred diagnosis.</x:v>
      </x:c>
      <x:c r="G405" s="192" t="str">
        <x:v>Whether the school will pay for treatment.</x:v>
      </x:c>
      <x:c r="H405" s="192" t="str">
        <x:v>The referral purpose, who is considered the client, what information may be shared, and the limits of each participant’s role.</x:v>
      </x:c>
      <x:c r="I405" s="192" t="str">
        <x:v>Which parent should be blamed for the school problem.</x:v>
      </x:c>
      <x:c r="J405" s="192" t="str">
        <x:v>C</x:v>
      </x:c>
      <x:c r="K405" s="192" t="str">
        <x:v>Incorrect. Diagnosis is not the only or first role question.</x:v>
      </x:c>
      <x:c r="L405" s="192" t="str">
        <x:v>Incorrect. Payment may matter administratively but does not resolve confidentiality and treatment roles.</x:v>
      </x:c>
      <x:c r="M405" s="192" t="str">
        <x:v>Correct. Role and disclosure expectations must be clarified before clinical information is collected or released.</x:v>
      </x:c>
      <x:c r="N405" s="192" t="str">
        <x:v>Incorrect. Blame is not a clinical intake task.</x:v>
      </x:c>
      <x:c r="O405" s="192" t="str">
        <x:v>A. Incorrect. Diagnosis is not the only or first role question.
B. Incorrect. Payment may matter administratively but does not resolve confidentiality and treatment roles.
C. Correct. Role and disclosure expectations must be clarified before clinical information is collected or released.
D. Incorrect. Blame is not a clinical intake task.</x:v>
      </x:c>
      <x:c r="P405" s="192" t="str">
        <x:v>Third-party expectations are clues to clarify roles, consent, confidentiality, and reporting before promising anything.</x:v>
      </x:c>
      <x:c r="Q405" s="194" t="str">
        <x:v>CTA LMFT WB2; CTA LMFT WB12; Pearson VUE LMFT Outline Area 1</x:v>
      </x:c>
    </x:row>
    <x:row r="406">
      <x:c r="A406" s="191" t="str">
        <x:v>CTA-LMFT-MQB-0405</x:v>
      </x:c>
      <x:c r="B406" s="192" t="str">
        <x:v>LMFT-MQB-FB-TX-030</x:v>
      </x:c>
      <x:c r="C406" s="192" t="str">
        <x:v>Comprehensive Simulation</x:v>
      </x:c>
      <x:c r="D406" s="192" t="str">
        <x:v>Form B</x:v>
      </x:c>
      <x:c r="E406" s="192" t="str">
        <x:v>A client with persistent psychotic symptoms wants to resume a supported college program. What should the therapist do next?</x:v>
      </x:c>
      <x:c r="F406" s="192" t="str">
        <x:v>Promise that employment will eliminate symptoms.</x:v>
      </x:c>
      <x:c r="G406" s="192" t="str">
        <x:v>Support the goal, assess current functioning and risk, identify accommodations and supports, and coordinate with the treatment team.</x:v>
      </x:c>
      <x:c r="H406" s="192" t="str">
        <x:v>Discourage work until all symptoms disappear.</x:v>
      </x:c>
      <x:c r="I406" s="192" t="str">
        <x:v>Focus only on medication compliance.</x:v>
      </x:c>
      <x:c r="J406" s="192" t="str">
        <x:v>B</x:v>
      </x:c>
      <x:c r="K406" s="192" t="str">
        <x:v>Incorrect. Employment cannot be guaranteed to cure symptoms.</x:v>
      </x:c>
      <x:c r="L406" s="192" t="str">
        <x:v>Correct. Recovery-oriented care supports meaningful roles while managing symptoms and practical supports.</x:v>
      </x:c>
      <x:c r="M406" s="192" t="str">
        <x:v>Incorrect. Full symptom remission is not always necessary for valued activity.</x:v>
      </x:c>
      <x:c r="N406" s="192" t="str">
        <x:v>Incorrect. Medication is only one component of recovery.</x:v>
      </x:c>
      <x:c r="O406" s="192" t="str">
        <x:v>A. Incorrect. Employment cannot be guaranteed to cure symptoms.
B. Correct. Recovery-oriented care supports meaningful roles while managing symptoms and practical supports.
C. Incorrect. Full symptom remission is not always necessary for valued activity.
D. Incorrect. Medication is only one component of recovery.</x:v>
      </x:c>
      <x:c r="P406" s="192" t="str">
        <x:v>Measure recovery by meaningful functioning and self-directed goals, not only symptom absence.</x:v>
      </x:c>
      <x:c r="Q406" s="194" t="str">
        <x:v>CTA LMFT WB9; CTA LMFT WB11; Pearson VUE LMFT Outline Area 5</x:v>
      </x:c>
    </x:row>
    <x:row r="407">
      <x:c r="A407" s="191" t="str">
        <x:v>CTA-LMFT-MQB-0406</x:v>
      </x:c>
      <x:c r="B407" s="192" t="str">
        <x:v>LMFT-MQB-FB-CE-037</x:v>
      </x:c>
      <x:c r="C407" s="192" t="str">
        <x:v>Comprehensive Simulation</x:v>
      </x:c>
      <x:c r="D407" s="192" t="str">
        <x:v>Form B</x:v>
      </x:c>
      <x:c r="E407" s="192" t="str">
        <x:v>A couple requests help with arguing. One partner also reports almost no sleep and impulsive spending after a medication change, while the other expresses fear at home. What is the first clinical priority?</x:v>
      </x:c>
      <x:c r="F407" s="192" t="str">
        <x:v>Ask the couple to agree not to mention safety concerns.</x:v>
      </x:c>
      <x:c r="G407" s="192" t="str">
        <x:v>Pause routine couple assessment to evaluate immediate safety, possible mood or medication factors, and whether conjoint treatment is currently appropriate.</x:v>
      </x:c>
      <x:c r="H407" s="192" t="str">
        <x:v>Select a family-systems diagnosis before gathering more information.</x:v>
      </x:c>
      <x:c r="I407" s="192" t="str">
        <x:v>Begin communication-skills training because that is the stated goal.</x:v>
      </x:c>
      <x:c r="J407" s="192" t="str">
        <x:v>B</x:v>
      </x:c>
      <x:c r="K407" s="192" t="str">
        <x:v>Incorrect. Suppressing safety information is unsafe and unethical.</x:v>
      </x:c>
      <x:c r="L407" s="192" t="str">
        <x:v>Correct. The vignette contains higher-priority safety and medical-differential concerns that may change the treatment setting and unit.</x:v>
      </x:c>
      <x:c r="M407" s="192" t="str">
        <x:v>Incorrect. A systemic formulation should follow adequate evaluation.</x:v>
      </x:c>
      <x:c r="N407" s="192" t="str">
        <x:v>Incorrect. The presenting request does not outrank acute risk.</x:v>
      </x:c>
      <x:c r="O407" s="192" t="str">
        <x:v>A. Incorrect. Suppressing safety information is unsafe and unethical.
B. Correct. The vignette contains higher-priority safety and medical-differential concerns that may change the treatment setting and unit.
C. Incorrect. A systemic formulation should follow adequate evaluation.
D. Incorrect. The presenting request does not outrank acute risk.</x:v>
      </x:c>
      <x:c r="P407" s="192" t="str">
        <x:v>Integrated items often hide a higher-priority task beneath the referral complaint.</x:v>
      </x:c>
      <x:c r="Q407" s="194" t="str">
        <x:v>CTA LMFT WB2; CTA LMFT WB5; CTA LMFT WB6; Pearson VUE LMFT Outline Area 1</x:v>
      </x:c>
    </x:row>
    <x:row r="408">
      <x:c r="A408" s="191" t="str">
        <x:v>CTA-LMFT-MQB-0407</x:v>
      </x:c>
      <x:c r="B408" s="192" t="str">
        <x:v>LMFT-MQB-FB-CP-014</x:v>
      </x:c>
      <x:c r="C408" s="192" t="str">
        <x:v>Comprehensive Simulation</x:v>
      </x:c>
      <x:c r="D408" s="192" t="str">
        <x:v>Form B</x:v>
      </x:c>
      <x:c r="E408" s="192" t="str">
        <x:v>Before admitting members to a new trauma-recovery group, what should the therapist establish?</x:v>
      </x:c>
      <x:c r="F408" s="192" t="str">
        <x:v>Begin the group before defining its purpose.</x:v>
      </x:c>
      <x:c r="G408" s="192" t="str">
        <x:v>Admit everyone who expresses interest.</x:v>
      </x:c>
      <x:c r="H408" s="192" t="str">
        <x:v>Select members only by diagnosis.</x:v>
      </x:c>
      <x:c r="I408" s="192" t="str">
        <x:v>Clarify group purpose, screen for safety and readiness, consider composition and accessibility, and explain expectations and confidentiality limits.</x:v>
      </x:c>
      <x:c r="J408" s="192" t="str">
        <x:v>D</x:v>
      </x:c>
      <x:c r="K408" s="192" t="str">
        <x:v>Incorrect. Purpose guides screening and structure.</x:v>
      </x:c>
      <x:c r="L408" s="192" t="str">
        <x:v>Incorrect. Interest alone does not establish readiness.</x:v>
      </x:c>
      <x:c r="M408" s="192" t="str">
        <x:v>Incorrect. Diagnosis is only one aspect of group fit.</x:v>
      </x:c>
      <x:c r="N408" s="192" t="str">
        <x:v>Correct. Group planning requires fit, safety, purpose, and informed expectations.</x:v>
      </x:c>
      <x:c r="O408" s="192" t="str">
        <x:v>A. Incorrect. Purpose guides screening and structure.
B. Incorrect. Interest alone does not establish readiness.
C. Incorrect. Diagnosis is only one aspect of group fit.
D. Correct. Group planning requires fit, safety, purpose, and informed expectations.</x:v>
      </x:c>
      <x:c r="P408" s="192" t="str">
        <x:v>Screen for whether this person, this group, and this time fit one another.</x:v>
      </x:c>
      <x:c r="Q408" s="194" t="str">
        <x:v>CTA LMFT WB8; CTA LMFT WB11; Pearson VUE LMFT Outline Area 4</x:v>
      </x:c>
    </x:row>
    <x:row r="409">
      <x:c r="A409" s="191" t="str">
        <x:v>CTA-LMFT-MQB-0408</x:v>
      </x:c>
      <x:c r="B409" s="192" t="str">
        <x:v>LMFT-MQB-FB-TX-012</x:v>
      </x:c>
      <x:c r="C409" s="192" t="str">
        <x:v>Comprehensive Simulation</x:v>
      </x:c>
      <x:c r="D409" s="192" t="str">
        <x:v>Form B</x:v>
      </x:c>
      <x:c r="E409" s="192" t="str">
        <x:v>One partner demands closeness when frightened, while the other becomes distant when feeling inadequate. What should an attachment-focused therapist help the couple do?</x:v>
      </x:c>
      <x:c r="F409" s="192" t="str">
        <x:v>Ask the withdrawing partner to disclose everything immediately.</x:v>
      </x:c>
      <x:c r="G409" s="192" t="str">
        <x:v>Teach debate skills so each can prove the other wrong.</x:v>
      </x:c>
      <x:c r="H409" s="192" t="str">
        <x:v>Help each partner identify the vulnerable emotion and attachment need beneath the protective position and respond to the cycle rather than blaming the person.</x:v>
      </x:c>
      <x:c r="I409" s="192" t="str">
        <x:v>Determine which partner started the cycle.</x:v>
      </x:c>
      <x:c r="J409" s="192" t="str">
        <x:v>C</x:v>
      </x:c>
      <x:c r="K409" s="192" t="str">
        <x:v>Incorrect. Pacing is necessary to avoid overwhelming withdrawal.</x:v>
      </x:c>
      <x:c r="L409" s="192" t="str">
        <x:v>Incorrect. Winning arguments does not create secure responsiveness.</x:v>
      </x:c>
      <x:c r="M409" s="192" t="str">
        <x:v>Correct. Attachment-focused work reframes protective behaviors and increases accessible, responsive engagement.</x:v>
      </x:c>
      <x:c r="N409" s="192" t="str">
        <x:v>Incorrect. Linear blame misses reciprocity.</x:v>
      </x:c>
      <x:c r="O409" s="192" t="str">
        <x:v>A. Incorrect. Pacing is necessary to avoid overwhelming withdrawal.
B. Incorrect. Winning arguments does not create secure responsiveness.
C. Correct. Attachment-focused work reframes protective behaviors and increases accessible, responsive engagement.
D. Incorrect. Linear blame misses reciprocity.</x:v>
      </x:c>
      <x:c r="P409" s="192" t="str">
        <x:v>Track the cycle and the softer emotion under each position.</x:v>
      </x:c>
      <x:c r="Q409" s="194" t="str">
        <x:v>CTA LMFT WB8; Pearson VUE LMFT Outline Area 5</x:v>
      </x:c>
    </x:row>
    <x:row r="410">
      <x:c r="A410" s="191" t="str">
        <x:v>CTA-LMFT-MQB-0409</x:v>
      </x:c>
      <x:c r="B410" s="192" t="str">
        <x:v>LMFT-MQB-FB-CE-039</x:v>
      </x:c>
      <x:c r="C410" s="192" t="str">
        <x:v>Comprehensive Simulation</x:v>
      </x:c>
      <x:c r="D410" s="192" t="str">
        <x:v>Form B</x:v>
      </x:c>
      <x:c r="E410" s="192" t="str">
        <x:v>After displacement and violence, a client reports stomach pain and exhaustion and describes distress mainly through bodily symptoms. Medical care has ruled out an immediate emergency. How should the LMFT evaluate the presentation?</x:v>
      </x:c>
      <x:c r="F410" s="192" t="str">
        <x:v>Explore trauma, mood, anxiety, cultural meaning, family responses, functioning, and continued medical follow-up without dismissing the symptoms as “just psychological.”</x:v>
      </x:c>
      <x:c r="G410" s="192" t="str">
        <x:v>Conclude that the client is malingering because tests were negative.</x:v>
      </x:c>
      <x:c r="H410" s="192" t="str">
        <x:v>Insist that the client describe emotions using the therapist’s preferred vocabulary.</x:v>
      </x:c>
      <x:c r="I410" s="192" t="str">
        <x:v>Avoid family questions because physical symptoms are individual.</x:v>
      </x:c>
      <x:c r="J410" s="192" t="str">
        <x:v>A</x:v>
      </x:c>
      <x:c r="K410" s="192" t="str">
        <x:v>Correct. A biopsychosocial and cultural formulation respects somatic expression, trauma, relational context, and ongoing medical uncertainty.</x:v>
      </x:c>
      <x:c r="L410" s="192" t="str">
        <x:v>Incorrect. Negative tests do not prove intentional fabrication.</x:v>
      </x:c>
      <x:c r="M410" s="192" t="str">
        <x:v>Incorrect. Imposing a communication style can reduce engagement and accuracy.</x:v>
      </x:c>
      <x:c r="N410" s="192" t="str">
        <x:v>Incorrect. Family responses may influence distress and coping.</x:v>
      </x:c>
      <x:c r="O410" s="192" t="str">
        <x:v>A. Correct. A biopsychosocial and cultural formulation respects somatic expression, trauma, relational context, and ongoing medical uncertainty.
B. Incorrect. Negative tests do not prove intentional fabrication.
C. Incorrect. Imposing a communication style can reduce engagement and accuracy.
D. Incorrect. Family responses may influence distress and coping.</x:v>
      </x:c>
      <x:c r="P410" s="192" t="str">
        <x:v>Integrate body, meaning, culture, trauma, and relationships rather than forcing an either-medical-or-psychological choice.</x:v>
      </x:c>
      <x:c r="Q410" s="194" t="str">
        <x:v>CTA LMFT WB3; CTA LMFT WB4; CTA LMFT WB5; Pearson VUE LMFT Outline Area 1</x:v>
      </x:c>
    </x:row>
    <x:row r="411">
      <x:c r="A411" s="191" t="str">
        <x:v>CTA-LMFT-MQB-0410</x:v>
      </x:c>
      <x:c r="B411" s="192" t="str">
        <x:v>LMFT-MQB-FB-LE-005</x:v>
      </x:c>
      <x:c r="C411" s="192" t="str">
        <x:v>Comprehensive Simulation</x:v>
      </x:c>
      <x:c r="D411" s="192" t="str">
        <x:v>Form B</x:v>
      </x:c>
      <x:c r="E411" s="192" t="str">
        <x:v>A family offers the therapist a modest ceremonial gift that carries important cultural meaning. How should the LMFT decide whether acceptance is appropriate?</x:v>
      </x:c>
      <x:c r="F411" s="192" t="str">
        <x:v>Explore the meaning, clinical impact, cultural context, policy, and potential boundary consequences before deciding whether to accept.</x:v>
      </x:c>
      <x:c r="G411" s="192" t="str">
        <x:v>Accept it secretly and omit documentation.</x:v>
      </x:c>
      <x:c r="H411" s="192" t="str">
        <x:v>Reject every gift automatically.</x:v>
      </x:c>
      <x:c r="I411" s="192" t="str">
        <x:v>Accept every gift to avoid cultural offense.</x:v>
      </x:c>
      <x:c r="J411" s="192" t="str">
        <x:v>A</x:v>
      </x:c>
      <x:c r="K411" s="192" t="str">
        <x:v>Correct. Ethical boundary decisions are contextual and should consider value, meaning, timing, exploitation risk, and treatment impact.</x:v>
      </x:c>
      <x:c r="L411" s="192" t="str">
        <x:v>Incorrect. Secrecy undermines transparency and reflection.</x:v>
      </x:c>
      <x:c r="M411" s="192" t="str">
        <x:v>Incorrect. A universal rejection rule may ignore culture and clinical context.</x:v>
      </x:c>
      <x:c r="N411" s="192" t="str">
        <x:v>Incorrect. Automatic acceptance also ignores risk.</x:v>
      </x:c>
      <x:c r="O411" s="192" t="str">
        <x:v>A. Correct. Ethical boundary decisions are contextual and should consider value, meaning, timing, exploitation risk, and treatment impact.
B. Incorrect. Secrecy undermines transparency and reflection.
C. Incorrect. A universal rejection rule may ignore culture and clinical context.
D. Incorrect. Automatic acceptance also ignores risk.</x:v>
      </x:c>
      <x:c r="P411" s="192" t="str">
        <x:v>Avoid rigid gift rules; analyze meaning, value, timing, power, and foreseeable impact.</x:v>
      </x:c>
      <x:c r="Q411" s="194" t="str">
        <x:v>CTA LMFT WB12; Pearson VUE LMFT Outline Area 6</x:v>
      </x:c>
    </x:row>
    <x:row r="412">
      <x:c r="A412" s="191" t="str">
        <x:v>CTA-LMFT-MQB-0411</x:v>
      </x:c>
      <x:c r="B412" s="192" t="str">
        <x:v>LMFT-MQB-FB-CE-023</x:v>
      </x:c>
      <x:c r="C412" s="192" t="str">
        <x:v>Comprehensive Simulation</x:v>
      </x:c>
      <x:c r="D412" s="192" t="str">
        <x:v>Form B</x:v>
      </x:c>
      <x:c r="E412" s="192" t="str">
        <x:v>A court referral lists “parenting deficiencies,” but the client wants help coping with a recent separation. What should the therapist address before choosing treatment goals?</x:v>
      </x:c>
      <x:c r="F412" s="192" t="str">
        <x:v>Clarify the referral requirements, confidentiality limits, and the client’s own concerns and goals.</x:v>
      </x:c>
      <x:c r="G412" s="192" t="str">
        <x:v>Tell the employer the client disagrees with the referral.</x:v>
      </x:c>
      <x:c r="H412" s="192" t="str">
        <x:v>Adopt the employer’s goal without discussion.</x:v>
      </x:c>
      <x:c r="I412" s="192" t="str">
        <x:v>Reject the referral because two goals are present.</x:v>
      </x:c>
      <x:c r="J412" s="192" t="str">
        <x:v>A</x:v>
      </x:c>
      <x:c r="K412" s="192" t="str">
        <x:v>Correct. The therapist must understand the mandate and preserve the client’s participation before defining treatment.</x:v>
      </x:c>
      <x:c r="L412" s="192" t="str">
        <x:v>Incorrect. Disclosure to the employer requires authorization or another basis.</x:v>
      </x:c>
      <x:c r="M412" s="192" t="str">
        <x:v>Incorrect. A third party’s goal does not automatically replace the client’s concerns.</x:v>
      </x:c>
      <x:c r="N412" s="192" t="str">
        <x:v>Incorrect. Different goals can be clarified and negotiated.</x:v>
      </x:c>
      <x:c r="O412" s="192" t="str">
        <x:v>A. Correct. The therapist must understand the mandate and preserve the client’s participation before defining treatment.
B. Incorrect. Disclosure to the employer requires authorization or another basis.
C. Incorrect. A third party’s goal does not automatically replace the client’s concerns.
D. Incorrect. Different goals can be clarified and negotiated.</x:v>
      </x:c>
      <x:c r="P412" s="192" t="str">
        <x:v>When a third party and client define the problem differently, clarify roles and required reporting before planning.</x:v>
      </x:c>
      <x:c r="Q412" s="194" t="str">
        <x:v>CTA LMFT WB2; CTA LMFT WB12; Pearson VUE LMFT Outline Area 1</x:v>
      </x:c>
    </x:row>
    <x:row r="413">
      <x:c r="A413" s="191" t="str">
        <x:v>CTA-LMFT-MQB-0412</x:v>
      </x:c>
      <x:c r="B413" s="192" t="str">
        <x:v>LMFT-MQB-FB-CR-006</x:v>
      </x:c>
      <x:c r="C413" s="192" t="str">
        <x:v>Comprehensive Simulation</x:v>
      </x:c>
      <x:c r="D413" s="192" t="str">
        <x:v>Form B</x:v>
      </x:c>
      <x:c r="E413" s="192" t="str">
        <x:v>Near the end of session, a client says, “Soon none of this will be my problem.” What should the therapist ask first?</x:v>
      </x:c>
      <x:c r="F413" s="192" t="str">
        <x:v>Reassure the client that family members disagree.</x:v>
      </x:c>
      <x:c r="G413" s="192" t="str">
        <x:v>Change the subject to preserve rapport.</x:v>
      </x:c>
      <x:c r="H413" s="192" t="str">
        <x:v>Ask directly about suicidal thoughts, intent, plan, access to means, and immediate safety.</x:v>
      </x:c>
      <x:c r="I413" s="192" t="str">
        <x:v>Wait for the client to mention suicide explicitly.</x:v>
      </x:c>
      <x:c r="J413" s="192" t="str">
        <x:v>C</x:v>
      </x:c>
      <x:c r="K413" s="192" t="str">
        <x:v>Incorrect. Reassurance does not clarify danger.</x:v>
      </x:c>
      <x:c r="L413" s="192" t="str">
        <x:v>Incorrect. Avoidance can miss imminent risk.</x:v>
      </x:c>
      <x:c r="M413" s="192" t="str">
        <x:v>Correct. The statement is a clear cue for direct, calm risk assessment.</x:v>
      </x:c>
      <x:c r="N413" s="192" t="str">
        <x:v>Incorrect. The therapist should not require the client to use specific words before assessing.</x:v>
      </x:c>
      <x:c r="O413" s="192" t="str">
        <x:v>A. Incorrect. Reassurance does not clarify danger.
B. Incorrect. Avoidance can miss imminent risk.
C. Correct. The statement is a clear cue for direct, calm risk assessment.
D. Incorrect. The therapist should not require the client to use specific words before assessing.</x:v>
      </x:c>
      <x:c r="P413" s="192" t="str">
        <x:v>Ambiguous death-related statements should be clarified directly, not interpreted from a distance.</x:v>
      </x:c>
      <x:c r="Q413" s="194" t="str">
        <x:v>CTA LMFT WB6; Pearson VUE LMFT Outline Area 3</x:v>
      </x:c>
    </x:row>
    <x:row r="414">
      <x:c r="A414" s="191" t="str">
        <x:v>CTA-LMFT-MQB-0413</x:v>
      </x:c>
      <x:c r="B414" s="192" t="str">
        <x:v>LMFT-MQB-FB-TX-006</x:v>
      </x:c>
      <x:c r="C414" s="192" t="str">
        <x:v>Comprehensive Simulation</x:v>
      </x:c>
      <x:c r="D414" s="192" t="str">
        <x:v>Form B</x:v>
      </x:c>
      <x:c r="E414" s="192" t="str">
        <x:v>A client with depression spends most days in bed and has stopped routine tasks. Which first intervention best represents behavioral activation?</x:v>
      </x:c>
      <x:c r="F414" s="192" t="str">
        <x:v>Recommend an immediate major life change.</x:v>
      </x:c>
      <x:c r="G414" s="192" t="str">
        <x:v>Challenge every negative thought before changing behavior.</x:v>
      </x:c>
      <x:c r="H414" s="192" t="str">
        <x:v>Wait for motivation to return before acting.</x:v>
      </x:c>
      <x:c r="I414" s="192" t="str">
        <x:v>Collaboratively schedule small, specific activities and monitor their effect on mood and functioning.</x:v>
      </x:c>
      <x:c r="J414" s="192" t="str">
        <x:v>D</x:v>
      </x:c>
      <x:c r="K414" s="192" t="str">
        <x:v>Incorrect. Large changes may be unrealistic and destabilizing.</x:v>
      </x:c>
      <x:c r="L414" s="192" t="str">
        <x:v>Incorrect. Cognitive work may help but is not required before behavioral activation.</x:v>
      </x:c>
      <x:c r="M414" s="192" t="str">
        <x:v>Incorrect. Motivation often follows action rather than preceding it.</x:v>
      </x:c>
      <x:c r="N414" s="192" t="str">
        <x:v>Correct. Behavioral activation uses planned action to interrupt withdrawal and increase contact with reinforcement.</x:v>
      </x:c>
      <x:c r="O414" s="192" t="str">
        <x:v>A. Incorrect. Large changes may be unrealistic and destabilizing.
B. Incorrect. Cognitive work may help but is not required before behavioral activation.
C. Incorrect. Motivation often follows action rather than preceding it.
D. Correct. Behavioral activation uses planned action to interrupt withdrawal and increase contact with reinforcement.</x:v>
      </x:c>
      <x:c r="P414" s="192" t="str">
        <x:v>Choose small, observable actions that test whether increased engagement changes mood.</x:v>
      </x:c>
      <x:c r="Q414" s="194" t="str">
        <x:v>CTA LMFT WB9; Pearson VUE LMFT Outline Area 5</x:v>
      </x:c>
    </x:row>
    <x:row r="415">
      <x:c r="A415" s="191" t="str">
        <x:v>CTA-LMFT-MQB-0414</x:v>
      </x:c>
      <x:c r="B415" s="192" t="str">
        <x:v>LMFT-MQB-FB-CE-004</x:v>
      </x:c>
      <x:c r="C415" s="192" t="str">
        <x:v>Comprehensive Simulation</x:v>
      </x:c>
      <x:c r="D415" s="192" t="str">
        <x:v>Form B</x:v>
      </x:c>
      <x:c r="E415" s="192" t="str">
        <x:v>A family says an adolescent has “always been quiet,” but the adolescent has stopped attending school only during the past month. Why should the LMFT establish the adolescent’s prior level of functioning?</x:v>
      </x:c>
      <x:c r="F415" s="192" t="str">
        <x:v>It replaces the need for current observation.</x:v>
      </x:c>
      <x:c r="G415" s="192" t="str">
        <x:v>It helps the therapist distinguish a person’s usual presentation from a meaningful change that may require further assessment.</x:v>
      </x:c>
      <x:c r="H415" s="192" t="str">
        <x:v>It determines the treatment modality without considering context.</x:v>
      </x:c>
      <x:c r="I415" s="192" t="str">
        <x:v>It guarantees that no diagnosis is present.</x:v>
      </x:c>
      <x:c r="J415" s="192" t="str">
        <x:v>B</x:v>
      </x:c>
      <x:c r="K415" s="192" t="str">
        <x:v>Incorrect. Current observations remain essential.</x:v>
      </x:c>
      <x:c r="L415" s="192" t="str">
        <x:v>Correct. Comparison with prior functioning can reveal deterioration, improvement, or an acute medical, substance, or psychiatric change.</x:v>
      </x:c>
      <x:c r="M415" s="192" t="str">
        <x:v>Incorrect. Modality selection requires additional goals, safety, and systemic information.</x:v>
      </x:c>
      <x:c r="N415" s="192" t="str">
        <x:v>Incorrect. A stable baseline does not rule out a disorder.</x:v>
      </x:c>
      <x:c r="O415" s="192" t="str">
        <x:v>A. Incorrect. Current observations remain essential.
B. Correct. Comparison with prior functioning can reveal deterioration, improvement, or an acute medical, substance, or psychiatric change.
C. Incorrect. Modality selection requires additional goals, safety, and systemic information.
D. Incorrect. A stable baseline does not rule out a disorder.</x:v>
      </x:c>
      <x:c r="P415" s="192" t="str">
        <x:v>When behavior is unusual, ask whether it is new, worsening, episodic, or typical for this client.</x:v>
      </x:c>
      <x:c r="Q415" s="194" t="str">
        <x:v>CTA LMFT WB2; Pearson VUE LMFT Outline Area 1</x:v>
      </x:c>
    </x:row>
    <x:row r="416">
      <x:c r="A416" s="191" t="str">
        <x:v>CTA-LMFT-MQB-0415</x:v>
      </x:c>
      <x:c r="B416" s="192" t="str">
        <x:v>LMFT-MQB-FB-CP-003</x:v>
      </x:c>
      <x:c r="C416" s="192" t="str">
        <x:v>Comprehensive Simulation</x:v>
      </x:c>
      <x:c r="D416" s="192" t="str">
        <x:v>Form B</x:v>
      </x:c>
      <x:c r="E416" s="192" t="str">
        <x:v>A client wants to begin communication work but is showing signs of potentially dangerous withdrawal. How should the therapist order the treatment priorities?</x:v>
      </x:c>
      <x:c r="F416" s="192" t="str">
        <x:v>Treat every goal as equal priority.</x:v>
      </x:c>
      <x:c r="G416" s="192" t="str">
        <x:v>Avoid discussing substance use because the referral was relational.</x:v>
      </x:c>
      <x:c r="H416" s="192" t="str">
        <x:v>Begin with the client’s easiest goal.</x:v>
      </x:c>
      <x:c r="I416" s="192" t="str">
        <x:v>Address the acute medical and safety need before routine relationship goals.</x:v>
      </x:c>
      <x:c r="J416" s="192" t="str">
        <x:v>D</x:v>
      </x:c>
      <x:c r="K416" s="192" t="str">
        <x:v>Incorrect. Different needs have different urgency.</x:v>
      </x:c>
      <x:c r="L416" s="192" t="str">
        <x:v>Incorrect. The referral label does not erase a higher-priority condition.</x:v>
      </x:c>
      <x:c r="M416" s="192" t="str">
        <x:v>Incorrect. Ease is not the controlling priority.</x:v>
      </x:c>
      <x:c r="N416" s="192" t="str">
        <x:v>Correct. Planning follows a hierarchy in which immediate danger and medical instability precede elective goals.</x:v>
      </x:c>
      <x:c r="O416" s="192" t="str">
        <x:v>A. Incorrect. Different needs have different urgency.
B. Incorrect. The referral label does not erase a higher-priority condition.
C. Incorrect. Ease is not the controlling priority.
D. Correct. Planning follows a hierarchy in which immediate danger and medical instability precede elective goals.</x:v>
      </x:c>
      <x:c r="P416" s="192" t="str">
        <x:v>Sort goals by safety, medical need, stability, functioning, and client priorities.</x:v>
      </x:c>
      <x:c r="Q416" s="194" t="str">
        <x:v>CTA LMFT WB7; Pearson VUE LMFT Outline Area 4</x:v>
      </x:c>
    </x:row>
    <x:row r="417">
      <x:c r="A417" s="191" t="str">
        <x:v>CTA-LMFT-MQB-0416</x:v>
      </x:c>
      <x:c r="B417" s="192" t="str">
        <x:v>LMFT-MQB-FB-TX-013</x:v>
      </x:c>
      <x:c r="C417" s="192" t="str">
        <x:v>Comprehensive Simulation</x:v>
      </x:c>
      <x:c r="D417" s="192" t="str">
        <x:v>Form B</x:v>
      </x:c>
      <x:c r="E417" s="192" t="str">
        <x:v>A caregiver routinely asks a teenager to carry messages and settle disputes between adults. What intervention best addresses the family structure?</x:v>
      </x:c>
      <x:c r="F417" s="192" t="str">
        <x:v>Strengthen the parental subsystem and redirect conflict resolution away from the child.</x:v>
      </x:c>
      <x:c r="G417" s="192" t="str">
        <x:v>Teach the child more advanced mediation.</x:v>
      </x:c>
      <x:c r="H417" s="192" t="str">
        <x:v>Ask the child to choose which parent is correct.</x:v>
      </x:c>
      <x:c r="I417" s="192" t="str">
        <x:v>Treat the pattern as harmless closeness.</x:v>
      </x:c>
      <x:c r="J417" s="192" t="str">
        <x:v>A</x:v>
      </x:c>
      <x:c r="K417" s="192" t="str">
        <x:v>Correct. The child is in an inappropriate cross-generational role, and the adult boundary needs reorganization.</x:v>
      </x:c>
      <x:c r="L417" s="192" t="str">
        <x:v>Incorrect. More mediation deepens parentification.</x:v>
      </x:c>
      <x:c r="M417" s="192" t="str">
        <x:v>Incorrect. Choosing sides increases triangulation.</x:v>
      </x:c>
      <x:c r="N417" s="192" t="str">
        <x:v>Incorrect. Closeness does not justify a burdensome role.</x:v>
      </x:c>
      <x:c r="O417" s="192" t="str">
        <x:v>A. Correct. The child is in an inappropriate cross-generational role, and the adult boundary needs reorganization.
B. Incorrect. More mediation deepens parentification.
C. Incorrect. Choosing sides increases triangulation.
D. Incorrect. Closeness does not justify a burdensome role.</x:v>
      </x:c>
      <x:c r="P417" s="192" t="str">
        <x:v>Structural questions often ask which boundary or hierarchy must change.</x:v>
      </x:c>
      <x:c r="Q417" s="194" t="str">
        <x:v>CTA LMFT WB8; CTA LMFT WB11; Pearson VUE LMFT Outline Area 5</x:v>
      </x:c>
    </x:row>
    <x:row r="418">
      <x:c r="A418" s="191" t="str">
        <x:v>CTA-LMFT-MQB-0417</x:v>
      </x:c>
      <x:c r="B418" s="192" t="str">
        <x:v>LMFT-MQB-FB-CE-018</x:v>
      </x:c>
      <x:c r="C418" s="192" t="str">
        <x:v>Comprehensive Simulation</x:v>
      </x:c>
      <x:c r="D418" s="192" t="str">
        <x:v>Form B</x:v>
      </x:c>
      <x:c r="E418" s="192" t="str">
        <x:v>A client has new episodes of losing balance and forgetting familiar routes. The LMFT suspects a condition requiring expertise beyond psychotherapy. What should the therapist do?</x:v>
      </x:c>
      <x:c r="F418" s="192" t="str">
        <x:v>Terminate without referral because the issue is outside scope.</x:v>
      </x:c>
      <x:c r="G418" s="192" t="str">
        <x:v>Assess immediate safety, explain the concern within scope, and arrange appropriate medical or specialty evaluation while maintaining relevant clinical support.</x:v>
      </x:c>
      <x:c r="H418" s="192" t="str">
        <x:v>Continue psychotherapy alone until a diagnosis becomes obvious.</x:v>
      </x:c>
      <x:c r="I418" s="192" t="str">
        <x:v>Provide a neurological diagnosis to speed treatment.</x:v>
      </x:c>
      <x:c r="J418" s="192" t="str">
        <x:v>B</x:v>
      </x:c>
      <x:c r="K418" s="192" t="str">
        <x:v>Incorrect. Referral and continuity are preferable to abrupt abandonment.</x:v>
      </x:c>
      <x:c r="L418" s="192" t="str">
        <x:v>Correct. The therapist should protect the client through timely referral and coordination rather than ignoring or practicing beyond competence.</x:v>
      </x:c>
      <x:c r="M418" s="192" t="str">
        <x:v>Incorrect. Delay may increase risk and miss treatable causes.</x:v>
      </x:c>
      <x:c r="N418" s="192" t="str">
        <x:v>Incorrect. A neurological diagnosis is outside the therapist’s scope.</x:v>
      </x:c>
      <x:c r="O418" s="192" t="str">
        <x:v>A. Incorrect. Referral and continuity are preferable to abrupt abandonment.
B. Correct. The therapist should protect the client through timely referral and coordination rather than ignoring or practicing beyond competence.
C. Incorrect. Delay may increase risk and miss treatable causes.
D. Incorrect. A neurological diagnosis is outside the therapist’s scope.</x:v>
      </x:c>
      <x:c r="P418" s="192" t="str">
        <x:v>Outside competence does not mean outside responsibility; identify, refer, coordinate, and follow up.</x:v>
      </x:c>
      <x:c r="Q418" s="194" t="str">
        <x:v>CTA LMFT WB4; CTA LMFT WB12; Pearson VUE LMFT Outline Area 1</x:v>
      </x:c>
    </x:row>
    <x:row r="419">
      <x:c r="A419" s="191" t="str">
        <x:v>CTA-LMFT-MQB-0418</x:v>
      </x:c>
      <x:c r="B419" s="192" t="str">
        <x:v>LMFT-MQB-FB-CR-009</x:v>
      </x:c>
      <x:c r="C419" s="192" t="str">
        <x:v>Comprehensive Simulation</x:v>
      </x:c>
      <x:c r="D419" s="192" t="str">
        <x:v>Form B</x:v>
      </x:c>
      <x:c r="E419" s="192" t="str">
        <x:v>A child reports being struck with a cord, and the therapist observes loop-shaped marks. The caregiver denies wrongdoing. What should the LMFT do next?</x:v>
      </x:c>
      <x:c r="F419" s="192" t="str">
        <x:v>Interview every relative before acting.</x:v>
      </x:c>
      <x:c r="G419" s="192" t="str">
        <x:v>Wait until the caregiver admits the abuse.</x:v>
      </x:c>
      <x:c r="H419" s="192" t="str">
        <x:v>Ensure immediate safety and follow mandated-reporting requirements based on the available reasonable suspicion rather than conducting an independent investigation.</x:v>
      </x:c>
      <x:c r="I419" s="192" t="str">
        <x:v>Promise the child that no one else will be told.</x:v>
      </x:c>
      <x:c r="J419" s="192" t="str">
        <x:v>C</x:v>
      </x:c>
      <x:c r="K419" s="192" t="str">
        <x:v>Incorrect. A private investigation can delay protection and interfere with official processes.</x:v>
      </x:c>
      <x:c r="L419" s="192" t="str">
        <x:v>Incorrect. Admission is not required.</x:v>
      </x:c>
      <x:c r="M419" s="192" t="str">
        <x:v>Correct. The therapist’s role is to recognize and report suspected abuse and address safety, not prove the case.</x:v>
      </x:c>
      <x:c r="N419" s="192" t="str">
        <x:v>Incorrect. Absolute secrecy cannot be promised.</x:v>
      </x:c>
      <x:c r="O419" s="192" t="str">
        <x:v>A. Incorrect. A private investigation can delay protection and interfere with official processes.
B. Incorrect. Admission is not required.
C. Correct. The therapist’s role is to recognize and report suspected abuse and address safety, not prove the case.
D. Incorrect. Absolute secrecy cannot be promised.</x:v>
      </x:c>
      <x:c r="P419" s="192" t="str">
        <x:v>For mandated reporting, distinguish reasonable suspicion from proof beyond doubt.</x:v>
      </x:c>
      <x:c r="Q419" s="194" t="str">
        <x:v>CTA LMFT WB6; Pearson VUE LMFT Outline Area 3</x:v>
      </x:c>
    </x:row>
    <x:row r="420">
      <x:c r="A420" s="191" t="str">
        <x:v>CTA-LMFT-MQB-0419</x:v>
      </x:c>
      <x:c r="B420" s="192" t="str">
        <x:v>LMFT-MQB-FB-LE-001</x:v>
      </x:c>
      <x:c r="C420" s="192" t="str">
        <x:v>Comprehensive Simulation</x:v>
      </x:c>
      <x:c r="D420" s="192" t="str">
        <x:v>Form B</x:v>
      </x:c>
      <x:c r="E420" s="192" t="str">
        <x:v>A treatment approach, fee arrangement, or participant role changes after intake. Which principle explains why the therapist must revisit the client’s understanding and choice?</x:v>
      </x:c>
      <x:c r="F420" s="192" t="str">
        <x:v>It is an ongoing process of understandable information, voluntary participation, and renewed discussion when material conditions change.</x:v>
      </x:c>
      <x:c r="G420" s="192" t="str">
        <x:v>It is a waiver of the therapist’s professional responsibility.</x:v>
      </x:c>
      <x:c r="H420" s="192" t="str">
        <x:v>It is completed permanently when the intake form is signed.</x:v>
      </x:c>
      <x:c r="I420" s="192" t="str">
        <x:v>It is required only when the client asks questions.</x:v>
      </x:c>
      <x:c r="J420" s="192" t="str">
        <x:v>A</x:v>
      </x:c>
      <x:c r="K420" s="192" t="str">
        <x:v>Correct. Consent is relational and continuing, not merely a one-time document.</x:v>
      </x:c>
      <x:c r="L420" s="192" t="str">
        <x:v>Incorrect. Clients do not assume professional liability by consenting.</x:v>
      </x:c>
      <x:c r="M420" s="192" t="str">
        <x:v>Incorrect. Material changes may require renewed discussion.</x:v>
      </x:c>
      <x:c r="N420" s="192" t="str">
        <x:v>Incorrect. The therapist has an affirmative responsibility to provide relevant information.</x:v>
      </x:c>
      <x:c r="O420" s="192" t="str">
        <x:v>A. Correct. Consent is relational and continuing, not merely a one-time document.
B. Incorrect. Clients do not assume professional liability by consenting.
C. Incorrect. Material changes may require renewed discussion.
D. Incorrect. The therapist has an affirmative responsibility to provide relevant information.</x:v>
      </x:c>
      <x:c r="P420" s="192" t="str">
        <x:v>When choices contrast process with paperwork, choose the answer centered on meaningful decision-making.</x:v>
      </x:c>
      <x:c r="Q420" s="194" t="str">
        <x:v>CTA LMFT WB12; Pearson VUE LMFT Outline Area 6</x:v>
      </x:c>
    </x:row>
    <x:row r="421">
      <x:c r="A421" s="191" t="str">
        <x:v>CTA-LMFT-MQB-0420</x:v>
      </x:c>
      <x:c r="B421" s="192" t="str">
        <x:v>LMFT-MQB-FB-CP-002</x:v>
      </x:c>
      <x:c r="C421" s="192" t="str">
        <x:v>Comprehensive Simulation</x:v>
      </x:c>
      <x:c r="D421" s="192" t="str">
        <x:v>Form B</x:v>
      </x:c>
      <x:c r="E421" s="192" t="str">
        <x:v>A supervisor asks an associate to explain how vulnerabilities, recent events, relationship patterns, and strengths fit together in a case. What is the associate being asked to develop?</x:v>
      </x:c>
      <x:c r="F421" s="192" t="str">
        <x:v>To prove that one family member causes the problem.</x:v>
      </x:c>
      <x:c r="G421" s="192" t="str">
        <x:v>To organize assessment findings into a testable explanation of what predisposes, precipitates, and maintains the problem and what may support change.</x:v>
      </x:c>
      <x:c r="H421" s="192" t="str">
        <x:v>To list every intervention the therapist knows.</x:v>
      </x:c>
      <x:c r="I421" s="192" t="str">
        <x:v>To restate the diagnosis in longer language.</x:v>
      </x:c>
      <x:c r="J421" s="192" t="str">
        <x:v>B</x:v>
      </x:c>
      <x:c r="K421" s="192" t="str">
        <x:v>Incorrect. Systemic formulation avoids single-person blame.</x:v>
      </x:c>
      <x:c r="L421" s="192" t="str">
        <x:v>Correct. Conceptualization links data to hypotheses and treatment choices.</x:v>
      </x:c>
      <x:c r="M421" s="192" t="str">
        <x:v>Incorrect. A technique list is not a coherent formulation.</x:v>
      </x:c>
      <x:c r="N421" s="192" t="str">
        <x:v>Incorrect. A diagnosis does not fully explain mechanisms or context.</x:v>
      </x:c>
      <x:c r="O421" s="192" t="str">
        <x:v>A. Incorrect. Systemic formulation avoids single-person blame.
B. Correct. Conceptualization links data to hypotheses and treatment choices.
C. Incorrect. A technique list is not a coherent formulation.
D. Incorrect. A diagnosis does not fully explain mechanisms or context.</x:v>
      </x:c>
      <x:c r="P421" s="192" t="str">
        <x:v>A good formulation should help predict which intervention is likely to change the maintaining pattern.</x:v>
      </x:c>
      <x:c r="Q421" s="194" t="str">
        <x:v>CTA LMFT WB7; Pearson VUE LMFT Outline Area 4</x:v>
      </x:c>
    </x:row>
    <x:row r="422">
      <x:c r="A422" s="191" t="str">
        <x:v>CTA-LMFT-MQB-0421</x:v>
      </x:c>
      <x:c r="B422" s="192" t="str">
        <x:v>LMFT-MQB-FB-LE-002</x:v>
      </x:c>
      <x:c r="C422" s="192" t="str">
        <x:v>Comprehensive Simulation</x:v>
      </x:c>
      <x:c r="D422" s="192" t="str">
        <x:v>Form B</x:v>
      </x:c>
      <x:c r="E422" s="192" t="str">
        <x:v>An LMFT has a valid basis to share information for a specific protective purpose. What should guide the amount of information released?</x:v>
      </x:c>
      <x:c r="F422" s="192" t="str">
        <x:v>No information under any circumstances.</x:v>
      </x:c>
      <x:c r="G422" s="192" t="str">
        <x:v>Whatever the requester says would be helpful.</x:v>
      </x:c>
      <x:c r="H422" s="192" t="str">
        <x:v>Only the information reasonably necessary for the authorized or protective purpose.</x:v>
      </x:c>
      <x:c r="I422" s="192" t="str">
        <x:v>The complete record in every case.</x:v>
      </x:c>
      <x:c r="J422" s="192" t="str">
        <x:v>C</x:v>
      </x:c>
      <x:c r="K422" s="192" t="str">
        <x:v>Incorrect. Confidentiality has recognized exceptions and authorizations.</x:v>
      </x:c>
      <x:c r="L422" s="192" t="str">
        <x:v>Incorrect. The requester’s preference does not define the lawful scope.</x:v>
      </x:c>
      <x:c r="M422" s="192" t="str">
        <x:v>Correct. Purpose-limited disclosure protects privacy while meeting the applicable duty.</x:v>
      </x:c>
      <x:c r="N422" s="192" t="str">
        <x:v>Incorrect. The whole record may exceed the need.</x:v>
      </x:c>
      <x:c r="O422" s="192" t="str">
        <x:v>A. Incorrect. Confidentiality has recognized exceptions and authorizations.
B. Incorrect. The requester’s preference does not define the lawful scope.
C. Correct. Purpose-limited disclosure protects privacy while meeting the applicable duty.
D. Incorrect. The whole record may exceed the need.</x:v>
      </x:c>
      <x:c r="P422" s="192" t="str">
        <x:v>First identify the authority and purpose, then limit the disclosure to that purpose.</x:v>
      </x:c>
      <x:c r="Q422" s="194" t="str">
        <x:v>CTA LMFT WB12; Pearson VUE LMFT Outline Area 6</x:v>
      </x:c>
    </x:row>
    <x:row r="423">
      <x:c r="A423" s="191" t="str">
        <x:v>CTA-LMFT-MQB-0422</x:v>
      </x:c>
      <x:c r="B423" s="192" t="str">
        <x:v>LMFT-MQB-FB-CE-024</x:v>
      </x:c>
      <x:c r="C423" s="192" t="str">
        <x:v>Comprehensive Simulation</x:v>
      </x:c>
      <x:c r="D423" s="192" t="str">
        <x:v>Form B</x:v>
      </x:c>
      <x:c r="E423" s="192" t="str">
        <x:v>A client arrives for an intake appearing sedated, unsteady, and unable to repeat basic instructions. What should the therapist address before completing routine paperwork?</x:v>
      </x:c>
      <x:c r="F423" s="192" t="str">
        <x:v>Assess immediate safety, level of intoxication, transportation, and need for medical or emergency assistance before continuing routine intake.</x:v>
      </x:c>
      <x:c r="G423" s="192" t="str">
        <x:v>Complete the diagnostic interview to preserve the appointment.</x:v>
      </x:c>
      <x:c r="H423" s="192" t="str">
        <x:v>Interpret the presentation as lack of motivation.</x:v>
      </x:c>
      <x:c r="I423" s="192" t="str">
        <x:v>Ask the client to sign all forms before leaving.</x:v>
      </x:c>
      <x:c r="J423" s="192" t="str">
        <x:v>A</x:v>
      </x:c>
      <x:c r="K423" s="192" t="str">
        <x:v>Correct. Current safety and capacity take priority over routine evaluation tasks.</x:v>
      </x:c>
      <x:c r="L423" s="192" t="str">
        <x:v>Incorrect. Intoxication may make the interview unreliable and unsafe.</x:v>
      </x:c>
      <x:c r="M423" s="192" t="str">
        <x:v>Incorrect. The behavior has a plausible substance-related explanation.</x:v>
      </x:c>
      <x:c r="N423" s="192" t="str">
        <x:v>Incorrect. A signature does not resolve impaired understanding.</x:v>
      </x:c>
      <x:c r="O423" s="192" t="str">
        <x:v>A. Correct. Current safety and capacity take priority over routine evaluation tasks.
B. Incorrect. Intoxication may make the interview unreliable and unsafe.
C. Incorrect. The behavior has a plausible substance-related explanation.
D. Incorrect. A signature does not resolve impaired understanding.</x:v>
      </x:c>
      <x:c r="P423" s="192" t="str">
        <x:v>When current impairment is evident, stabilize and assess safety before gathering ordinary history.</x:v>
      </x:c>
      <x:c r="Q423" s="194" t="str">
        <x:v>CTA LMFT WB2; CTA LMFT WB6; Pearson VUE LMFT Outline Area 1</x:v>
      </x:c>
    </x:row>
    <x:row r="424">
      <x:c r="A424" s="191" t="str">
        <x:v>CTA-LMFT-MQB-0423</x:v>
      </x:c>
      <x:c r="B424" s="192" t="str">
        <x:v>LMFT-MQB-FB-CR-004</x:v>
      </x:c>
      <x:c r="C424" s="192" t="str">
        <x:v>Comprehensive Simulation</x:v>
      </x:c>
      <x:c r="D424" s="192" t="str">
        <x:v>Form B</x:v>
      </x:c>
      <x:c r="E424" s="192" t="str">
        <x:v>A depressed client denies a current plan but keeps a loaded firearm beside the bed and has become increasingly isolated. What should the therapist do?</x:v>
      </x:c>
      <x:c r="F424" s="192" t="str">
        <x:v>Confiscate the firearm personally.</x:v>
      </x:c>
      <x:c r="G424" s="192" t="str">
        <x:v>Assume firearm ownership proves imminent danger.</x:v>
      </x:c>
      <x:c r="H424" s="192" t="str">
        <x:v>Ignore access because intent is denied.</x:v>
      </x:c>
      <x:c r="I424" s="192" t="str">
        <x:v>Assess the full risk picture and collaboratively pursue immediate, lawful steps to reduce access while strengthening monitoring and support.</x:v>
      </x:c>
      <x:c r="J424" s="192" t="str">
        <x:v>D</x:v>
      </x:c>
      <x:c r="K424" s="192" t="str">
        <x:v>Incorrect. The therapist should not personally seize property.</x:v>
      </x:c>
      <x:c r="L424" s="192" t="str">
        <x:v>Incorrect. Access is one factor and must be integrated with the broader assessment.</x:v>
      </x:c>
      <x:c r="M424" s="192" t="str">
        <x:v>Incorrect. Denial of intent does not make access irrelevant.</x:v>
      </x:c>
      <x:c r="N424" s="192" t="str">
        <x:v>Correct. Access to a highly lethal method materially affects risk management even when intent is not currently endorsed.</x:v>
      </x:c>
      <x:c r="O424" s="192" t="str">
        <x:v>A. Incorrect. The therapist should not personally seize property.
B. Incorrect. Access is one factor and must be integrated with the broader assessment.
C. Incorrect. Denial of intent does not make access irrelevant.
D. Correct. Access to a highly lethal method materially affects risk management even when intent is not currently endorsed.</x:v>
      </x:c>
      <x:c r="P424" s="192" t="str">
        <x:v>Risk formulation is cumulative; access changes the plan even when it does not by itself determine disposition.</x:v>
      </x:c>
      <x:c r="Q424" s="194" t="str">
        <x:v>CTA LMFT WB6; Pearson VUE LMFT Outline Area 3</x:v>
      </x:c>
    </x:row>
    <x:row r="425">
      <x:c r="A425" s="191" t="str">
        <x:v>CTA-LMFT-MQB-0424</x:v>
      </x:c>
      <x:c r="B425" s="192" t="str">
        <x:v>LMFT-MQB-FB-TX-011</x:v>
      </x:c>
      <x:c r="C425" s="192" t="str">
        <x:v>Comprehensive Simulation</x:v>
      </x:c>
      <x:c r="D425" s="192" t="str">
        <x:v>Form B</x:v>
      </x:c>
      <x:c r="E425" s="192" t="str">
        <x:v>A bereaved client laughs at a family story and then feels disloyal to the deceased. What is the best therapeutic response?</x:v>
      </x:c>
      <x:c r="F425" s="192" t="str">
        <x:v>Tell the client to stop thinking about the deceased.</x:v>
      </x:c>
      <x:c r="G425" s="192" t="str">
        <x:v>Confirm that enjoyment is disrespectful.</x:v>
      </x:c>
      <x:c r="H425" s="192" t="str">
        <x:v>Set a deadline for completing grief.</x:v>
      </x:c>
      <x:c r="I425" s="192" t="str">
        <x:v>Explore the meaning of the guilt and normalize that grief can coexist with connection, pleasure, and continuing bonds.</x:v>
      </x:c>
      <x:c r="J425" s="192" t="str">
        <x:v>D</x:v>
      </x:c>
      <x:c r="K425" s="192" t="str">
        <x:v>Incorrect. Avoidance may complicate rather than resolve grief.</x:v>
      </x:c>
      <x:c r="L425" s="192" t="str">
        <x:v>Incorrect. The guilt belief need not be reinforced.</x:v>
      </x:c>
      <x:c r="M425" s="192" t="str">
        <x:v>Incorrect. Grief does not follow a universal deadline.</x:v>
      </x:c>
      <x:c r="N425" s="192" t="str">
        <x:v>Correct. Grief work can support meaning, oscillation, and continuing connection without prescribing a uniform process.</x:v>
      </x:c>
      <x:c r="O425" s="192" t="str">
        <x:v>A. Incorrect. Avoidance may complicate rather than resolve grief.
B. Incorrect. The guilt belief need not be reinforced.
C. Incorrect. Grief does not follow a universal deadline.
D. Correct. Grief work can support meaning, oscillation, and continuing connection without prescribing a uniform process.</x:v>
      </x:c>
      <x:c r="P425" s="192" t="str">
        <x:v>Do not force grief into either constant sorrow or complete detachment.</x:v>
      </x:c>
      <x:c r="Q425" s="194" t="str">
        <x:v>CTA LMFT WB9; Pearson VUE LMFT Outline Area 5</x:v>
      </x:c>
    </x:row>
    <x:row r="426">
      <x:c r="A426" s="191" t="str">
        <x:v>CTA-LMFT-MQB-0425</x:v>
      </x:c>
      <x:c r="B426" s="192" t="str">
        <x:v>LMFT-MQB-FB-LE-008</x:v>
      </x:c>
      <x:c r="C426" s="192" t="str">
        <x:v>Comprehensive Simulation</x:v>
      </x:c>
      <x:c r="D426" s="192" t="str">
        <x:v>Form B</x:v>
      </x:c>
      <x:c r="E426" s="192" t="str">
        <x:v>A therapist plans to record a future session for supervision. What must occur before the recording begins?</x:v>
      </x:c>
      <x:c r="F426" s="192" t="str">
        <x:v>Tell the client refusal will end treatment.</x:v>
      </x:c>
      <x:c r="G426" s="192" t="str">
        <x:v>Explain the purpose, access, storage, risks, alternatives, and voluntary nature of recording and obtain appropriate consent before recording.</x:v>
      </x:c>
      <x:c r="H426" s="192" t="str">
        <x:v>Assume general treatment consent includes recording.</x:v>
      </x:c>
      <x:c r="I426" s="192" t="str">
        <x:v>Record first and discuss it later.</x:v>
      </x:c>
      <x:c r="J426" s="192" t="str">
        <x:v>B</x:v>
      </x:c>
      <x:c r="K426" s="192" t="str">
        <x:v>Incorrect. Coercive pressure undermines voluntariness.</x:v>
      </x:c>
      <x:c r="L426" s="192" t="str">
        <x:v>Correct. Recording creates a material privacy and treatment change requiring specific, voluntary discussion.</x:v>
      </x:c>
      <x:c r="M426" s="192" t="str">
        <x:v>Incorrect. General consent may not cover recording.</x:v>
      </x:c>
      <x:c r="N426" s="192" t="str">
        <x:v>Incorrect. Retroactive consent is not adequate.</x:v>
      </x:c>
      <x:c r="O426" s="192" t="str">
        <x:v>A. Incorrect. Coercive pressure undermines voluntariness.
B. Correct. Recording creates a material privacy and treatment change requiring specific, voluntary discussion.
C. Incorrect. General consent may not cover recording.
D. Incorrect. Retroactive consent is not adequate.</x:v>
      </x:c>
      <x:c r="P426" s="192" t="str">
        <x:v>New technology or use of clinical material usually requires renewed, specific consent before implementation.</x:v>
      </x:c>
      <x:c r="Q426" s="194" t="str">
        <x:v>CTA LMFT WB12; Pearson VUE LMFT Outline Area 6</x:v>
      </x:c>
    </x:row>
    <x:row r="427">
      <x:c r="A427" s="191" t="str">
        <x:v>CTA-LMFT-MQB-0426</x:v>
      </x:c>
      <x:c r="B427" s="192" t="str">
        <x:v>LMFT-MQB-FB-DI-006</x:v>
      </x:c>
      <x:c r="C427" s="192" t="str">
        <x:v>Comprehensive Simulation</x:v>
      </x:c>
      <x:c r="D427" s="192" t="str">
        <x:v>Form B</x:v>
      </x:c>
      <x:c r="E427" s="192" t="str">
        <x:v>A college student experiences paranoia only after using high-potency cannabis and returns to baseline after several weeks of abstinence. Which diagnostic issue should the LMFT clarify first?</x:v>
      </x:c>
      <x:c r="F427" s="192" t="str">
        <x:v>Whether the client’s partner approves of cannabis.</x:v>
      </x:c>
      <x:c r="G427" s="192" t="str">
        <x:v>Whether panic is common in the client’s neighborhood.</x:v>
      </x:c>
      <x:c r="H427" s="192" t="str">
        <x:v>Whether the anxiety is temporally linked to intoxication or withdrawal and occurs independently during sustained nonuse.</x:v>
      </x:c>
      <x:c r="I427" s="192" t="str">
        <x:v>Whether the client dislikes the effects.</x:v>
      </x:c>
      <x:c r="J427" s="192" t="str">
        <x:v>C</x:v>
      </x:c>
      <x:c r="K427" s="192" t="str">
        <x:v>Incorrect. Partner approval is not a diagnostic criterion.</x:v>
      </x:c>
      <x:c r="L427" s="192" t="str">
        <x:v>Incorrect. Community prevalence does not resolve the individual timeline.</x:v>
      </x:c>
      <x:c r="M427" s="192" t="str">
        <x:v>Correct. Temporal linkage and persistence outside substance exposure help distinguish a primary disorder from a substance-induced presentation.</x:v>
      </x:c>
      <x:c r="N427" s="192" t="str">
        <x:v>Incorrect. Dislike does not determine diagnostic origin.</x:v>
      </x:c>
      <x:c r="O427" s="192" t="str">
        <x:v>A. Incorrect. Partner approval is not a diagnostic criterion.
B. Incorrect. Community prevalence does not resolve the individual timeline.
C. Correct. Temporal linkage and persistence outside substance exposure help distinguish a primary disorder from a substance-induced presentation.
D. Incorrect. Dislike does not determine diagnostic origin.</x:v>
      </x:c>
      <x:c r="P427" s="192" t="str">
        <x:v>Ask whether the syndrome exists when the suspected inducing factor is absent.</x:v>
      </x:c>
      <x:c r="Q427" s="194" t="str">
        <x:v>CTA LMFT WB5; Pearson VUE LMFT Outline Area 2</x:v>
      </x:c>
    </x:row>
    <x:row r="428">
      <x:c r="A428" s="191" t="str">
        <x:v>CTA-LMFT-MQB-0427</x:v>
      </x:c>
      <x:c r="B428" s="192" t="str">
        <x:v>LMFT-MQB-FB-CE-030</x:v>
      </x:c>
      <x:c r="C428" s="192" t="str">
        <x:v>Comprehensive Simulation</x:v>
      </x:c>
      <x:c r="D428" s="192" t="str">
        <x:v>Form B</x:v>
      </x:c>
      <x:c r="E428" s="192" t="str">
        <x:v>Family members report that an older client has left the stove on, missed bills, and repeated the same stories. The client describes only loneliness. What should the therapist do next?</x:v>
      </x:c>
      <x:c r="F428" s="192" t="str">
        <x:v>Diagnose dementia from the first interview.</x:v>
      </x:c>
      <x:c r="G428" s="192" t="str">
        <x:v>Tell the family to take over all decisions immediately.</x:v>
      </x:c>
      <x:c r="H428" s="192" t="str">
        <x:v>Treat sadness only and avoid discussing memory.</x:v>
      </x:c>
      <x:c r="I428" s="192" t="str">
        <x:v>Assess safety and functional change, obtain appropriate collateral information with authorization, and facilitate medical or cognitive evaluation.</x:v>
      </x:c>
      <x:c r="J428" s="192" t="str">
        <x:v>D</x:v>
      </x:c>
      <x:c r="K428" s="192" t="str">
        <x:v>Incorrect. A diagnosis requires qualified evaluation and additional data.</x:v>
      </x:c>
      <x:c r="L428" s="192" t="str">
        <x:v>Incorrect. Decision-making authority cannot be assumed from family concern alone.</x:v>
      </x:c>
      <x:c r="M428" s="192" t="str">
        <x:v>Incorrect. The cognitive concerns are clinically significant.</x:v>
      </x:c>
      <x:c r="N428" s="192" t="str">
        <x:v>Correct. The functional changes warrant broader assessment and referral without prematurely diagnosing or removing autonomy.</x:v>
      </x:c>
      <x:c r="O428" s="192" t="str">
        <x:v>A. Incorrect. A diagnosis requires qualified evaluation and additional data.
B. Incorrect. Decision-making authority cannot be assumed from family concern alone.
C. Incorrect. The cognitive concerns are clinically significant.
D. Correct. The functional changes warrant broader assessment and referral without prematurely diagnosing or removing autonomy.</x:v>
      </x:c>
      <x:c r="P428" s="192" t="str">
        <x:v>New cognitive and functional changes call for safety assessment, collateral data, and medical evaluation while preserving autonomy.</x:v>
      </x:c>
      <x:c r="Q428" s="194" t="str">
        <x:v>CTA LMFT WB2; CTA LMFT WB3; Pearson VUE LMFT Outline Area 1</x:v>
      </x:c>
    </x:row>
    <x:row r="429">
      <x:c r="A429" s="191" t="str">
        <x:v>CTA-LMFT-MQB-0428</x:v>
      </x:c>
      <x:c r="B429" s="192" t="str">
        <x:v>LMFT-MQB-FB-TX-002</x:v>
      </x:c>
      <x:c r="C429" s="192" t="str">
        <x:v>Comprehensive Simulation</x:v>
      </x:c>
      <x:c r="D429" s="192" t="str">
        <x:v>Form B</x:v>
      </x:c>
      <x:c r="E429" s="192" t="str">
        <x:v>A client is uncertain about reducing substance use. Which therapist stance is most consistent with motivational interviewing?</x:v>
      </x:c>
      <x:c r="F429" s="192" t="str">
        <x:v>Education without asking about motivation.</x:v>
      </x:c>
      <x:c r="G429" s="192" t="str">
        <x:v>Collaborative exploration of ambivalence that strengthens the client’s own reasons and confidence for change.</x:v>
      </x:c>
      <x:c r="H429" s="192" t="str">
        <x:v>Authoritative confrontation to overcome denial.</x:v>
      </x:c>
      <x:c r="I429" s="192" t="str">
        <x:v>Neutral silence until the client decides independently.</x:v>
      </x:c>
      <x:c r="J429" s="192" t="str">
        <x:v>B</x:v>
      </x:c>
      <x:c r="K429" s="192" t="str">
        <x:v>Incorrect. Information alone may not address ambivalence.</x:v>
      </x:c>
      <x:c r="L429" s="192" t="str">
        <x:v>Correct. MI emphasizes partnership, acceptance, compassion, and evocation rather than coercion.</x:v>
      </x:c>
      <x:c r="M429" s="192" t="str">
        <x:v>Incorrect. Confrontation often increases resistance.</x:v>
      </x:c>
      <x:c r="N429" s="192" t="str">
        <x:v>Incorrect. The therapist actively guides exploration rather than remaining passive.</x:v>
      </x:c>
      <x:c r="O429" s="192" t="str">
        <x:v>A. Incorrect. Information alone may not address ambivalence.
B. Correct. MI emphasizes partnership, acceptance, compassion, and evocation rather than coercion.
C. Incorrect. Confrontation often increases resistance.
D. Incorrect. The therapist actively guides exploration rather than remaining passive.</x:v>
      </x:c>
      <x:c r="P429" s="192" t="str">
        <x:v>Listen for change talk and sustain talk; do not argue the client into readiness.</x:v>
      </x:c>
      <x:c r="Q429" s="194" t="str">
        <x:v>CTA LMFT WB9; Pearson VUE LMFT Outline Area 5</x:v>
      </x:c>
    </x:row>
    <x:row r="430">
      <x:c r="A430" s="191" t="str">
        <x:v>CTA-LMFT-MQB-0429</x:v>
      </x:c>
      <x:c r="B430" s="192" t="str">
        <x:v>LMFT-MQB-FB-CE-040</x:v>
      </x:c>
      <x:c r="C430" s="192" t="str">
        <x:v>Comprehensive Simulation</x:v>
      </x:c>
      <x:c r="D430" s="192" t="str">
        <x:v>Form B</x:v>
      </x:c>
      <x:c r="E430" s="192" t="str">
        <x:v>An older client grieving a sibling’s death has lost weight, missed medications, and recently transferred money to a new acquaintance. Which assessment approach should come first?</x:v>
      </x:c>
      <x:c r="F430" s="192" t="str">
        <x:v>Treat grief alone because it explains all symptoms.</x:v>
      </x:c>
      <x:c r="G430" s="192" t="str">
        <x:v>Confront the acquaintance without the client’s knowledge.</x:v>
      </x:c>
      <x:c r="H430" s="192" t="str">
        <x:v>Assess immediate safety, cognition and functional change, nutrition and medical concerns, exploitation risk, grief and depression, and coordinate appropriate protective and medical resources.</x:v>
      </x:c>
      <x:c r="I430" s="192" t="str">
        <x:v>Assume incapacity and transfer all decisions to family.</x:v>
      </x:c>
      <x:c r="J430" s="192" t="str">
        <x:v>C</x:v>
      </x:c>
      <x:c r="K430" s="192" t="str">
        <x:v>Incorrect. A single explanation may miss serious co-occurring concerns.</x:v>
      </x:c>
      <x:c r="L430" s="192" t="str">
        <x:v>Incorrect. Unplanned confrontation may increase risk and exceed the therapist’s role.</x:v>
      </x:c>
      <x:c r="M430" s="192" t="str">
        <x:v>Correct. The presentation requires integrated evaluation of safety, cognition, medical status, exploitation, autonomy, and grief.</x:v>
      </x:c>
      <x:c r="N430" s="192" t="str">
        <x:v>Incorrect. Capacity and authority require assessment and lawful process.</x:v>
      </x:c>
      <x:c r="O430" s="192" t="str">
        <x:v>A. Incorrect. A single explanation may miss serious co-occurring concerns.
B. Incorrect. Unplanned confrontation may increase risk and exceed the therapist’s role.
C. Correct. The presentation requires integrated evaluation of safety, cognition, medical status, exploitation, autonomy, and grief.
D. Incorrect. Capacity and authority require assessment and lawful process.</x:v>
      </x:c>
      <x:c r="P430" s="192" t="str">
        <x:v>When several vulnerability signals converge, widen the assessment before choosing one explanation.</x:v>
      </x:c>
      <x:c r="Q430" s="194" t="str">
        <x:v>CTA LMFT WB3; CTA LMFT WB4; CTA LMFT WB6; Pearson VUE LMFT Outline Area 1</x:v>
      </x:c>
    </x:row>
    <x:row r="431">
      <x:c r="A431" s="191" t="str">
        <x:v>CTA-LMFT-MQB-0430</x:v>
      </x:c>
      <x:c r="B431" s="192" t="str">
        <x:v>LMFT-MQB-FB-CE-025</x:v>
      </x:c>
      <x:c r="C431" s="192" t="str">
        <x:v>Comprehensive Simulation</x:v>
      </x:c>
      <x:c r="D431" s="192" t="str">
        <x:v>Form B</x:v>
      </x:c>
      <x:c r="E431" s="192" t="str">
        <x:v>A child has intense outbursts with one caregiver but functions well with another caregiver and at school. What should the LMFT examine next?</x:v>
      </x:c>
      <x:c r="F431" s="192" t="str">
        <x:v>Diagnose the child from the home report alone.</x:v>
      </x:c>
      <x:c r="G431" s="192" t="str">
        <x:v>Tell the parents the behavior cannot be serious because school is going well.</x:v>
      </x:c>
      <x:c r="H431" s="192" t="str">
        <x:v>Ask the teacher to discipline the child for home behavior.</x:v>
      </x:c>
      <x:c r="I431" s="192" t="str">
        <x:v>Compare triggers, expectations, relationships, routines, and consequences across settings before concluding that either report is inaccurate.</x:v>
      </x:c>
      <x:c r="J431" s="192" t="str">
        <x:v>D</x:v>
      </x:c>
      <x:c r="K431" s="192" t="str">
        <x:v>Incorrect. One setting is insufficient for a broad conclusion.</x:v>
      </x:c>
      <x:c r="L431" s="192" t="str">
        <x:v>Incorrect. Functioning in one setting does not invalidate difficulties elsewhere.</x:v>
      </x:c>
      <x:c r="M431" s="192" t="str">
        <x:v>Incorrect. The teacher is not responsible for home consequences.</x:v>
      </x:c>
      <x:c r="N431" s="192" t="str">
        <x:v>Correct. Cross-setting differences can reveal contextual maintaining factors and strengths.</x:v>
      </x:c>
      <x:c r="O431" s="192" t="str">
        <x:v>A. Incorrect. One setting is insufficient for a broad conclusion.
B. Incorrect. Functioning in one setting does not invalidate difficulties elsewhere.
C. Incorrect. The teacher is not responsible for home consequences.
D. Correct. Cross-setting differences can reveal contextual maintaining factors and strengths.</x:v>
      </x:c>
      <x:c r="P431" s="192" t="str">
        <x:v>Different behavior across settings is data: identify what changes in demands, relationships, and reinforcement.</x:v>
      </x:c>
      <x:c r="Q431" s="194" t="str">
        <x:v>CTA LMFT WB3; CTA LMFT WB4; Pearson VUE LMFT Outline Area 1</x:v>
      </x:c>
    </x:row>
    <x:row r="432">
      <x:c r="A432" s="191" t="str">
        <x:v>CTA-LMFT-MQB-0431</x:v>
      </x:c>
      <x:c r="B432" s="192" t="str">
        <x:v>LMFT-MQB-FB-CP-013</x:v>
      </x:c>
      <x:c r="C432" s="192" t="str">
        <x:v>Comprehensive Simulation</x:v>
      </x:c>
      <x:c r="D432" s="192" t="str">
        <x:v>Form B</x:v>
      </x:c>
      <x:c r="E432" s="192" t="str">
        <x:v>A client has sustained improvement and no longer needs weekly care but becomes distressed when step-down is proposed. What is the next planning task?</x:v>
      </x:c>
      <x:c r="F432" s="192" t="str">
        <x:v>Continue therapy indefinitely to avoid discomfort.</x:v>
      </x:c>
      <x:c r="G432" s="192" t="str">
        <x:v>Ignore the anxiety because goals were met.</x:v>
      </x:c>
      <x:c r="H432" s="192" t="str">
        <x:v>Explore the meaning of termination, review progress and relapse-prevention plans, and agree on a paced ending or follow-up arrangement.</x:v>
      </x:c>
      <x:c r="I432" s="192" t="str">
        <x:v>Terminate immediately to prevent dependency.</x:v>
      </x:c>
      <x:c r="J432" s="192" t="str">
        <x:v>C</x:v>
      </x:c>
      <x:c r="K432" s="192" t="str">
        <x:v>Incorrect. Avoidance can create unnecessary treatment continuation.</x:v>
      </x:c>
      <x:c r="L432" s="192" t="str">
        <x:v>Incorrect. Anxiety can be clinically meaningful even when goals are met.</x:v>
      </x:c>
      <x:c r="M432" s="192" t="str">
        <x:v>Correct. Termination is a clinical process that includes attachment, consolidation, autonomy, and planning for future needs.</x:v>
      </x:c>
      <x:c r="N432" s="192" t="str">
        <x:v>Incorrect. Abrupt ending may disregard the therapeutic relationship.</x:v>
      </x:c>
      <x:c r="O432" s="192" t="str">
        <x:v>A. Incorrect. Avoidance can create unnecessary treatment continuation.
B. Incorrect. Anxiety can be clinically meaningful even when goals are met.
C. Correct. Termination is a clinical process that includes attachment, consolidation, autonomy, and planning for future needs.
D. Incorrect. Abrupt ending may disregard the therapeutic relationship.</x:v>
      </x:c>
      <x:c r="P432" s="192" t="str">
        <x:v>Meeting goals initiates termination work; it does not eliminate the need to process the ending.</x:v>
      </x:c>
      <x:c r="Q432" s="194" t="str">
        <x:v>CTA LMFT WB7; Pearson VUE LMFT Outline Area 4</x:v>
      </x:c>
    </x:row>
    <x:row r="433">
      <x:c r="A433" s="191" t="str">
        <x:v>CTA-LMFT-MQB-0432</x:v>
      </x:c>
      <x:c r="B433" s="192" t="str">
        <x:v>LMFT-MQB-FB-CR-002</x:v>
      </x:c>
      <x:c r="C433" s="192" t="str">
        <x:v>Comprehensive Simulation</x:v>
      </x:c>
      <x:c r="D433" s="192" t="str">
        <x:v>Form B</x:v>
      </x:c>
      <x:c r="E433" s="192" t="str">
        <x:v>A client with intermittent suicidal urges agrees to create a written plan for use outside sessions. Which set of elements would make the plan most actionable?</x:v>
      </x:c>
      <x:c r="F433" s="192" t="str">
        <x:v>A requirement that the client contact the therapist before using emergency services.</x:v>
      </x:c>
      <x:c r="G433" s="192" t="str">
        <x:v>A general instruction to “think positively.”</x:v>
      </x:c>
      <x:c r="H433" s="192" t="str">
        <x:v>Specific warning signs, internal coping steps, supportive contacts, professional resources, and steps to reduce access to lethal means.</x:v>
      </x:c>
      <x:c r="I433" s="192" t="str">
        <x:v>A promise that the client will never feel suicidal again.</x:v>
      </x:c>
      <x:c r="J433" s="192" t="str">
        <x:v>C</x:v>
      </x:c>
      <x:c r="K433" s="192" t="str">
        <x:v>Incorrect. Emergency services should not be delayed by an exclusive-contact requirement.</x:v>
      </x:c>
      <x:c r="L433" s="192" t="str">
        <x:v>Incorrect. Vague encouragement is not an actionable plan.</x:v>
      </x:c>
      <x:c r="M433" s="192" t="str">
        <x:v>Correct. A useful plan is concrete, personalized, accessible, and linked to escalating levels of support.</x:v>
      </x:c>
      <x:c r="N433" s="192" t="str">
        <x:v>Incorrect. No plan can guarantee the absence of future suicidal thoughts.</x:v>
      </x:c>
      <x:c r="O433" s="192" t="str">
        <x:v>A. Incorrect. Emergency services should not be delayed by an exclusive-contact requirement.
B. Incorrect. Vague encouragement is not an actionable plan.
C. Correct. A useful plan is concrete, personalized, accessible, and linked to escalating levels of support.
D. Incorrect. No plan can guarantee the absence of future suicidal thoughts.</x:v>
      </x:c>
      <x:c r="P433" s="192" t="str">
        <x:v>Strong safety plans specify what the client will notice and do at each step.</x:v>
      </x:c>
      <x:c r="Q433" s="194" t="str">
        <x:v>CTA LMFT WB6; Pearson VUE LMFT Outline Area 3</x:v>
      </x:c>
    </x:row>
    <x:row r="434">
      <x:c r="A434" s="191" t="str">
        <x:v>CTA-LMFT-MQB-0433</x:v>
      </x:c>
      <x:c r="B434" s="192" t="str">
        <x:v>LMFT-MQB-FB-TX-041</x:v>
      </x:c>
      <x:c r="C434" s="192" t="str">
        <x:v>Comprehensive Simulation</x:v>
      </x:c>
      <x:c r="D434" s="192" t="str">
        <x:v>Form B</x:v>
      </x:c>
      <x:c r="E434" s="192" t="str">
        <x:v>One autistic partner needs a defined break after conflict; the other experiences the break as abandonment and pursues immediate resolution. What intervention is most appropriate?</x:v>
      </x:c>
      <x:c r="F434" s="192" t="str">
        <x:v>Require immediate eye contact and emotional discussion.</x:v>
      </x:c>
      <x:c r="G434" s="192" t="str">
        <x:v>Tell the nonautistic partner to stop having attachment needs.</x:v>
      </x:c>
      <x:c r="H434" s="192" t="str">
        <x:v>Create a mutually agreed pause-and-return plan, use explicit communication, validate both needs, and track whether the structure reduces the pursue-withdraw cycle.</x:v>
      </x:c>
      <x:c r="I434" s="192" t="str">
        <x:v>Assume autism makes couple therapy ineffective.</x:v>
      </x:c>
      <x:c r="J434" s="192" t="str">
        <x:v>C</x:v>
      </x:c>
      <x:c r="K434" s="192" t="str">
        <x:v>Incorrect. The demand may increase overload.</x:v>
      </x:c>
      <x:c r="L434" s="192" t="str">
        <x:v>Incorrect. Both partners’ needs require recognition.</x:v>
      </x:c>
      <x:c r="M434" s="192" t="str">
        <x:v>Correct. The intervention adapts access while addressing the relational meaning and cycle for both partners.</x:v>
      </x:c>
      <x:c r="N434" s="192" t="str">
        <x:v>Incorrect. Neurodiversity does not preclude relational change.</x:v>
      </x:c>
      <x:c r="O434" s="192" t="str">
        <x:v>A. Incorrect. The demand may increase overload.
B. Incorrect. Both partners’ needs require recognition.
C. Correct. The intervention adapts access while addressing the relational meaning and cycle for both partners.
D. Incorrect. Neurodiversity does not preclude relational change.</x:v>
      </x:c>
      <x:c r="P434" s="192" t="str">
        <x:v>Adapt the process without erasing either partner’s experience.</x:v>
      </x:c>
      <x:c r="Q434" s="194" t="str">
        <x:v>CTA LMFT WB8; CTA LMFT WB10; Pearson VUE LMFT Outline Area 5</x:v>
      </x:c>
    </x:row>
    <x:row r="435">
      <x:c r="A435" s="191" t="str">
        <x:v>CTA-LMFT-MQB-0434</x:v>
      </x:c>
      <x:c r="B435" s="192" t="str">
        <x:v>LMFT-MQB-FB-CP-009</x:v>
      </x:c>
      <x:c r="C435" s="192" t="str">
        <x:v>Comprehensive Simulation</x:v>
      </x:c>
      <x:c r="D435" s="192" t="str">
        <x:v>Form B</x:v>
      </x:c>
      <x:c r="E435" s="192" t="str">
        <x:v>A client with repeated suicide attempts, no stable housing, and poor follow-through requests ordinary weekly outpatient therapy. What planning response best addresses the mismatch?</x:v>
      </x:c>
      <x:c r="F435" s="192" t="str">
        <x:v>Discuss why a higher level of care or additional supports are indicated and coordinate a safer plan while preserving the client’s involvement.</x:v>
      </x:c>
      <x:c r="G435" s="192" t="str">
        <x:v>Promise that outpatient therapy will prevent all future self-harm.</x:v>
      </x:c>
      <x:c r="H435" s="192" t="str">
        <x:v>Agree to weekly therapy because client preference always determines level of care.</x:v>
      </x:c>
      <x:c r="I435" s="192" t="str">
        <x:v>Refuse any further contact.</x:v>
      </x:c>
      <x:c r="J435" s="192" t="str">
        <x:v>A</x:v>
      </x:c>
      <x:c r="K435" s="192" t="str">
        <x:v>Correct. The therapist should respect autonomy while clearly addressing why the current level may not safely meet the client’s needs.</x:v>
      </x:c>
      <x:c r="L435" s="192" t="str">
        <x:v>Incorrect. No treatment can guarantee prevention.</x:v>
      </x:c>
      <x:c r="M435" s="192" t="str">
        <x:v>Incorrect. Preference is important but does not eliminate safety-based professional judgment.</x:v>
      </x:c>
      <x:c r="N435" s="192" t="str">
        <x:v>Incorrect. Abandonment is not an appropriate response.</x:v>
      </x:c>
      <x:c r="O435" s="192" t="str">
        <x:v>A. Correct. The therapist should respect autonomy while clearly addressing why the current level may not safely meet the client’s needs.
B. Incorrect. No treatment can guarantee prevention.
C. Incorrect. Preference is important but does not eliminate safety-based professional judgment.
D. Incorrect. Abandonment is not an appropriate response.</x:v>
      </x:c>
      <x:c r="P435" s="192" t="str">
        <x:v>When desired care is insufficient, explain the risk, offer the least restrictive effective alternative, and support transition.</x:v>
      </x:c>
      <x:c r="Q435" s="194" t="str">
        <x:v>CTA LMFT WB6; CTA LMFT WB7; Pearson VUE LMFT Outline Area 4</x:v>
      </x:c>
    </x:row>
    <x:row r="436">
      <x:c r="A436" s="191" t="str">
        <x:v>CTA-LMFT-MQB-0435</x:v>
      </x:c>
      <x:c r="B436" s="192" t="str">
        <x:v>LMFT-MQB-FB-TX-033</x:v>
      </x:c>
      <x:c r="C436" s="192" t="str">
        <x:v>Comprehensive Simulation</x:v>
      </x:c>
      <x:c r="D436" s="192" t="str">
        <x:v>Form B</x:v>
      </x:c>
      <x:c r="E436" s="192" t="str">
        <x:v>In private, a partner reports surveillance, threats involving immigration status, and punishment for disagreement. What should the couple therapist do next?</x:v>
      </x:c>
      <x:c r="F436" s="192" t="str">
        <x:v>Frame the problem as equal conflict.</x:v>
      </x:c>
      <x:c r="G436" s="192" t="str">
        <x:v>Disclose the private report to the partner immediately.</x:v>
      </x:c>
      <x:c r="H436" s="192" t="str">
        <x:v>Use mutual communication exercises in the next joint session.</x:v>
      </x:c>
      <x:c r="I436" s="192" t="str">
        <x:v>Assess danger and coercive control privately, reconsider conjoint treatment, support safety planning, and connect specialized resources.</x:v>
      </x:c>
      <x:c r="J436" s="192" t="str">
        <x:v>D</x:v>
      </x:c>
      <x:c r="K436" s="192" t="str">
        <x:v>Incorrect. The described pattern is not ordinary mutual conflict.</x:v>
      </x:c>
      <x:c r="L436" s="192" t="str">
        <x:v>Incorrect. Unplanned disclosure can provoke retaliation.</x:v>
      </x:c>
      <x:c r="M436" s="192" t="str">
        <x:v>Incorrect. Symmetric skills work may increase risk.</x:v>
      </x:c>
      <x:c r="N436" s="192" t="str">
        <x:v>Correct. Coercive control changes the safety and appropriateness of conjoint treatment.</x:v>
      </x:c>
      <x:c r="O436" s="192" t="str">
        <x:v>A. Incorrect. The described pattern is not ordinary mutual conflict.
B. Incorrect. Unplanned disclosure can provoke retaliation.
C. Incorrect. Symmetric skills work may increase risk.
D. Correct. Coercive control changes the safety and appropriateness of conjoint treatment.</x:v>
      </x:c>
      <x:c r="P436" s="192" t="str">
        <x:v>When power and retaliation constrain speech, standard conjoint techniques may be contraindicated.</x:v>
      </x:c>
      <x:c r="Q436" s="194" t="str">
        <x:v>CTA LMFT WB6; CTA LMFT WB8; Pearson VUE LMFT Outline Area 5</x:v>
      </x:c>
    </x:row>
    <x:row r="437">
      <x:c r="A437" s="191" t="str">
        <x:v>CTA-LMFT-MQB-0436</x:v>
      </x:c>
      <x:c r="B437" s="192" t="str">
        <x:v>LMFT-MQB-FB-CE-013</x:v>
      </x:c>
      <x:c r="C437" s="192" t="str">
        <x:v>Comprehensive Simulation</x:v>
      </x:c>
      <x:c r="D437" s="192" t="str">
        <x:v>Form B</x:v>
      </x:c>
      <x:c r="E437" s="192" t="str">
        <x:v>A 6-year-old begins bed-wetting and refusing preschool after a caregiver is hospitalized. Which information is most important before deciding whether the behavior is developmentally concerning?</x:v>
      </x:c>
      <x:c r="F437" s="192" t="str">
        <x:v>Whether the child is intentionally manipulating the parents.</x:v>
      </x:c>
      <x:c r="G437" s="192" t="str">
        <x:v>The timing, duration, developmental fit, family transition, impairment, and whether symptoms are improving or worsening.</x:v>
      </x:c>
      <x:c r="H437" s="192" t="str">
        <x:v>A personality disorder.</x:v>
      </x:c>
      <x:c r="I437" s="192" t="str">
        <x:v>Only the child’s school grades.</x:v>
      </x:c>
      <x:c r="J437" s="192" t="str">
        <x:v>B</x:v>
      </x:c>
      <x:c r="K437" s="192" t="str">
        <x:v>Incorrect. Intent should not be assumed from distress behavior.</x:v>
      </x:c>
      <x:c r="L437" s="192" t="str">
        <x:v>Correct. The presentation may reflect a developmental response to multiple transitions, but severity and impairment still require assessment.</x:v>
      </x:c>
      <x:c r="M437" s="192" t="str">
        <x:v>Incorrect. Personality diagnosis is not supported by the information.</x:v>
      </x:c>
      <x:c r="N437" s="192" t="str">
        <x:v>Incorrect. School data are useful but too narrow.</x:v>
      </x:c>
      <x:c r="O437" s="192" t="str">
        <x:v>A. Incorrect. Intent should not be assumed from distress behavior.
B. Correct. The presentation may reflect a developmental response to multiple transitions, but severity and impairment still require assessment.
C. Incorrect. Personality diagnosis is not supported by the information.
D. Incorrect. School data are useful but too narrow.</x:v>
      </x:c>
      <x:c r="P437" s="192" t="str">
        <x:v>With children, compare behavior with developmental expectations and recent transitions before making a fixed interpretation.</x:v>
      </x:c>
      <x:c r="Q437" s="194" t="str">
        <x:v>CTA LMFT WB3; Pearson VUE LMFT Outline Area 1</x:v>
      </x:c>
    </x:row>
    <x:row r="438">
      <x:c r="A438" s="191" t="str">
        <x:v>CTA-LMFT-MQB-0437</x:v>
      </x:c>
      <x:c r="B438" s="192" t="str">
        <x:v>LMFT-MQB-FB-TX-037</x:v>
      </x:c>
      <x:c r="C438" s="192" t="str">
        <x:v>Comprehensive Simulation</x:v>
      </x:c>
      <x:c r="D438" s="192" t="str">
        <x:v>Form B</x:v>
      </x:c>
      <x:c r="E438" s="192" t="str">
        <x:v>An adolescent’s acute self-harm risk has decreased, but the adolescent still enters parental disputes to stop the conflict. What should treatment emphasize next?</x:v>
      </x:c>
      <x:c r="F438" s="192" t="str">
        <x:v>End all safety monitoring because the crisis improved.</x:v>
      </x:c>
      <x:c r="G438" s="192" t="str">
        <x:v>Maintain the safety plan while strengthening the parental subsystem, reducing triangulation, and helping the adolescent develop separate regulation and communication skills.</x:v>
      </x:c>
      <x:c r="H438" s="192" t="str">
        <x:v>Ask the adolescent to mediate more effectively.</x:v>
      </x:c>
      <x:c r="I438" s="192" t="str">
        <x:v>Treat only the adolescent’s behavior.</x:v>
      </x:c>
      <x:c r="J438" s="192" t="str">
        <x:v>B</x:v>
      </x:c>
      <x:c r="K438" s="192" t="str">
        <x:v>Incorrect. Recent stabilization does not eliminate relapse planning.</x:v>
      </x:c>
      <x:c r="L438" s="192" t="str">
        <x:v>Correct. The plan integrates ongoing risk management with the family mechanism and individual skill needs.</x:v>
      </x:c>
      <x:c r="M438" s="192" t="str">
        <x:v>Incorrect. Mediation reinforces the child’s inappropriate role.</x:v>
      </x:c>
      <x:c r="N438" s="192" t="str">
        <x:v>Incorrect. The relational pattern remains active.</x:v>
      </x:c>
      <x:c r="O438" s="192" t="str">
        <x:v>A. Incorrect. Recent stabilization does not eliminate relapse planning.
B. Correct. The plan integrates ongoing risk management with the family mechanism and individual skill needs.
C. Incorrect. Mediation reinforces the child’s inappropriate role.
D. Incorrect. The relational pattern remains active.</x:v>
      </x:c>
      <x:c r="P438" s="192" t="str">
        <x:v>After crisis stabilization, keep safety in view while moving to the maintaining system.</x:v>
      </x:c>
      <x:c r="Q438" s="194" t="str">
        <x:v>CTA LMFT WB6; CTA LMFT WB8; CTA LMFT WB9; Pearson VUE LMFT Outline Area 5</x:v>
      </x:c>
    </x:row>
    <x:row r="439">
      <x:c r="A439" s="191" t="str">
        <x:v>CTA-LMFT-MQB-0438</x:v>
      </x:c>
      <x:c r="B439" s="192" t="str">
        <x:v>LMFT-MQB-FB-DI-012</x:v>
      </x:c>
      <x:c r="C439" s="192" t="str">
        <x:v>Comprehensive Simulation</x:v>
      </x:c>
      <x:c r="D439" s="192" t="str">
        <x:v>Form B</x:v>
      </x:c>
      <x:c r="E439" s="192" t="str">
        <x:v>A previously attentive child becomes distractible and hyperalert after a frightening home event, with symptoms worsening around conflict cues. What is the next diagnostic step?</x:v>
      </x:c>
      <x:c r="F439" s="192" t="str">
        <x:v>Tell the parents the behavior is intentional.</x:v>
      </x:c>
      <x:c r="G439" s="192" t="str">
        <x:v>Diagnose ADHD because restlessness is present.</x:v>
      </x:c>
      <x:c r="H439" s="192" t="str">
        <x:v>Begin stimulant recommendations.</x:v>
      </x:c>
      <x:c r="I439" s="192" t="str">
        <x:v>Assess trauma symptoms, developmental history, pre-event functioning, cross-setting pattern, and safety before diagnosing ADHD.</x:v>
      </x:c>
      <x:c r="J439" s="192" t="str">
        <x:v>D</x:v>
      </x:c>
      <x:c r="K439" s="192" t="str">
        <x:v>Incorrect. Intent cannot be inferred.</x:v>
      </x:c>
      <x:c r="L439" s="192" t="str">
        <x:v>Incorrect. ADHD requires a broader developmental and cross-setting pattern.</x:v>
      </x:c>
      <x:c r="M439" s="192" t="str">
        <x:v>Incorrect. Medication recommendations are outside the therapist’s role and premature.</x:v>
      </x:c>
      <x:c r="N439" s="192" t="str">
        <x:v>Correct. The timing and trigger-specific pattern make trauma and environmental safety essential differentials.</x:v>
      </x:c>
      <x:c r="O439" s="192" t="str">
        <x:v>A. Incorrect. Intent cannot be inferred.
B. Incorrect. ADHD requires a broader developmental and cross-setting pattern.
C. Incorrect. Medication recommendations are outside the therapist’s role and premature.
D. Correct. The timing and trigger-specific pattern make trauma and environmental safety essential differentials.</x:v>
      </x:c>
      <x:c r="P439" s="192" t="str">
        <x:v>Ask whether the symptoms were present before the event and across settings.</x:v>
      </x:c>
      <x:c r="Q439" s="194" t="str">
        <x:v>CTA LMFT WB3; CTA LMFT WB5; Pearson VUE LMFT Outline Area 2</x:v>
      </x:c>
    </x:row>
    <x:row r="440">
      <x:c r="A440" s="191" t="str">
        <x:v>CTA-LMFT-MQB-0439</x:v>
      </x:c>
      <x:c r="B440" s="192" t="str">
        <x:v>LMFT-MQB-FB-CE-019</x:v>
      </x:c>
      <x:c r="C440" s="192" t="str">
        <x:v>Comprehensive Simulation</x:v>
      </x:c>
      <x:c r="D440" s="192" t="str">
        <x:v>Form B</x:v>
      </x:c>
      <x:c r="E440" s="192" t="str">
        <x:v>In session, a child complains, one caregiver immediately comforts the child, and the other caregiver responds by becoming harsher. How should the LMFT conceptualize this observation?</x:v>
      </x:c>
      <x:c r="F440" s="192" t="str">
        <x:v>A recurring interaction sequence and possible coalition that may maintain the presenting problem.</x:v>
      </x:c>
      <x:c r="G440" s="192" t="str">
        <x:v>A definitive diagnosis for each family member.</x:v>
      </x:c>
      <x:c r="H440" s="192" t="str">
        <x:v>Evidence that the rescuing parent should control treatment.</x:v>
      </x:c>
      <x:c r="I440" s="192" t="str">
        <x:v>Proof that the child is the sole cause of the conflict.</x:v>
      </x:c>
      <x:c r="J440" s="192" t="str">
        <x:v>A</x:v>
      </x:c>
      <x:c r="K440" s="192" t="str">
        <x:v>Correct. The observed sequence provides systemic information about reciprocity, hierarchy, alliances, and escalation.</x:v>
      </x:c>
      <x:c r="L440" s="192" t="str">
        <x:v>Incorrect. Observation alone does not establish multiple diagnoses.</x:v>
      </x:c>
      <x:c r="M440" s="192" t="str">
        <x:v>Incorrect. A coalition does not confer treatment authority.</x:v>
      </x:c>
      <x:c r="N440" s="192" t="str">
        <x:v>Incorrect. The pattern is relational rather than proof of a single cause.</x:v>
      </x:c>
      <x:c r="O440" s="192" t="str">
        <x:v>A. Correct. The observed sequence provides systemic information about reciprocity, hierarchy, alliances, and escalation.
B. Incorrect. Observation alone does not establish multiple diagnoses.
C. Incorrect. A coalition does not confer treatment authority.
D. Incorrect. The pattern is relational rather than proof of a single cause.</x:v>
      </x:c>
      <x:c r="P440" s="192" t="str">
        <x:v>Describe who does what next and how the sequence repeats before assigning motives or blame.</x:v>
      </x:c>
      <x:c r="Q440" s="194" t="str">
        <x:v>CTA LMFT WB4; Pearson VUE LMFT Outline Area 1</x:v>
      </x:c>
    </x:row>
    <x:row r="441">
      <x:c r="A441" s="191" t="str">
        <x:v>CTA-LMFT-MQB-0440</x:v>
      </x:c>
      <x:c r="B441" s="192" t="str">
        <x:v>LMFT-MQB-FB-DI-016</x:v>
      </x:c>
      <x:c r="C441" s="192" t="str">
        <x:v>Comprehensive Simulation</x:v>
      </x:c>
      <x:c r="D441" s="192" t="str">
        <x:v>Form B</x:v>
      </x:c>
      <x:c r="E441" s="192" t="str">
        <x:v>A young adult has recurrent depressive episodes and is now worsening amid intense family conflict. Which formulation best integrates diagnosis and systemic context?</x:v>
      </x:c>
      <x:c r="F441" s="192" t="str">
        <x:v>Assess whether a depressive disorder is present while also identifying the separation and family conflict as contextual factors that may precipitate or maintain symptoms.</x:v>
      </x:c>
      <x:c r="G441" s="192" t="str">
        <x:v>Diagnose adjustment disorder solely because a stressor is present.</x:v>
      </x:c>
      <x:c r="H441" s="192" t="str">
        <x:v>Ignore the prior episodes because the current stressor is obvious.</x:v>
      </x:c>
      <x:c r="I441" s="192" t="str">
        <x:v>Choose either an individual diagnosis or a family formulation, because both cannot be used.</x:v>
      </x:c>
      <x:c r="J441" s="192" t="str">
        <x:v>A</x:v>
      </x:c>
      <x:c r="K441" s="192" t="str">
        <x:v>Correct. Individual diagnosis and systemic context can coexist and improve treatment planning.</x:v>
      </x:c>
      <x:c r="L441" s="192" t="str">
        <x:v>Incorrect. A stressor does not exclude a primary mood disorder.</x:v>
      </x:c>
      <x:c r="M441" s="192" t="str">
        <x:v>Incorrect. Prior independent episodes are diagnostically significant.</x:v>
      </x:c>
      <x:c r="N441" s="192" t="str">
        <x:v>Incorrect. LMFT reasoning integrates rather than forces an either-or choice.</x:v>
      </x:c>
      <x:c r="O441" s="192" t="str">
        <x:v>A. Correct. Individual diagnosis and systemic context can coexist and improve treatment planning.
B. Incorrect. A stressor does not exclude a primary mood disorder.
C. Incorrect. Prior independent episodes are diagnostically significant.
D. Incorrect. LMFT reasoning integrates rather than forces an either-or choice.</x:v>
      </x:c>
      <x:c r="P441" s="192" t="str">
        <x:v>Use diagnosis to describe the syndrome and systemic formulation to explain context and maintenance.</x:v>
      </x:c>
      <x:c r="Q441" s="194" t="str">
        <x:v>CTA LMFT WB5; CTA LMFT WB7; Pearson VUE LMFT Outline Area 2</x:v>
      </x:c>
    </x:row>
    <x:row r="442">
      <x:c r="A442" s="191" t="str">
        <x:v>CTA-LMFT-MQB-0441</x:v>
      </x:c>
      <x:c r="B442" s="192" t="str">
        <x:v>LMFT-MQB-FB-DI-001</x:v>
      </x:c>
      <x:c r="C442" s="192" t="str">
        <x:v>Comprehensive Simulation</x:v>
      </x:c>
      <x:c r="D442" s="192" t="str">
        <x:v>Form B</x:v>
      </x:c>
      <x:c r="E442" s="192" t="str">
        <x:v>An LMFT has substantial evidence for a disorder, but the minimum duration has not yet elapsed and medical test results are pending. Which diagnostic designation best communicates the current level of certainty?</x:v>
      </x:c>
      <x:c r="F442" s="192" t="str">
        <x:v>Only when no symptoms are present.</x:v>
      </x:c>
      <x:c r="G442" s="192" t="str">
        <x:v>When the available information strongly suggests a diagnosis but important confirmation, duration, or rule-out information is still pending.</x:v>
      </x:c>
      <x:c r="H442" s="192" t="str">
        <x:v>Whenever a client disagrees with the therapist.</x:v>
      </x:c>
      <x:c r="I442" s="192" t="str">
        <x:v>When the therapist wants to avoid documenting uncertainty.</x:v>
      </x:c>
      <x:c r="J442" s="192" t="str">
        <x:v>B</x:v>
      </x:c>
      <x:c r="K442" s="192" t="str">
        <x:v>Incorrect. A diagnosis requires clinically relevant symptoms or conditions.</x:v>
      </x:c>
      <x:c r="L442" s="192" t="str">
        <x:v>Correct. A provisional label communicates a reasoned working impression while acknowledging incomplete confirmation.</x:v>
      </x:c>
      <x:c r="M442" s="192" t="str">
        <x:v>Incorrect. Client disagreement does not determine diagnostic status.</x:v>
      </x:c>
      <x:c r="N442" s="192" t="str">
        <x:v>Incorrect. Provisional status is a transparent expression of uncertainty, not a way to hide it.</x:v>
      </x:c>
      <x:c r="O442" s="192" t="str">
        <x:v>A. Incorrect. A diagnosis requires clinically relevant symptoms or conditions.
B. Correct. A provisional label communicates a reasoned working impression while acknowledging incomplete confirmation.
C. Incorrect. Client disagreement does not determine diagnostic status.
D. Incorrect. Provisional status is a transparent expression of uncertainty, not a way to hide it.</x:v>
      </x:c>
      <x:c r="P442" s="192" t="str">
        <x:v>Choose provisional when the pattern is plausible but material evidence remains incomplete.</x:v>
      </x:c>
      <x:c r="Q442" s="194" t="str">
        <x:v>CTA LMFT WB5; Pearson VUE LMFT Outline Area 2</x:v>
      </x:c>
    </x:row>
    <x:row r="443">
      <x:c r="A443" s="191" t="str">
        <x:v>CTA-LMFT-MQB-0442</x:v>
      </x:c>
      <x:c r="B443" s="192" t="str">
        <x:v>LMFT-MQB-FB-TX-020</x:v>
      </x:c>
      <x:c r="C443" s="192" t="str">
        <x:v>Comprehensive Simulation</x:v>
      </x:c>
      <x:c r="D443" s="192" t="str">
        <x:v>Form B</x:v>
      </x:c>
      <x:c r="E443" s="192" t="str">
        <x:v>A caregiver for a partner with dementia reports anger, guilt, and physical exhaustion. What should the therapist focus on?</x:v>
      </x:c>
      <x:c r="F443" s="192" t="str">
        <x:v>Validate mixed emotions, assess burden and safety, mobilize respite and support, and help the couple renegotiate roles realistically.</x:v>
      </x:c>
      <x:c r="G443" s="192" t="str">
        <x:v>Tell the caregiver resentment is selfish.</x:v>
      </x:c>
      <x:c r="H443" s="192" t="str">
        <x:v>Recommend immediate separation.</x:v>
      </x:c>
      <x:c r="I443" s="192" t="str">
        <x:v>Focus only on the ill partner.</x:v>
      </x:c>
      <x:c r="J443" s="192" t="str">
        <x:v>A</x:v>
      </x:c>
      <x:c r="K443" s="192" t="str">
        <x:v>Correct. Caregiver stress is relational and practical; support should address emotion, resources, role changes, and sustainability.</x:v>
      </x:c>
      <x:c r="L443" s="192" t="str">
        <x:v>Incorrect. Shaming increases isolation.</x:v>
      </x:c>
      <x:c r="M443" s="192" t="str">
        <x:v>Incorrect. Separation is not the only or first response.</x:v>
      </x:c>
      <x:c r="N443" s="192" t="str">
        <x:v>Incorrect. Ignoring the caregiver can worsen the whole system.</x:v>
      </x:c>
      <x:c r="O443" s="192" t="str">
        <x:v>A. Correct. Caregiver stress is relational and practical; support should address emotion, resources, role changes, and sustainability.
B. Incorrect. Shaming increases isolation.
C. Incorrect. Separation is not the only or first response.
D. Incorrect. Ignoring the caregiver can worsen the whole system.</x:v>
      </x:c>
      <x:c r="P443" s="192" t="str">
        <x:v>Caregiver interventions combine validation, resources, boundaries, and realistic role planning.</x:v>
      </x:c>
      <x:c r="Q443" s="194" t="str">
        <x:v>CTA LMFT WB9; CTA LMFT WB10; Pearson VUE LMFT Outline Area 5</x:v>
      </x:c>
    </x:row>
    <x:row r="444">
      <x:c r="A444" s="191" t="str">
        <x:v>CTA-LMFT-MQB-0443</x:v>
      </x:c>
      <x:c r="B444" s="192" t="str">
        <x:v>LMFT-MQB-FB-CE-034</x:v>
      </x:c>
      <x:c r="C444" s="192" t="str">
        <x:v>Comprehensive Simulation</x:v>
      </x:c>
      <x:c r="D444" s="192" t="str">
        <x:v>Form B</x:v>
      </x:c>
      <x:c r="E444" s="192" t="str">
        <x:v>Following a frightening emergency-room visit, a client experiences racing heart and avoids exertion. Medical restrictions remain unclear. What should the LMFT do before using panic-focused exposure?</x:v>
      </x:c>
      <x:c r="F444" s="192" t="str">
        <x:v>Diagnose panic disorder solely because fear recurs.</x:v>
      </x:c>
      <x:c r="G444" s="192" t="str">
        <x:v>Reassure the client that all symptoms are harmless.</x:v>
      </x:c>
      <x:c r="H444" s="192" t="str">
        <x:v>Use exposure immediately without confirming medical guidance.</x:v>
      </x:c>
      <x:c r="I444" s="192" t="str">
        <x:v>Clarify medical follow-up and symptom timing, assess panic and trauma responses, and coordinate with medical providers before assuming a purely psychological cause.</x:v>
      </x:c>
      <x:c r="J444" s="192" t="str">
        <x:v>D</x:v>
      </x:c>
      <x:c r="K444" s="192" t="str">
        <x:v>Incorrect. A diagnosis requires rule-outs and full criteria.</x:v>
      </x:c>
      <x:c r="L444" s="192" t="str">
        <x:v>Incorrect. The therapist cannot guarantee that all symptoms are benign.</x:v>
      </x:c>
      <x:c r="M444" s="192" t="str">
        <x:v>Incorrect. Activity recommendations may depend on medical status.</x:v>
      </x:c>
      <x:c r="N444" s="192" t="str">
        <x:v>Correct. The therapist must integrate medical status, trauma meaning, and anxiety mechanisms before selecting treatment.</x:v>
      </x:c>
      <x:c r="O444" s="192" t="str">
        <x:v>A. Incorrect. A diagnosis requires rule-outs and full criteria.
B. Incorrect. The therapist cannot guarantee that all symptoms are benign.
C. Incorrect. Activity recommendations may depend on medical status.
D. Correct. The therapist must integrate medical status, trauma meaning, and anxiety mechanisms before selecting treatment.</x:v>
      </x:c>
      <x:c r="P444" s="192" t="str">
        <x:v>When bodily symptoms follow a medical event, combine medical coordination with psychological assessment.</x:v>
      </x:c>
      <x:c r="Q444" s="194" t="str">
        <x:v>CTA LMFT WB2; CTA LMFT WB5; Pearson VUE LMFT Outline Area 1</x:v>
      </x:c>
    </x:row>
    <x:row r="445">
      <x:c r="A445" s="191" t="str">
        <x:v>CTA-LMFT-MQB-0444</x:v>
      </x:c>
      <x:c r="B445" s="192" t="str">
        <x:v>LMFT-MQB-FB-TX-010</x:v>
      </x:c>
      <x:c r="C445" s="192" t="str">
        <x:v>Comprehensive Simulation</x:v>
      </x:c>
      <x:c r="D445" s="192" t="str">
        <x:v>Form B</x:v>
      </x:c>
      <x:c r="E445" s="192" t="str">
        <x:v>Caregivers alternate between ignoring and rewarding a child’s refusal to complete chores. What intervention is most appropriate?</x:v>
      </x:c>
      <x:c r="F445" s="192" t="str">
        <x:v>Help caregivers agree on a predictable routine, calm limit, and consistent reinforcement plan.</x:v>
      </x:c>
      <x:c r="G445" s="192" t="str">
        <x:v>Use punishment that increases each time a parent feels frustrated.</x:v>
      </x:c>
      <x:c r="H445" s="192" t="str">
        <x:v>Have the child design separate rules for each parent.</x:v>
      </x:c>
      <x:c r="I445" s="192" t="str">
        <x:v>Ask parents to argue about consequences in front of the child.</x:v>
      </x:c>
      <x:c r="J445" s="192" t="str">
        <x:v>A</x:v>
      </x:c>
      <x:c r="K445" s="192" t="str">
        <x:v>Correct. Consistency and coordinated caregiving reduce intermittent reinforcement and conflict around the behavior.</x:v>
      </x:c>
      <x:c r="L445" s="192" t="str">
        <x:v>Incorrect. Emotion-driven punishment is not predictable or developmentally sound.</x:v>
      </x:c>
      <x:c r="M445" s="192" t="str">
        <x:v>Incorrect. Different rules may maintain testing and inconsistency.</x:v>
      </x:c>
      <x:c r="N445" s="192" t="str">
        <x:v>Incorrect. Open conflict can intensify the child’s distress and triangulation.</x:v>
      </x:c>
      <x:c r="O445" s="192" t="str">
        <x:v>A. Correct. Consistency and coordinated caregiving reduce intermittent reinforcement and conflict around the behavior.
B. Incorrect. Emotion-driven punishment is not predictable or developmentally sound.
C. Incorrect. Different rules may maintain testing and inconsistency.
D. Incorrect. Open conflict can intensify the child’s distress and triangulation.</x:v>
      </x:c>
      <x:c r="P445" s="192" t="str">
        <x:v>For child behavior, ask whether adult responses are coordinated, predictable, and proportionate.</x:v>
      </x:c>
      <x:c r="Q445" s="194" t="str">
        <x:v>CTA LMFT WB8; CTA LMFT WB9; Pearson VUE LMFT Outline Area 5</x:v>
      </x:c>
    </x:row>
    <x:row r="446">
      <x:c r="A446" s="191" t="str">
        <x:v>CTA-LMFT-MQB-0445</x:v>
      </x:c>
      <x:c r="B446" s="192" t="str">
        <x:v>LMFT-MQB-FB-CE-036</x:v>
      </x:c>
      <x:c r="C446" s="192" t="str">
        <x:v>Comprehensive Simulation</x:v>
      </x:c>
      <x:c r="D446" s="192" t="str">
        <x:v>Form B</x:v>
      </x:c>
      <x:c r="E446" s="192" t="str">
        <x:v>At intake, a family asks a teenage daughter to interpret sensitive questions for adults who have limited English proficiency. What should the LMFT do next?</x:v>
      </x:c>
      <x:c r="F446" s="192" t="str">
        <x:v>Ask only yes-or-no questions to avoid interpretation.</x:v>
      </x:c>
      <x:c r="G446" s="192" t="str">
        <x:v>Assume reluctance to disclose reflects denial.</x:v>
      </x:c>
      <x:c r="H446" s="192" t="str">
        <x:v>Continue using the child because the family requested it.</x:v>
      </x:c>
      <x:c r="I446" s="192" t="str">
        <x:v>Arrange qualified language assistance, clarify roles and confidentiality, assess immediate safety, and continue evaluation in a developmentally and culturally appropriate manner.</x:v>
      </x:c>
      <x:c r="J446" s="192" t="str">
        <x:v>D</x:v>
      </x:c>
      <x:c r="K446" s="192" t="str">
        <x:v>Incorrect. Restricted questions do not solve access or understanding.</x:v>
      </x:c>
      <x:c r="L446" s="192" t="str">
        <x:v>Incorrect. Reluctance may reflect trauma, culture, fear, or language barriers.</x:v>
      </x:c>
      <x:c r="M446" s="192" t="str">
        <x:v>Incorrect. A child interpreter may distort information and burden the child.</x:v>
      </x:c>
      <x:c r="N446" s="192" t="str">
        <x:v>Correct. Qualified language access protects accuracy, privacy, role boundaries, and the child from inappropriate responsibility.</x:v>
      </x:c>
      <x:c r="O446" s="192" t="str">
        <x:v>A. Incorrect. Restricted questions do not solve access or understanding.
B. Incorrect. Reluctance may reflect trauma, culture, fear, or language barriers.
C. Incorrect. A child interpreter may distort information and burden the child.
D. Correct. Qualified language access protects accuracy, privacy, role boundaries, and the child from inappropriate responsibility.</x:v>
      </x:c>
      <x:c r="P446" s="192" t="str">
        <x:v>Language access is part of competent assessment, not an optional convenience.</x:v>
      </x:c>
      <x:c r="Q446" s="194" t="str">
        <x:v>CTA LMFT WB3; CTA LMFT WB10; Pearson VUE LMFT Outline Area 1</x:v>
      </x:c>
    </x:row>
    <x:row r="447">
      <x:c r="A447" s="191" t="str">
        <x:v>CTA-LMFT-MQB-0446</x:v>
      </x:c>
      <x:c r="B447" s="192" t="str">
        <x:v>LMFT-MQB-FB-TX-029</x:v>
      </x:c>
      <x:c r="C447" s="192" t="str">
        <x:v>Comprehensive Simulation</x:v>
      </x:c>
      <x:c r="D447" s="192" t="str">
        <x:v>Form B</x:v>
      </x:c>
      <x:c r="E447" s="192" t="str">
        <x:v>Two group members exchange personal attacks and the remaining members withdraw. What should the facilitator do next?</x:v>
      </x:c>
      <x:c r="F447" s="192" t="str">
        <x:v>Remove both members immediately.</x:v>
      </x:c>
      <x:c r="G447" s="192" t="str">
        <x:v>Change the topic without acknowledgment.</x:v>
      </x:c>
      <x:c r="H447" s="192" t="str">
        <x:v>Slow the exchange, clarify safety and norms, help members describe the process and impact, and invite the group back into constructive participation.</x:v>
      </x:c>
      <x:c r="I447" s="192" t="str">
        <x:v>Let the conflict continue until one member wins.</x:v>
      </x:c>
      <x:c r="J447" s="192" t="str">
        <x:v>C</x:v>
      </x:c>
      <x:c r="K447" s="192" t="str">
        <x:v>Incorrect. Immediate removal is often disproportionate.</x:v>
      </x:c>
      <x:c r="L447" s="192" t="str">
        <x:v>Incorrect. Avoidance teaches the group that conflict cannot be addressed.</x:v>
      </x:c>
      <x:c r="M447" s="192" t="str">
        <x:v>Correct. Managed conflict can be therapeutic when the facilitator protects safety and makes the group process explicit.</x:v>
      </x:c>
      <x:c r="N447" s="192" t="str">
        <x:v>Incorrect. Uncontained conflict may damage cohesion.</x:v>
      </x:c>
      <x:c r="O447" s="192" t="str">
        <x:v>A. Incorrect. Immediate removal is often disproportionate.
B. Incorrect. Avoidance teaches the group that conflict cannot be addressed.
C. Correct. Managed conflict can be therapeutic when the facilitator protects safety and makes the group process explicit.
D. Incorrect. Uncontained conflict may damage cohesion.</x:v>
      </x:c>
      <x:c r="P447" s="192" t="str">
        <x:v>Use conflict as process material only after setting limits and restoring safety.</x:v>
      </x:c>
      <x:c r="Q447" s="194" t="str">
        <x:v>CTA LMFT WB11; Pearson VUE LMFT Outline Area 5</x:v>
      </x:c>
    </x:row>
    <x:row r="448">
      <x:c r="A448" s="191" t="str">
        <x:v>CTA-LMFT-MQB-0447</x:v>
      </x:c>
      <x:c r="B448" s="192" t="str">
        <x:v>LMFT-MQB-FB-TX-001</x:v>
      </x:c>
      <x:c r="C448" s="192" t="str">
        <x:v>Comprehensive Simulation</x:v>
      </x:c>
      <x:c r="D448" s="192" t="str">
        <x:v>Form B</x:v>
      </x:c>
      <x:c r="E448" s="192" t="str">
        <x:v>A family therapist asks members to reenact a recurring dinner conflict so that boundaries and hierarchy can be observed and reorganized in the room. Which model is most clearly reflected?</x:v>
      </x:c>
      <x:c r="F448" s="192" t="str">
        <x:v>Using enactment to observe and reorganize boundaries, hierarchy, and interaction patterns in the session.</x:v>
      </x:c>
      <x:c r="G448" s="192" t="str">
        <x:v>Assigning thought records to challenge individual cognitions.</x:v>
      </x:c>
      <x:c r="H448" s="192" t="str">
        <x:v>Exploring only the client’s early intrapsychic conflicts.</x:v>
      </x:c>
      <x:c r="I448" s="192" t="str">
        <x:v>Avoiding direct observation of family interaction.</x:v>
      </x:c>
      <x:c r="J448" s="192" t="str">
        <x:v>A</x:v>
      </x:c>
      <x:c r="K448" s="192" t="str">
        <x:v>Correct. Structural work targets family organization and often uses in-session interaction to change it.</x:v>
      </x:c>
      <x:c r="L448" s="192" t="str">
        <x:v>Incorrect. Thought records are primarily cognitive-behavioral tools.</x:v>
      </x:c>
      <x:c r="M448" s="192" t="str">
        <x:v>Incorrect. Historical insight may be useful but is not the defining structural method.</x:v>
      </x:c>
      <x:c r="N448" s="192" t="str">
        <x:v>Incorrect. Direct observation is central to structural assessment and intervention.</x:v>
      </x:c>
      <x:c r="O448" s="192" t="str">
        <x:v>A. Correct. Structural work targets family organization and often uses in-session interaction to change it.
B. Incorrect. Thought records are primarily cognitive-behavioral tools.
C. Incorrect. Historical insight may be useful but is not the defining structural method.
D. Incorrect. Direct observation is central to structural assessment and intervention.</x:v>
      </x:c>
      <x:c r="P448" s="192" t="str">
        <x:v>Match the intervention to the theory’s target: structure, boundaries, hierarchy, and transactions.</x:v>
      </x:c>
      <x:c r="Q448" s="194" t="str">
        <x:v>CTA LMFT WB8; CTA LMFT WB11; Pearson VUE LMFT Outline Area 5</x:v>
      </x:c>
    </x:row>
    <x:row r="449">
      <x:c r="A449" s="191" t="str">
        <x:v>CTA-LMFT-MQB-0448</x:v>
      </x:c>
      <x:c r="B449" s="192" t="str">
        <x:v>LMFT-MQB-FB-CP-015</x:v>
      </x:c>
      <x:c r="C449" s="192" t="str">
        <x:v>Comprehensive Simulation</x:v>
      </x:c>
      <x:c r="D449" s="192" t="str">
        <x:v>Form B</x:v>
      </x:c>
      <x:c r="E449" s="192" t="str">
        <x:v>A client is significantly impaired, but laboratory results and substance-use information needed for diagnosis are incomplete. What is the safest treatment-planning approach?</x:v>
      </x:c>
      <x:c r="F449" s="192" t="str">
        <x:v>Delay all care until every diagnosis is certain.</x:v>
      </x:c>
      <x:c r="G449" s="192" t="str">
        <x:v>Use a provisional formulation, address current safety and impairment, coordinate needed evaluations, and select interventions that remain appropriate under uncertainty.</x:v>
      </x:c>
      <x:c r="H449" s="192" t="str">
        <x:v>Choose a highly specific treatment that depends on an unconfirmed diagnosis.</x:v>
      </x:c>
      <x:c r="I449" s="192" t="str">
        <x:v>Hide the uncertainty from the client.</x:v>
      </x:c>
      <x:c r="J449" s="192" t="str">
        <x:v>B</x:v>
      </x:c>
      <x:c r="K449" s="192" t="str">
        <x:v>Incorrect. Waiting may prolong risk and impairment.</x:v>
      </x:c>
      <x:c r="L449" s="192" t="str">
        <x:v>Correct. Treatment can begin with transparent uncertainty when the plan is safe, flexible, and tied to current needs.</x:v>
      </x:c>
      <x:c r="M449" s="192" t="str">
        <x:v>Incorrect. Overly specific treatment may be mismatched.</x:v>
      </x:c>
      <x:c r="N449" s="192" t="str">
        <x:v>Incorrect. Informed collaboration requires honest discussion of uncertainty.</x:v>
      </x:c>
      <x:c r="O449" s="192" t="str">
        <x:v>A. Incorrect. Waiting may prolong risk and impairment.
B. Correct. Treatment can begin with transparent uncertainty when the plan is safe, flexible, and tied to current needs.
C. Incorrect. Overly specific treatment may be mismatched.
D. Incorrect. Informed collaboration requires honest discussion of uncertainty.</x:v>
      </x:c>
      <x:c r="P449" s="192" t="str">
        <x:v>Plan around what is known now while gathering what is still needed.</x:v>
      </x:c>
      <x:c r="Q449" s="194" t="str">
        <x:v>CTA LMFT WB5; CTA LMFT WB7; Pearson VUE LMFT Outline Area 4</x:v>
      </x:c>
    </x:row>
    <x:row r="450">
      <x:c r="A450" s="191" t="str">
        <x:v>CTA-LMFT-MQB-0449</x:v>
      </x:c>
      <x:c r="B450" s="192" t="str">
        <x:v>LMFT-MQB-FB-TX-014</x:v>
      </x:c>
      <x:c r="C450" s="192" t="str">
        <x:v>Comprehensive Simulation</x:v>
      </x:c>
      <x:c r="D450" s="192" t="str">
        <x:v>Form B</x:v>
      </x:c>
      <x:c r="E450" s="192" t="str">
        <x:v>A client automatically changes opinions whenever a parent becomes upset. Which intervention best supports greater differentiation?</x:v>
      </x:c>
      <x:c r="F450" s="192" t="str">
        <x:v>Help the client observe family emotional processes, clarify personal principles, and respond with greater thoughtfulness rather than automatic reactivity.</x:v>
      </x:c>
      <x:c r="G450" s="192" t="str">
        <x:v>Use rewards to eliminate all emotional response.</x:v>
      </x:c>
      <x:c r="H450" s="192" t="str">
        <x:v>Cut off contact immediately.</x:v>
      </x:c>
      <x:c r="I450" s="192" t="str">
        <x:v>Confront the parent in a joint session without preparation.</x:v>
      </x:c>
      <x:c r="J450" s="192" t="str">
        <x:v>A</x:v>
      </x:c>
      <x:c r="K450" s="192" t="str">
        <x:v>Correct. Differentiation involves maintaining connection while acting from a clearer sense of self.</x:v>
      </x:c>
      <x:c r="L450" s="192" t="str">
        <x:v>Incorrect. The goal is regulation and choice, not absence of emotion.</x:v>
      </x:c>
      <x:c r="M450" s="192" t="str">
        <x:v>Incorrect. Emotional cutoff is not the same as differentiation.</x:v>
      </x:c>
      <x:c r="N450" s="192" t="str">
        <x:v>Incorrect. Unprepared confrontation may intensify reactivity.</x:v>
      </x:c>
      <x:c r="O450" s="192" t="str">
        <x:v>A. Correct. Differentiation involves maintaining connection while acting from a clearer sense of self.
B. Incorrect. The goal is regulation and choice, not absence of emotion.
C. Incorrect. Emotional cutoff is not the same as differentiation.
D. Incorrect. Unprepared confrontation may intensify reactivity.</x:v>
      </x:c>
      <x:c r="P450" s="192" t="str">
        <x:v>Differentiate by increasing observation and choice while staying appropriately connected.</x:v>
      </x:c>
      <x:c r="Q450" s="194" t="str">
        <x:v>CTA LMFT WB11; Pearson VUE LMFT Outline Area 5</x:v>
      </x:c>
    </x:row>
    <x:row r="451">
      <x:c r="A451" s="191" t="str">
        <x:v>CTA-LMFT-MQB-0450</x:v>
      </x:c>
      <x:c r="B451" s="192" t="str">
        <x:v>LMFT-MQB-FB-CE-017</x:v>
      </x:c>
      <x:c r="C451" s="192" t="str">
        <x:v>Comprehensive Simulation</x:v>
      </x:c>
      <x:c r="D451" s="192" t="str">
        <x:v>Form B</x:v>
      </x:c>
      <x:c r="E451" s="192" t="str">
        <x:v>Partners seek help because intimacy has decreased since one partner developed a chronic illness. Which opening question would support the broadest, least assumptive assessment?</x:v>
      </x:c>
      <x:c r="F451" s="192" t="str">
        <x:v>“Would you both agree the issue is simply lack of attraction?”</x:v>
      </x:c>
      <x:c r="G451" s="192" t="str">
        <x:v>“How often should a healthy couple have sex?”</x:v>
      </x:c>
      <x:c r="H451" s="192" t="str">
        <x:v>“Which partner is causing the problem?”</x:v>
      </x:c>
      <x:c r="I451" s="192" t="str">
        <x:v>“How does each of you understand the change, and what medical, relational, cultural, and contextual factors may be contributing?”</x:v>
      </x:c>
      <x:c r="J451" s="192" t="str">
        <x:v>D</x:v>
      </x:c>
      <x:c r="K451" s="192" t="str">
        <x:v>Incorrect. The cause has not been established.</x:v>
      </x:c>
      <x:c r="L451" s="192" t="str">
        <x:v>Incorrect. There is no single universal frequency standard.</x:v>
      </x:c>
      <x:c r="M451" s="192" t="str">
        <x:v>Incorrect. Blame narrows assessment and may intensify conflict.</x:v>
      </x:c>
      <x:c r="N451" s="192" t="str">
        <x:v>Correct. The question is neutral, multidimensional, and invites both partners’ meanings without assuming a cause or norm.</x:v>
      </x:c>
      <x:c r="O451" s="192" t="str">
        <x:v>A. Incorrect. The cause has not been established.
B. Incorrect. There is no single universal frequency standard.
C. Incorrect. Blame narrows assessment and may intensify conflict.
D. Correct. The question is neutral, multidimensional, and invites both partners’ meanings without assuming a cause or norm.</x:v>
      </x:c>
      <x:c r="P451" s="192" t="str">
        <x:v>Use inclusive, nonassumptive language and assess medical, relational, developmental, cultural, and consent factors.</x:v>
      </x:c>
      <x:c r="Q451" s="194" t="str">
        <x:v>CTA LMFT WB4; Pearson VUE LMFT Outline Area 1</x:v>
      </x:c>
    </x:row>
    <x:row r="452">
      <x:c r="A452" s="191" t="str">
        <x:v>CTA-LMFT-MQB-0451</x:v>
      </x:c>
      <x:c r="B452" s="192" t="str">
        <x:v>LMFT-MQB-FB-DI-003</x:v>
      </x:c>
      <x:c r="C452" s="192" t="str">
        <x:v>Comprehensive Simulation</x:v>
      </x:c>
      <x:c r="D452" s="192" t="str">
        <x:v>Form B</x:v>
      </x:c>
      <x:c r="E452" s="192" t="str">
        <x:v>A couple seeks treatment for persistent relationship distress, although neither partner currently meets criteria for a mental disorder. How may the relational concern still be represented clinically?</x:v>
      </x:c>
      <x:c r="F452" s="192" t="str">
        <x:v>Proof that one partner has a personality disorder.</x:v>
      </x:c>
      <x:c r="G452" s="192" t="str">
        <x:v>A substitute for assessing safety or impairment.</x:v>
      </x:c>
      <x:c r="H452" s="192" t="str">
        <x:v>An automatic basis for involuntary treatment.</x:v>
      </x:c>
      <x:c r="I452" s="192" t="str">
        <x:v>A condition or circumstance that is a focus of clinical attention.</x:v>
      </x:c>
      <x:c r="J452" s="192" t="str">
        <x:v>D</x:v>
      </x:c>
      <x:c r="K452" s="192" t="str">
        <x:v>Incorrect. Relationship conflict does not establish a personality disorder.</x:v>
      </x:c>
      <x:c r="L452" s="192" t="str">
        <x:v>Incorrect. Contextual coding does not replace broader assessment.</x:v>
      </x:c>
      <x:c r="M452" s="192" t="str">
        <x:v>Incorrect. A focus-of-attention code does not create detention authority.</x:v>
      </x:c>
      <x:c r="N452" s="192" t="str">
        <x:v>Correct. Relational and contextual conditions can be central treatment targets without being classified as mental disorders.</x:v>
      </x:c>
      <x:c r="O452" s="192" t="str">
        <x:v>A. Incorrect. Relationship conflict does not establish a personality disorder.
B. Incorrect. Contextual coding does not replace broader assessment.
C. Incorrect. A focus-of-attention code does not create detention authority.
D. Correct. Relational and contextual conditions can be central treatment targets without being classified as mental disorders.</x:v>
      </x:c>
      <x:c r="P452" s="192" t="str">
        <x:v>Do not force every clinically important problem into a mental-disorder category.</x:v>
      </x:c>
      <x:c r="Q452" s="194" t="str">
        <x:v>CTA LMFT WB5; Pearson VUE LMFT Outline Area 2</x:v>
      </x:c>
    </x:row>
    <x:row r="453">
      <x:c r="A453" s="191" t="str">
        <x:v>CTA-LMFT-MQB-0452</x:v>
      </x:c>
      <x:c r="B453" s="192" t="str">
        <x:v>LMFT-MQB-FB-CE-002</x:v>
      </x:c>
      <x:c r="C453" s="192" t="str">
        <x:v>Comprehensive Simulation</x:v>
      </x:c>
      <x:c r="D453" s="192" t="str">
        <x:v>Form B</x:v>
      </x:c>
      <x:c r="E453" s="192" t="str">
        <x:v>During an intake, an LMFT asks an older client to name the month, the clinic, and the reason for the appointment. Which mental-status function is being checked most directly?</x:v>
      </x:c>
      <x:c r="F453" s="192" t="str">
        <x:v>Insight.</x:v>
      </x:c>
      <x:c r="G453" s="192" t="str">
        <x:v>Orientation.</x:v>
      </x:c>
      <x:c r="H453" s="192" t="str">
        <x:v>Affect.</x:v>
      </x:c>
      <x:c r="I453" s="192" t="str">
        <x:v>Impulse control.</x:v>
      </x:c>
      <x:c r="J453" s="192" t="str">
        <x:v>B</x:v>
      </x:c>
      <x:c r="K453" s="192" t="str">
        <x:v>Incorrect. Insight concerns awareness of one’s condition and need for help.</x:v>
      </x:c>
      <x:c r="L453" s="192" t="str">
        <x:v>Correct. Orientation concerns awareness of person, place, time, and situation.</x:v>
      </x:c>
      <x:c r="M453" s="192" t="str">
        <x:v>Incorrect. Affect is the observable expression of emotion.</x:v>
      </x:c>
      <x:c r="N453" s="192" t="str">
        <x:v>Incorrect. Impulse control concerns the ability to delay or regulate action.</x:v>
      </x:c>
      <x:c r="O453" s="192" t="str">
        <x:v>A. Incorrect. Insight concerns awareness of one’s condition and need for help.
B. Correct. Orientation concerns awareness of person, place, time, and situation.
C. Incorrect. Affect is the observable expression of emotion.
D. Incorrect. Impulse control concerns the ability to delay or regulate action.</x:v>
      </x:c>
      <x:c r="P453" s="192" t="str">
        <x:v>Match the observation or question to the specific MSE domain rather than to the overall diagnosis.</x:v>
      </x:c>
      <x:c r="Q453" s="194" t="str">
        <x:v>CTA LMFT WB2; Pearson VUE LMFT Outline Area 1</x:v>
      </x:c>
    </x:row>
    <x:row r="454">
      <x:c r="A454" s="191" t="str">
        <x:v>CTA-LMFT-MQB-0453</x:v>
      </x:c>
      <x:c r="B454" s="192" t="str">
        <x:v>LMFT-MQB-FB-DI-015</x:v>
      </x:c>
      <x:c r="C454" s="192" t="str">
        <x:v>Comprehensive Simulation</x:v>
      </x:c>
      <x:c r="D454" s="192" t="str">
        <x:v>Form B</x:v>
      </x:c>
      <x:c r="E454" s="192" t="str">
        <x:v>A client has longstanding trauma symptoms, recent heavy alcohol use, worsening sleep, and newly emerging panic episodes. What is the most useful next diagnostic task?</x:v>
      </x:c>
      <x:c r="F454" s="192" t="str">
        <x:v>Delay all treatment until diagnostic certainty is complete.</x:v>
      </x:c>
      <x:c r="G454" s="192" t="str">
        <x:v>Assign every possible diagnosis immediately.</x:v>
      </x:c>
      <x:c r="H454" s="192" t="str">
        <x:v>Construct a timeline, assess independent and interacting syndromes, clarify substance effects and risk, and use a provisional formulation if necessary.</x:v>
      </x:c>
      <x:c r="I454" s="192" t="str">
        <x:v>Choose the single most severe symptom as the only diagnosis.</x:v>
      </x:c>
      <x:c r="J454" s="192" t="str">
        <x:v>C</x:v>
      </x:c>
      <x:c r="K454" s="192" t="str">
        <x:v>Incorrect. Safety and symptom-focused care can begin while assessment continues.</x:v>
      </x:c>
      <x:c r="L454" s="192" t="str">
        <x:v>Incorrect. Overdiagnosis can obscure relationships among conditions.</x:v>
      </x:c>
      <x:c r="M454" s="192" t="str">
        <x:v>Correct. Complex presentations require chronology, comorbidity assessment, and transparent uncertainty rather than forced simplicity or indiscriminate labeling.</x:v>
      </x:c>
      <x:c r="N454" s="192" t="str">
        <x:v>Incorrect. One symptom may not explain the whole pattern.</x:v>
      </x:c>
      <x:c r="O454" s="192" t="str">
        <x:v>A. Incorrect. Safety and symptom-focused care can begin while assessment continues.
B. Incorrect. Overdiagnosis can obscure relationships among conditions.
C. Correct. Complex presentations require chronology, comorbidity assessment, and transparent uncertainty rather than forced simplicity or indiscriminate labeling.
D. Incorrect. One symptom may not explain the whole pattern.</x:v>
      </x:c>
      <x:c r="P454" s="192" t="str">
        <x:v>Diagnostic parsimony means the fewest well-supported explanations, not one diagnosis at any cost.</x:v>
      </x:c>
      <x:c r="Q454" s="194" t="str">
        <x:v>CTA LMFT WB5; Pearson VUE LMFT Outline Area 2</x:v>
      </x:c>
    </x:row>
    <x:row r="455">
      <x:c r="A455" s="191" t="str">
        <x:v>CTA-LMFT-MQB-0454</x:v>
      </x:c>
      <x:c r="B455" s="192" t="str">
        <x:v>LMFT-MQB-FB-CR-001</x:v>
      </x:c>
      <x:c r="C455" s="192" t="str">
        <x:v>Comprehensive Simulation</x:v>
      </x:c>
      <x:c r="D455" s="192" t="str">
        <x:v>Form B</x:v>
      </x:c>
      <x:c r="E455" s="192" t="str">
        <x:v>When a client presents with rapidly escalating danger, which clinical objective generally comes before insight work, routine goal review, or interpretation?</x:v>
      </x:c>
      <x:c r="F455" s="192" t="str">
        <x:v>Immediate safety, medical stability, and the least restrictive effective protective response.</x:v>
      </x:c>
      <x:c r="G455" s="192" t="str">
        <x:v>Preserving the therapist’s convenience.</x:v>
      </x:c>
      <x:c r="H455" s="192" t="str">
        <x:v>Completing the planned intervention exactly as scheduled.</x:v>
      </x:c>
      <x:c r="I455" s="192" t="str">
        <x:v>Identifying the client’s deepest childhood conflict.</x:v>
      </x:c>
      <x:c r="J455" s="192" t="str">
        <x:v>A</x:v>
      </x:c>
      <x:c r="K455" s="192" t="str">
        <x:v>Correct. Crisis management begins with danger, medical need, capacity, and stabilization.</x:v>
      </x:c>
      <x:c r="L455" s="192" t="str">
        <x:v>Incorrect. Convenience is not the controlling clinical priority.</x:v>
      </x:c>
      <x:c r="M455" s="192" t="str">
        <x:v>Incorrect. Routine plans must be modified when safety changes.</x:v>
      </x:c>
      <x:c r="N455" s="192" t="str">
        <x:v>Incorrect. Long-term formulation follows stabilization.</x:v>
      </x:c>
      <x:c r="O455" s="192" t="str">
        <x:v>A. Correct. Crisis management begins with danger, medical need, capacity, and stabilization.
B. Incorrect. Convenience is not the controlling clinical priority.
C. Incorrect. Routine plans must be modified when safety changes.
D. Incorrect. Long-term formulation follows stabilization.</x:v>
      </x:c>
      <x:c r="P455" s="192" t="str">
        <x:v>Ask whether the situation requires assessment or action now; safety and medical stability come first.</x:v>
      </x:c>
      <x:c r="Q455" s="194" t="str">
        <x:v>CTA LMFT WB6; Pearson VUE LMFT Outline Area 3</x:v>
      </x:c>
    </x:row>
    <x:row r="456">
      <x:c r="A456" s="191" t="str">
        <x:v>CTA-LMFT-MQB-0455</x:v>
      </x:c>
      <x:c r="B456" s="192" t="str">
        <x:v>LMFT-MQB-FB-TX-005</x:v>
      </x:c>
      <x:c r="C456" s="192" t="str">
        <x:v>Comprehensive Simulation</x:v>
      </x:c>
      <x:c r="D456" s="192" t="str">
        <x:v>Form B</x:v>
      </x:c>
      <x:c r="E456" s="192" t="str">
        <x:v>A client says, “I want my family’s approval, but I am exhausted from living by their rules.” Which response most accurately reflects both sides of the conflict?</x:v>
      </x:c>
      <x:c r="F456" s="192" t="str">
        <x:v>“It sounds like you are committed to staying.”</x:v>
      </x:c>
      <x:c r="G456" s="192" t="str">
        <x:v>“You feel pulled between protecting yourself in the relationship and fearing what separation might mean.”</x:v>
      </x:c>
      <x:c r="H456" s="192" t="str">
        <x:v>“You should leave because fear is not a reason to stay.”</x:v>
      </x:c>
      <x:c r="I456" s="192" t="str">
        <x:v>“Why have you not made a decision yet?”</x:v>
      </x:c>
      <x:c r="J456" s="192" t="str">
        <x:v>B</x:v>
      </x:c>
      <x:c r="K456" s="192" t="str">
        <x:v>Incorrect. It represents only one side of the ambivalence.</x:v>
      </x:c>
      <x:c r="L456" s="192" t="str">
        <x:v>Correct. The response captures both sides without deciding for the client.</x:v>
      </x:c>
      <x:c r="M456" s="192" t="str">
        <x:v>Incorrect. Advice bypasses exploration and autonomy.</x:v>
      </x:c>
      <x:c r="N456" s="192" t="str">
        <x:v>Incorrect. The question may sound blaming and does not reflect meaning.</x:v>
      </x:c>
      <x:c r="O456" s="192" t="str">
        <x:v>A. Incorrect. It represents only one side of the ambivalence.
B. Correct. The response captures both sides without deciding for the client.
C. Incorrect. Advice bypasses exploration and autonomy.
D. Incorrect. The question may sound blaming and does not reflect meaning.</x:v>
      </x:c>
      <x:c r="P456" s="192" t="str">
        <x:v>A good reflection preserves the tension the client is trying to understand.</x:v>
      </x:c>
      <x:c r="Q456" s="194" t="str">
        <x:v>CTA LMFT WB2; CTA LMFT WB9; Pearson VUE LMFT Outline Area 5</x:v>
      </x:c>
    </x:row>
    <x:row r="457">
      <x:c r="A457" s="191" t="str">
        <x:v>CTA-LMFT-MQB-0456</x:v>
      </x:c>
      <x:c r="B457" s="192" t="str">
        <x:v>LMFT-MQB-FB-CE-016</x:v>
      </x:c>
      <x:c r="C457" s="192" t="str">
        <x:v>Comprehensive Simulation</x:v>
      </x:c>
      <x:c r="D457" s="192" t="str">
        <x:v>Form B</x:v>
      </x:c>
      <x:c r="E457" s="192" t="str">
        <x:v>During intake, a survivor becomes detached and asks to stop when the therapist requests details of an assault. What is the best immediate assessment response?</x:v>
      </x:c>
      <x:c r="F457" s="192" t="str">
        <x:v>Require a complete trauma narrative before continuing.</x:v>
      </x:c>
      <x:c r="G457" s="192" t="str">
        <x:v>Interpret tension as evidence that the event did not occur.</x:v>
      </x:c>
      <x:c r="H457" s="192" t="str">
        <x:v>Change the subject permanently and never revisit trauma.</x:v>
      </x:c>
      <x:c r="I457" s="192" t="str">
        <x:v>Acknowledge the reaction, assess immediate safety and current symptoms, obtain only the information necessary for present care, and pace further exploration collaboratively.</x:v>
      </x:c>
      <x:c r="J457" s="192" t="str">
        <x:v>D</x:v>
      </x:c>
      <x:c r="K457" s="192" t="str">
        <x:v>Incorrect. Forced detail can increase distress and is usually unnecessary at intake.</x:v>
      </x:c>
      <x:c r="L457" s="192" t="str">
        <x:v>Incorrect. Tension does not determine factual accuracy.</x:v>
      </x:c>
      <x:c r="M457" s="192" t="str">
        <x:v>Incorrect. Avoidance may leave important needs unassessed.</x:v>
      </x:c>
      <x:c r="N457" s="192" t="str">
        <x:v>Correct. Trauma-informed assessment balances necessary safety and diagnostic information with choice, pacing, and stabilization.</x:v>
      </x:c>
      <x:c r="O457" s="192" t="str">
        <x:v>A. Incorrect. Forced detail can increase distress and is usually unnecessary at intake.
B. Incorrect. Tension does not determine factual accuracy.
C. Incorrect. Avoidance may leave important needs unassessed.
D. Correct. Trauma-informed assessment balances necessary safety and diagnostic information with choice, pacing, and stabilization.</x:v>
      </x:c>
      <x:c r="P457" s="192" t="str">
        <x:v>Ask what is needed now; do not confuse comprehensive eventual understanding with immediate detailed disclosure.</x:v>
      </x:c>
      <x:c r="Q457" s="194" t="str">
        <x:v>CTA LMFT WB4; Pearson VUE LMFT Outline Area 1</x:v>
      </x:c>
    </x:row>
    <x:row r="458">
      <x:c r="A458" s="191" t="str">
        <x:v>CTA-LMFT-MQB-0457</x:v>
      </x:c>
      <x:c r="B458" s="192" t="str">
        <x:v>LMFT-MQB-FB-CR-003</x:v>
      </x:c>
      <x:c r="C458" s="192" t="str">
        <x:v>Comprehensive Simulation</x:v>
      </x:c>
      <x:c r="D458" s="192" t="str">
        <x:v>Form B</x:v>
      </x:c>
      <x:c r="E458" s="192" t="str">
        <x:v>An LMFT consults with a supervisor and sends a client for emergency psychiatric evaluation. What information belongs in the clinical record?</x:v>
      </x:c>
      <x:c r="F458" s="192" t="str">
        <x:v>The information received, risk assessment, consultation, actions taken, disclosures made, client response, and follow-up plan.</x:v>
      </x:c>
      <x:c r="G458" s="192" t="str">
        <x:v>Only the final disposition.</x:v>
      </x:c>
      <x:c r="H458" s="192" t="str">
        <x:v>Nothing, because emergency records increase liability.</x:v>
      </x:c>
      <x:c r="I458" s="192" t="str">
        <x:v>Every personal opinion about the client.</x:v>
      </x:c>
      <x:c r="J458" s="192" t="str">
        <x:v>A</x:v>
      </x:c>
      <x:c r="K458" s="192" t="str">
        <x:v>Correct. Crisis documentation should show the facts, reasoning, protective actions, and continuity plan.</x:v>
      </x:c>
      <x:c r="L458" s="192" t="str">
        <x:v>Incorrect. The clinical basis and sequence matter, not only the outcome.</x:v>
      </x:c>
      <x:c r="M458" s="192" t="str">
        <x:v>Incorrect. Failure to document undermines continuity and accountability.</x:v>
      </x:c>
      <x:c r="N458" s="192" t="str">
        <x:v>Incorrect. Speculation and irrelevant opinions reduce record quality.</x:v>
      </x:c>
      <x:c r="O458" s="192" t="str">
        <x:v>A. Correct. Crisis documentation should show the facts, reasoning, protective actions, and continuity plan.
B. Incorrect. The clinical basis and sequence matter, not only the outcome.
C. Incorrect. Failure to document undermines continuity and accountability.
D. Incorrect. Speculation and irrelevant opinions reduce record quality.</x:v>
      </x:c>
      <x:c r="P458" s="192" t="str">
        <x:v>Document the risk picture and decision process, not merely that “safety was addressed.”</x:v>
      </x:c>
      <x:c r="Q458" s="194" t="str">
        <x:v>CTA LMFT WB6; Pearson VUE LMFT Outline Area 3</x:v>
      </x:c>
    </x:row>
    <x:row r="459">
      <x:c r="A459" s="191" t="str">
        <x:v>CTA-LMFT-MQB-0458</x:v>
      </x:c>
      <x:c r="B459" s="192" t="str">
        <x:v>LMFT-MQB-FB-CR-012</x:v>
      </x:c>
      <x:c r="C459" s="192" t="str">
        <x:v>Comprehensive Simulation</x:v>
      </x:c>
      <x:c r="D459" s="192" t="str">
        <x:v>Form B</x:v>
      </x:c>
      <x:c r="E459" s="192" t="str">
        <x:v>A client arrives hours after an assault with visible injuries, fragmented attention, and uncertainty about what help to seek. What should the LMFT address first?</x:v>
      </x:c>
      <x:c r="F459" s="192" t="str">
        <x:v>Decide whether the client should report to law enforcement.</x:v>
      </x:c>
      <x:c r="G459" s="192" t="str">
        <x:v>Tell the client to confront the assailant.</x:v>
      </x:c>
      <x:c r="H459" s="192" t="str">
        <x:v>Assess immediate medical and safety needs, offer choices about urgent care and advocacy resources, and support the client without pressing for unnecessary detail.</x:v>
      </x:c>
      <x:c r="I459" s="192" t="str">
        <x:v>Require a complete chronological account for the record.</x:v>
      </x:c>
      <x:c r="J459" s="192" t="str">
        <x:v>C</x:v>
      </x:c>
      <x:c r="K459" s="192" t="str">
        <x:v>Incorrect. The client retains decision-making autonomy unless another legal duty applies.</x:v>
      </x:c>
      <x:c r="L459" s="192" t="str">
        <x:v>Incorrect. Confrontation may increase danger.</x:v>
      </x:c>
      <x:c r="M459" s="192" t="str">
        <x:v>Correct. Immediate care, choice, stabilization, and resource linkage take priority after recent assault.</x:v>
      </x:c>
      <x:c r="N459" s="192" t="str">
        <x:v>Incorrect. Detailed recounting may increase distress and is not required for initial support.</x:v>
      </x:c>
      <x:c r="O459" s="192" t="str">
        <x:v>A. Incorrect. The client retains decision-making autonomy unless another legal duty applies.
B. Incorrect. Confrontation may increase danger.
C. Correct. Immediate care, choice, stabilization, and resource linkage take priority after recent assault.
D. Incorrect. Detailed recounting may increase distress and is not required for initial support.</x:v>
      </x:c>
      <x:c r="P459" s="192" t="str">
        <x:v>After recent assault, prioritize medical needs, safety, control, and informed options.</x:v>
      </x:c>
      <x:c r="Q459" s="194" t="str">
        <x:v>CTA LMFT WB6; Pearson VUE LMFT Outline Area 3</x:v>
      </x:c>
    </x:row>
    <x:row r="460">
      <x:c r="A460" s="191" t="str">
        <x:v>CTA-LMFT-MQB-0459</x:v>
      </x:c>
      <x:c r="B460" s="192" t="str">
        <x:v>LMFT-MQB-FB-DI-011</x:v>
      </x:c>
      <x:c r="C460" s="192" t="str">
        <x:v>Comprehensive Simulation</x:v>
      </x:c>
      <x:c r="D460" s="192" t="str">
        <x:v>Form B</x:v>
      </x:c>
      <x:c r="E460" s="192" t="str">
        <x:v>A bereaved client experiences intense longing that comes in waves, can enjoy time with grandchildren, and does not describe pervasive worthlessness. What should the LMFT do next?</x:v>
      </x:c>
      <x:c r="F460" s="192" t="str">
        <x:v>Diagnose major depression because sadness has lasted two months.</x:v>
      </x:c>
      <x:c r="G460" s="192" t="str">
        <x:v>Tell the client grief should be finished by now.</x:v>
      </x:c>
      <x:c r="H460" s="192" t="str">
        <x:v>Conclude no diagnosis is possible after a death.</x:v>
      </x:c>
      <x:c r="I460" s="192" t="str">
        <x:v>Continue assessing grief, depression, risk, culture, and functioning without assuming that bereavement automatically is or is not a depressive disorder.</x:v>
      </x:c>
      <x:c r="J460" s="192" t="str">
        <x:v>D</x:v>
      </x:c>
      <x:c r="K460" s="192" t="str">
        <x:v>Incorrect. Duration alone does not establish major depression.</x:v>
      </x:c>
      <x:c r="L460" s="192" t="str">
        <x:v>Incorrect. There is no universal timetable for grief.</x:v>
      </x:c>
      <x:c r="M460" s="192" t="str">
        <x:v>Incorrect. A depressive disorder can occur during bereavement.</x:v>
      </x:c>
      <x:c r="N460" s="192" t="str">
        <x:v>Correct. Bereavement requires careful assessment of the full syndrome, impairment, risk, and cultural context rather than a categorical shortcut.</x:v>
      </x:c>
      <x:c r="O460" s="192" t="str">
        <x:v>A. Incorrect. Duration alone does not establish major depression.
B. Incorrect. There is no universal timetable for grief.
C. Incorrect. A depressive disorder can occur during bereavement.
D. Correct. Bereavement requires careful assessment of the full syndrome, impairment, risk, and cultural context rather than a categorical shortcut.</x:v>
      </x:c>
      <x:c r="P460" s="192" t="str">
        <x:v>Avoid both extremes: pathologizing grief automatically and excluding depression automatically.</x:v>
      </x:c>
      <x:c r="Q460" s="194" t="str">
        <x:v>CTA LMFT WB5; Pearson VUE LMFT Outline Area 2</x:v>
      </x:c>
    </x:row>
    <x:row r="461">
      <x:c r="A461" s="191" t="str">
        <x:v>CTA-LMFT-MQB-0460</x:v>
      </x:c>
      <x:c r="B461" s="192" t="str">
        <x:v>LMFT-MQB-FB-CP-006</x:v>
      </x:c>
      <x:c r="C461" s="192" t="str">
        <x:v>Comprehensive Simulation</x:v>
      </x:c>
      <x:c r="D461" s="192" t="str">
        <x:v>Form B</x:v>
      </x:c>
      <x:c r="E461" s="192" t="str">
        <x:v>A client reports fewer panic symptoms, yet continues missing work and avoiding family activities. How should the therapist interpret the outcome data?</x:v>
      </x:c>
      <x:c r="F461" s="192" t="str">
        <x:v>The measure is useless.</x:v>
      </x:c>
      <x:c r="G461" s="192" t="str">
        <x:v>The client is resisting change.</x:v>
      </x:c>
      <x:c r="H461" s="192" t="str">
        <x:v>Treatment is complete because the score improved.</x:v>
      </x:c>
      <x:c r="I461" s="192" t="str">
        <x:v>Progress is partial, and the plan should be reviewed using both symptom and functional outcomes.</x:v>
      </x:c>
      <x:c r="J461" s="192" t="str">
        <x:v>D</x:v>
      </x:c>
      <x:c r="K461" s="192" t="str">
        <x:v>Incorrect. The measure may be informative but incomplete.</x:v>
      </x:c>
      <x:c r="L461" s="192" t="str">
        <x:v>Incorrect. Nonresponse in some areas does not prove resistance.</x:v>
      </x:c>
      <x:c r="M461" s="192" t="str">
        <x:v>Incorrect. A single indicator does not establish full recovery.</x:v>
      </x:c>
      <x:c r="N461" s="192" t="str">
        <x:v>Correct. Outcome evaluation should integrate symptoms, functioning, goals, and the client’s experience.</x:v>
      </x:c>
      <x:c r="O461" s="192" t="str">
        <x:v>A. Incorrect. The measure may be informative but incomplete.
B. Incorrect. Nonresponse in some areas does not prove resistance.
C. Incorrect. A single indicator does not establish full recovery.
D. Correct. Outcome evaluation should integrate symptoms, functioning, goals, and the client’s experience.</x:v>
      </x:c>
      <x:c r="P461" s="192" t="str">
        <x:v>Use multiple indicators and ask whether the change matters in daily life.</x:v>
      </x:c>
      <x:c r="Q461" s="194" t="str">
        <x:v>CTA LMFT WB7; Pearson VUE LMFT Outline Area 4</x:v>
      </x:c>
    </x:row>
    <x:row r="462">
      <x:c r="A462" s="191" t="str">
        <x:v>CTA-LMFT-MQB-0461</x:v>
      </x:c>
      <x:c r="B462" s="192" t="str">
        <x:v>LMFT-MQB-FB-CP-005</x:v>
      </x:c>
      <x:c r="C462" s="192" t="str">
        <x:v>Comprehensive Simulation</x:v>
      </x:c>
      <x:c r="D462" s="192" t="str">
        <x:v>Form B</x:v>
      </x:c>
      <x:c r="E462" s="192" t="str">
        <x:v>A child’s bedtime anxiety intensifies when caregivers disagree and provide inconsistent reassurance. Which treatment format best matches this formulation?</x:v>
      </x:c>
      <x:c r="F462" s="192" t="str">
        <x:v>A group chosen solely because a space is available.</x:v>
      </x:c>
      <x:c r="G462" s="192" t="str">
        <x:v>Medication management by the LMFT.</x:v>
      </x:c>
      <x:c r="H462" s="192" t="str">
        <x:v>A plan that includes work with caregivers and the family interaction pattern, with individual support as needed.</x:v>
      </x:c>
      <x:c r="I462" s="192" t="str">
        <x:v>Child-only treatment with no caregiver contact.</x:v>
      </x:c>
      <x:c r="J462" s="192" t="str">
        <x:v>C</x:v>
      </x:c>
      <x:c r="K462" s="192" t="str">
        <x:v>Incorrect. Availability does not establish fit.</x:v>
      </x:c>
      <x:c r="L462" s="192" t="str">
        <x:v>Incorrect. Medication management is outside the LMFT role.</x:v>
      </x:c>
      <x:c r="M462" s="192" t="str">
        <x:v>Correct. The maintaining mechanism is relational and therefore requires attention to caregiver responses and the family system.</x:v>
      </x:c>
      <x:c r="N462" s="192" t="str">
        <x:v>Incorrect. Child-only work may miss the described maintaining cycle.</x:v>
      </x:c>
      <x:c r="O462" s="192" t="str">
        <x:v>A. Incorrect. Availability does not establish fit.
B. Incorrect. Medication management is outside the LMFT role.
C. Correct. The maintaining mechanism is relational and therefore requires attention to caregiver responses and the family system.
D. Incorrect. Child-only work may miss the described maintaining cycle.</x:v>
      </x:c>
      <x:c r="P462" s="192" t="str">
        <x:v>Select the treatment system that contains the maintaining pattern.</x:v>
      </x:c>
      <x:c r="Q462" s="194" t="str">
        <x:v>CTA LMFT WB7; CTA LMFT WB8; Pearson VUE LMFT Outline Area 4</x:v>
      </x:c>
    </x:row>
    <x:row r="463">
      <x:c r="A463" s="191" t="str">
        <x:v>CTA-LMFT-MQB-0462</x:v>
      </x:c>
      <x:c r="B463" s="192" t="str">
        <x:v>LMFT-MQB-FB-TX-022</x:v>
      </x:c>
      <x:c r="C463" s="192" t="str">
        <x:v>Comprehensive Simulation</x:v>
      </x:c>
      <x:c r="D463" s="192" t="str">
        <x:v>Form B</x:v>
      </x:c>
      <x:c r="E463" s="192" t="str">
        <x:v>Partners seek communication therapy, but one partner is actively using substances and frequently dissociates from untreated trauma. What is the best treatment response?</x:v>
      </x:c>
      <x:c r="F463" s="192" t="str">
        <x:v>Proceed with standard communication homework only.</x:v>
      </x:c>
      <x:c r="G463" s="192" t="str">
        <x:v>Assume relationship skills will resolve the PTSD and substance use.</x:v>
      </x:c>
      <x:c r="H463" s="192" t="str">
        <x:v>Stabilize and coordinate the higher-priority individual needs while determining what conjoint work can be conducted safely and effectively.</x:v>
      </x:c>
      <x:c r="I463" s="192" t="str">
        <x:v>Exclude the symptomatic partner from all planning.</x:v>
      </x:c>
      <x:c r="J463" s="192" t="str">
        <x:v>C</x:v>
      </x:c>
      <x:c r="K463" s="192" t="str">
        <x:v>Incorrect. Skills alone may be poorly timed and insufficient.</x:v>
      </x:c>
      <x:c r="L463" s="192" t="str">
        <x:v>Incorrect. Relational work does not replace indicated trauma and substance treatment.</x:v>
      </x:c>
      <x:c r="M463" s="192" t="str">
        <x:v>Correct. The therapist should integrate individual stability, relational goals, and treatment sequencing rather than treating all problems at one level.</x:v>
      </x:c>
      <x:c r="N463" s="192" t="str">
        <x:v>Incorrect. Exclusion undermines collaboration and may miss safety information.</x:v>
      </x:c>
      <x:c r="O463" s="192" t="str">
        <x:v>A. Incorrect. Skills alone may be poorly timed and insufficient.
B. Incorrect. Relational work does not replace indicated trauma and substance treatment.
C. Correct. The therapist should integrate individual stability, relational goals, and treatment sequencing rather than treating all problems at one level.
D. Incorrect. Exclusion undermines collaboration and may miss safety information.</x:v>
      </x:c>
      <x:c r="P463" s="192" t="str">
        <x:v>Choose the intervention level and sequence that the current stability can support.</x:v>
      </x:c>
      <x:c r="Q463" s="194" t="str">
        <x:v>CTA LMFT WB7; CTA LMFT WB8; CTA LMFT WB9; Pearson VUE LMFT Outline Area 5</x:v>
      </x:c>
    </x:row>
    <x:row r="464">
      <x:c r="A464" s="191" t="str">
        <x:v>CTA-LMFT-MQB-0463</x:v>
      </x:c>
      <x:c r="B464" s="192" t="str">
        <x:v>LMFT-MQB-FB-CE-029</x:v>
      </x:c>
      <x:c r="C464" s="192" t="str">
        <x:v>Comprehensive Simulation</x:v>
      </x:c>
      <x:c r="D464" s="192" t="str">
        <x:v>Form B</x:v>
      </x:c>
      <x:c r="E464" s="192" t="str">
        <x:v>In a conjoint intake, one partner jokes about “keeping the other in line,” while the other becomes silent and visibly tense. What should the LMFT do before continuing couple assessment?</x:v>
      </x:c>
      <x:c r="F464" s="192" t="str">
        <x:v>Arrange separate, behaviorally specific safety assessment before continuing routine conjoint work.</x:v>
      </x:c>
      <x:c r="G464" s="192" t="str">
        <x:v>Teach time-out skills in the joint session immediately.</x:v>
      </x:c>
      <x:c r="H464" s="192" t="str">
        <x:v>Assume equal responsibility because both used the word “mutual.”</x:v>
      </x:c>
      <x:c r="I464" s="192" t="str">
        <x:v>Ask the more verbal partner to explain the conflict for both.</x:v>
      </x:c>
      <x:c r="J464" s="192" t="str">
        <x:v>A</x:v>
      </x:c>
      <x:c r="K464" s="192" t="str">
        <x:v>Correct. Fear and possible coercion require private assessment of violence, control, danger, and appropriateness of conjoint treatment.</x:v>
      </x:c>
      <x:c r="L464" s="192" t="str">
        <x:v>Incorrect. Joint skill work can be unsafe before violence and coercion are understood.</x:v>
      </x:c>
      <x:c r="M464" s="192" t="str">
        <x:v>Incorrect. Shared labeling does not establish symmetry.</x:v>
      </x:c>
      <x:c r="N464" s="192" t="str">
        <x:v>Incorrect. The more dominant account may obscure risk.</x:v>
      </x:c>
      <x:c r="O464" s="192" t="str">
        <x:v>A. Correct. Fear and possible coercion require private assessment of violence, control, danger, and appropriateness of conjoint treatment.
B. Incorrect. Joint skill work can be unsafe before violence and coercion are understood.
C. Incorrect. Shared labeling does not establish symmetry.
D. Incorrect. The more dominant account may obscure risk.</x:v>
      </x:c>
      <x:c r="P464" s="192" t="str">
        <x:v>When fear or coercion appears, assess separately before assuming ordinary couple conflict.</x:v>
      </x:c>
      <x:c r="Q464" s="194" t="str">
        <x:v>CTA LMFT WB4; CTA LMFT WB6; Pearson VUE LMFT Outline Area 1</x:v>
      </x:c>
    </x:row>
    <x:row r="465">
      <x:c r="A465" s="191" t="str">
        <x:v>CTA-LMFT-MQB-0464</x:v>
      </x:c>
      <x:c r="B465" s="192" t="str">
        <x:v>LMFT-MQB-FB-TX-026</x:v>
      </x:c>
      <x:c r="C465" s="192" t="str">
        <x:v>Comprehensive Simulation</x:v>
      </x:c>
      <x:c r="D465" s="192" t="str">
        <x:v>Form B</x:v>
      </x:c>
      <x:c r="E465" s="192" t="str">
        <x:v>A couple’s voices rise, both interrupt, and neither can summarize what the other said. What should the therapist do next?</x:v>
      </x:c>
      <x:c r="F465" s="192" t="str">
        <x:v>Interrupt the escalation, slow the interaction, regulate arousal, and structure one speaker and one listener before exploring meaning.</x:v>
      </x:c>
      <x:c r="G465" s="192" t="str">
        <x:v>Assign intimacy homework immediately.</x:v>
      </x:c>
      <x:c r="H465" s="192" t="str">
        <x:v>Allow the argument to continue without limits.</x:v>
      </x:c>
      <x:c r="I465" s="192" t="str">
        <x:v>Choose which partner is more rational.</x:v>
      </x:c>
      <x:c r="J465" s="192" t="str">
        <x:v>A</x:v>
      </x:c>
      <x:c r="K465" s="192" t="str">
        <x:v>Correct. The couple is outside a workable arousal range, so structure and regulation are needed before deeper intervention.</x:v>
      </x:c>
      <x:c r="L465" s="192" t="str">
        <x:v>Incorrect. Intimacy work is poorly timed during acute escalation.</x:v>
      </x:c>
      <x:c r="M465" s="192" t="str">
        <x:v>Incorrect. Uncontained escalation can become unsafe and unproductive.</x:v>
      </x:c>
      <x:c r="N465" s="192" t="str">
        <x:v>Incorrect. Taking sides damages the therapeutic balance.</x:v>
      </x:c>
      <x:c r="O465" s="192" t="str">
        <x:v>A. Correct. The couple is outside a workable arousal range, so structure and regulation are needed before deeper intervention.
B. Incorrect. Intimacy work is poorly timed during acute escalation.
C. Incorrect. Uncontained escalation can become unsafe and unproductive.
D. Incorrect. Taking sides damages the therapeutic balance.</x:v>
      </x:c>
      <x:c r="P465" s="192" t="str">
        <x:v>When processing capacity collapses, regulate the process before interpreting content.</x:v>
      </x:c>
      <x:c r="Q465" s="194" t="str">
        <x:v>CTA LMFT WB8; Pearson VUE LMFT Outline Area 5</x:v>
      </x:c>
    </x:row>
    <x:row r="466">
      <x:c r="A466" s="191" t="str">
        <x:v>CTA-LMFT-MQB-0465</x:v>
      </x:c>
      <x:c r="B466" s="192" t="str">
        <x:v>LMFT-MQB-FB-TX-017</x:v>
      </x:c>
      <x:c r="C466" s="192" t="str">
        <x:v>Comprehensive Simulation</x:v>
      </x:c>
      <x:c r="D466" s="192" t="str">
        <x:v>Form B</x:v>
      </x:c>
      <x:c r="E466" s="192" t="str">
        <x:v>A client declines abstinence but agrees that alcohol-related injuries and arguments must decrease. What response best reflects harm reduction?</x:v>
      </x:c>
      <x:c r="F466" s="192" t="str">
        <x:v>Refuse treatment until complete abstinence is chosen.</x:v>
      </x:c>
      <x:c r="G466" s="192" t="str">
        <x:v>Collaboratively identify achievable risk-reduction goals while continuing to assess severity, safety, and readiness for additional change.</x:v>
      </x:c>
      <x:c r="H466" s="192" t="str">
        <x:v>Assure the client that reduced use is always safe.</x:v>
      </x:c>
      <x:c r="I466" s="192" t="str">
        <x:v>Ignore drinking and focus only on the partner.</x:v>
      </x:c>
      <x:c r="J466" s="192" t="str">
        <x:v>B</x:v>
      </x:c>
      <x:c r="K466" s="192" t="str">
        <x:v>Incorrect. An abstinence-only entry requirement may reduce engagement when not clinically required.</x:v>
      </x:c>
      <x:c r="L466" s="192" t="str">
        <x:v>Correct. Harm reduction can engage the client and reduce risk without abandoning assessment or future change.</x:v>
      </x:c>
      <x:c r="M466" s="192" t="str">
        <x:v>Incorrect. No level of use can be declared universally safe for every client.</x:v>
      </x:c>
      <x:c r="N466" s="192" t="str">
        <x:v>Incorrect. Substance use remains relevant to relational functioning and safety.</x:v>
      </x:c>
      <x:c r="O466" s="192" t="str">
        <x:v>A. Incorrect. An abstinence-only entry requirement may reduce engagement when not clinically required.
B. Correct. Harm reduction can engage the client and reduce risk without abandoning assessment or future change.
C. Incorrect. No level of use can be declared universally safe for every client.
D. Incorrect. Substance use remains relevant to relational functioning and safety.</x:v>
      </x:c>
      <x:c r="P466" s="192" t="str">
        <x:v>Meet the client at the current stage while keeping risk and broader options visible.</x:v>
      </x:c>
      <x:c r="Q466" s="194" t="str">
        <x:v>CTA LMFT WB9; Pearson VUE LMFT Outline Area 5</x:v>
      </x:c>
    </x:row>
    <x:row r="467">
      <x:c r="A467" s="191" t="str">
        <x:v>CTA-LMFT-MQB-0466</x:v>
      </x:c>
      <x:c r="B467" s="192" t="str">
        <x:v>LMFT-MQB-FB-LE-007</x:v>
      </x:c>
      <x:c r="C467" s="192" t="str">
        <x:v>Comprehensive Simulation</x:v>
      </x:c>
      <x:c r="D467" s="192" t="str">
        <x:v>Form B</x:v>
      </x:c>
      <x:c r="E467" s="192" t="str">
        <x:v>A lawyer emails a subpoena and says the complete couple-therapy file must be sent before the end of the day. What should the LMFT do?</x:v>
      </x:c>
      <x:c r="F467" s="192" t="str">
        <x:v>Ask one family member to authorize disclosure for everyone.</x:v>
      </x:c>
      <x:c r="G467" s="192" t="str">
        <x:v>Destroy the record.</x:v>
      </x:c>
      <x:c r="H467" s="192" t="str">
        <x:v>Review the request and applicable authority, clarify privilege and authorization issues, seek appropriate consultation, and avoid automatic disclosure.</x:v>
      </x:c>
      <x:c r="I467" s="192" t="str">
        <x:v>Send the entire file because an attorney requested it.</x:v>
      </x:c>
      <x:c r="J467" s="192" t="str">
        <x:v>C</x:v>
      </x:c>
      <x:c r="K467" s="192" t="str">
        <x:v>Incorrect. One participant may not control the entire relational record.</x:v>
      </x:c>
      <x:c r="L467" s="192" t="str">
        <x:v>Incorrect. Record destruction is improper.</x:v>
      </x:c>
      <x:c r="M467" s="192" t="str">
        <x:v>Correct. Legal requests require careful analysis of form, authority, privilege, client status, and scope before disclosure.</x:v>
      </x:c>
      <x:c r="N467" s="192" t="str">
        <x:v>Incorrect. An attorney’s demand is not automatically sufficient authority.</x:v>
      </x:c>
      <x:c r="O467" s="192" t="str">
        <x:v>A. Incorrect. One participant may not control the entire relational record.
B. Incorrect. Record destruction is improper.
C. Correct. Legal requests require careful analysis of form, authority, privilege, client status, and scope before disclosure.
D. Incorrect. An attorney’s demand is not automatically sufficient authority.</x:v>
      </x:c>
      <x:c r="P467" s="192" t="str">
        <x:v>Do not treat every legal-looking document as a command to disclose immediately.</x:v>
      </x:c>
      <x:c r="Q467" s="194" t="str">
        <x:v>CTA LMFT WB12; Pearson VUE LMFT Outline Area 6</x:v>
      </x:c>
    </x:row>
    <x:row r="468">
      <x:c r="A468" s="191" t="str">
        <x:v>CTA-LMFT-MQB-0467</x:v>
      </x:c>
      <x:c r="B468" s="192" t="str">
        <x:v>LMFT-MQB-FB-CP-012</x:v>
      </x:c>
      <x:c r="C468" s="192" t="str">
        <x:v>Comprehensive Simulation</x:v>
      </x:c>
      <x:c r="D468" s="192" t="str">
        <x:v>Form B</x:v>
      </x:c>
      <x:c r="E468" s="192" t="str">
        <x:v>Caregivers seek treatment for “defiance,” while the adolescent asks for help with severe social anxiety. What should the LMFT do before finalizing goals?</x:v>
      </x:c>
      <x:c r="F468" s="192" t="str">
        <x:v>Choose the goal that is easiest to measure.</x:v>
      </x:c>
      <x:c r="G468" s="192" t="str">
        <x:v>Adopt the teenager’s goal and exclude parents automatically.</x:v>
      </x:c>
      <x:c r="H468" s="192" t="str">
        <x:v>Adopt the parents’ goal because they consented to treatment.</x:v>
      </x:c>
      <x:c r="I468" s="192" t="str">
        <x:v>Clarify the treatment unit, assess both concerns and safety, and negotiate goals that are clinically appropriate and understandable to all participants.</x:v>
      </x:c>
      <x:c r="J468" s="192" t="str">
        <x:v>D</x:v>
      </x:c>
      <x:c r="K468" s="192" t="str">
        <x:v>Incorrect. Ease is not the basis for goal priority.</x:v>
      </x:c>
      <x:c r="L468" s="192" t="str">
        <x:v>Incorrect. Exclusion may be unnecessary and reduce systemic understanding.</x:v>
      </x:c>
      <x:c r="M468" s="192" t="str">
        <x:v>Incorrect. Parental authority does not make every requested goal clinically appropriate.</x:v>
      </x:c>
      <x:c r="N468" s="192" t="str">
        <x:v>Correct. Planning in family work requires role clarity and collaborative goals without treating one participant’s demand as automatically controlling.</x:v>
      </x:c>
      <x:c r="O468" s="192" t="str">
        <x:v>A. Incorrect. Ease is not the basis for goal priority.
B. Incorrect. Exclusion may be unnecessary and reduce systemic understanding.
C. Incorrect. Parental authority does not make every requested goal clinically appropriate.
D. Correct. Planning in family work requires role clarity and collaborative goals without treating one participant’s demand as automatically controlling.</x:v>
      </x:c>
      <x:c r="P468" s="192" t="str">
        <x:v>Separate authority from clinical appropriateness and build goals around assessed needs.</x:v>
      </x:c>
      <x:c r="Q468" s="194" t="str">
        <x:v>CTA LMFT WB7; Pearson VUE LMFT Outline Area 4</x:v>
      </x:c>
    </x:row>
    <x:row r="469">
      <x:c r="A469" s="191" t="str">
        <x:v>CTA-LMFT-MQB-0468</x:v>
      </x:c>
      <x:c r="B469" s="192" t="str">
        <x:v>LMFT-MQB-FB-CR-007</x:v>
      </x:c>
      <x:c r="C469" s="192" t="str">
        <x:v>Comprehensive Simulation</x:v>
      </x:c>
      <x:c r="D469" s="192" t="str">
        <x:v>Form B</x:v>
      </x:c>
      <x:c r="E469" s="192" t="str">
        <x:v>In a video session, a client displays a bottle of pills, states an intention to take them, and abruptly disconnects. What is the LMFT’s first action?</x:v>
      </x:c>
      <x:c r="F469" s="192" t="str">
        <x:v>Use the known location and emergency plan to initiate immediate emergency intervention while attempting to maintain contact.</x:v>
      </x:c>
      <x:c r="G469" s="192" t="str">
        <x:v>Contact a family member only after the next session.</x:v>
      </x:c>
      <x:c r="H469" s="192" t="str">
        <x:v>Wait ten minutes to see whether the client reconnects.</x:v>
      </x:c>
      <x:c r="I469" s="192" t="str">
        <x:v>Send an email asking the client to reschedule.</x:v>
      </x:c>
      <x:c r="J469" s="192" t="str">
        <x:v>A</x:v>
      </x:c>
      <x:c r="K469" s="192" t="str">
        <x:v>Correct. The described intent, means, and loss of contact require immediate protective action.</x:v>
      </x:c>
      <x:c r="L469" s="192" t="str">
        <x:v>Incorrect. Future follow-up does not address the current emergency.</x:v>
      </x:c>
      <x:c r="M469" s="192" t="str">
        <x:v>Incorrect. Delay may increase danger.</x:v>
      </x:c>
      <x:c r="N469" s="192" t="str">
        <x:v>Incorrect. Routine communication is inadequate.</x:v>
      </x:c>
      <x:c r="O469" s="192" t="str">
        <x:v>A. Correct. The described intent, means, and loss of contact require immediate protective action.
B. Incorrect. Future follow-up does not address the current emergency.
C. Incorrect. Delay may increase danger.
D. Incorrect. Routine communication is inadequate.</x:v>
      </x:c>
      <x:c r="P469" s="192" t="str">
        <x:v>In telehealth crises, location and emergency contacts must convert assessment into action quickly.</x:v>
      </x:c>
      <x:c r="Q469" s="194" t="str">
        <x:v>CTA LMFT WB6; CTA LMFT WB12; Pearson VUE LMFT Outline Area 3</x:v>
      </x:c>
    </x:row>
    <x:row r="470">
      <x:c r="A470" s="191" t="str">
        <x:v>CTA-LMFT-MQB-0469</x:v>
      </x:c>
      <x:c r="B470" s="192" t="str">
        <x:v>LMFT-MQB-FB-CE-031</x:v>
      </x:c>
      <x:c r="C470" s="192" t="str">
        <x:v>Comprehensive Simulation</x:v>
      </x:c>
      <x:c r="D470" s="192" t="str">
        <x:v>Form B</x:v>
      </x:c>
      <x:c r="E470" s="192" t="str">
        <x:v>Caregivers ask an LMFT to eliminate a teenager’s same-gender attraction, while the teenager reports fear of rejection at home. What is the therapist’s first responsibility?</x:v>
      </x:c>
      <x:c r="F470" s="192" t="str">
        <x:v>Clarify roles and goals, assess safety and distress, affirm the adolescent’s dignity, and explore the family interaction and environmental stress without treating identity as pathology.</x:v>
      </x:c>
      <x:c r="G470" s="192" t="str">
        <x:v>Agree to the parents’ goal because they initiated treatment.</x:v>
      </x:c>
      <x:c r="H470" s="192" t="str">
        <x:v>Tell the adolescent to hide the identity until adulthood.</x:v>
      </x:c>
      <x:c r="I470" s="192" t="str">
        <x:v>End the session without assessing family safety.</x:v>
      </x:c>
      <x:c r="J470" s="192" t="str">
        <x:v>A</x:v>
      </x:c>
      <x:c r="K470" s="192" t="str">
        <x:v>Correct. The therapist should not pathologize identity and must assess the relational and minority-stress context while clarifying the treatment unit.</x:v>
      </x:c>
      <x:c r="L470" s="192" t="str">
        <x:v>Incorrect. Referral initiation does not make a harmful goal clinically appropriate.</x:v>
      </x:c>
      <x:c r="M470" s="192" t="str">
        <x:v>Incorrect. Concealment may increase distress and is not a neutral clinical directive.</x:v>
      </x:c>
      <x:c r="N470" s="192" t="str">
        <x:v>Incorrect. Safety and role clarification remain necessary.</x:v>
      </x:c>
      <x:c r="O470" s="192" t="str">
        <x:v>A. Correct. The therapist should not pathologize identity and must assess the relational and minority-stress context while clarifying the treatment unit.
B. Incorrect. Referral initiation does not make a harmful goal clinically appropriate.
C. Incorrect. Concealment may increase distress and is not a neutral clinical directive.
D. Incorrect. Safety and role clarification remain necessary.</x:v>
      </x:c>
      <x:c r="P470" s="192" t="str">
        <x:v>Identify what is causing impairment: identity itself, or rejection, coercion, and environmental stress.</x:v>
      </x:c>
      <x:c r="Q470" s="194" t="str">
        <x:v>CTA LMFT WB3; CTA LMFT WB10; Pearson VUE LMFT Outline Area 1</x:v>
      </x:c>
    </x:row>
    <x:row r="471">
      <x:c r="A471" s="191" t="str">
        <x:v>CTA-LMFT-MQB-0470</x:v>
      </x:c>
      <x:c r="B471" s="192" t="str">
        <x:v>LMFT-MQB-FB-CR-011</x:v>
      </x:c>
      <x:c r="C471" s="192" t="str">
        <x:v>Comprehensive Simulation</x:v>
      </x:c>
      <x:c r="D471" s="192" t="str">
        <x:v>Form B</x:v>
      </x:c>
      <x:c r="E471" s="192" t="str">
        <x:v>A psychotic client cannot state where food or shelter will come from and repeatedly walks into traffic. What action is most appropriate next?</x:v>
      </x:c>
      <x:c r="F471" s="192" t="str">
        <x:v>Schedule a routine appointment in one week.</x:v>
      </x:c>
      <x:c r="G471" s="192" t="str">
        <x:v>Arrange emergency evaluation for immediate safety and inability to meet basic needs.</x:v>
      </x:c>
      <x:c r="H471" s="192" t="str">
        <x:v>Ask the client to complete a symptom worksheet first.</x:v>
      </x:c>
      <x:c r="I471" s="192" t="str">
        <x:v>Debate the delusional beliefs until the client agrees to eat.</x:v>
      </x:c>
      <x:c r="J471" s="192" t="str">
        <x:v>B</x:v>
      </x:c>
      <x:c r="K471" s="192" t="str">
        <x:v>Incorrect. Routine follow-up is inadequate.</x:v>
      </x:c>
      <x:c r="L471" s="192" t="str">
        <x:v>Correct. The client’s current inability to protect basic survival and traffic safety requires urgent intervention.</x:v>
      </x:c>
      <x:c r="M471" s="192" t="str">
        <x:v>Incorrect. Paperwork should not delay emergency care.</x:v>
      </x:c>
      <x:c r="N471" s="192" t="str">
        <x:v>Incorrect. Argument is unlikely to restore immediate safety.</x:v>
      </x:c>
      <x:c r="O471" s="192" t="str">
        <x:v>A. Incorrect. Routine follow-up is inadequate.
B. Correct. The client’s current inability to protect basic survival and traffic safety requires urgent intervention.
C. Incorrect. Paperwork should not delay emergency care.
D. Incorrect. Argument is unlikely to restore immediate safety.</x:v>
      </x:c>
      <x:c r="P471" s="192" t="str">
        <x:v>When basic needs and physical safety are failing, act before pursuing insight or routine consent tasks.</x:v>
      </x:c>
      <x:c r="Q471" s="194" t="str">
        <x:v>CTA LMFT WB6; Pearson VUE LMFT Outline Area 3</x:v>
      </x:c>
    </x:row>
    <x:row r="472">
      <x:c r="A472" s="191" t="str">
        <x:v>CTA-LMFT-MQB-0471</x:v>
      </x:c>
      <x:c r="B472" s="192" t="str">
        <x:v>LMFT-MQB-FB-CE-021</x:v>
      </x:c>
      <x:c r="C472" s="192" t="str">
        <x:v>Comprehensive Simulation</x:v>
      </x:c>
      <x:c r="D472" s="192" t="str">
        <x:v>Form B</x:v>
      </x:c>
      <x:c r="E472" s="192" t="str">
        <x:v>A lesbian client reports panic almost exclusively in a workplace where coworkers make hostile comments, while symptoms decrease around supportive friends. What formulation is most complete?</x:v>
      </x:c>
      <x:c r="F472" s="192" t="str">
        <x:v>Conclude there is no clinical concern because symptoms vary by setting.</x:v>
      </x:c>
      <x:c r="G472" s="192" t="str">
        <x:v>Assume gender identity is the disorder.</x:v>
      </x:c>
      <x:c r="H472" s="192" t="str">
        <x:v>Ignore workplace conditions and diagnose only an internal anxiety problem.</x:v>
      </x:c>
      <x:c r="I472" s="192" t="str">
        <x:v>Assess anxiety symptoms while also examining minority stress, workplace context, safety, supports, and the difference across environments.</x:v>
      </x:c>
      <x:c r="J472" s="192" t="str">
        <x:v>D</x:v>
      </x:c>
      <x:c r="K472" s="192" t="str">
        <x:v>Incorrect. Variation by setting is informative and does not eliminate impairment.</x:v>
      </x:c>
      <x:c r="L472" s="192" t="str">
        <x:v>Incorrect. Gender identity is not itself a disorder.</x:v>
      </x:c>
      <x:c r="M472" s="192" t="str">
        <x:v>Incorrect. Context may be central to onset and maintenance.</x:v>
      </x:c>
      <x:c r="N472" s="192" t="str">
        <x:v>Correct. The setting-specific pattern suggests an interaction between symptoms and environmental stressors rather than pathology inherent in identity.</x:v>
      </x:c>
      <x:c r="O472" s="192" t="str">
        <x:v>A. Incorrect. Variation by setting is informative and does not eliminate impairment.
B. Incorrect. Gender identity is not itself a disorder.
C. Incorrect. Context may be central to onset and maintenance.
D. Correct. The setting-specific pattern suggests an interaction between symptoms and environmental stressors rather than pathology inherent in identity.</x:v>
      </x:c>
      <x:c r="P472" s="192" t="str">
        <x:v>Distinguish identity from distress and ask what changes across settings.</x:v>
      </x:c>
      <x:c r="Q472" s="194" t="str">
        <x:v>CTA LMFT WB3; CTA LMFT WB10; Pearson VUE LMFT Outline Area 1</x:v>
      </x:c>
    </x:row>
    <x:row r="473">
      <x:c r="A473" s="191" t="str">
        <x:v>CTA-LMFT-MQB-0472</x:v>
      </x:c>
      <x:c r="B473" s="192" t="str">
        <x:v>LMFT-MQB-FB-TX-015</x:v>
      </x:c>
      <x:c r="C473" s="192" t="str">
        <x:v>Comprehensive Simulation</x:v>
      </x:c>
      <x:c r="D473" s="192" t="str">
        <x:v>Form B</x:v>
      </x:c>
      <x:c r="E473" s="192" t="str">
        <x:v>A client believes, “If my spouse needs time alone, the marriage is ending.” What is the best CBT response?</x:v>
      </x:c>
      <x:c r="F473" s="192" t="str">
        <x:v>Explore only the partner’s childhood.</x:v>
      </x:c>
      <x:c r="G473" s="192" t="str">
        <x:v>Examine the evidence, identify the prediction, develop a more balanced alternative, and test it through behavior.</x:v>
      </x:c>
      <x:c r="H473" s="192" t="str">
        <x:v>Tell the client the thought is irrational and wrong.</x:v>
      </x:c>
      <x:c r="I473" s="192" t="str">
        <x:v>Avoid future disagreements.</x:v>
      </x:c>
      <x:c r="J473" s="192" t="str">
        <x:v>B</x:v>
      </x:c>
      <x:c r="K473" s="192" t="str">
        <x:v>Incorrect. Historical context may matter but does not directly test the cognition.</x:v>
      </x:c>
      <x:c r="L473" s="192" t="str">
        <x:v>Correct. Collaborative examination and testing reduce certainty in catastrophic interpretations.</x:v>
      </x:c>
      <x:c r="M473" s="192" t="str">
        <x:v>Incorrect. Argument from the therapist may produce defensiveness rather than learning.</x:v>
      </x:c>
      <x:c r="N473" s="192" t="str">
        <x:v>Incorrect. Avoidance prevents corrective experience.</x:v>
      </x:c>
      <x:c r="O473" s="192" t="str">
        <x:v>A. Incorrect. Historical context may matter but does not directly test the cognition.
B. Correct. Collaborative examination and testing reduce certainty in catastrophic interpretations.
C. Incorrect. Argument from the therapist may produce defensiveness rather than learning.
D. Incorrect. Avoidance prevents corrective experience.</x:v>
      </x:c>
      <x:c r="P473" s="192" t="str">
        <x:v>CBT works best when thoughts become testable hypotheses rather than therapist-corrected errors.</x:v>
      </x:c>
      <x:c r="Q473" s="194" t="str">
        <x:v>CTA LMFT WB9; CTA LMFT WB11; Pearson VUE LMFT Outline Area 5</x:v>
      </x:c>
    </x:row>
    <x:row r="474">
      <x:c r="A474" s="191" t="str">
        <x:v>CTA-LMFT-MQB-0473</x:v>
      </x:c>
      <x:c r="B474" s="192" t="str">
        <x:v>LMFT-MQB-FB-TX-039</x:v>
      </x:c>
      <x:c r="C474" s="192" t="str">
        <x:v>Comprehensive Simulation</x:v>
      </x:c>
      <x:c r="D474" s="192" t="str">
        <x:v>Form B</x:v>
      </x:c>
      <x:c r="E474" s="192" t="str">
        <x:v>A client wants CBT skills while also understanding anxiety through a spiritual framework. What is the most responsive treatment approach?</x:v>
      </x:c>
      <x:c r="F474" s="192" t="str">
        <x:v>Use spiritual practices only and avoid clinical methods.</x:v>
      </x:c>
      <x:c r="G474" s="192" t="str">
        <x:v>Require the client to abandon spiritual beliefs.</x:v>
      </x:c>
      <x:c r="H474" s="192" t="str">
        <x:v>Collaboratively integrate culturally congruent meaning and supports with evidence-informed coping and behavioral experiments, monitoring whether the adaptation helps.</x:v>
      </x:c>
      <x:c r="I474" s="192" t="str">
        <x:v>Apply a standard protocol without asking about fit.</x:v>
      </x:c>
      <x:c r="J474" s="192" t="str">
        <x:v>C</x:v>
      </x:c>
      <x:c r="K474" s="192" t="str">
        <x:v>Incorrect. Spiritual resources may help but do not replace indicated assessment and treatment.</x:v>
      </x:c>
      <x:c r="L474" s="192" t="str">
        <x:v>Incorrect. Dismissal can damage alliance and cultural humility.</x:v>
      </x:c>
      <x:c r="M474" s="192" t="str">
        <x:v>Correct. Culturally responsive treatment can integrate meaning and evidence-informed methods without assuming either is sufficient alone.</x:v>
      </x:c>
      <x:c r="N474" s="192" t="str">
        <x:v>Incorrect. Unadapted protocols may reduce relevance and access.</x:v>
      </x:c>
      <x:c r="O474" s="192" t="str">
        <x:v>A. Incorrect. Spiritual resources may help but do not replace indicated assessment and treatment.
B. Incorrect. Dismissal can damage alliance and cultural humility.
C. Correct. Culturally responsive treatment can integrate meaning and evidence-informed methods without assuming either is sufficient alone.
D. Incorrect. Unadapted protocols may reduce relevance and access.</x:v>
      </x:c>
      <x:c r="P474" s="192" t="str">
        <x:v>Adapt collaboratively and evaluate outcomes rather than assuming culture and evidence are opposites.</x:v>
      </x:c>
      <x:c r="Q474" s="194" t="str">
        <x:v>CTA LMFT WB9; CTA LMFT WB10; Pearson VUE LMFT Outline Area 5</x:v>
      </x:c>
    </x:row>
    <x:row r="475">
      <x:c r="A475" s="191" t="str">
        <x:v>CTA-LMFT-MQB-0474</x:v>
      </x:c>
      <x:c r="B475" s="192" t="str">
        <x:v>LMFT-MQB-FB-LE-014</x:v>
      </x:c>
      <x:c r="C475" s="192" t="str">
        <x:v>Comprehensive Simulation</x:v>
      </x:c>
      <x:c r="D475" s="192" t="str">
        <x:v>Form B</x:v>
      </x:c>
      <x:c r="E475" s="192" t="str">
        <x:v>A client communicates a credible threat toward a named person and revokes permission to contact anyone. How should the LMFT balance safety and confidentiality?</x:v>
      </x:c>
      <x:c r="F475" s="192" t="str">
        <x:v>Honor the withdrawal and take no action.</x:v>
      </x:c>
      <x:c r="G475" s="192" t="str">
        <x:v>Disclose the entire treatment record to everyone involved.</x:v>
      </x:c>
      <x:c r="H475" s="192" t="str">
        <x:v>Assess the threat, take necessary protective actions under applicable law, limit disclosure to what is needed for safety, and document the reasoning.</x:v>
      </x:c>
      <x:c r="I475" s="192" t="str">
        <x:v>Terminate and leave protection decisions to the client.</x:v>
      </x:c>
      <x:c r="J475" s="192" t="str">
        <x:v>C</x:v>
      </x:c>
      <x:c r="K475" s="192" t="str">
        <x:v>Incorrect. Authorization is not the only possible basis for protective disclosure.</x:v>
      </x:c>
      <x:c r="L475" s="192" t="str">
        <x:v>Incorrect. Broad disclosure exceeds the likely need.</x:v>
      </x:c>
      <x:c r="M475" s="192" t="str">
        <x:v>Correct. A serious safety duty may override refusal, but privacy still requires purpose-limited action.</x:v>
      </x:c>
      <x:c r="N475" s="192" t="str">
        <x:v>Incorrect. Termination does not discharge immediate protective responsibility.</x:v>
      </x:c>
      <x:c r="O475" s="192" t="str">
        <x:v>A. Incorrect. Authorization is not the only possible basis for protective disclosure.
B. Incorrect. Broad disclosure exceeds the likely need.
C. Correct. A serious safety duty may override refusal, but privacy still requires purpose-limited action.
D. Incorrect. Termination does not discharge immediate protective responsibility.</x:v>
      </x:c>
      <x:c r="P475" s="192" t="str">
        <x:v>Integrated legal items often require both action and restraint: protect, but disclose no more than necessary.</x:v>
      </x:c>
      <x:c r="Q475" s="194" t="str">
        <x:v>CTA LMFT WB6; CTA LMFT WB12; Pearson VUE LMFT Outline Area 6</x:v>
      </x:c>
    </x:row>
    <x:row r="476">
      <x:c r="A476" s="191" t="str">
        <x:v>CTA-LMFT-MQB-0475</x:v>
      </x:c>
      <x:c r="B476" s="192" t="str">
        <x:v>LMFT-MQB-FB-TX-040</x:v>
      </x:c>
      <x:c r="C476" s="192" t="str">
        <x:v>Comprehensive Simulation</x:v>
      </x:c>
      <x:c r="D476" s="192" t="str">
        <x:v>Form B</x:v>
      </x:c>
      <x:c r="E476" s="192" t="str">
        <x:v>A trauma survivor repeatedly seeks reassurance, the partner becomes depleted and withdraws, and the withdrawal increases panic. What approach best integrates trauma and attachment needs?</x:v>
      </x:c>
      <x:c r="F476" s="192" t="str">
        <x:v>Ask the partner to provide unlimited reassurance.</x:v>
      </x:c>
      <x:c r="G476" s="192" t="str">
        <x:v>Stabilize trauma symptoms, map the reassurance-withdrawal cycle, strengthen direct attachment communication, and avoid making the partner solely responsible for regulation.</x:v>
      </x:c>
      <x:c r="H476" s="192" t="str">
        <x:v>Treat the problem only as irrational thinking.</x:v>
      </x:c>
      <x:c r="I476" s="192" t="str">
        <x:v>Avoid couple work until every trauma symptom is gone.</x:v>
      </x:c>
      <x:c r="J476" s="192" t="str">
        <x:v>B</x:v>
      </x:c>
      <x:c r="K476" s="192" t="str">
        <x:v>Incorrect. Unlimited reassurance may reinforce dependence and burnout.</x:v>
      </x:c>
      <x:c r="L476" s="192" t="str">
        <x:v>Correct. The plan integrates individual trauma regulation and relational responsiveness while changing the maintaining cycle.</x:v>
      </x:c>
      <x:c r="M476" s="192" t="str">
        <x:v>Incorrect. Cognition alone does not capture attachment and trauma processes.</x:v>
      </x:c>
      <x:c r="N476" s="192" t="str">
        <x:v>Incorrect. Some coordinated couple work may be useful before complete remission if safe and paced.</x:v>
      </x:c>
      <x:c r="O476" s="192" t="str">
        <x:v>A. Incorrect. Unlimited reassurance may reinforce dependence and burnout.
B. Correct. The plan integrates individual trauma regulation and relational responsiveness while changing the maintaining cycle.
C. Incorrect. Cognition alone does not capture attachment and trauma processes.
D. Incorrect. Some coordinated couple work may be useful before complete remission if safe and paced.</x:v>
      </x:c>
      <x:c r="P476" s="192" t="str">
        <x:v>Do not choose between individual trauma and relational treatment when the mechanisms interact.</x:v>
      </x:c>
      <x:c r="Q476" s="194" t="str">
        <x:v>CTA LMFT WB8; CTA LMFT WB9; Pearson VUE LMFT Outline Area 5</x:v>
      </x:c>
    </x:row>
    <x:row r="477">
      <x:c r="A477" s="191" t="str">
        <x:v>CTA-LMFT-MQB-0476</x:v>
      </x:c>
      <x:c r="B477" s="192" t="str">
        <x:v>LMFT-MQB-FB-CP-018</x:v>
      </x:c>
      <x:c r="C477" s="192" t="str">
        <x:v>Comprehensive Simulation</x:v>
      </x:c>
      <x:c r="D477" s="192" t="str">
        <x:v>Form B</x:v>
      </x:c>
      <x:c r="E477" s="192" t="str">
        <x:v>Partners request sexual reconnection work, but one partner privately reports coercion and fear of retaliation. What should the therapist’s plan prioritize?</x:v>
      </x:c>
      <x:c r="F477" s="192" t="str">
        <x:v>Prioritize safety and individual support, determine whether conjoint treatment is contraindicated, connect specialized resources, and revisit relational goals only if conditions become safe.</x:v>
      </x:c>
      <x:c r="G477" s="192" t="str">
        <x:v>Begin sensate-focus exercises together.</x:v>
      </x:c>
      <x:c r="H477" s="192" t="str">
        <x:v>Ask both partners to sign a no-violence contract and continue.</x:v>
      </x:c>
      <x:c r="I477" s="192" t="str">
        <x:v>Treat the problem as mutual communication difficulty.</x:v>
      </x:c>
      <x:c r="J477" s="192" t="str">
        <x:v>A</x:v>
      </x:c>
      <x:c r="K477" s="192" t="str">
        <x:v>Correct. The safety context changes the treatment unit, modality, and sequence.</x:v>
      </x:c>
      <x:c r="L477" s="192" t="str">
        <x:v>Incorrect. Conjoint intimacy exercises may increase danger.</x:v>
      </x:c>
      <x:c r="M477" s="192" t="str">
        <x:v>Incorrect. A contract is not sufficient protection in coercive violence.</x:v>
      </x:c>
      <x:c r="N477" s="192" t="str">
        <x:v>Incorrect. Symmetric communication framing can obscure abuse.</x:v>
      </x:c>
      <x:c r="O477" s="192" t="str">
        <x:v>A. Correct. The safety context changes the treatment unit, modality, and sequence.
B. Incorrect. Conjoint intimacy exercises may increase danger.
C. Incorrect. A contract is not sufficient protection in coercive violence.
D. Incorrect. Symmetric communication framing can obscure abuse.</x:v>
      </x:c>
      <x:c r="P477" s="192" t="str">
        <x:v>The presenting goal never outranks safety or appropriateness of conjoint work.</x:v>
      </x:c>
      <x:c r="Q477" s="194" t="str">
        <x:v>CTA LMFT WB6; CTA LMFT WB7; CTA LMFT WB8; Pearson VUE LMFT Outline Area 4</x:v>
      </x:c>
    </x:row>
    <x:row r="478">
      <x:c r="A478" s="191" t="str">
        <x:v>CTA-LMFT-MQB-0477</x:v>
      </x:c>
      <x:c r="B478" s="192" t="str">
        <x:v>LMFT-MQB-FB-CE-022</x:v>
      </x:c>
      <x:c r="C478" s="192" t="str">
        <x:v>Comprehensive Simulation</x:v>
      </x:c>
      <x:c r="D478" s="192" t="str">
        <x:v>Form B</x:v>
      </x:c>
      <x:c r="E478" s="192" t="str">
        <x:v>At the start of conjoint therapy, one spouse answers every question while the other looks down and says little. What should the LMFT do first?</x:v>
      </x:c>
      <x:c r="F478" s="192" t="str">
        <x:v>Clarify the purpose and structure of the meeting and invite each partner’s perspective in a balanced, nonblaming way.</x:v>
      </x:c>
      <x:c r="G478" s="192" t="str">
        <x:v>Confront the speaking partner as controlling.</x:v>
      </x:c>
      <x:c r="H478" s="192" t="str">
        <x:v>Assume the silent partner has no concerns.</x:v>
      </x:c>
      <x:c r="I478" s="192" t="str">
        <x:v>Begin teaching communication skills before assessment.</x:v>
      </x:c>
      <x:c r="J478" s="192" t="str">
        <x:v>A</x:v>
      </x:c>
      <x:c r="K478" s="192" t="str">
        <x:v>Correct. Early structure and balanced engagement help establish multiple alliances and obtain usable information.</x:v>
      </x:c>
      <x:c r="L478" s="192" t="str">
        <x:v>Incorrect. A fixed interpretation is premature.</x:v>
      </x:c>
      <x:c r="M478" s="192" t="str">
        <x:v>Incorrect. Silence may reflect many factors and requires exploration.</x:v>
      </x:c>
      <x:c r="N478" s="192" t="str">
        <x:v>Incorrect. Intervention should follow sufficient assessment and safety screening.</x:v>
      </x:c>
      <x:c r="O478" s="192" t="str">
        <x:v>A. Correct. Early structure and balanced engagement help establish multiple alliances and obtain usable information.
B. Incorrect. A fixed interpretation is premature.
C. Incorrect. Silence may reflect many factors and requires exploration.
D. Incorrect. Intervention should follow sufficient assessment and safety screening.</x:v>
      </x:c>
      <x:c r="P478" s="192" t="str">
        <x:v>At intake, create enough structure for each participant to be heard before interpreting the pattern.</x:v>
      </x:c>
      <x:c r="Q478" s="194" t="str">
        <x:v>CTA LMFT WB2; Pearson VUE LMFT Outline Area 1</x:v>
      </x:c>
    </x:row>
    <x:row r="479">
      <x:c r="A479" s="191" t="str">
        <x:v>CTA-LMFT-MQB-0478</x:v>
      </x:c>
      <x:c r="B479" s="192" t="str">
        <x:v>LMFT-MQB-FB-TX-008</x:v>
      </x:c>
      <x:c r="C479" s="192" t="str">
        <x:v>Comprehensive Simulation</x:v>
      </x:c>
      <x:c r="D479" s="192" t="str">
        <x:v>Form B</x:v>
      </x:c>
      <x:c r="E479" s="192" t="str">
        <x:v>Parents say mornings are always chaotic but recall one day when everyone left on time without conflict. What should the therapist ask next?</x:v>
      </x:c>
      <x:c r="F479" s="192" t="str">
        <x:v>Which member deserves credit for the exception.</x:v>
      </x:c>
      <x:c r="G479" s="192" t="str">
        <x:v>Whether the exception proves treatment is unnecessary.</x:v>
      </x:c>
      <x:c r="H479" s="192" t="str">
        <x:v>Why the family usually fails.</x:v>
      </x:c>
      <x:c r="I479" s="192" t="str">
        <x:v>What was different before and during that evening, and how could the family intentionally repeat those conditions?</x:v>
      </x:c>
      <x:c r="J479" s="192" t="str">
        <x:v>D</x:v>
      </x:c>
      <x:c r="K479" s="192" t="str">
        <x:v>Incorrect. Change usually reflects interaction rather than a single hero.</x:v>
      </x:c>
      <x:c r="L479" s="192" t="str">
        <x:v>Incorrect. One exception shows possibility, not absence of a problem.</x:v>
      </x:c>
      <x:c r="M479" s="192" t="str">
        <x:v>Incorrect. Failure-focused inquiry may reinforce blame.</x:v>
      </x:c>
      <x:c r="N479" s="192" t="str">
        <x:v>Correct. Exception questions identify existing resources and replicable differences.</x:v>
      </x:c>
      <x:c r="O479" s="192" t="str">
        <x:v>A. Incorrect. Change usually reflects interaction rather than a single hero.
B. Incorrect. One exception shows possibility, not absence of a problem.
C. Incorrect. Failure-focused inquiry may reinforce blame.
D. Correct. Exception questions identify existing resources and replicable differences.</x:v>
      </x:c>
      <x:c r="P479" s="192" t="str">
        <x:v>Exceptions are useful when translated into specific, repeatable behaviors and conditions.</x:v>
      </x:c>
      <x:c r="Q479" s="194" t="str">
        <x:v>CTA LMFT WB11; Pearson VUE LMFT Outline Area 5</x:v>
      </x:c>
    </x:row>
    <x:row r="480">
      <x:c r="A480" s="191" t="str">
        <x:v>CTA-LMFT-MQB-0479</x:v>
      </x:c>
      <x:c r="B480" s="192" t="str">
        <x:v>LMFT-MQB-FB-TX-038</x:v>
      </x:c>
      <x:c r="C480" s="192" t="str">
        <x:v>Comprehensive Simulation</x:v>
      </x:c>
      <x:c r="D480" s="192" t="str">
        <x:v>Form B</x:v>
      </x:c>
      <x:c r="E480" s="192" t="str">
        <x:v>A client working on sobriety hides slips because a partner responds with surveillance and accusations. What treatment approach best addresses both recovery and the couple cycle?</x:v>
      </x:c>
      <x:c r="F480" s="192" t="str">
        <x:v>Exclude the partner from all discussion.</x:v>
      </x:c>
      <x:c r="G480" s="192" t="str">
        <x:v>Give the partner complete control of the client’s recovery.</x:v>
      </x:c>
      <x:c r="H480" s="192" t="str">
        <x:v>Focus only on communication and ignore alcohol use.</x:v>
      </x:c>
      <x:c r="I480" s="192" t="str">
        <x:v>Coordinate substance treatment, use a relapse and safety plan, address accountability without surveillance, and help the couple change the accusation-secrecy cycle.</x:v>
      </x:c>
      <x:c r="J480" s="192" t="str">
        <x:v>D</x:v>
      </x:c>
      <x:c r="K480" s="192" t="str">
        <x:v>Incorrect. Appropriate partner involvement may support change.</x:v>
      </x:c>
      <x:c r="L480" s="192" t="str">
        <x:v>Incorrect. Partner control can worsen secrecy and does not create recovery.</x:v>
      </x:c>
      <x:c r="M480" s="192" t="str">
        <x:v>Incorrect. Communication cannot be separated from active substance risk.</x:v>
      </x:c>
      <x:c r="N480" s="192" t="str">
        <x:v>Correct. The intervention addresses both the substance-related risk and the relational cycle without transferring responsibility.</x:v>
      </x:c>
      <x:c r="O480" s="192" t="str">
        <x:v>A. Incorrect. Appropriate partner involvement may support change.
B. Incorrect. Partner control can worsen secrecy and does not create recovery.
C. Incorrect. Communication cannot be separated from active substance risk.
D. Correct. The intervention addresses both the substance-related risk and the relational cycle without transferring responsibility.</x:v>
      </x:c>
      <x:c r="P480" s="192" t="str">
        <x:v>Integrated work assigns responsibility clearly while targeting the cycle around the problem.</x:v>
      </x:c>
      <x:c r="Q480" s="194" t="str">
        <x:v>CTA LMFT WB8; CTA LMFT WB9; Pearson VUE LMFT Outline Area 5</x:v>
      </x:c>
    </x:row>
    <x:row r="481">
      <x:c r="A481" s="191" t="str">
        <x:v>CTA-LMFT-MQB-0480</x:v>
      </x:c>
      <x:c r="B481" s="192" t="str">
        <x:v>LMFT-MQB-FB-CE-014</x:v>
      </x:c>
      <x:c r="C481" s="192" t="str">
        <x:v>Comprehensive Simulation</x:v>
      </x:c>
      <x:c r="D481" s="192" t="str">
        <x:v>Form B</x:v>
      </x:c>
      <x:c r="E481" s="192" t="str">
        <x:v>A translated depression questionnaire yields a severe score, but the client says several phrases did not make sense. What is the best way to use the result?</x:v>
      </x:c>
      <x:c r="F481" s="192" t="str">
        <x:v>Discard all assessment information from the client.</x:v>
      </x:c>
      <x:c r="G481" s="192" t="str">
        <x:v>Diagnose solely from the total score after translating it informally.</x:v>
      </x:c>
      <x:c r="H481" s="192" t="str">
        <x:v>Accept the score as definitive because standardized tools are objective.</x:v>
      </x:c>
      <x:c r="I481" s="192" t="str">
        <x:v>Treat the score as one data point, clarify the misunderstood items, use appropriate language support, and integrate the result with interview and functional information.</x:v>
      </x:c>
      <x:c r="J481" s="192" t="str">
        <x:v>D</x:v>
      </x:c>
      <x:c r="K481" s="192" t="str">
        <x:v>Incorrect. The concern affects the measure, not all client information.</x:v>
      </x:c>
      <x:c r="L481" s="192" t="str">
        <x:v>Incorrect. Informal translation and a single score are insufficient for diagnosis.</x:v>
      </x:c>
      <x:c r="M481" s="192" t="str">
        <x:v>Incorrect. Standardization does not make a misunderstood administration valid.</x:v>
      </x:c>
      <x:c r="N481" s="192" t="str">
        <x:v>Correct. Measures support but do not replace clinical judgment, accessibility, cultural-linguistic fit, and direct assessment.</x:v>
      </x:c>
      <x:c r="O481" s="192" t="str">
        <x:v>A. Incorrect. The concern affects the measure, not all client information.
B. Incorrect. Informal translation and a single score are insufficient for diagnosis.
C. Incorrect. Standardization does not make a misunderstood administration valid.
D. Correct. Measures support but do not replace clinical judgment, accessibility, cultural-linguistic fit, and direct assessment.</x:v>
      </x:c>
      <x:c r="P481" s="192" t="str">
        <x:v>A test score is evidence, not a verdict; verify administration quality and clinical fit.</x:v>
      </x:c>
      <x:c r="Q481" s="194" t="str">
        <x:v>CTA LMFT WB4; Pearson VUE LMFT Outline Area 1</x:v>
      </x:c>
    </x:row>
    <x:row r="482">
      <x:c r="A482" s="191" t="str">
        <x:v>CTA-LMFT-MQB-0481</x:v>
      </x:c>
      <x:c r="B482" s="192" t="str">
        <x:v>LMFT-MQB-FB-CR-005</x:v>
      </x:c>
      <x:c r="C482" s="192" t="str">
        <x:v>Comprehensive Simulation</x:v>
      </x:c>
      <x:c r="D482" s="192" t="str">
        <x:v>Form B</x:v>
      </x:c>
      <x:c r="E482" s="192" t="str">
        <x:v>A client says a partner has begun strangling, stalking, and controlling money, but the client is ambivalent about ending the relationship. What is the best therapeutic response?</x:v>
      </x:c>
      <x:c r="F482" s="192" t="str">
        <x:v>Begin conjoint therapy with the abusive partner.</x:v>
      </x:c>
      <x:c r="G482" s="192" t="str">
        <x:v>Validate the disclosure, assess immediate danger and coercive control, support the client’s autonomy, develop a personalized safety plan, and connect resources.</x:v>
      </x:c>
      <x:c r="H482" s="192" t="str">
        <x:v>Order the client to leave immediately.</x:v>
      </x:c>
      <x:c r="I482" s="192" t="str">
        <x:v>Tell the client the violence will stop if communication improves.</x:v>
      </x:c>
      <x:c r="J482" s="192" t="str">
        <x:v>B</x:v>
      </x:c>
      <x:c r="K482" s="192" t="str">
        <x:v>Incorrect. Conjoint treatment may be unsafe in coercive violence.</x:v>
      </x:c>
      <x:c r="L482" s="192" t="str">
        <x:v>Correct. The therapist should combine safety, autonomy, practical planning, and resource linkage without blaming or coercing.</x:v>
      </x:c>
      <x:c r="M482" s="192" t="str">
        <x:v>Incorrect. Leaving can increase danger and must be planned by the client.</x:v>
      </x:c>
      <x:c r="N482" s="192" t="str">
        <x:v>Incorrect. Violence is not explained or resolved by ordinary communication skill alone.</x:v>
      </x:c>
      <x:c r="O482" s="192" t="str">
        <x:v>A. Incorrect. Conjoint treatment may be unsafe in coercive violence.
B. Correct. The therapist should combine safety, autonomy, practical planning, and resource linkage without blaming or coercing.
C. Incorrect. Leaving can increase danger and must be planned by the client.
D. Incorrect. Violence is not explained or resolved by ordinary communication skill alone.</x:v>
      </x:c>
      <x:c r="P482" s="192" t="str">
        <x:v>Safety planning is collaborative; avoid both minimizing violence and replacing the client’s decisions.</x:v>
      </x:c>
      <x:c r="Q482" s="194" t="str">
        <x:v>CTA LMFT WB6; Pearson VUE LMFT Outline Area 3</x:v>
      </x:c>
    </x:row>
    <x:row r="483">
      <x:c r="A483" s="191" t="str">
        <x:v>CTA-LMFT-MQB-0482</x:v>
      </x:c>
      <x:c r="B483" s="192" t="str">
        <x:v>LMFT-MQB-FB-TX-036</x:v>
      </x:c>
      <x:c r="C483" s="192" t="str">
        <x:v>Comprehensive Simulation</x:v>
      </x:c>
      <x:c r="D483" s="192" t="str">
        <x:v>Form B</x:v>
      </x:c>
      <x:c r="E483" s="192" t="str">
        <x:v>An LMFT realizes that a client now requires specialized eating-disorder care beyond the therapist’s competence. The client fears being abandoned. What should happen next?</x:v>
      </x:c>
      <x:c r="F483" s="192" t="str">
        <x:v>End treatment immediately after giving a phone number.</x:v>
      </x:c>
      <x:c r="G483" s="192" t="str">
        <x:v>Explain the competence concern, arrange qualified specialty care, coordinate a supported transition, and provide appropriate interim continuity.</x:v>
      </x:c>
      <x:c r="H483" s="192" t="str">
        <x:v>Hide the reason for referral.</x:v>
      </x:c>
      <x:c r="I483" s="192" t="str">
        <x:v>Continue beyond competence to preserve the alliance.</x:v>
      </x:c>
      <x:c r="J483" s="192" t="str">
        <x:v>B</x:v>
      </x:c>
      <x:c r="K483" s="192" t="str">
        <x:v>Incorrect. A bare referral may be insufficient for continuity.</x:v>
      </x:c>
      <x:c r="L483" s="192" t="str">
        <x:v>Correct. Competence and continuity require transparent, clinically supported transfer rather than either overreach or abrupt abandonment.</x:v>
      </x:c>
      <x:c r="M483" s="192" t="str">
        <x:v>Incorrect. Honest explanation supports informed participation.</x:v>
      </x:c>
      <x:c r="N483" s="192" t="str">
        <x:v>Incorrect. Alliance does not justify unsafe practice.</x:v>
      </x:c>
      <x:c r="O483" s="192" t="str">
        <x:v>A. Incorrect. A bare referral may be insufficient for continuity.
B. Correct. Competence and continuity require transparent, clinically supported transfer rather than either overreach or abrupt abandonment.
C. Incorrect. Honest explanation supports informed participation.
D. Incorrect. Alliance does not justify unsafe practice.</x:v>
      </x:c>
      <x:c r="P483" s="192" t="str">
        <x:v>Referral is an intervention when it includes explanation, linkage, coordination, and follow-through.</x:v>
      </x:c>
      <x:c r="Q483" s="194" t="str">
        <x:v>CTA LMFT WB11; CTA LMFT WB12; Pearson VUE LMFT Outline Area 5</x:v>
      </x:c>
    </x:row>
    <x:row r="484">
      <x:c r="A484" s="191" t="str">
        <x:v>CTA-LMFT-MQB-0483</x:v>
      </x:c>
      <x:c r="B484" s="192" t="str">
        <x:v>LMFT-MQB-FB-CE-035</x:v>
      </x:c>
      <x:c r="C484" s="192" t="str">
        <x:v>Comprehensive Simulation</x:v>
      </x:c>
      <x:c r="D484" s="192" t="str">
        <x:v>Form B</x:v>
      </x:c>
      <x:c r="E484" s="192" t="str">
        <x:v>A child’s nightmares and school refusal began while violence between caregivers was escalating. The adults insist the child alone needs behavior therapy. What should the therapist address first?</x:v>
      </x:c>
      <x:c r="F484" s="192" t="str">
        <x:v>Tell the child to attend school regardless of home conditions.</x:v>
      </x:c>
      <x:c r="G484" s="192" t="str">
        <x:v>Assess current violence and child safety, determine reporting or protective obligations, and formulate the child’s symptoms in the family context before routine behavior treatment.</x:v>
      </x:c>
      <x:c r="H484" s="192" t="str">
        <x:v>Assume the child is manipulating the parents.</x:v>
      </x:c>
      <x:c r="I484" s="192" t="str">
        <x:v>Accept the requested focus and avoid asking about violence.</x:v>
      </x:c>
      <x:c r="J484" s="192" t="str">
        <x:v>B</x:v>
      </x:c>
      <x:c r="K484" s="192" t="str">
        <x:v>Incorrect. Behavioral demands without safety assessment may worsen distress.</x:v>
      </x:c>
      <x:c r="L484" s="192" t="str">
        <x:v>Correct. Safety and trauma context take priority and may fundamentally change treatment planning.</x:v>
      </x:c>
      <x:c r="M484" s="192" t="str">
        <x:v>Incorrect. The available facts support a trauma-context assessment, not a motive judgment.</x:v>
      </x:c>
      <x:c r="N484" s="192" t="str">
        <x:v>Incorrect. Ignoring violence could miss immediate danger and required action.</x:v>
      </x:c>
      <x:c r="O484" s="192" t="str">
        <x:v>A. Incorrect. Behavioral demands without safety assessment may worsen distress.
B. Correct. Safety and trauma context take priority and may fundamentally change treatment planning.
C. Incorrect. The available facts support a trauma-context assessment, not a motive judgment.
D. Incorrect. Ignoring violence could miss immediate danger and required action.</x:v>
      </x:c>
      <x:c r="P484" s="192" t="str">
        <x:v>When a symptom follows violence, assess safety and context before treating the symptom as an isolated behavior.</x:v>
      </x:c>
      <x:c r="Q484" s="194" t="str">
        <x:v>CTA LMFT WB4; CTA LMFT WB6; Pearson VUE LMFT Outline Area 1</x:v>
      </x:c>
    </x:row>
    <x:row r="485">
      <x:c r="A485" s="191" t="str">
        <x:v>CTA-LMFT-MQB-0484</x:v>
      </x:c>
      <x:c r="B485" s="192" t="str">
        <x:v>LMFT-MQB-FB-DI-004</x:v>
      </x:c>
      <x:c r="C485" s="192" t="str">
        <x:v>Comprehensive Simulation</x:v>
      </x:c>
      <x:c r="D485" s="192" t="str">
        <x:v>Form B</x:v>
      </x:c>
      <x:c r="E485" s="192" t="str">
        <x:v>A therapist is deciding whether new mood symptoms are primary or related to a medication, substance, or recent stressor. Why is a detailed symptom timeline essential?</x:v>
      </x:c>
      <x:c r="F485" s="192" t="str">
        <x:v>It eliminates the need for collateral information.</x:v>
      </x:c>
      <x:c r="G485" s="192" t="str">
        <x:v>It guarantees a single diagnosis.</x:v>
      </x:c>
      <x:c r="H485" s="192" t="str">
        <x:v>It makes functional impairment irrelevant.</x:v>
      </x:c>
      <x:c r="I485" s="192" t="str">
        <x:v>It helps determine whether symptoms preceded, followed, or changed with substances, medications, medical events, trauma, or life stressors.</x:v>
      </x:c>
      <x:c r="J485" s="192" t="str">
        <x:v>D</x:v>
      </x:c>
      <x:c r="K485" s="192" t="str">
        <x:v>Incorrect. Collateral data can clarify uncertain timing and baseline.</x:v>
      </x:c>
      <x:c r="L485" s="192" t="str">
        <x:v>Incorrect. Multiple explanations may still remain.</x:v>
      </x:c>
      <x:c r="M485" s="192" t="str">
        <x:v>Incorrect. Impairment remains important to diagnosis and planning.</x:v>
      </x:c>
      <x:c r="N485" s="192" t="str">
        <x:v>Correct. Onset and sequence often distinguish primary disorders from induced, medical, trauma-related, or adjustment presentations.</x:v>
      </x:c>
      <x:c r="O485" s="192" t="str">
        <x:v>A. Incorrect. Collateral data can clarify uncertain timing and baseline.
B. Incorrect. Multiple explanations may still remain.
C. Incorrect. Impairment remains important to diagnosis and planning.
D. Correct. Onset and sequence often distinguish primary disorders from induced, medical, trauma-related, or adjustment presentations.</x:v>
      </x:c>
      <x:c r="P485" s="192" t="str">
        <x:v>Build a timeline before choosing between diagnoses that share symptoms.</x:v>
      </x:c>
      <x:c r="Q485" s="194" t="str">
        <x:v>CTA LMFT WB5; Pearson VUE LMFT Outline Area 2</x:v>
      </x:c>
    </x:row>
    <x:row r="486">
      <x:c r="A486" s="191" t="str">
        <x:v>CTA-LMFT-MQB-0485</x:v>
      </x:c>
      <x:c r="B486" s="192" t="str">
        <x:v>LMFT-MQB-FB-TX-031</x:v>
      </x:c>
      <x:c r="C486" s="192" t="str">
        <x:v>Comprehensive Simulation</x:v>
      </x:c>
      <x:c r="D486" s="192" t="str">
        <x:v>Form B</x:v>
      </x:c>
      <x:c r="E486" s="192" t="str">
        <x:v>A child beginning reunification visits becomes fearful when a parent requests an immediate weekend stay. How should the therapist respond?</x:v>
      </x:c>
      <x:c r="F486" s="192" t="str">
        <x:v>Use gradual, developmentally paced contact, assess safety and the child’s responses, and increase intensity only as evidence supports readiness.</x:v>
      </x:c>
      <x:c r="G486" s="192" t="str">
        <x:v>Allow the parent to set the pace alone.</x:v>
      </x:c>
      <x:c r="H486" s="192" t="str">
        <x:v>Require the overnight visit to prove commitment.</x:v>
      </x:c>
      <x:c r="I486" s="192" t="str">
        <x:v>Avoid all future contact because the child is anxious.</x:v>
      </x:c>
      <x:c r="J486" s="192" t="str">
        <x:v>A</x:v>
      </x:c>
      <x:c r="K486" s="192" t="str">
        <x:v>Correct. Reunification should be paced by safety, attachment, developmental needs, and observed response.</x:v>
      </x:c>
      <x:c r="L486" s="192" t="str">
        <x:v>Incorrect. Adult preference is not the only consideration.</x:v>
      </x:c>
      <x:c r="M486" s="192" t="str">
        <x:v>Incorrect. Forced intensity may worsen fear and attachment disruption.</x:v>
      </x:c>
      <x:c r="N486" s="192" t="str">
        <x:v>Incorrect. Anxiety calls for careful pacing rather than permanent avoidance.</x:v>
      </x:c>
      <x:c r="O486" s="192" t="str">
        <x:v>A. Correct. Reunification should be paced by safety, attachment, developmental needs, and observed response.
B. Incorrect. Adult preference is not the only consideration.
C. Incorrect. Forced intensity may worsen fear and attachment disruption.
D. Incorrect. Anxiety calls for careful pacing rather than permanent avoidance.</x:v>
      </x:c>
      <x:c r="P486" s="192" t="str">
        <x:v>Increase relational demand only after the system demonstrates capacity for the current step.</x:v>
      </x:c>
      <x:c r="Q486" s="194" t="str">
        <x:v>CTA LMFT WB8; CTA LMFT WB10; Pearson VUE LMFT Outline Area 5</x:v>
      </x:c>
    </x:row>
    <x:row r="487">
      <x:c r="A487" s="191" t="str">
        <x:v>CTA-LMFT-MQB-0486</x:v>
      </x:c>
      <x:c r="B487" s="192" t="str">
        <x:v>LMFT-MQB-FB-CE-010</x:v>
      </x:c>
      <x:c r="C487" s="192" t="str">
        <x:v>Comprehensive Simulation</x:v>
      </x:c>
      <x:c r="D487" s="192" t="str">
        <x:v>Form B</x:v>
      </x:c>
      <x:c r="E487" s="192" t="str">
        <x:v>Although a family struggles during homework time, members report working together successfully when planning trips. How should the therapist incorporate this exception into the assessment?</x:v>
      </x:c>
      <x:c r="F487" s="192" t="str">
        <x:v>Use the example to pressure the couple to stop arguing.</x:v>
      </x:c>
      <x:c r="G487" s="192" t="str">
        <x:v>Explore the conditions that support their cooperation and consider how those strengths can be transferred to recurring conflict situations.</x:v>
      </x:c>
      <x:c r="H487" s="192" t="str">
        <x:v>Ignore it because strengths do not belong in assessment.</x:v>
      </x:c>
      <x:c r="I487" s="192" t="str">
        <x:v>Conclude that the couple has no clinically significant problems.</x:v>
      </x:c>
      <x:c r="J487" s="192" t="str">
        <x:v>B</x:v>
      </x:c>
      <x:c r="K487" s="192" t="str">
        <x:v>Incorrect. Shaming does not translate a strength into a usable intervention.</x:v>
      </x:c>
      <x:c r="L487" s="192" t="str">
        <x:v>Correct. Exceptions and existing competencies can reveal resources, roles, and interaction patterns that support change.</x:v>
      </x:c>
      <x:c r="M487" s="192" t="str">
        <x:v>Incorrect. Strengths are part of a comprehensive evaluation.</x:v>
      </x:c>
      <x:c r="N487" s="192" t="str">
        <x:v>Incorrect. A strength does not eliminate the presenting problem.</x:v>
      </x:c>
      <x:c r="O487" s="192" t="str">
        <x:v>A. Incorrect. Shaming does not translate a strength into a usable intervention.
B. Correct. Exceptions and existing competencies can reveal resources, roles, and interaction patterns that support change.
C. Incorrect. Strengths are part of a comprehensive evaluation.
D. Incorrect. A strength does not eliminate the presenting problem.</x:v>
      </x:c>
      <x:c r="P487" s="192" t="str">
        <x:v>Look for exceptions, successful sequences, and existing resources—not only deficits.</x:v>
      </x:c>
      <x:c r="Q487" s="194" t="str">
        <x:v>CTA LMFT WB4; Pearson VUE LMFT Outline Area 1</x:v>
      </x:c>
    </x:row>
    <x:row r="488">
      <x:c r="A488" s="191" t="str">
        <x:v>CTA-LMFT-MQB-0487</x:v>
      </x:c>
      <x:c r="B488" s="192" t="str">
        <x:v>LMFT-MQB-FB-CP-008</x:v>
      </x:c>
      <x:c r="C488" s="192" t="str">
        <x:v>Comprehensive Simulation</x:v>
      </x:c>
      <x:c r="D488" s="192" t="str">
        <x:v>Form B</x:v>
      </x:c>
      <x:c r="E488" s="192" t="str">
        <x:v>An insurer authorizes eight sessions, but assessment suggests the client may require longer and more intensive care. What should the LMFT include in the plan?</x:v>
      </x:c>
      <x:c r="F488" s="192" t="str">
        <x:v>End services immediately without transition planning.</x:v>
      </x:c>
      <x:c r="G488" s="192" t="str">
        <x:v>Ignore the authorization and bill without disclosure.</x:v>
      </x:c>
      <x:c r="H488" s="192" t="str">
        <x:v>Promise that all needs will be resolved within the authorized sessions.</x:v>
      </x:c>
      <x:c r="I488" s="192" t="str">
        <x:v>Explain the constraint, prioritize clinically necessary goals, document medical necessity and response, and discuss appropriate alternatives or referrals.</x:v>
      </x:c>
      <x:c r="J488" s="192" t="str">
        <x:v>D</x:v>
      </x:c>
      <x:c r="K488" s="192" t="str">
        <x:v>Incorrect. Abrupt termination may harm the client.</x:v>
      </x:c>
      <x:c r="L488" s="192" t="str">
        <x:v>Incorrect. Billing and treatment must remain accurate and authorized.</x:v>
      </x:c>
      <x:c r="M488" s="192" t="str">
        <x:v>Incorrect. Outcomes cannot be guaranteed.</x:v>
      </x:c>
      <x:c r="N488" s="192" t="str">
        <x:v>Correct. Planning should be transparent about external limits while protecting continuity and clinical appropriateness.</x:v>
      </x:c>
      <x:c r="O488" s="192" t="str">
        <x:v>A. Incorrect. Abrupt termination may harm the client.
B. Incorrect. Billing and treatment must remain accurate and authorized.
C. Incorrect. Outcomes cannot be guaranteed.
D. Correct. Planning should be transparent about external limits while protecting continuity and clinical appropriateness.</x:v>
      </x:c>
      <x:c r="P488" s="192" t="str">
        <x:v>External constraints shape planning but do not erase informed consent, documentation, or continuity duties.</x:v>
      </x:c>
      <x:c r="Q488" s="194" t="str">
        <x:v>CTA LMFT WB7; CTA LMFT WB12; Pearson VUE LMFT Outline Area 4</x:v>
      </x:c>
    </x:row>
    <x:row r="489">
      <x:c r="A489" s="191" t="str">
        <x:v>CTA-LMFT-MQB-0488</x:v>
      </x:c>
      <x:c r="B489" s="192" t="str">
        <x:v>LMFT-MQB-FB-CR-010</x:v>
      </x:c>
      <x:c r="C489" s="192" t="str">
        <x:v>Comprehensive Simulation</x:v>
      </x:c>
      <x:c r="D489" s="192" t="str">
        <x:v>Form B</x:v>
      </x:c>
      <x:c r="E489" s="192" t="str">
        <x:v>After stopping daily alcohol use, a client becomes confused, tremulous, and visually hallucinating during a session. What should the therapist do first?</x:v>
      </x:c>
      <x:c r="F489" s="192" t="str">
        <x:v>Ask the client to resume drinking a small amount.</x:v>
      </x:c>
      <x:c r="G489" s="192" t="str">
        <x:v>Wait for the hallucinations to pass.</x:v>
      </x:c>
      <x:c r="H489" s="192" t="str">
        <x:v>Arrange urgent medical evaluation because severe withdrawal may be life-threatening.</x:v>
      </x:c>
      <x:c r="I489" s="192" t="str">
        <x:v>Use relaxation breathing and continue outpatient therapy.</x:v>
      </x:c>
      <x:c r="J489" s="192" t="str">
        <x:v>C</x:v>
      </x:c>
      <x:c r="K489" s="192" t="str">
        <x:v>Incorrect. The therapist should not prescribe alcohol use.</x:v>
      </x:c>
      <x:c r="L489" s="192" t="str">
        <x:v>Incorrect. Delay can be dangerous.</x:v>
      </x:c>
      <x:c r="M489" s="192" t="str">
        <x:v>Correct. Confusion, autonomic symptoms, and hallucinations after abrupt cessation signal possible severe withdrawal.</x:v>
      </x:c>
      <x:c r="N489" s="192" t="str">
        <x:v>Incorrect. Psychotherapy is not sufficient for a medical emergency.</x:v>
      </x:c>
      <x:c r="O489" s="192" t="str">
        <x:v>A. Incorrect. The therapist should not prescribe alcohol use.
B. Incorrect. Delay can be dangerous.
C. Correct. Confusion, autonomic symptoms, and hallucinations after abrupt cessation signal possible severe withdrawal.
D. Incorrect. Psychotherapy is not sufficient for a medical emergency.</x:v>
      </x:c>
      <x:c r="P489" s="192" t="str">
        <x:v>Substance crises may be medical crises; identify the red flags and escalate care.</x:v>
      </x:c>
      <x:c r="Q489" s="194" t="str">
        <x:v>CTA LMFT WB6; Pearson VUE LMFT Outline Area 3</x:v>
      </x:c>
    </x:row>
    <x:row r="490">
      <x:c r="A490" s="191" t="str">
        <x:v>CTA-LMFT-MQB-0489</x:v>
      </x:c>
      <x:c r="B490" s="192" t="str">
        <x:v>LMFT-MQB-FB-TX-034</x:v>
      </x:c>
      <x:c r="C490" s="192" t="str">
        <x:v>Comprehensive Simulation</x:v>
      </x:c>
      <x:c r="D490" s="192" t="str">
        <x:v>Form B</x:v>
      </x:c>
      <x:c r="E490" s="192" t="str">
        <x:v>A group participant arrives impaired, makes threats, and moves toward another member. What should the facilitator do first?</x:v>
      </x:c>
      <x:c r="F490" s="192" t="str">
        <x:v>Stop the unsafe interaction, assess immediate risk and intoxication, and arrange an appropriate level of care before deciding about continued group participation.</x:v>
      </x:c>
      <x:c r="G490" s="192" t="str">
        <x:v>Ask the group to manage the member.</x:v>
      </x:c>
      <x:c r="H490" s="192" t="str">
        <x:v>Wait until the next session to address it.</x:v>
      </x:c>
      <x:c r="I490" s="192" t="str">
        <x:v>Process the threat as ordinary group conflict.</x:v>
      </x:c>
      <x:c r="J490" s="192" t="str">
        <x:v>A</x:v>
      </x:c>
      <x:c r="K490" s="192" t="str">
        <x:v>Correct. Safety and current impairment take priority over group-process exploration.</x:v>
      </x:c>
      <x:c r="L490" s="192" t="str">
        <x:v>Incorrect. Other members should not bear responsibility for crisis management.</x:v>
      </x:c>
      <x:c r="M490" s="192" t="str">
        <x:v>Incorrect. Delay exposes the group to further risk.</x:v>
      </x:c>
      <x:c r="N490" s="192" t="str">
        <x:v>Incorrect. An intoxicated threat is not routine process material.</x:v>
      </x:c>
      <x:c r="O490" s="192" t="str">
        <x:v>A. Correct. Safety and current impairment take priority over group-process exploration.
B. Incorrect. Other members should not bear responsibility for crisis management.
C. Incorrect. Delay exposes the group to further risk.
D. Incorrect. An intoxicated threat is not routine process material.</x:v>
      </x:c>
      <x:c r="P490" s="192" t="str">
        <x:v>Group treatment does not lower the standard for crisis triage.</x:v>
      </x:c>
      <x:c r="Q490" s="194" t="str">
        <x:v>CTA LMFT WB6; CTA LMFT WB11; Pearson VUE LMFT Outline Area 5</x:v>
      </x:c>
    </x:row>
    <x:row r="491">
      <x:c r="A491" s="191" t="str">
        <x:v>CTA-LMFT-MQB-0490</x:v>
      </x:c>
      <x:c r="B491" s="192" t="str">
        <x:v>LMFT-MQB-FB-DI-002</x:v>
      </x:c>
      <x:c r="C491" s="192" t="str">
        <x:v>Comprehensive Simulation</x:v>
      </x:c>
      <x:c r="D491" s="192" t="str">
        <x:v>Form B</x:v>
      </x:c>
      <x:c r="E491" s="192" t="str">
        <x:v>A client’s concentration problems could reflect depression, trauma, substance effects, or a medical condition. What is the central purpose of comparing these possibilities systematically?</x:v>
      </x:c>
      <x:c r="F491" s="192" t="str">
        <x:v>To replace clinical assessment with a checklist.</x:v>
      </x:c>
      <x:c r="G491" s="192" t="str">
        <x:v>To compare plausible explanations and determine which best accounts for the symptoms, chronology, impairment, and rule-outs.</x:v>
      </x:c>
      <x:c r="H491" s="192" t="str">
        <x:v>To list every diagnosis the client has ever heard of.</x:v>
      </x:c>
      <x:c r="I491" s="192" t="str">
        <x:v>To identify the most severe-sounding label.</x:v>
      </x:c>
      <x:c r="J491" s="192" t="str">
        <x:v>B</x:v>
      </x:c>
      <x:c r="K491" s="192" t="str">
        <x:v>Incorrect. Criteria support but do not replace clinical judgment and context.</x:v>
      </x:c>
      <x:c r="L491" s="192" t="str">
        <x:v>Correct. Differential reasoning evaluates competing hypotheses rather than jumping to the first familiar label.</x:v>
      </x:c>
      <x:c r="M491" s="192" t="str">
        <x:v>Incorrect. An indiscriminate list does not clarify the best explanation.</x:v>
      </x:c>
      <x:c r="N491" s="192" t="str">
        <x:v>Incorrect. Severity of a label is not the criterion.</x:v>
      </x:c>
      <x:c r="O491" s="192" t="str">
        <x:v>A. Incorrect. Criteria support but do not replace clinical judgment and context.
B. Correct. Differential reasoning evaluates competing hypotheses rather than jumping to the first familiar label.
C. Incorrect. An indiscriminate list does not clarify the best explanation.
D. Incorrect. Severity of a label is not the criterion.</x:v>
      </x:c>
      <x:c r="P491" s="192" t="str">
        <x:v>Ask what else could explain the presentation and what evidence would distinguish the possibilities.</x:v>
      </x:c>
      <x:c r="Q491" s="194" t="str">
        <x:v>CTA LMFT WB5; Pearson VUE LMFT Outline Area 2</x:v>
      </x:c>
    </x:row>
    <x:row r="492">
      <x:c r="A492" s="191" t="str">
        <x:v>CTA-LMFT-MQB-0491</x:v>
      </x:c>
      <x:c r="B492" s="192" t="str">
        <x:v>LMFT-MQB-FB-CE-005</x:v>
      </x:c>
      <x:c r="C492" s="192" t="str">
        <x:v>Comprehensive Simulation</x:v>
      </x:c>
      <x:c r="D492" s="192" t="str">
        <x:v>Form B</x:v>
      </x:c>
      <x:c r="E492" s="192" t="str">
        <x:v>With appropriate authorization, an LMFT speaks with a client’s physician and school counselor during an evaluation. What is the best use of the information obtained from these sources?</x:v>
      </x:c>
      <x:c r="F492" s="192" t="str">
        <x:v>To allow relatives to direct treatment.</x:v>
      </x:c>
      <x:c r="G492" s="192" t="str">
        <x:v>To replace the client’s account whenever another person disagrees.</x:v>
      </x:c>
      <x:c r="H492" s="192" t="str">
        <x:v>To clarify or supplement clinically relevant information while preserving role, consent, and confidentiality boundaries.</x:v>
      </x:c>
      <x:c r="I492" s="192" t="str">
        <x:v>To obtain unrestricted information from any available source.</x:v>
      </x:c>
      <x:c r="J492" s="192" t="str">
        <x:v>C</x:v>
      </x:c>
      <x:c r="K492" s="192" t="str">
        <x:v>Incorrect. Relatives do not acquire treatment authority merely by providing information.</x:v>
      </x:c>
      <x:c r="L492" s="192" t="str">
        <x:v>Incorrect. Disagreement calls for assessment, not automatic replacement of one account.</x:v>
      </x:c>
      <x:c r="M492" s="192" t="str">
        <x:v>Correct. Collateral data can improve context and accuracy but must be integrated rather than automatically privileged over the client’s report.</x:v>
      </x:c>
      <x:c r="N492" s="192" t="str">
        <x:v>Incorrect. Information gathering remains limited by authorization, law, relevance, and professional role.</x:v>
      </x:c>
      <x:c r="O492" s="192" t="str">
        <x:v>A. Incorrect. Relatives do not acquire treatment authority merely by providing information.
B. Incorrect. Disagreement calls for assessment, not automatic replacement of one account.
C. Correct. Collateral data can improve context and accuracy but must be integrated rather than automatically privileged over the client’s report.
D. Incorrect. Information gathering remains limited by authorization, law, relevance, and professional role.</x:v>
      </x:c>
      <x:c r="P492" s="192" t="str">
        <x:v>Treat collateral data as one source of evidence, not as an automatic verdict.</x:v>
      </x:c>
      <x:c r="Q492" s="194" t="str">
        <x:v>CTA LMFT WB2; Pearson VUE LMFT Outline Area 1</x:v>
      </x:c>
    </x:row>
    <x:row r="493">
      <x:c r="A493" s="191" t="str">
        <x:v>CTA-LMFT-MQB-0492</x:v>
      </x:c>
      <x:c r="B493" s="192" t="str">
        <x:v>LMFT-MQB-FB-CE-009</x:v>
      </x:c>
      <x:c r="C493" s="192" t="str">
        <x:v>Comprehensive Simulation</x:v>
      </x:c>
      <x:c r="D493" s="192" t="str">
        <x:v>Form B</x:v>
      </x:c>
      <x:c r="E493" s="192" t="str">
        <x:v>Soon after a prescriber changes a medication, a client develops severe agitation, reduced sleep, and difficulty concentrating. Before attributing the symptoms to anxiety, what should the LMFT do?</x:v>
      </x:c>
      <x:c r="F493" s="192" t="str">
        <x:v>Ignore the change until the next treatment-plan review.</x:v>
      </x:c>
      <x:c r="G493" s="192" t="str">
        <x:v>Assume the symptoms are psychological because the client is in therapy.</x:v>
      </x:c>
      <x:c r="H493" s="192" t="str">
        <x:v>Clarify the timing, severity, prescriber instructions, and safety impact, and coordinate appropriate medical follow-up within the therapist’s role.</x:v>
      </x:c>
      <x:c r="I493" s="192" t="str">
        <x:v>Tell the client to stop the medication immediately.</x:v>
      </x:c>
      <x:c r="J493" s="192" t="str">
        <x:v>C</x:v>
      </x:c>
      <x:c r="K493" s="192" t="str">
        <x:v>Incorrect. Delay may miss a clinically significant adverse effect.</x:v>
      </x:c>
      <x:c r="L493" s="192" t="str">
        <x:v>Incorrect. A medical or medication factor should not be dismissed.</x:v>
      </x:c>
      <x:c r="M493" s="192" t="str">
        <x:v>Correct. The temporal relationship and possible side effects require assessment and medical coordination without practicing outside scope.</x:v>
      </x:c>
      <x:c r="N493" s="192" t="str">
        <x:v>Incorrect. Medication changes should be directed by an authorized prescriber unless an emergency requires immediate medical action.</x:v>
      </x:c>
      <x:c r="O493" s="192" t="str">
        <x:v>A. Incorrect. Delay may miss a clinically significant adverse effect.
B. Incorrect. A medical or medication factor should not be dismissed.
C. Correct. The temporal relationship and possible side effects require assessment and medical coordination without practicing outside scope.
D. Incorrect. Medication changes should be directed by an authorized prescriber unless an emergency requires immediate medical action.</x:v>
      </x:c>
      <x:c r="P493" s="192" t="str">
        <x:v>When symptoms follow a medication change, assess chronology and urgency before attributing them to the primary clinical problem.</x:v>
      </x:c>
      <x:c r="Q493" s="194" t="str">
        <x:v>CTA LMFT WB2; Pearson VUE LMFT Outline Area 1</x:v>
      </x:c>
    </x:row>
    <x:row r="494">
      <x:c r="A494" s="191" t="str">
        <x:v>CTA-LMFT-MQB-0493</x:v>
      </x:c>
      <x:c r="B494" s="192" t="str">
        <x:v>LMFT-MQB-FB-CP-016</x:v>
      </x:c>
      <x:c r="C494" s="192" t="str">
        <x:v>Comprehensive Simulation</x:v>
      </x:c>
      <x:c r="D494" s="192" t="str">
        <x:v>Form B</x:v>
      </x:c>
      <x:c r="E494" s="192" t="str">
        <x:v>A school, pediatrician, and two separated caregivers send incompatible requests for a child’s treatment. What should the LMFT clarify first?</x:v>
      </x:c>
      <x:c r="F494" s="192" t="str">
        <x:v>Clarify authority, roles, releases, and the child’s clinical needs, then establish a coordinated hierarchy of goals with the appropriate decision-makers.</x:v>
      </x:c>
      <x:c r="G494" s="192" t="str">
        <x:v>Follow whichever parent contacts the therapist most often.</x:v>
      </x:c>
      <x:c r="H494" s="192" t="str">
        <x:v>Combine every request into one large goal list.</x:v>
      </x:c>
      <x:c r="I494" s="192" t="str">
        <x:v>Follow the school because it sees the child daily.</x:v>
      </x:c>
      <x:c r="J494" s="192" t="str">
        <x:v>A</x:v>
      </x:c>
      <x:c r="K494" s="192" t="str">
        <x:v>Correct. Planning must distinguish legal and clinical authority, relevance, and priority before combining third-party requests.</x:v>
      </x:c>
      <x:c r="L494" s="192" t="str">
        <x:v>Incorrect. Persistence does not determine the treatment plan.</x:v>
      </x:c>
      <x:c r="M494" s="192" t="str">
        <x:v>Incorrect. An unprioritized list may be contradictory and unmanageable.</x:v>
      </x:c>
      <x:c r="N494" s="192" t="str">
        <x:v>Incorrect. Frequency of contact does not establish authority.</x:v>
      </x:c>
      <x:c r="O494" s="192" t="str">
        <x:v>A. Correct. Planning must distinguish legal and clinical authority, relevance, and priority before combining third-party requests.
B. Incorrect. Persistence does not determine the treatment plan.
C. Incorrect. An unprioritized list may be contradictory and unmanageable.
D. Incorrect. Frequency of contact does not establish authority.</x:v>
      </x:c>
      <x:c r="P494" s="192" t="str">
        <x:v>When multiple systems compete, clarify who can decide, who can inform, and what the assessment supports.</x:v>
      </x:c>
      <x:c r="Q494" s="194" t="str">
        <x:v>CTA LMFT WB7; CTA LMFT WB12; Pearson VUE LMFT Outline Area 4</x:v>
      </x:c>
    </x:row>
    <x:row r="495">
      <x:c r="A495" s="191" t="str">
        <x:v>CTA-LMFT-MQB-0494</x:v>
      </x:c>
      <x:c r="B495" s="192" t="str">
        <x:v>LMFT-MQB-FB-CP-011</x:v>
      </x:c>
      <x:c r="C495" s="192" t="str">
        <x:v>Comprehensive Simulation</x:v>
      </x:c>
      <x:c r="D495" s="192" t="str">
        <x:v>Form B</x:v>
      </x:c>
      <x:c r="E495" s="192" t="str">
        <x:v>After several weeks of an agreed intervention, measurable goals remain unchanged and the couple says sessions feel repetitive. What should the therapist do next?</x:v>
      </x:c>
      <x:c r="F495" s="192" t="str">
        <x:v>Label the couple resistant.</x:v>
      </x:c>
      <x:c r="G495" s="192" t="str">
        <x:v>Review goals and outcome data, reassess the maintaining pattern and treatment fit, and revise the plan collaboratively.</x:v>
      </x:c>
      <x:c r="H495" s="192" t="str">
        <x:v>Add several unrelated techniques without changing the formulation.</x:v>
      </x:c>
      <x:c r="I495" s="192" t="str">
        <x:v>Repeat the same intervention indefinitely.</x:v>
      </x:c>
      <x:c r="J495" s="192" t="str">
        <x:v>B</x:v>
      </x:c>
      <x:c r="K495" s="192" t="str">
        <x:v>Incorrect. A resistance label may obscure poor fit or missing factors.</x:v>
      </x:c>
      <x:c r="L495" s="192" t="str">
        <x:v>Correct. Lack of predicted change should trigger reassessment and a coherent revision.</x:v>
      </x:c>
      <x:c r="M495" s="192" t="str">
        <x:v>Incorrect. Technique shopping makes the hypothesis less testable.</x:v>
      </x:c>
      <x:c r="N495" s="192" t="str">
        <x:v>Incorrect. Persistence without evaluation can prolong ineffective care.</x:v>
      </x:c>
      <x:c r="O495" s="192" t="str">
        <x:v>A. Incorrect. A resistance label may obscure poor fit or missing factors.
B. Correct. Lack of predicted change should trigger reassessment and a coherent revision.
C. Incorrect. Technique shopping makes the hypothesis less testable.
D. Incorrect. Persistence without evaluation can prolong ineffective care.</x:v>
      </x:c>
      <x:c r="P495" s="192" t="str">
        <x:v>When the expected mechanism does not change, revisit the hypothesis before intensifying treatment.</x:v>
      </x:c>
      <x:c r="Q495" s="194" t="str">
        <x:v>CTA LMFT WB7; Pearson VUE LMFT Outline Area 4</x:v>
      </x:c>
    </x:row>
    <x:row r="496">
      <x:c r="A496" s="191" t="str">
        <x:v>CTA-LMFT-MQB-0495</x:v>
      </x:c>
      <x:c r="B496" s="192" t="str">
        <x:v>LMFT-MQB-FB-LE-012</x:v>
      </x:c>
      <x:c r="C496" s="192" t="str">
        <x:v>Comprehensive Simulation</x:v>
      </x:c>
      <x:c r="D496" s="192" t="str">
        <x:v>Form B</x:v>
      </x:c>
      <x:c r="E496" s="192" t="str">
        <x:v>A utilization reviewer suggests documenting symptoms the client does not have so more sessions will be approved. What should the therapist do?</x:v>
      </x:c>
      <x:c r="F496" s="192" t="str">
        <x:v>Exaggerate because more treatment may help.</x:v>
      </x:c>
      <x:c r="G496" s="192" t="str">
        <x:v>Tell the client to change symptoms in the next session.</x:v>
      </x:c>
      <x:c r="H496" s="192" t="str">
        <x:v>Provide accurate, clinically necessary information, decline misrepresentation, and discuss legitimate appeal or alternative-care options.</x:v>
      </x:c>
      <x:c r="I496" s="192" t="str">
        <x:v>Refuse all communication with the payer.</x:v>
      </x:c>
      <x:c r="J496" s="192" t="str">
        <x:v>C</x:v>
      </x:c>
      <x:c r="K496" s="192" t="str">
        <x:v>Incorrect. Beneficent intent does not justify fraud or inaccurate records.</x:v>
      </x:c>
      <x:c r="L496" s="192" t="str">
        <x:v>Incorrect. Clinical presentation should not be manipulated.</x:v>
      </x:c>
      <x:c r="M496" s="192" t="str">
        <x:v>Correct. Documentation and billing must remain truthful while the therapist advocates through appropriate channels.</x:v>
      </x:c>
      <x:c r="N496" s="192" t="str">
        <x:v>Incorrect. Authorized, relevant communication may be necessary.</x:v>
      </x:c>
      <x:c r="O496" s="192" t="str">
        <x:v>A. Incorrect. Beneficent intent does not justify fraud or inaccurate records.
B. Incorrect. Clinical presentation should not be manipulated.
C. Correct. Documentation and billing must remain truthful while the therapist advocates through appropriate channels.
D. Incorrect. Authorized, relevant communication may be necessary.</x:v>
      </x:c>
      <x:c r="P496" s="192" t="str">
        <x:v>Advocacy does not permit distortion; use accurate documentation and legitimate review processes.</x:v>
      </x:c>
      <x:c r="Q496" s="194" t="str">
        <x:v>CTA LMFT WB12; Pearson VUE LMFT Outline Area 6</x:v>
      </x:c>
    </x:row>
    <x:row r="497">
      <x:c r="A497" s="191" t="str">
        <x:v>CTA-LMFT-MQB-0496</x:v>
      </x:c>
      <x:c r="B497" s="192" t="str">
        <x:v>LMFT-MQB-FB-TX-027</x:v>
      </x:c>
      <x:c r="C497" s="192" t="str">
        <x:v>Comprehensive Simulation</x:v>
      </x:c>
      <x:c r="D497" s="192" t="str">
        <x:v>Form B</x:v>
      </x:c>
      <x:c r="E497" s="192" t="str">
        <x:v>A mandated client says treatment is pointless and participation is only to satisfy the court. What should the therapist do next?</x:v>
      </x:c>
      <x:c r="F497" s="192" t="str">
        <x:v>Threaten additional consequences.</x:v>
      </x:c>
      <x:c r="G497" s="192" t="str">
        <x:v>Clarify the mandate and available choices, explore the client’s own concerns, and look for personally meaningful discrepancies without arguing.</x:v>
      </x:c>
      <x:c r="H497" s="192" t="str">
        <x:v>Pretend attendance is fully voluntary.</x:v>
      </x:c>
      <x:c r="I497" s="192" t="str">
        <x:v>End the session because motivation is absent.</x:v>
      </x:c>
      <x:c r="J497" s="192" t="str">
        <x:v>B</x:v>
      </x:c>
      <x:c r="K497" s="192" t="str">
        <x:v>Incorrect. Threats increase coercion and resistance.</x:v>
      </x:c>
      <x:c r="L497" s="192" t="str">
        <x:v>Correct. MI can be used in mandated contexts by being transparent and evoking the client’s own goals and choices.</x:v>
      </x:c>
      <x:c r="M497" s="192" t="str">
        <x:v>Incorrect. Ignoring the mandate undermines informed consent.</x:v>
      </x:c>
      <x:c r="N497" s="192" t="str">
        <x:v>Incorrect. Low readiness is a treatment focus, not automatic grounds for ending.</x:v>
      </x:c>
      <x:c r="O497" s="192" t="str">
        <x:v>A. Incorrect. Threats increase coercion and resistance.
B. Correct. MI can be used in mandated contexts by being transparent and evoking the client’s own goals and choices.
C. Incorrect. Ignoring the mandate undermines informed consent.
D. Incorrect. Low readiness is a treatment focus, not automatic grounds for ending.</x:v>
      </x:c>
      <x:c r="P497" s="192" t="str">
        <x:v>Mandate limits choice about attendance, not every choice within treatment.</x:v>
      </x:c>
      <x:c r="Q497" s="194" t="str">
        <x:v>CTA LMFT WB9; CTA LMFT WB12; Pearson VUE LMFT Outline Area 5</x:v>
      </x:c>
    </x:row>
    <x:row r="498">
      <x:c r="A498" s="191" t="str">
        <x:v>CTA-LMFT-MQB-0497</x:v>
      </x:c>
      <x:c r="B498" s="192" t="str">
        <x:v>LMFT-MQB-FB-DI-017</x:v>
      </x:c>
      <x:c r="C498" s="192" t="str">
        <x:v>Comprehensive Simulation</x:v>
      </x:c>
      <x:c r="D498" s="192" t="str">
        <x:v>Form B</x:v>
      </x:c>
      <x:c r="E498" s="192" t="str">
        <x:v>A client is paranoid, using stimulants, sleeping minimally, and no longer eating or maintaining shelter. What should the LMFT prioritize while the exact source of the symptoms remains uncertain?</x:v>
      </x:c>
      <x:c r="F498" s="192" t="str">
        <x:v>Treat insomnia with relaxation exercises only.</x:v>
      </x:c>
      <x:c r="G498" s="192" t="str">
        <x:v>Assume the family history proves a primary psychotic disorder.</x:v>
      </x:c>
      <x:c r="H498" s="192" t="str">
        <x:v>Address immediate safety and level-of-care needs while gathering substance timeline, baseline, and psychosis information; definitive diagnosis can follow stabilization.</x:v>
      </x:c>
      <x:c r="I498" s="192" t="str">
        <x:v>Delay action until the therapist can distinguish substance-induced from primary psychosis.</x:v>
      </x:c>
      <x:c r="J498" s="192" t="str">
        <x:v>C</x:v>
      </x:c>
      <x:c r="K498" s="192" t="str">
        <x:v>Incorrect. A single low-intensity intervention is insufficient for the described severity.</x:v>
      </x:c>
      <x:c r="L498" s="192" t="str">
        <x:v>Incorrect. Family history increases consideration but does not establish diagnosis.</x:v>
      </x:c>
      <x:c r="M498" s="192" t="str">
        <x:v>Correct. Acute functional deterioration requires protective action even when the diagnostic origin remains uncertain.</x:v>
      </x:c>
      <x:c r="N498" s="192" t="str">
        <x:v>Incorrect. Safety does not require complete diagnostic certainty.</x:v>
      </x:c>
      <x:c r="O498" s="192" t="str">
        <x:v>A. Incorrect. A single low-intensity intervention is insufficient for the described severity.
B. Incorrect. Family history increases consideration but does not establish diagnosis.
C. Correct. Acute functional deterioration requires protective action even when the diagnostic origin remains uncertain.
D. Incorrect. Safety does not require complete diagnostic certainty.</x:v>
      </x:c>
      <x:c r="P498" s="192" t="str">
        <x:v>In crisis-level presentations, stabilize first and refine the diagnosis as reliable information becomes available.</x:v>
      </x:c>
      <x:c r="Q498" s="194" t="str">
        <x:v>CTA LMFT WB5; CTA LMFT WB6; Pearson VUE LMFT Outline Area 2</x:v>
      </x:c>
    </x:row>
    <x:row r="499">
      <x:c r="A499" s="191" t="str">
        <x:v>CTA-LMFT-MQB-0498</x:v>
      </x:c>
      <x:c r="B499" s="192" t="str">
        <x:v>LMFT-MQB-FB-CP-007</x:v>
      </x:c>
      <x:c r="C499" s="192" t="str">
        <x:v>Comprehensive Simulation</x:v>
      </x:c>
      <x:c r="D499" s="192" t="str">
        <x:v>Form B</x:v>
      </x:c>
      <x:c r="E499" s="192" t="str">
        <x:v>An LMFT understands a couple’s distress as a recurring attachment protest followed by emotional withdrawal. Which plan is most consistent with that formulation?</x:v>
      </x:c>
      <x:c r="F499" s="192" t="str">
        <x:v>Increase emotional accessibility and responsiveness while helping partners identify and reorganize the cycle.</x:v>
      </x:c>
      <x:c r="G499" s="192" t="str">
        <x:v>Ask the couple to avoid emotional topics permanently.</x:v>
      </x:c>
      <x:c r="H499" s="192" t="str">
        <x:v>Use only behavioral contracts without discussing attachment cues.</x:v>
      </x:c>
      <x:c r="I499" s="192" t="str">
        <x:v>Focus exclusively on childhood diagnosis.</x:v>
      </x:c>
      <x:c r="J499" s="192" t="str">
        <x:v>A</x:v>
      </x:c>
      <x:c r="K499" s="192" t="str">
        <x:v>Correct. The intervention targets the mechanism named in the formulation.</x:v>
      </x:c>
      <x:c r="L499" s="192" t="str">
        <x:v>Incorrect. Avoidance would maintain the pattern.</x:v>
      </x:c>
      <x:c r="M499" s="192" t="str">
        <x:v>Incorrect. Behavioral tools may help but do not directly address the stated cycle when used alone.</x:v>
      </x:c>
      <x:c r="N499" s="192" t="str">
        <x:v>Incorrect. Historical information may inform the case but is not the sole treatment target.</x:v>
      </x:c>
      <x:c r="O499" s="192" t="str">
        <x:v>A. Correct. The intervention targets the mechanism named in the formulation.
B. Incorrect. Avoidance would maintain the pattern.
C. Incorrect. Behavioral tools may help but do not directly address the stated cycle when used alone.
D. Incorrect. Historical information may inform the case but is not the sole treatment target.</x:v>
      </x:c>
      <x:c r="P499" s="192" t="str">
        <x:v>Match the intervention to the maintaining mechanism, not merely to the therapist’s preferred technique.</x:v>
      </x:c>
      <x:c r="Q499" s="194" t="str">
        <x:v>CTA LMFT WB7; CTA LMFT WB8; Pearson VUE LMFT Outline Area 4</x:v>
      </x:c>
    </x:row>
    <x:row r="500">
      <x:c r="A500" s="191" t="str">
        <x:v>CTA-LMFT-MQB-0499</x:v>
      </x:c>
      <x:c r="B500" s="192" t="str">
        <x:v>LMFT-MQB-FB-DI-005</x:v>
      </x:c>
      <x:c r="C500" s="192" t="str">
        <x:v>Comprehensive Simulation</x:v>
      </x:c>
      <x:c r="D500" s="192" t="str">
        <x:v>Form B</x:v>
      </x:c>
      <x:c r="E500" s="192" t="str">
        <x:v>A client becomes anxious after eviction and reports that worry is limited to housing and finances. Which information is most useful in distinguishing an adjustment-related response from a broader anxiety disorder?</x:v>
      </x:c>
      <x:c r="F500" s="192" t="str">
        <x:v>The timing, duration, breadth of worry, impairment, and whether symptoms persist beyond the stressor context.</x:v>
      </x:c>
      <x:c r="G500" s="192" t="str">
        <x:v>The therapist’s favorite treatment approach.</x:v>
      </x:c>
      <x:c r="H500" s="192" t="str">
        <x:v>Whether a family member has ever attended therapy.</x:v>
      </x:c>
      <x:c r="I500" s="192" t="str">
        <x:v>The client’s preferred diagnosis.</x:v>
      </x:c>
      <x:c r="J500" s="192" t="str">
        <x:v>A</x:v>
      </x:c>
      <x:c r="K500" s="192" t="str">
        <x:v>Correct. The relationship between symptoms and the identifiable stressor is central to the differential.</x:v>
      </x:c>
      <x:c r="L500" s="192" t="str">
        <x:v>Incorrect. Treatment preference should follow assessment.</x:v>
      </x:c>
      <x:c r="M500" s="192" t="str">
        <x:v>Incorrect. Family therapy history is not the key distinction.</x:v>
      </x:c>
      <x:c r="N500" s="192" t="str">
        <x:v>Incorrect. Preference can be discussed but does not establish criteria.</x:v>
      </x:c>
      <x:c r="O500" s="192" t="str">
        <x:v>A. Correct. The relationship between symptoms and the identifiable stressor is central to the differential.
B. Incorrect. Treatment preference should follow assessment.
C. Incorrect. Family therapy history is not the key distinction.
D. Incorrect. Preference can be discussed but does not establish criteria.</x:v>
      </x:c>
      <x:c r="P500" s="192" t="str">
        <x:v>Compare onset and symptom pattern with the stressor rather than diagnosing from the presence of anxiety alone.</x:v>
      </x:c>
      <x:c r="Q500" s="194" t="str">
        <x:v>CTA LMFT WB5; Pearson VUE LMFT Outline Area 2</x:v>
      </x:c>
    </x:row>
    <x:row r="501">
      <x:c r="A501" s="191" t="str">
        <x:v>CTA-LMFT-MQB-0500</x:v>
      </x:c>
      <x:c r="B501" s="192" t="str">
        <x:v>LMFT-MQB-FB-CE-011</x:v>
      </x:c>
      <x:c r="C501" s="192" t="str">
        <x:v>Comprehensive Simulation</x:v>
      </x:c>
      <x:c r="D501" s="192" t="str">
        <x:v>Form B</x:v>
      </x:c>
      <x:c r="E501" s="192" t="str">
        <x:v>A client minimizes cannabis use but reports repeated lateness, memory problems, and conflict with a partner about use. Which assessment approach is most appropriate?</x:v>
      </x:c>
      <x:c r="F501" s="192" t="str">
        <x:v>Ask the client’s partner to decide whether the client has a disorder.</x:v>
      </x:c>
      <x:c r="G501" s="192" t="str">
        <x:v>Confront the client with a substance-use diagnosis immediately.</x:v>
      </x:c>
      <x:c r="H501" s="192" t="str">
        <x:v>Accept the label “socially” as sufficient.</x:v>
      </x:c>
      <x:c r="I501" s="192" t="str">
        <x:v>Use nonjudgmental, behaviorally specific questions about amount, frequency, consequences, tolerance, withdrawal, and attempts to cut down.</x:v>
      </x:c>
      <x:c r="J501" s="192" t="str">
        <x:v>D</x:v>
      </x:c>
      <x:c r="K501" s="192" t="str">
        <x:v>Incorrect. Collateral information may help but does not replace clinical evaluation.</x:v>
      </x:c>
      <x:c r="L501" s="192" t="str">
        <x:v>Incorrect. Diagnosis should follow adequate assessment.</x:v>
      </x:c>
      <x:c r="M501" s="192" t="str">
        <x:v>Incorrect. The client’s label may not capture consequences or severity.</x:v>
      </x:c>
      <x:c r="N501" s="192" t="str">
        <x:v>Correct. Behaviorally specific assessment reduces reliance on labels and clarifies pattern, impact, and risk.</x:v>
      </x:c>
      <x:c r="O501" s="192" t="str">
        <x:v>A. Incorrect. Collateral information may help but does not replace clinical evaluation.
B. Incorrect. Diagnosis should follow adequate assessment.
C. Incorrect. The client’s label may not capture consequences or severity.
D. Correct. Behaviorally specific assessment reduces reliance on labels and clarifies pattern, impact, and risk.</x:v>
      </x:c>
      <x:c r="P501" s="192" t="str">
        <x:v>Translate vague labels into observable patterns, consequences, and chronology.</x:v>
      </x:c>
      <x:c r="Q501" s="194" t="str">
        <x:v>CTA LMFT WB2; Pearson VUE LMFT Outline Area 1</x:v>
      </x:c>
    </x:row>
    <x:row r="502">
      <x:c r="A502" s="191" t="str">
        <x:v>CTA-LMFT-MQB-0501</x:v>
      </x:c>
      <x:c r="B502" s="192" t="str">
        <x:v>LMFT-MQB-FB-CE-028</x:v>
      </x:c>
      <x:c r="C502" s="192" t="str">
        <x:v>Comprehensive Simulation</x:v>
      </x:c>
      <x:c r="D502" s="192" t="str">
        <x:v>Form B</x:v>
      </x:c>
      <x:c r="E502" s="192" t="str">
        <x:v>After beginning a new stimulant, a client becomes unusually talkative, starts several businesses, and sleeps very little. What should the therapist assess next?</x:v>
      </x:c>
      <x:c r="F502" s="192" t="str">
        <x:v>Begin couples communication training.</x:v>
      </x:c>
      <x:c r="G502" s="192" t="str">
        <x:v>Assume the medication is the sole cause and advise discontinuation.</x:v>
      </x:c>
      <x:c r="H502" s="192" t="str">
        <x:v>Assess chronology, prior episodes, substance and medication use, impairment, and immediate risk, and coordinate prompt prescriber evaluation.</x:v>
      </x:c>
      <x:c r="I502" s="192" t="str">
        <x:v>Wait until the next month because increased energy can be positive.</x:v>
      </x:c>
      <x:c r="J502" s="192" t="str">
        <x:v>C</x:v>
      </x:c>
      <x:c r="K502" s="192" t="str">
        <x:v>Incorrect. The immediate problem is not primarily communication skill.</x:v>
      </x:c>
      <x:c r="L502" s="192" t="str">
        <x:v>Incorrect. The cause is not established and medication changes are outside the therapist’s role.</x:v>
      </x:c>
      <x:c r="M502" s="192" t="str">
        <x:v>Correct. The presentation requires differential assessment and timely medical coordination because both mood and medication factors are possible.</x:v>
      </x:c>
      <x:c r="N502" s="192" t="str">
        <x:v>Incorrect. Delay may allow escalating impairment or risk.</x:v>
      </x:c>
      <x:c r="O502" s="192" t="str">
        <x:v>A. Incorrect. The immediate problem is not primarily communication skill.
B. Incorrect. The cause is not established and medication changes are outside the therapist’s role.
C. Correct. The presentation requires differential assessment and timely medical coordination because both mood and medication factors are possible.
D. Incorrect. Delay may allow escalating impairment or risk.</x:v>
      </x:c>
      <x:c r="P502" s="192" t="str">
        <x:v>Use chronology and rule-outs; do not choose between mania and a medication effect without adequate assessment.</x:v>
      </x:c>
      <x:c r="Q502" s="194" t="str">
        <x:v>CTA LMFT WB2; CTA LMFT WB5; Pearson VUE LMFT Outline Area 1</x:v>
      </x:c>
    </x:row>
    <x:row r="503">
      <x:c r="A503" s="191" t="str">
        <x:v>CTA-LMFT-MQB-0502</x:v>
      </x:c>
      <x:c r="B503" s="192" t="str">
        <x:v>LMFT-MQB-FB-DI-010</x:v>
      </x:c>
      <x:c r="C503" s="192" t="str">
        <x:v>Comprehensive Simulation</x:v>
      </x:c>
      <x:c r="D503" s="192" t="str">
        <x:v>Form B</x:v>
      </x:c>
      <x:c r="E503" s="192" t="str">
        <x:v>A client with no prior psychiatric history develops irritability, sweating, tremor, and marked weight change. What must the therapist consider before concluding the client has a primary anxiety disorder?</x:v>
      </x:c>
      <x:c r="F503" s="192" t="str">
        <x:v>Begin exposure therapy without further assessment.</x:v>
      </x:c>
      <x:c r="G503" s="192" t="str">
        <x:v>Wait for family therapy to reduce the physical symptoms.</x:v>
      </x:c>
      <x:c r="H503" s="192" t="str">
        <x:v>Assume anxiety because the client feels worried.</x:v>
      </x:c>
      <x:c r="I503" s="192" t="str">
        <x:v>Facilitate medical evaluation and assess whether a physiological condition may better explain the symptoms.</x:v>
      </x:c>
      <x:c r="J503" s="192" t="str">
        <x:v>D</x:v>
      </x:c>
      <x:c r="K503" s="192" t="str">
        <x:v>Incorrect. Treatment selection is premature without rule-out information.</x:v>
      </x:c>
      <x:c r="L503" s="192" t="str">
        <x:v>Incorrect. Family intervention does not replace medical evaluation.</x:v>
      </x:c>
      <x:c r="M503" s="192" t="str">
        <x:v>Incorrect. Worry can result from a medical condition.</x:v>
      </x:c>
      <x:c r="N503" s="192" t="str">
        <x:v>Correct. The cluster and abrupt change raise a plausible medical rule-out that should be addressed promptly.</x:v>
      </x:c>
      <x:c r="O503" s="192" t="str">
        <x:v>A. Incorrect. Treatment selection is premature without rule-out information.
B. Incorrect. Family intervention does not replace medical evaluation.
C. Incorrect. Worry can result from a medical condition.
D. Correct. The cluster and abrupt change raise a plausible medical rule-out that should be addressed promptly.</x:v>
      </x:c>
      <x:c r="P503" s="192" t="str">
        <x:v>New autonomic symptoms plus no prior history should activate medical differential reasoning.</x:v>
      </x:c>
      <x:c r="Q503" s="194" t="str">
        <x:v>CTA LMFT WB5; Pearson VUE LMFT Outline Area 2</x:v>
      </x:c>
    </x:row>
    <x:row r="504">
      <x:c r="A504" s="191" t="str">
        <x:v>CTA-LMFT-MQB-0503</x:v>
      </x:c>
      <x:c r="B504" s="192" t="str">
        <x:v>LMFT-MQB-FB-TX-042</x:v>
      </x:c>
      <x:c r="C504" s="192" t="str">
        <x:v>Comprehensive Simulation</x:v>
      </x:c>
      <x:c r="D504" s="192" t="str">
        <x:v>Form B</x:v>
      </x:c>
      <x:c r="E504" s="192" t="str">
        <x:v>A client with a mood disorder and serious medical illness misses appointments because family members give conflicting instructions. What should the LMFT do?</x:v>
      </x:c>
      <x:c r="F504" s="192" t="str">
        <x:v>Choose which medical advice is correct.</x:v>
      </x:c>
      <x:c r="G504" s="192" t="str">
        <x:v>With authorization, coordinate a clear care plan across providers, clarify family roles, address barriers and beliefs, and support the client’s decision-making and follow-through.</x:v>
      </x:c>
      <x:c r="H504" s="192" t="str">
        <x:v>Focus only on family communication without provider coordination.</x:v>
      </x:c>
      <x:c r="I504" s="192" t="str">
        <x:v>Tell the family to manage all medications.</x:v>
      </x:c>
      <x:c r="J504" s="192" t="str">
        <x:v>B</x:v>
      </x:c>
      <x:c r="K504" s="192" t="str">
        <x:v>Incorrect. Medical decisions belong with qualified providers.</x:v>
      </x:c>
      <x:c r="L504" s="192" t="str">
        <x:v>Correct. The therapist can improve coordination and family process without practicing medicine or removing autonomy.</x:v>
      </x:c>
      <x:c r="M504" s="192" t="str">
        <x:v>Incorrect. Fragmented care is part of the maintaining problem.</x:v>
      </x:c>
      <x:c r="N504" s="192" t="str">
        <x:v>Incorrect. Family support should not replace the client or prescriber.</x:v>
      </x:c>
      <x:c r="O504" s="192" t="str">
        <x:v>A. Incorrect. Medical decisions belong with qualified providers.
B. Correct. The therapist can improve coordination and family process without practicing medicine or removing autonomy.
C. Incorrect. Fragmented care is part of the maintaining problem.
D. Incorrect. Family support should not replace the client or prescriber.</x:v>
      </x:c>
      <x:c r="P504" s="192" t="str">
        <x:v>Interdisciplinary treatment asks who owns each decision and how information and follow-up will flow.</x:v>
      </x:c>
      <x:c r="Q504" s="194" t="str">
        <x:v>CTA LMFT WB9; CTA LMFT WB11; Pearson VUE LMFT Outline Area 5</x:v>
      </x:c>
    </x:row>
    <x:row r="505">
      <x:c r="A505" s="195" t="str">
        <x:v>CTA-LMFT-MQB-0504</x:v>
      </x:c>
      <x:c r="B505" s="196" t="str">
        <x:v>LMFT-MQB-FB-TX-023</x:v>
      </x:c>
      <x:c r="C505" s="196" t="str">
        <x:v>Comprehensive Simulation</x:v>
      </x:c>
      <x:c r="D505" s="196" t="str">
        <x:v>Form B</x:v>
      </x:c>
      <x:c r="E505" s="196" t="str">
        <x:v>A client says the therapist misunderstood an important disclosure and considered ending treatment. What should the LMFT do first?</x:v>
      </x:c>
      <x:c r="F505" s="196" t="str">
        <x:v>Acknowledge the concern, invite the client’s experience, and explore what repair would make treatment useful again.</x:v>
      </x:c>
      <x:c r="G505" s="196" t="str">
        <x:v>Change the subject to avoid reinforcing criticism.</x:v>
      </x:c>
      <x:c r="H505" s="196" t="str">
        <x:v>Explain why the therapist’s intervention was correct.</x:v>
      </x:c>
      <x:c r="I505" s="196" t="str">
        <x:v>Terminate because the alliance is damaged.</x:v>
      </x:c>
      <x:c r="J505" s="196" t="str">
        <x:v>A</x:v>
      </x:c>
      <x:c r="K505" s="196" t="str">
        <x:v>Correct. Direct, nondefensive repair can strengthen collaboration and clarify the treatment relationship.</x:v>
      </x:c>
      <x:c r="L505" s="196" t="str">
        <x:v>Incorrect. Avoidance leaves the problem unresolved.</x:v>
      </x:c>
      <x:c r="M505" s="196" t="str">
        <x:v>Incorrect. Defending first may deepen the rupture.</x:v>
      </x:c>
      <x:c r="N505" s="196" t="str">
        <x:v>Incorrect. A rupture does not automatically require termination.</x:v>
      </x:c>
      <x:c r="O505" s="196" t="str">
        <x:v>A. Correct. Direct, nondefensive repair can strengthen collaboration and clarify the treatment relationship.
B. Incorrect. Avoidance leaves the problem unresolved.
C. Incorrect. Defending first may deepen the rupture.
D. Incorrect. A rupture does not automatically require termination.</x:v>
      </x:c>
      <x:c r="P505" s="196" t="str">
        <x:v>When the client names a rupture, repair precedes persuasion.</x:v>
      </x:c>
      <x:c r="Q505" s="198" t="str">
        <x:v>CTA LMFT WB2; Pearson VUE LMFT Outline Area 5</x:v>
      </x:c>
    </x:row>
  </x:sheetData>
  <x:pageMargins left="0.7" right="0.7" top="0.75" bottom="0.75" header="0.3" footer="0.3"/>
  <x:tableParts count="1">
    <x:tablePart xmlns:r="http://schemas.openxmlformats.org/officeDocument/2006/relationships" r:id="Rd0c72e1ff657415d"/>
  </x:tableParts>
</x:worksheet>
</file>

<file path=xl/worksheets/sheet4.xml><?xml version="1.0" encoding="utf-8"?>
<x:worksheet xmlns:x="http://schemas.openxmlformats.org/spreadsheetml/2006/main">
  <x:sheetFormatPr defaultRowHeight="15"/>
  <x:cols>
    <x:col min="1" max="1" width="44" hidden="0" customWidth="1"/>
    <x:col min="2" max="2" width="12" hidden="0" customWidth="1"/>
    <x:col min="3" max="3" width="12" hidden="0" customWidth="1"/>
    <x:col min="4" max="4" width="12" hidden="0" customWidth="1"/>
    <x:col min="5" max="5" width="12" hidden="0" customWidth="1"/>
    <x:col min="6" max="6" width="14" hidden="0" customWidth="1"/>
    <x:col min="7" max="7" width="3" hidden="0" customWidth="1"/>
    <x:col min="8" max="8" width="30" hidden="0" customWidth="1"/>
    <x:col min="9" max="9" width="12" hidden="0" customWidth="1"/>
    <x:col min="10" max="10" width="12" hidden="0" customWidth="1"/>
  </x:cols>
  <x:sheetData>
    <x:row r="1" ht="34" customHeight="1">
      <x:c r="A1" s="5" t="str">
        <x:v>LMFT Blueprint, Difficulty, Reasoning, and Key Distribution</x:v>
      </x:c>
      <x:c r="B1" s="5"/>
      <x:c r="C1" s="5"/>
      <x:c r="D1" s="5"/>
      <x:c r="E1" s="5"/>
      <x:c r="F1" s="5"/>
      <x:c r="G1" s="5"/>
      <x:c r="H1" s="5"/>
      <x:c r="I1" s="5"/>
      <x:c r="J1" s="5"/>
    </x:row>
    <x:row r="2">
      <x:c r="A2" s="135"/>
      <x:c r="B2" s="135"/>
      <x:c r="C2" s="135"/>
      <x:c r="D2" s="135"/>
      <x:c r="E2" s="135"/>
      <x:c r="F2" s="135"/>
      <x:c r="G2" s="135"/>
      <x:c r="H2" s="135"/>
      <x:c r="I2" s="135"/>
      <x:c r="J2" s="135"/>
    </x:row>
    <x:row r="3">
      <x:c r="A3" s="138" t="str">
        <x:v>Official Area</x:v>
      </x:c>
      <x:c r="B3" s="138" t="str">
        <x:v>Total</x:v>
      </x:c>
      <x:c r="C3" s="138" t="str">
        <x:v>Workbook</x:v>
      </x:c>
      <x:c r="D3" s="138" t="str">
        <x:v>Form A</x:v>
      </x:c>
      <x:c r="E3" s="138" t="str">
        <x:v>Form B</x:v>
      </x:c>
      <x:c r="F3" s="138" t="str">
        <x:v>Scored-Style</x:v>
      </x:c>
      <x:c r="G3" s="138" t="str">
        <x:v>Pretest-Style</x:v>
      </x:c>
      <x:c r="H3" s="138" t="str">
        <x:v>Easy</x:v>
      </x:c>
      <x:c r="I3" s="138" t="str">
        <x:v>Moderate</x:v>
      </x:c>
      <x:c r="J3" s="138" t="str">
        <x:v>Difficult</x:v>
      </x:c>
    </x:row>
    <x:row r="4">
      <x:c r="A4" s="140" t="str">
        <x:v>1. Clinical Evaluation</x:v>
      </x:c>
      <x:c r="B4" s="141" t="n">
        <x:f>COUNTIF('Master Inventory'!$J$2:$J$505,A4)</x:f>
        <x:v>133</x:v>
      </x:c>
      <x:c r="C4" s="141" t="n">
        <x:f>COUNTIFS('Master Inventory'!$J$2:$J$505,A4,'Master Inventory'!$D$2:$D$505,"Workbook Question Bank")</x:f>
        <x:v>51</x:v>
      </x:c>
      <x:c r="D4" s="141" t="n">
        <x:f>COUNTIFS('Master Inventory'!$J$2:$J$505,A4,'Master Inventory'!$G$2:$G$505,"Form A")</x:f>
        <x:v>41</x:v>
      </x:c>
      <x:c r="E4" s="141" t="n">
        <x:f>COUNTIFS('Master Inventory'!$J$2:$J$505,A4,'Master Inventory'!$G$2:$G$505,"Form B")</x:f>
        <x:v>41</x:v>
      </x:c>
      <x:c r="F4" s="141" t="n">
        <x:f>COUNTIFS('Master Inventory'!$J$2:$J$505,A4,'Master Inventory'!$I$2:$I$505,"Scored-Style")</x:f>
        <x:v>68</x:v>
      </x:c>
      <x:c r="G4" s="141" t="n">
        <x:f>COUNTIFS('Master Inventory'!$J$2:$J$505,A4,'Master Inventory'!$I$2:$I$505,"Pretest-Style")</x:f>
        <x:v>14</x:v>
      </x:c>
      <x:c r="H4" s="141" t="n">
        <x:f>COUNTIFS('Master Inventory'!$J$2:$J$505,A4,'Master Inventory'!$N$2:$N$505,"Easy")</x:f>
        <x:v>35</x:v>
      </x:c>
      <x:c r="I4" s="141" t="n">
        <x:f>COUNTIFS('Master Inventory'!$J$2:$J$505,A4,'Master Inventory'!$N$2:$N$505,"Moderate")</x:f>
        <x:v>63</x:v>
      </x:c>
      <x:c r="J4" s="142" t="n">
        <x:f>COUNTIFS('Master Inventory'!$J$2:$J$505,A4,'Master Inventory'!$N$2:$N$505,"Difficult")</x:f>
        <x:v>35</x:v>
      </x:c>
    </x:row>
    <x:row r="5">
      <x:c r="A5" s="143" t="str">
        <x:v>2. Developing a Diagnostic Impression</x:v>
      </x:c>
      <x:c r="B5" s="144" t="n">
        <x:f>COUNTIF('Master Inventory'!$J$2:$J$505,A5)</x:f>
        <x:v>51</x:v>
      </x:c>
      <x:c r="C5" s="144" t="n">
        <x:f>COUNTIFS('Master Inventory'!$J$2:$J$505,A5,'Master Inventory'!$D$2:$D$505,"Workbook Question Bank")</x:f>
        <x:v>17</x:v>
      </x:c>
      <x:c r="D5" s="144" t="n">
        <x:f>COUNTIFS('Master Inventory'!$J$2:$J$505,A5,'Master Inventory'!$G$2:$G$505,"Form A")</x:f>
        <x:v>17</x:v>
      </x:c>
      <x:c r="E5" s="144" t="n">
        <x:f>COUNTIFS('Master Inventory'!$J$2:$J$505,A5,'Master Inventory'!$G$2:$G$505,"Form B")</x:f>
        <x:v>17</x:v>
      </x:c>
      <x:c r="F5" s="144" t="n">
        <x:f>COUNTIFS('Master Inventory'!$J$2:$J$505,A5,'Master Inventory'!$I$2:$I$505,"Scored-Style")</x:f>
        <x:v>28</x:v>
      </x:c>
      <x:c r="G5" s="144" t="n">
        <x:f>COUNTIFS('Master Inventory'!$J$2:$J$505,A5,'Master Inventory'!$I$2:$I$505,"Pretest-Style")</x:f>
        <x:v>6</x:v>
      </x:c>
      <x:c r="H5" s="144" t="n">
        <x:f>COUNTIFS('Master Inventory'!$J$2:$J$505,A5,'Master Inventory'!$N$2:$N$505,"Easy")</x:f>
        <x:v>13</x:v>
      </x:c>
      <x:c r="I5" s="144" t="n">
        <x:f>COUNTIFS('Master Inventory'!$J$2:$J$505,A5,'Master Inventory'!$N$2:$N$505,"Moderate")</x:f>
        <x:v>25</x:v>
      </x:c>
      <x:c r="J5" s="145" t="n">
        <x:f>COUNTIFS('Master Inventory'!$J$2:$J$505,A5,'Master Inventory'!$N$2:$N$505,"Difficult")</x:f>
        <x:v>13</x:v>
      </x:c>
    </x:row>
    <x:row r="6">
      <x:c r="A6" s="143" t="str">
        <x:v>3. Managing Crisis Situations</x:v>
      </x:c>
      <x:c r="B6" s="144" t="n">
        <x:f>COUNTIF('Master Inventory'!$J$2:$J$505,A6)</x:f>
        <x:v>49</x:v>
      </x:c>
      <x:c r="C6" s="144" t="n">
        <x:f>COUNTIFS('Master Inventory'!$J$2:$J$505,A6,'Master Inventory'!$D$2:$D$505,"Workbook Question Bank")</x:f>
        <x:v>17</x:v>
      </x:c>
      <x:c r="D6" s="144" t="n">
        <x:f>COUNTIFS('Master Inventory'!$J$2:$J$505,A6,'Master Inventory'!$G$2:$G$505,"Form A")</x:f>
        <x:v>16</x:v>
      </x:c>
      <x:c r="E6" s="144" t="n">
        <x:f>COUNTIFS('Master Inventory'!$J$2:$J$505,A6,'Master Inventory'!$G$2:$G$505,"Form B")</x:f>
        <x:v>16</x:v>
      </x:c>
      <x:c r="F6" s="144" t="n">
        <x:f>COUNTIFS('Master Inventory'!$J$2:$J$505,A6,'Master Inventory'!$I$2:$I$505,"Scored-Style")</x:f>
        <x:v>28</x:v>
      </x:c>
      <x:c r="G6" s="144" t="n">
        <x:f>COUNTIFS('Master Inventory'!$J$2:$J$505,A6,'Master Inventory'!$I$2:$I$505,"Pretest-Style")</x:f>
        <x:v>4</x:v>
      </x:c>
      <x:c r="H6" s="144" t="n">
        <x:f>COUNTIFS('Master Inventory'!$J$2:$J$505,A6,'Master Inventory'!$N$2:$N$505,"Easy")</x:f>
        <x:v>13</x:v>
      </x:c>
      <x:c r="I6" s="144" t="n">
        <x:f>COUNTIFS('Master Inventory'!$J$2:$J$505,A6,'Master Inventory'!$N$2:$N$505,"Moderate")</x:f>
        <x:v>23</x:v>
      </x:c>
      <x:c r="J6" s="145" t="n">
        <x:f>COUNTIFS('Master Inventory'!$J$2:$J$505,A6,'Master Inventory'!$N$2:$N$505,"Difficult")</x:f>
        <x:v>13</x:v>
      </x:c>
    </x:row>
    <x:row r="7">
      <x:c r="A7" s="143" t="str">
        <x:v>4. Case Conceptualization and Planning</x:v>
      </x:c>
      <x:c r="B7" s="144" t="n">
        <x:f>COUNTIF('Master Inventory'!$J$2:$J$505,A7)</x:f>
        <x:v>53</x:v>
      </x:c>
      <x:c r="C7" s="144" t="n">
        <x:f>COUNTIFS('Master Inventory'!$J$2:$J$505,A7,'Master Inventory'!$D$2:$D$505,"Workbook Question Bank")</x:f>
        <x:v>17</x:v>
      </x:c>
      <x:c r="D7" s="144" t="n">
        <x:f>COUNTIFS('Master Inventory'!$J$2:$J$505,A7,'Master Inventory'!$G$2:$G$505,"Form A")</x:f>
        <x:v>18</x:v>
      </x:c>
      <x:c r="E7" s="144" t="n">
        <x:f>COUNTIFS('Master Inventory'!$J$2:$J$505,A7,'Master Inventory'!$G$2:$G$505,"Form B")</x:f>
        <x:v>18</x:v>
      </x:c>
      <x:c r="F7" s="144" t="n">
        <x:f>COUNTIFS('Master Inventory'!$J$2:$J$505,A7,'Master Inventory'!$I$2:$I$505,"Scored-Style")</x:f>
        <x:v>30</x:v>
      </x:c>
      <x:c r="G7" s="144" t="n">
        <x:f>COUNTIFS('Master Inventory'!$J$2:$J$505,A7,'Master Inventory'!$I$2:$I$505,"Pretest-Style")</x:f>
        <x:v>6</x:v>
      </x:c>
      <x:c r="H7" s="144" t="n">
        <x:f>COUNTIFS('Master Inventory'!$J$2:$J$505,A7,'Master Inventory'!$N$2:$N$505,"Easy")</x:f>
        <x:v>13</x:v>
      </x:c>
      <x:c r="I7" s="144" t="n">
        <x:f>COUNTIFS('Master Inventory'!$J$2:$J$505,A7,'Master Inventory'!$N$2:$N$505,"Moderate")</x:f>
        <x:v>27</x:v>
      </x:c>
      <x:c r="J7" s="145" t="n">
        <x:f>COUNTIFS('Master Inventory'!$J$2:$J$505,A7,'Master Inventory'!$N$2:$N$505,"Difficult")</x:f>
        <x:v>13</x:v>
      </x:c>
    </x:row>
    <x:row r="8">
      <x:c r="A8" s="143" t="str">
        <x:v>5. Treatment</x:v>
      </x:c>
      <x:c r="B8" s="144" t="n">
        <x:f>COUNTIF('Master Inventory'!$J$2:$J$505,A8)</x:f>
        <x:v>154</x:v>
      </x:c>
      <x:c r="C8" s="144" t="n">
        <x:f>COUNTIFS('Master Inventory'!$J$2:$J$505,A8,'Master Inventory'!$D$2:$D$505,"Workbook Question Bank")</x:f>
        <x:v>68</x:v>
      </x:c>
      <x:c r="D8" s="144" t="n">
        <x:f>COUNTIFS('Master Inventory'!$J$2:$J$505,A8,'Master Inventory'!$G$2:$G$505,"Form A")</x:f>
        <x:v>43</x:v>
      </x:c>
      <x:c r="E8" s="144" t="n">
        <x:f>COUNTIFS('Master Inventory'!$J$2:$J$505,A8,'Master Inventory'!$G$2:$G$505,"Form B")</x:f>
        <x:v>43</x:v>
      </x:c>
      <x:c r="F8" s="144" t="n">
        <x:f>COUNTIFS('Master Inventory'!$J$2:$J$505,A8,'Master Inventory'!$I$2:$I$505,"Scored-Style")</x:f>
        <x:v>72</x:v>
      </x:c>
      <x:c r="G8" s="144" t="n">
        <x:f>COUNTIFS('Master Inventory'!$J$2:$J$505,A8,'Master Inventory'!$I$2:$I$505,"Pretest-Style")</x:f>
        <x:v>14</x:v>
      </x:c>
      <x:c r="H8" s="144" t="n">
        <x:f>COUNTIFS('Master Inventory'!$J$2:$J$505,A8,'Master Inventory'!$N$2:$N$505,"Easy")</x:f>
        <x:v>42</x:v>
      </x:c>
      <x:c r="I8" s="144" t="n">
        <x:f>COUNTIFS('Master Inventory'!$J$2:$J$505,A8,'Master Inventory'!$N$2:$N$505,"Moderate")</x:f>
        <x:v>70</x:v>
      </x:c>
      <x:c r="J8" s="145" t="n">
        <x:f>COUNTIFS('Master Inventory'!$J$2:$J$505,A8,'Master Inventory'!$N$2:$N$505,"Difficult")</x:f>
        <x:v>42</x:v>
      </x:c>
    </x:row>
    <x:row r="9">
      <x:c r="A9" s="143" t="str">
        <x:v>6. Managing Legal and Ethical Obligations within the Therapeutic Relationship</x:v>
      </x:c>
      <x:c r="B9" s="144" t="n">
        <x:f>COUNTIF('Master Inventory'!$J$2:$J$505,A9)</x:f>
        <x:v>47</x:v>
      </x:c>
      <x:c r="C9" s="144" t="n">
        <x:f>COUNTIFS('Master Inventory'!$J$2:$J$505,A9,'Master Inventory'!$D$2:$D$505,"Workbook Question Bank")</x:f>
        <x:v>17</x:v>
      </x:c>
      <x:c r="D9" s="144" t="n">
        <x:f>COUNTIFS('Master Inventory'!$J$2:$J$505,A9,'Master Inventory'!$G$2:$G$505,"Form A")</x:f>
        <x:v>15</x:v>
      </x:c>
      <x:c r="E9" s="144" t="n">
        <x:f>COUNTIFS('Master Inventory'!$J$2:$J$505,A9,'Master Inventory'!$G$2:$G$505,"Form B")</x:f>
        <x:v>15</x:v>
      </x:c>
      <x:c r="F9" s="144" t="n">
        <x:f>COUNTIFS('Master Inventory'!$J$2:$J$505,A9,'Master Inventory'!$I$2:$I$505,"Scored-Style")</x:f>
        <x:v>24</x:v>
      </x:c>
      <x:c r="G9" s="144" t="n">
        <x:f>COUNTIFS('Master Inventory'!$J$2:$J$505,A9,'Master Inventory'!$I$2:$I$505,"Pretest-Style")</x:f>
        <x:v>6</x:v>
      </x:c>
      <x:c r="H9" s="144" t="n">
        <x:f>COUNTIFS('Master Inventory'!$J$2:$J$505,A9,'Master Inventory'!$N$2:$N$505,"Easy")</x:f>
        <x:v>13</x:v>
      </x:c>
      <x:c r="I9" s="144" t="n">
        <x:f>COUNTIFS('Master Inventory'!$J$2:$J$505,A9,'Master Inventory'!$N$2:$N$505,"Moderate")</x:f>
        <x:v>21</x:v>
      </x:c>
      <x:c r="J9" s="145" t="n">
        <x:f>COUNTIFS('Master Inventory'!$J$2:$J$505,A9,'Master Inventory'!$N$2:$N$505,"Difficult")</x:f>
        <x:v>13</x:v>
      </x:c>
    </x:row>
    <x:row r="10">
      <x:c r="A10" s="153" t="str">
        <x:v>Exam Strategy / Cross-Domain</x:v>
      </x:c>
      <x:c r="B10" s="154" t="n">
        <x:f>COUNTIF('Master Inventory'!$J$2:$J$505,A10)</x:f>
        <x:v>17</x:v>
      </x:c>
      <x:c r="C10" s="154" t="n">
        <x:f>COUNTIFS('Master Inventory'!$J$2:$J$505,A10,'Master Inventory'!$D$2:$D$505,"Workbook Question Bank")</x:f>
        <x:v>17</x:v>
      </x:c>
      <x:c r="D10" s="154" t="n">
        <x:f>COUNTIFS('Master Inventory'!$J$2:$J$505,A10,'Master Inventory'!$G$2:$G$505,"Form A")</x:f>
        <x:v>0</x:v>
      </x:c>
      <x:c r="E10" s="154" t="n">
        <x:f>COUNTIFS('Master Inventory'!$J$2:$J$505,A10,'Master Inventory'!$G$2:$G$505,"Form B")</x:f>
        <x:v>0</x:v>
      </x:c>
      <x:c r="F10" s="154" t="n">
        <x:f>COUNTIFS('Master Inventory'!$J$2:$J$505,A10,'Master Inventory'!$I$2:$I$505,"Scored-Style")</x:f>
        <x:v>0</x:v>
      </x:c>
      <x:c r="G10" s="154" t="n">
        <x:f>COUNTIFS('Master Inventory'!$J$2:$J$505,A10,'Master Inventory'!$I$2:$I$505,"Pretest-Style")</x:f>
        <x:v>0</x:v>
      </x:c>
      <x:c r="H10" s="154" t="n">
        <x:f>COUNTIFS('Master Inventory'!$J$2:$J$505,A10,'Master Inventory'!$N$2:$N$505,"Easy")</x:f>
        <x:v>5</x:v>
      </x:c>
      <x:c r="I10" s="154" t="n">
        <x:f>COUNTIFS('Master Inventory'!$J$2:$J$505,A10,'Master Inventory'!$N$2:$N$505,"Moderate")</x:f>
        <x:v>7</x:v>
      </x:c>
      <x:c r="J10" s="155" t="n">
        <x:f>COUNTIFS('Master Inventory'!$J$2:$J$505,A10,'Master Inventory'!$N$2:$N$505,"Difficult")</x:f>
        <x:v>5</x:v>
      </x:c>
    </x:row>
    <x:row r="11">
      <x:c r="A11" s="135"/>
      <x:c r="B11" s="135"/>
      <x:c r="C11" s="135"/>
      <x:c r="D11" s="135"/>
      <x:c r="E11" s="135"/>
      <x:c r="F11" s="135"/>
      <x:c r="G11" s="135"/>
      <x:c r="H11" s="135"/>
      <x:c r="I11" s="135"/>
      <x:c r="J11" s="135"/>
    </x:row>
    <x:row r="12">
      <x:c r="A12" s="135"/>
      <x:c r="B12" s="135"/>
      <x:c r="C12" s="135"/>
      <x:c r="D12" s="135"/>
      <x:c r="E12" s="135"/>
      <x:c r="F12" s="135"/>
      <x:c r="G12" s="135"/>
      <x:c r="H12" s="135"/>
      <x:c r="I12" s="135"/>
      <x:c r="J12" s="135"/>
    </x:row>
    <x:row r="13">
      <x:c r="A13" s="138" t="str">
        <x:v>Source / Form</x:v>
      </x:c>
      <x:c r="B13" s="138" t="str">
        <x:v>Total</x:v>
      </x:c>
      <x:c r="C13" s="138" t="str">
        <x:v>Easy</x:v>
      </x:c>
      <x:c r="D13" s="138" t="str">
        <x:v>Moderate</x:v>
      </x:c>
      <x:c r="E13" s="138" t="str">
        <x:v>Difficult</x:v>
      </x:c>
      <x:c r="F13" s="138" t="str">
        <x:v>Review</x:v>
      </x:c>
      <x:c r="G13" s="135"/>
      <x:c r="H13" s="138" t="str">
        <x:v>Reasoning Level</x:v>
      </x:c>
      <x:c r="I13" s="138" t="str">
        <x:v>Count</x:v>
      </x:c>
      <x:c r="J13" s="138" t="str">
        <x:v>Percent</x:v>
      </x:c>
    </x:row>
    <x:row r="14">
      <x:c r="A14" s="146" t="str">
        <x:v>Workbook Question Bank</x:v>
      </x:c>
      <x:c r="B14" s="147" t="n">
        <x:f>COUNTIF('Master Inventory'!$D$2:$D$505,A14)</x:f>
        <x:v>204</x:v>
      </x:c>
      <x:c r="C14" s="147" t="n">
        <x:f>COUNTIFS('Master Inventory'!$D$2:$D$505,A14,'Master Inventory'!$N$2:$N$505,"Easy")</x:f>
        <x:v>60</x:v>
      </x:c>
      <x:c r="D14" s="147" t="n">
        <x:f>COUNTIFS('Master Inventory'!$D$2:$D$505,A14,'Master Inventory'!$N$2:$N$505,"Moderate")</x:f>
        <x:v>84</x:v>
      </x:c>
      <x:c r="E14" s="147" t="n">
        <x:f>COUNTIFS('Master Inventory'!$D$2:$D$505,A14,'Master Inventory'!$N$2:$N$505,"Difficult")</x:f>
        <x:v>60</x:v>
      </x:c>
      <x:c r="F14" s="149" t="str">
        <x:v>Pass</x:v>
      </x:c>
      <x:c r="G14" s="135"/>
      <x:c r="H14" s="146" t="str">
        <x:v>Knowledge &amp; Recall</x:v>
      </x:c>
      <x:c r="I14" s="147" t="n">
        <x:f>COUNTIF('Master Inventory'!$P$2:$P$505,H14)</x:f>
        <x:v>77</x:v>
      </x:c>
      <x:c r="J14" s="211" t="n">
        <x:f>I14/$B$17</x:f>
        <x:v>0.1527777777777778</x:v>
      </x:c>
    </x:row>
    <x:row r="15">
      <x:c r="A15" s="150" t="str">
        <x:v>Form A</x:v>
      </x:c>
      <x:c r="B15" s="135" t="n">
        <x:f>COUNTIF('Master Inventory'!$G$2:$G$505,A15)</x:f>
        <x:v>150</x:v>
      </x:c>
      <x:c r="C15" s="135" t="n">
        <x:f>COUNTIFS('Master Inventory'!$G$2:$G$505,A15,'Master Inventory'!$N$2:$N$505,"Easy")</x:f>
        <x:v>37</x:v>
      </x:c>
      <x:c r="D15" s="135" t="n">
        <x:f>COUNTIFS('Master Inventory'!$G$2:$G$505,A15,'Master Inventory'!$N$2:$N$505,"Moderate")</x:f>
        <x:v>76</x:v>
      </x:c>
      <x:c r="E15" s="135" t="n">
        <x:f>COUNTIFS('Master Inventory'!$G$2:$G$505,A15,'Master Inventory'!$N$2:$N$505,"Difficult")</x:f>
        <x:v>37</x:v>
      </x:c>
      <x:c r="F15" s="152" t="str">
        <x:v>Pass</x:v>
      </x:c>
      <x:c r="G15" s="135"/>
      <x:c r="H15" s="150" t="str">
        <x:v>Application</x:v>
      </x:c>
      <x:c r="I15" s="135" t="n">
        <x:f>COUNTIF('Master Inventory'!$P$2:$P$505,H15)</x:f>
        <x:v>168</x:v>
      </x:c>
      <x:c r="J15" s="212" t="n">
        <x:f>I15/$B$17</x:f>
        <x:v>0.3333333333333333</x:v>
      </x:c>
    </x:row>
    <x:row r="16">
      <x:c r="A16" s="156" t="str">
        <x:v>Form B</x:v>
      </x:c>
      <x:c r="B16" s="157" t="n">
        <x:f>COUNTIF('Master Inventory'!$G$2:$G$505,A16)</x:f>
        <x:v>150</x:v>
      </x:c>
      <x:c r="C16" s="157" t="n">
        <x:f>COUNTIFS('Master Inventory'!$G$2:$G$505,A16,'Master Inventory'!$N$2:$N$505,"Easy")</x:f>
        <x:v>37</x:v>
      </x:c>
      <x:c r="D16" s="157" t="n">
        <x:f>COUNTIFS('Master Inventory'!$G$2:$G$505,A16,'Master Inventory'!$N$2:$N$505,"Moderate")</x:f>
        <x:v>76</x:v>
      </x:c>
      <x:c r="E16" s="157" t="n">
        <x:f>COUNTIFS('Master Inventory'!$G$2:$G$505,A16,'Master Inventory'!$N$2:$N$505,"Difficult")</x:f>
        <x:v>37</x:v>
      </x:c>
      <x:c r="F16" s="159" t="str">
        <x:v>Pass</x:v>
      </x:c>
      <x:c r="G16" s="135"/>
      <x:c r="H16" s="150" t="str">
        <x:v>Scenario-Based</x:v>
      </x:c>
      <x:c r="I16" s="135" t="n">
        <x:f>COUNTIF('Master Inventory'!$P$2:$P$505,H16)</x:f>
        <x:v>166</x:v>
      </x:c>
      <x:c r="J16" s="212" t="n">
        <x:f>I16/$B$17</x:f>
        <x:v>0.32936507936507936</x:v>
      </x:c>
    </x:row>
    <x:row r="17">
      <x:c r="A17" s="135" t="str">
        <x:v>Grand Total</x:v>
      </x:c>
      <x:c r="B17" s="135" t="n">
        <x:f>SUM(B14:B16)</x:f>
        <x:v>504</x:v>
      </x:c>
      <x:c r="C17" s="135"/>
      <x:c r="D17" s="135"/>
      <x:c r="E17" s="135"/>
      <x:c r="F17" s="135"/>
      <x:c r="G17" s="135"/>
      <x:c r="H17" s="156" t="str">
        <x:v>Integrated Clinical Reasoning</x:v>
      </x:c>
      <x:c r="I17" s="157" t="n">
        <x:f>COUNTIF('Master Inventory'!$P$2:$P$505,H17)</x:f>
        <x:v>93</x:v>
      </x:c>
      <x:c r="J17" s="213" t="n">
        <x:f>I17/$B$17</x:f>
        <x:v>0.18452380952380953</x:v>
      </x:c>
    </x:row>
  </x:sheetData>
  <x:mergeCells>
    <x:mergeCell ref="A1:J1"/>
  </x:mergeCell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4" hidden="0" customWidth="1"/>
    <x:col min="3" max="3" width="36" hidden="0" customWidth="1"/>
    <x:col min="4" max="4" width="10" hidden="0" customWidth="1"/>
    <x:col min="5" max="5" width="16" hidden="0" customWidth="1"/>
    <x:col min="6" max="6" width="38" hidden="0" customWidth="1"/>
    <x:col min="7" max="7" width="30" hidden="0" customWidth="1"/>
    <x:col min="8" max="8" width="12" hidden="0" customWidth="1"/>
    <x:col min="9" max="9" width="24" hidden="0" customWidth="1"/>
    <x:col min="10" max="10" width="9" hidden="0" customWidth="1"/>
    <x:col min="11" max="11" width="12" hidden="0" customWidth="1"/>
    <x:col min="12" max="12" width="16" hidden="0" customWidth="1"/>
    <x:col min="13" max="13" width="14" hidden="0" customWidth="1"/>
    <x:col min="14" max="14" width="40" hidden="0" customWidth="1"/>
  </x:cols>
  <x:sheetData>
    <x:row r="1">
      <x:c r="A1" s="138" t="str">
        <x:v>Master Question ID</x:v>
      </x:c>
      <x:c r="B1" s="138" t="str">
        <x:v>Original Question ID</x:v>
      </x:c>
      <x:c r="C1" s="138" t="str">
        <x:v>Product / Bank</x:v>
      </x:c>
      <x:c r="D1" s="138" t="str">
        <x:v>Position</x:v>
      </x:c>
      <x:c r="E1" s="138" t="str">
        <x:v>CTA Status</x:v>
      </x:c>
      <x:c r="F1" s="138" t="str">
        <x:v>Official Area</x:v>
      </x:c>
      <x:c r="G1" s="138" t="str">
        <x:v>Primary Concept</x:v>
      </x:c>
      <x:c r="H1" s="138" t="str">
        <x:v>Difficulty</x:v>
      </x:c>
      <x:c r="I1" s="138" t="str">
        <x:v>Reasoning Level</x:v>
      </x:c>
      <x:c r="J1" s="138" t="str">
        <x:v>Key</x:v>
      </x:c>
      <x:c r="K1" s="138" t="str">
        <x:v>Exposure Count</x:v>
      </x:c>
      <x:c r="L1" s="138" t="str">
        <x:v>Alternate Form Pair ID</x:v>
      </x:c>
      <x:c r="M1" s="138" t="str">
        <x:v>Release Status</x:v>
      </x:c>
      <x:c r="N1" s="138" t="str">
        <x:v>Future Use Rule</x:v>
      </x:c>
    </x:row>
    <x:row r="2">
      <x:c r="A2" s="187" t="str">
        <x:v>CTA-LMFT-MQB-0001</x:v>
      </x:c>
      <x:c r="B2" s="188" t="str">
        <x:v>LMFT-WB01-QB-Q001</x:v>
      </x:c>
      <x:c r="C2" s="188" t="str">
        <x:v>LMFT Workbook 1 Question Bank</x:v>
      </x:c>
      <x:c r="D2" s="188" t="n">
        <x:v>1</x:v>
      </x:c>
      <x:c r="E2" s="188" t="str">
        <x:v>Workbook Bank</x:v>
      </x:c>
      <x:c r="F2" s="188" t="str">
        <x:v>Exam Strategy / Cross-Domain</x:v>
      </x:c>
      <x:c r="G2" s="188" t="str">
        <x:v>Meaning of FIRST</x:v>
      </x:c>
      <x:c r="H2" s="188" t="str">
        <x:v>Easy</x:v>
      </x:c>
      <x:c r="I2" s="188" t="str">
        <x:v>Knowledge &amp; Recall</x:v>
      </x:c>
      <x:c r="J2" s="188" t="str">
        <x:v>B</x:v>
      </x:c>
      <x:c r="K2" s="188" t="n">
        <x:v>1</x:v>
      </x:c>
      <x:c r="L2" s="188" t="str"/>
      <x:c r="M2" s="188" t="str">
        <x:v>Released</x:v>
      </x:c>
      <x:c r="N2" s="190" t="str">
        <x:v>Workbook bank; reserve pool after controlled review</x:v>
      </x:c>
    </x:row>
    <x:row r="3">
      <x:c r="A3" s="191" t="str">
        <x:v>CTA-LMFT-MQB-0002</x:v>
      </x:c>
      <x:c r="B3" s="192" t="str">
        <x:v>LMFT-WB01-QB-Q002</x:v>
      </x:c>
      <x:c r="C3" s="192" t="str">
        <x:v>LMFT Workbook 1 Question Bank</x:v>
      </x:c>
      <x:c r="D3" s="192" t="n">
        <x:v>2</x:v>
      </x:c>
      <x:c r="E3" s="192" t="str">
        <x:v>Workbook Bank</x:v>
      </x:c>
      <x:c r="F3" s="192" t="str">
        <x:v>Exam Strategy / Cross-Domain</x:v>
      </x:c>
      <x:c r="G3" s="192" t="str">
        <x:v>Meaning of BEST</x:v>
      </x:c>
      <x:c r="H3" s="192" t="str">
        <x:v>Easy</x:v>
      </x:c>
      <x:c r="I3" s="192" t="str">
        <x:v>Knowledge &amp; Recall</x:v>
      </x:c>
      <x:c r="J3" s="192" t="str">
        <x:v>A</x:v>
      </x:c>
      <x:c r="K3" s="192" t="n">
        <x:v>1</x:v>
      </x:c>
      <x:c r="L3" s="192" t="str"/>
      <x:c r="M3" s="192" t="str">
        <x:v>Released</x:v>
      </x:c>
      <x:c r="N3" s="194" t="str">
        <x:v>Workbook bank; reserve pool after controlled review</x:v>
      </x:c>
    </x:row>
    <x:row r="4">
      <x:c r="A4" s="191" t="str">
        <x:v>CTA-LMFT-MQB-0003</x:v>
      </x:c>
      <x:c r="B4" s="192" t="str">
        <x:v>LMFT-WB01-QB-Q003</x:v>
      </x:c>
      <x:c r="C4" s="192" t="str">
        <x:v>LMFT Workbook 1 Question Bank</x:v>
      </x:c>
      <x:c r="D4" s="192" t="n">
        <x:v>3</x:v>
      </x:c>
      <x:c r="E4" s="192" t="str">
        <x:v>Workbook Bank</x:v>
      </x:c>
      <x:c r="F4" s="192" t="str">
        <x:v>Exam Strategy / Cross-Domain</x:v>
      </x:c>
      <x:c r="G4" s="192" t="str">
        <x:v>Systemic lens</x:v>
      </x:c>
      <x:c r="H4" s="192" t="str">
        <x:v>Easy</x:v>
      </x:c>
      <x:c r="I4" s="192" t="str">
        <x:v>Knowledge &amp; Recall</x:v>
      </x:c>
      <x:c r="J4" s="192" t="str">
        <x:v>C</x:v>
      </x:c>
      <x:c r="K4" s="192" t="n">
        <x:v>1</x:v>
      </x:c>
      <x:c r="L4" s="192" t="str"/>
      <x:c r="M4" s="192" t="str">
        <x:v>Released</x:v>
      </x:c>
      <x:c r="N4" s="194" t="str">
        <x:v>Workbook bank; reserve pool after controlled review</x:v>
      </x:c>
    </x:row>
    <x:row r="5">
      <x:c r="A5" s="191" t="str">
        <x:v>CTA-LMFT-MQB-0004</x:v>
      </x:c>
      <x:c r="B5" s="192" t="str">
        <x:v>LMFT-WB01-QB-Q004</x:v>
      </x:c>
      <x:c r="C5" s="192" t="str">
        <x:v>LMFT Workbook 1 Question Bank</x:v>
      </x:c>
      <x:c r="D5" s="192" t="n">
        <x:v>4</x:v>
      </x:c>
      <x:c r="E5" s="192" t="str">
        <x:v>Workbook Bank</x:v>
      </x:c>
      <x:c r="F5" s="192" t="str">
        <x:v>Exam Strategy / Cross-Domain</x:v>
      </x:c>
      <x:c r="G5" s="192" t="str">
        <x:v>Task identification</x:v>
      </x:c>
      <x:c r="H5" s="192" t="str">
        <x:v>Easy</x:v>
      </x:c>
      <x:c r="I5" s="192" t="str">
        <x:v>Application</x:v>
      </x:c>
      <x:c r="J5" s="192" t="str">
        <x:v>D</x:v>
      </x:c>
      <x:c r="K5" s="192" t="n">
        <x:v>1</x:v>
      </x:c>
      <x:c r="L5" s="192" t="str"/>
      <x:c r="M5" s="192" t="str">
        <x:v>Released</x:v>
      </x:c>
      <x:c r="N5" s="194" t="str">
        <x:v>Workbook bank; reserve pool after controlled review</x:v>
      </x:c>
    </x:row>
    <x:row r="6">
      <x:c r="A6" s="191" t="str">
        <x:v>CTA-LMFT-MQB-0005</x:v>
      </x:c>
      <x:c r="B6" s="192" t="str">
        <x:v>LMFT-WB01-QB-Q005</x:v>
      </x:c>
      <x:c r="C6" s="192" t="str">
        <x:v>LMFT Workbook 1 Question Bank</x:v>
      </x:c>
      <x:c r="D6" s="192" t="n">
        <x:v>5</x:v>
      </x:c>
      <x:c r="E6" s="192" t="str">
        <x:v>Workbook Bank</x:v>
      </x:c>
      <x:c r="F6" s="192" t="str">
        <x:v>Exam Strategy / Cross-Domain</x:v>
      </x:c>
      <x:c r="G6" s="192" t="str">
        <x:v>Medication-related change</x:v>
      </x:c>
      <x:c r="H6" s="192" t="str">
        <x:v>Easy</x:v>
      </x:c>
      <x:c r="I6" s="192" t="str">
        <x:v>Application</x:v>
      </x:c>
      <x:c r="J6" s="192" t="str">
        <x:v>A</x:v>
      </x:c>
      <x:c r="K6" s="192" t="n">
        <x:v>1</x:v>
      </x:c>
      <x:c r="L6" s="192" t="str"/>
      <x:c r="M6" s="192" t="str">
        <x:v>Released</x:v>
      </x:c>
      <x:c r="N6" s="194" t="str">
        <x:v>Workbook bank; reserve pool after controlled review</x:v>
      </x:c>
    </x:row>
    <x:row r="7">
      <x:c r="A7" s="191" t="str">
        <x:v>CTA-LMFT-MQB-0006</x:v>
      </x:c>
      <x:c r="B7" s="192" t="str">
        <x:v>LMFT-WB01-QB-Q006</x:v>
      </x:c>
      <x:c r="C7" s="192" t="str">
        <x:v>LMFT Workbook 1 Question Bank</x:v>
      </x:c>
      <x:c r="D7" s="192" t="n">
        <x:v>6</x:v>
      </x:c>
      <x:c r="E7" s="192" t="str">
        <x:v>Workbook Bank</x:v>
      </x:c>
      <x:c r="F7" s="192" t="str">
        <x:v>Exam Strategy / Cross-Domain</x:v>
      </x:c>
      <x:c r="G7" s="192" t="str">
        <x:v>Suicide risk assessment</x:v>
      </x:c>
      <x:c r="H7" s="192" t="str">
        <x:v>Moderate</x:v>
      </x:c>
      <x:c r="I7" s="192" t="str">
        <x:v>Application</x:v>
      </x:c>
      <x:c r="J7" s="192" t="str">
        <x:v>B</x:v>
      </x:c>
      <x:c r="K7" s="192" t="n">
        <x:v>1</x:v>
      </x:c>
      <x:c r="L7" s="192" t="str"/>
      <x:c r="M7" s="192" t="str">
        <x:v>Released</x:v>
      </x:c>
      <x:c r="N7" s="194" t="str">
        <x:v>Workbook bank; reserve pool after controlled review</x:v>
      </x:c>
    </x:row>
    <x:row r="8">
      <x:c r="A8" s="191" t="str">
        <x:v>CTA-LMFT-MQB-0007</x:v>
      </x:c>
      <x:c r="B8" s="192" t="str">
        <x:v>LMFT-WB01-QB-Q007</x:v>
      </x:c>
      <x:c r="C8" s="192" t="str">
        <x:v>LMFT Workbook 1 Question Bank</x:v>
      </x:c>
      <x:c r="D8" s="192" t="n">
        <x:v>7</x:v>
      </x:c>
      <x:c r="E8" s="192" t="str">
        <x:v>Workbook Bank</x:v>
      </x:c>
      <x:c r="F8" s="192" t="str">
        <x:v>Exam Strategy / Cross-Domain</x:v>
      </x:c>
      <x:c r="G8" s="192" t="str">
        <x:v>Reciprocal systemic formulation</x:v>
      </x:c>
      <x:c r="H8" s="192" t="str">
        <x:v>Moderate</x:v>
      </x:c>
      <x:c r="I8" s="192" t="str">
        <x:v>Application</x:v>
      </x:c>
      <x:c r="J8" s="192" t="str">
        <x:v>C</x:v>
      </x:c>
      <x:c r="K8" s="192" t="n">
        <x:v>1</x:v>
      </x:c>
      <x:c r="L8" s="192" t="str"/>
      <x:c r="M8" s="192" t="str">
        <x:v>Released</x:v>
      </x:c>
      <x:c r="N8" s="194" t="str">
        <x:v>Workbook bank; reserve pool after controlled review</x:v>
      </x:c>
    </x:row>
    <x:row r="9">
      <x:c r="A9" s="191" t="str">
        <x:v>CTA-LMFT-MQB-0008</x:v>
      </x:c>
      <x:c r="B9" s="192" t="str">
        <x:v>LMFT-WB01-QB-Q008</x:v>
      </x:c>
      <x:c r="C9" s="192" t="str">
        <x:v>LMFT Workbook 1 Question Bank</x:v>
      </x:c>
      <x:c r="D9" s="192" t="n">
        <x:v>8</x:v>
      </x:c>
      <x:c r="E9" s="192" t="str">
        <x:v>Workbook Bank</x:v>
      </x:c>
      <x:c r="F9" s="192" t="str">
        <x:v>Exam Strategy / Cross-Domain</x:v>
      </x:c>
      <x:c r="G9" s="192" t="str">
        <x:v>Information policy in couple therapy</x:v>
      </x:c>
      <x:c r="H9" s="192" t="str">
        <x:v>Moderate</x:v>
      </x:c>
      <x:c r="I9" s="192" t="str">
        <x:v>Application</x:v>
      </x:c>
      <x:c r="J9" s="192" t="str">
        <x:v>D</x:v>
      </x:c>
      <x:c r="K9" s="192" t="n">
        <x:v>1</x:v>
      </x:c>
      <x:c r="L9" s="192" t="str"/>
      <x:c r="M9" s="192" t="str">
        <x:v>Released</x:v>
      </x:c>
      <x:c r="N9" s="194" t="str">
        <x:v>Workbook bank; reserve pool after controlled review</x:v>
      </x:c>
    </x:row>
    <x:row r="10">
      <x:c r="A10" s="191" t="str">
        <x:v>CTA-LMFT-MQB-0009</x:v>
      </x:c>
      <x:c r="B10" s="192" t="str">
        <x:v>LMFT-WB01-QB-Q009</x:v>
      </x:c>
      <x:c r="C10" s="192" t="str">
        <x:v>LMFT Workbook 1 Question Bank</x:v>
      </x:c>
      <x:c r="D10" s="192" t="n">
        <x:v>9</x:v>
      </x:c>
      <x:c r="E10" s="192" t="str">
        <x:v>Workbook Bank</x:v>
      </x:c>
      <x:c r="F10" s="192" t="str">
        <x:v>Exam Strategy / Cross-Domain</x:v>
      </x:c>
      <x:c r="G10" s="192" t="str">
        <x:v>Cultural humility and boundaries</x:v>
      </x:c>
      <x:c r="H10" s="192" t="str">
        <x:v>Moderate</x:v>
      </x:c>
      <x:c r="I10" s="192" t="str">
        <x:v>Application</x:v>
      </x:c>
      <x:c r="J10" s="192" t="str">
        <x:v>A</x:v>
      </x:c>
      <x:c r="K10" s="192" t="n">
        <x:v>1</x:v>
      </x:c>
      <x:c r="L10" s="192" t="str"/>
      <x:c r="M10" s="192" t="str">
        <x:v>Released</x:v>
      </x:c>
      <x:c r="N10" s="194" t="str">
        <x:v>Workbook bank; reserve pool after controlled review</x:v>
      </x:c>
    </x:row>
    <x:row r="11">
      <x:c r="A11" s="191" t="str">
        <x:v>CTA-LMFT-MQB-0010</x:v>
      </x:c>
      <x:c r="B11" s="192" t="str">
        <x:v>LMFT-WB01-QB-Q010</x:v>
      </x:c>
      <x:c r="C11" s="192" t="str">
        <x:v>LMFT Workbook 1 Question Bank</x:v>
      </x:c>
      <x:c r="D11" s="192" t="n">
        <x:v>10</x:v>
      </x:c>
      <x:c r="E11" s="192" t="str">
        <x:v>Workbook Bank</x:v>
      </x:c>
      <x:c r="F11" s="192" t="str">
        <x:v>Exam Strategy / Cross-Domain</x:v>
      </x:c>
      <x:c r="G11" s="192" t="str">
        <x:v>Flagged-item review</x:v>
      </x:c>
      <x:c r="H11" s="192" t="str">
        <x:v>Moderate</x:v>
      </x:c>
      <x:c r="I11" s="192" t="str">
        <x:v>Application</x:v>
      </x:c>
      <x:c r="J11" s="192" t="str">
        <x:v>B</x:v>
      </x:c>
      <x:c r="K11" s="192" t="n">
        <x:v>1</x:v>
      </x:c>
      <x:c r="L11" s="192" t="str"/>
      <x:c r="M11" s="192" t="str">
        <x:v>Released</x:v>
      </x:c>
      <x:c r="N11" s="194" t="str">
        <x:v>Workbook bank; reserve pool after controlled review</x:v>
      </x:c>
    </x:row>
    <x:row r="12">
      <x:c r="A12" s="191" t="str">
        <x:v>CTA-LMFT-MQB-0011</x:v>
      </x:c>
      <x:c r="B12" s="192" t="str">
        <x:v>LMFT-WB01-QB-Q011</x:v>
      </x:c>
      <x:c r="C12" s="192" t="str">
        <x:v>LMFT Workbook 1 Question Bank</x:v>
      </x:c>
      <x:c r="D12" s="192" t="n">
        <x:v>11</x:v>
      </x:c>
      <x:c r="E12" s="192" t="str">
        <x:v>Workbook Bank</x:v>
      </x:c>
      <x:c r="F12" s="192" t="str">
        <x:v>Exam Strategy / Cross-Domain</x:v>
      </x:c>
      <x:c r="G12" s="192" t="str">
        <x:v>Coercive control and conjoint suitability</x:v>
      </x:c>
      <x:c r="H12" s="192" t="str">
        <x:v>Moderate</x:v>
      </x:c>
      <x:c r="I12" s="192" t="str">
        <x:v>Scenario-Based</x:v>
      </x:c>
      <x:c r="J12" s="192" t="str">
        <x:v>C</x:v>
      </x:c>
      <x:c r="K12" s="192" t="n">
        <x:v>1</x:v>
      </x:c>
      <x:c r="L12" s="192" t="str"/>
      <x:c r="M12" s="192" t="str">
        <x:v>Released</x:v>
      </x:c>
      <x:c r="N12" s="194" t="str">
        <x:v>Workbook bank; reserve pool after controlled review</x:v>
      </x:c>
    </x:row>
    <x:row r="13">
      <x:c r="A13" s="191" t="str">
        <x:v>CTA-LMFT-MQB-0012</x:v>
      </x:c>
      <x:c r="B13" s="192" t="str">
        <x:v>LMFT-WB01-QB-Q012</x:v>
      </x:c>
      <x:c r="C13" s="192" t="str">
        <x:v>LMFT Workbook 1 Question Bank</x:v>
      </x:c>
      <x:c r="D13" s="192" t="n">
        <x:v>12</x:v>
      </x:c>
      <x:c r="E13" s="192" t="str">
        <x:v>Workbook Bank</x:v>
      </x:c>
      <x:c r="F13" s="192" t="str">
        <x:v>Exam Strategy / Cross-Domain</x:v>
      </x:c>
      <x:c r="G13" s="192" t="str">
        <x:v>Treatment nonresponse and alliance rupture</x:v>
      </x:c>
      <x:c r="H13" s="192" t="str">
        <x:v>Moderate</x:v>
      </x:c>
      <x:c r="I13" s="192" t="str">
        <x:v>Scenario-Based</x:v>
      </x:c>
      <x:c r="J13" s="192" t="str">
        <x:v>D</x:v>
      </x:c>
      <x:c r="K13" s="192" t="n">
        <x:v>1</x:v>
      </x:c>
      <x:c r="L13" s="192" t="str"/>
      <x:c r="M13" s="192" t="str">
        <x:v>Released</x:v>
      </x:c>
      <x:c r="N13" s="194" t="str">
        <x:v>Workbook bank; reserve pool after controlled review</x:v>
      </x:c>
    </x:row>
    <x:row r="14">
      <x:c r="A14" s="191" t="str">
        <x:v>CTA-LMFT-MQB-0013</x:v>
      </x:c>
      <x:c r="B14" s="192" t="str">
        <x:v>LMFT-WB01-QB-Q013</x:v>
      </x:c>
      <x:c r="C14" s="192" t="str">
        <x:v>LMFT Workbook 1 Question Bank</x:v>
      </x:c>
      <x:c r="D14" s="192" t="n">
        <x:v>13</x:v>
      </x:c>
      <x:c r="E14" s="192" t="str">
        <x:v>Workbook Bank</x:v>
      </x:c>
      <x:c r="F14" s="192" t="str">
        <x:v>Exam Strategy / Cross-Domain</x:v>
      </x:c>
      <x:c r="G14" s="192" t="str">
        <x:v>Imminent suicide response</x:v>
      </x:c>
      <x:c r="H14" s="192" t="str">
        <x:v>Difficult</x:v>
      </x:c>
      <x:c r="I14" s="192" t="str">
        <x:v>Scenario-Based</x:v>
      </x:c>
      <x:c r="J14" s="192" t="str">
        <x:v>A</x:v>
      </x:c>
      <x:c r="K14" s="192" t="n">
        <x:v>1</x:v>
      </x:c>
      <x:c r="L14" s="192" t="str"/>
      <x:c r="M14" s="192" t="str">
        <x:v>Released</x:v>
      </x:c>
      <x:c r="N14" s="194" t="str">
        <x:v>Workbook bank; reserve pool after controlled review</x:v>
      </x:c>
    </x:row>
    <x:row r="15">
      <x:c r="A15" s="191" t="str">
        <x:v>CTA-LMFT-MQB-0014</x:v>
      </x:c>
      <x:c r="B15" s="192" t="str">
        <x:v>LMFT-WB01-QB-Q014</x:v>
      </x:c>
      <x:c r="C15" s="192" t="str">
        <x:v>LMFT Workbook 1 Question Bank</x:v>
      </x:c>
      <x:c r="D15" s="192" t="n">
        <x:v>14</x:v>
      </x:c>
      <x:c r="E15" s="192" t="str">
        <x:v>Workbook Bank</x:v>
      </x:c>
      <x:c r="F15" s="192" t="str">
        <x:v>Exam Strategy / Cross-Domain</x:v>
      </x:c>
      <x:c r="G15" s="192" t="str">
        <x:v>Trauma-informed stabilization</x:v>
      </x:c>
      <x:c r="H15" s="192" t="str">
        <x:v>Difficult</x:v>
      </x:c>
      <x:c r="I15" s="192" t="str">
        <x:v>Scenario-Based</x:v>
      </x:c>
      <x:c r="J15" s="192" t="str">
        <x:v>B</x:v>
      </x:c>
      <x:c r="K15" s="192" t="n">
        <x:v>1</x:v>
      </x:c>
      <x:c r="L15" s="192" t="str"/>
      <x:c r="M15" s="192" t="str">
        <x:v>Released</x:v>
      </x:c>
      <x:c r="N15" s="194" t="str">
        <x:v>Workbook bank; reserve pool after controlled review</x:v>
      </x:c>
    </x:row>
    <x:row r="16">
      <x:c r="A16" s="191" t="str">
        <x:v>CTA-LMFT-MQB-0015</x:v>
      </x:c>
      <x:c r="B16" s="192" t="str">
        <x:v>LMFT-WB01-QB-Q015</x:v>
      </x:c>
      <x:c r="C16" s="192" t="str">
        <x:v>LMFT Workbook 1 Question Bank</x:v>
      </x:c>
      <x:c r="D16" s="192" t="n">
        <x:v>15</x:v>
      </x:c>
      <x:c r="E16" s="192" t="str">
        <x:v>Workbook Bank</x:v>
      </x:c>
      <x:c r="F16" s="192" t="str">
        <x:v>Exam Strategy / Cross-Domain</x:v>
      </x:c>
      <x:c r="G16" s="192" t="str">
        <x:v>Integrated clinical and contextual planning</x:v>
      </x:c>
      <x:c r="H16" s="192" t="str">
        <x:v>Difficult</x:v>
      </x:c>
      <x:c r="I16" s="192" t="str">
        <x:v>Scenario-Based</x:v>
      </x:c>
      <x:c r="J16" s="192" t="str">
        <x:v>C</x:v>
      </x:c>
      <x:c r="K16" s="192" t="n">
        <x:v>1</x:v>
      </x:c>
      <x:c r="L16" s="192" t="str"/>
      <x:c r="M16" s="192" t="str">
        <x:v>Released</x:v>
      </x:c>
      <x:c r="N16" s="194" t="str">
        <x:v>Workbook bank; reserve pool after controlled review</x:v>
      </x:c>
    </x:row>
    <x:row r="17">
      <x:c r="A17" s="191" t="str">
        <x:v>CTA-LMFT-MQB-0016</x:v>
      </x:c>
      <x:c r="B17" s="192" t="str">
        <x:v>LMFT-WB01-QB-Q016</x:v>
      </x:c>
      <x:c r="C17" s="192" t="str">
        <x:v>LMFT Workbook 1 Question Bank</x:v>
      </x:c>
      <x:c r="D17" s="192" t="n">
        <x:v>16</x:v>
      </x:c>
      <x:c r="E17" s="192" t="str">
        <x:v>Workbook Bank</x:v>
      </x:c>
      <x:c r="F17" s="192" t="str">
        <x:v>Exam Strategy / Cross-Domain</x:v>
      </x:c>
      <x:c r="G17" s="192" t="str">
        <x:v>Cultural meaning with psychosis and risk</x:v>
      </x:c>
      <x:c r="H17" s="192" t="str">
        <x:v>Difficult</x:v>
      </x:c>
      <x:c r="I17" s="192" t="str">
        <x:v>Integrated Clinical Reasoning</x:v>
      </x:c>
      <x:c r="J17" s="192" t="str">
        <x:v>D</x:v>
      </x:c>
      <x:c r="K17" s="192" t="n">
        <x:v>1</x:v>
      </x:c>
      <x:c r="L17" s="192" t="str"/>
      <x:c r="M17" s="192" t="str">
        <x:v>Released</x:v>
      </x:c>
      <x:c r="N17" s="194" t="str">
        <x:v>Workbook bank; reserve pool after controlled review</x:v>
      </x:c>
    </x:row>
    <x:row r="18">
      <x:c r="A18" s="191" t="str">
        <x:v>CTA-LMFT-MQB-0017</x:v>
      </x:c>
      <x:c r="B18" s="192" t="str">
        <x:v>LMFT-WB01-QB-Q017</x:v>
      </x:c>
      <x:c r="C18" s="192" t="str">
        <x:v>LMFT Workbook 1 Question Bank</x:v>
      </x:c>
      <x:c r="D18" s="192" t="n">
        <x:v>17</x:v>
      </x:c>
      <x:c r="E18" s="192" t="str">
        <x:v>Workbook Bank</x:v>
      </x:c>
      <x:c r="F18" s="192" t="str">
        <x:v>Exam Strategy / Cross-Domain</x:v>
      </x:c>
      <x:c r="G18" s="192" t="str">
        <x:v>Nonresponse, culture, literacy, and therapist reaction</x:v>
      </x:c>
      <x:c r="H18" s="192" t="str">
        <x:v>Difficult</x:v>
      </x:c>
      <x:c r="I18" s="192" t="str">
        <x:v>Integrated Clinical Reasoning</x:v>
      </x:c>
      <x:c r="J18" s="192" t="str">
        <x:v>A</x:v>
      </x:c>
      <x:c r="K18" s="192" t="n">
        <x:v>1</x:v>
      </x:c>
      <x:c r="L18" s="192" t="str"/>
      <x:c r="M18" s="192" t="str">
        <x:v>Released</x:v>
      </x:c>
      <x:c r="N18" s="194" t="str">
        <x:v>Workbook bank; reserve pool after controlled review</x:v>
      </x:c>
    </x:row>
    <x:row r="19">
      <x:c r="A19" s="191" t="str">
        <x:v>CTA-LMFT-MQB-0018</x:v>
      </x:c>
      <x:c r="B19" s="192" t="str">
        <x:v>LMFT-WB02-QB-Q001</x:v>
      </x:c>
      <x:c r="C19" s="192" t="str">
        <x:v>LMFT Workbook 2 Question Bank</x:v>
      </x:c>
      <x:c r="D19" s="192" t="n">
        <x:v>1</x:v>
      </x:c>
      <x:c r="E19" s="192" t="str">
        <x:v>Workbook Bank</x:v>
      </x:c>
      <x:c r="F19" s="192" t="str">
        <x:v>1. Clinical Evaluation</x:v>
      </x:c>
      <x:c r="G19" s="192" t="str">
        <x:v>Engagement as assessment data</x:v>
      </x:c>
      <x:c r="H19" s="192" t="str">
        <x:v>Easy</x:v>
      </x:c>
      <x:c r="I19" s="192" t="str">
        <x:v>Knowledge &amp; Recall</x:v>
      </x:c>
      <x:c r="J19" s="192" t="str">
        <x:v>B</x:v>
      </x:c>
      <x:c r="K19" s="192" t="n">
        <x:v>1</x:v>
      </x:c>
      <x:c r="L19" s="192" t="str"/>
      <x:c r="M19" s="192" t="str">
        <x:v>Released</x:v>
      </x:c>
      <x:c r="N19" s="194" t="str">
        <x:v>Workbook bank; reserve pool after controlled review</x:v>
      </x:c>
    </x:row>
    <x:row r="20">
      <x:c r="A20" s="191" t="str">
        <x:v>CTA-LMFT-MQB-0019</x:v>
      </x:c>
      <x:c r="B20" s="192" t="str">
        <x:v>LMFT-WB02-QB-Q002</x:v>
      </x:c>
      <x:c r="C20" s="192" t="str">
        <x:v>LMFT Workbook 2 Question Bank</x:v>
      </x:c>
      <x:c r="D20" s="192" t="n">
        <x:v>2</x:v>
      </x:c>
      <x:c r="E20" s="192" t="str">
        <x:v>Workbook Bank</x:v>
      </x:c>
      <x:c r="F20" s="192" t="str">
        <x:v>1. Clinical Evaluation</x:v>
      </x:c>
      <x:c r="G20" s="192" t="str">
        <x:v>Affect</x:v>
      </x:c>
      <x:c r="H20" s="192" t="str">
        <x:v>Easy</x:v>
      </x:c>
      <x:c r="I20" s="192" t="str">
        <x:v>Knowledge &amp; Recall</x:v>
      </x:c>
      <x:c r="J20" s="192" t="str">
        <x:v>A</x:v>
      </x:c>
      <x:c r="K20" s="192" t="n">
        <x:v>1</x:v>
      </x:c>
      <x:c r="L20" s="192" t="str"/>
      <x:c r="M20" s="192" t="str">
        <x:v>Released</x:v>
      </x:c>
      <x:c r="N20" s="194" t="str">
        <x:v>Workbook bank; reserve pool after controlled review</x:v>
      </x:c>
    </x:row>
    <x:row r="21">
      <x:c r="A21" s="191" t="str">
        <x:v>CTA-LMFT-MQB-0020</x:v>
      </x:c>
      <x:c r="B21" s="192" t="str">
        <x:v>LMFT-WB02-QB-Q003</x:v>
      </x:c>
      <x:c r="C21" s="192" t="str">
        <x:v>LMFT Workbook 2 Question Bank</x:v>
      </x:c>
      <x:c r="D21" s="192" t="n">
        <x:v>3</x:v>
      </x:c>
      <x:c r="E21" s="192" t="str">
        <x:v>Workbook Bank</x:v>
      </x:c>
      <x:c r="F21" s="192" t="str">
        <x:v>1. Clinical Evaluation</x:v>
      </x:c>
      <x:c r="G21" s="192" t="str">
        <x:v>Baseline comparison</x:v>
      </x:c>
      <x:c r="H21" s="192" t="str">
        <x:v>Easy</x:v>
      </x:c>
      <x:c r="I21" s="192" t="str">
        <x:v>Knowledge &amp; Recall</x:v>
      </x:c>
      <x:c r="J21" s="192" t="str">
        <x:v>C</x:v>
      </x:c>
      <x:c r="K21" s="192" t="n">
        <x:v>1</x:v>
      </x:c>
      <x:c r="L21" s="192" t="str"/>
      <x:c r="M21" s="192" t="str">
        <x:v>Released</x:v>
      </x:c>
      <x:c r="N21" s="194" t="str">
        <x:v>Workbook bank; reserve pool after controlled review</x:v>
      </x:c>
    </x:row>
    <x:row r="22">
      <x:c r="A22" s="191" t="str">
        <x:v>CTA-LMFT-MQB-0021</x:v>
      </x:c>
      <x:c r="B22" s="192" t="str">
        <x:v>LMFT-WB02-QB-Q004</x:v>
      </x:c>
      <x:c r="C22" s="192" t="str">
        <x:v>LMFT Workbook 2 Question Bank</x:v>
      </x:c>
      <x:c r="D22" s="192" t="n">
        <x:v>4</x:v>
      </x:c>
      <x:c r="E22" s="192" t="str">
        <x:v>Workbook Bank</x:v>
      </x:c>
      <x:c r="F22" s="192" t="str">
        <x:v>1. Clinical Evaluation</x:v>
      </x:c>
      <x:c r="G22" s="192" t="str">
        <x:v>Third-party referral clarification</x:v>
      </x:c>
      <x:c r="H22" s="192" t="str">
        <x:v>Easy</x:v>
      </x:c>
      <x:c r="I22" s="192" t="str">
        <x:v>Application</x:v>
      </x:c>
      <x:c r="J22" s="192" t="str">
        <x:v>D</x:v>
      </x:c>
      <x:c r="K22" s="192" t="n">
        <x:v>1</x:v>
      </x:c>
      <x:c r="L22" s="192" t="str"/>
      <x:c r="M22" s="192" t="str">
        <x:v>Released</x:v>
      </x:c>
      <x:c r="N22" s="194" t="str">
        <x:v>Workbook bank; reserve pool after controlled review</x:v>
      </x:c>
    </x:row>
    <x:row r="23">
      <x:c r="A23" s="191" t="str">
        <x:v>CTA-LMFT-MQB-0022</x:v>
      </x:c>
      <x:c r="B23" s="192" t="str">
        <x:v>LMFT-WB02-QB-Q005</x:v>
      </x:c>
      <x:c r="C23" s="192" t="str">
        <x:v>LMFT Workbook 2 Question Bank</x:v>
      </x:c>
      <x:c r="D23" s="192" t="n">
        <x:v>5</x:v>
      </x:c>
      <x:c r="E23" s="192" t="str">
        <x:v>Workbook Bank</x:v>
      </x:c>
      <x:c r="F23" s="192" t="str">
        <x:v>1. Clinical Evaluation</x:v>
      </x:c>
      <x:c r="G23" s="192" t="str">
        <x:v>Externally pressured participation</x:v>
      </x:c>
      <x:c r="H23" s="192" t="str">
        <x:v>Easy</x:v>
      </x:c>
      <x:c r="I23" s="192" t="str">
        <x:v>Application</x:v>
      </x:c>
      <x:c r="J23" s="192" t="str">
        <x:v>A</x:v>
      </x:c>
      <x:c r="K23" s="192" t="n">
        <x:v>1</x:v>
      </x:c>
      <x:c r="L23" s="192" t="str"/>
      <x:c r="M23" s="192" t="str">
        <x:v>Released</x:v>
      </x:c>
      <x:c r="N23" s="194" t="str">
        <x:v>Workbook bank; reserve pool after controlled review</x:v>
      </x:c>
    </x:row>
    <x:row r="24">
      <x:c r="A24" s="191" t="str">
        <x:v>CTA-LMFT-MQB-0023</x:v>
      </x:c>
      <x:c r="B24" s="192" t="str">
        <x:v>LMFT-WB02-QB-Q006</x:v>
      </x:c>
      <x:c r="C24" s="192" t="str">
        <x:v>LMFT Workbook 2 Question Bank</x:v>
      </x:c>
      <x:c r="D24" s="192" t="n">
        <x:v>6</x:v>
      </x:c>
      <x:c r="E24" s="192" t="str">
        <x:v>Workbook Bank</x:v>
      </x:c>
      <x:c r="F24" s="192" t="str">
        <x:v>1. Clinical Evaluation</x:v>
      </x:c>
      <x:c r="G24" s="192" t="str">
        <x:v>Direct suicide inquiry</x:v>
      </x:c>
      <x:c r="H24" s="192" t="str">
        <x:v>Moderate</x:v>
      </x:c>
      <x:c r="I24" s="192" t="str">
        <x:v>Application</x:v>
      </x:c>
      <x:c r="J24" s="192" t="str">
        <x:v>B</x:v>
      </x:c>
      <x:c r="K24" s="192" t="n">
        <x:v>1</x:v>
      </x:c>
      <x:c r="L24" s="192" t="str"/>
      <x:c r="M24" s="192" t="str">
        <x:v>Released</x:v>
      </x:c>
      <x:c r="N24" s="194" t="str">
        <x:v>Workbook bank; reserve pool after controlled review</x:v>
      </x:c>
    </x:row>
    <x:row r="25">
      <x:c r="A25" s="191" t="str">
        <x:v>CTA-LMFT-MQB-0024</x:v>
      </x:c>
      <x:c r="B25" s="192" t="str">
        <x:v>LMFT-WB02-QB-Q007</x:v>
      </x:c>
      <x:c r="C25" s="192" t="str">
        <x:v>LMFT Workbook 2 Question Bank</x:v>
      </x:c>
      <x:c r="D25" s="192" t="n">
        <x:v>7</x:v>
      </x:c>
      <x:c r="E25" s="192" t="str">
        <x:v>Workbook Bank</x:v>
      </x:c>
      <x:c r="F25" s="192" t="str">
        <x:v>1. Clinical Evaluation</x:v>
      </x:c>
      <x:c r="G25" s="192" t="str">
        <x:v>Acute disorientation</x:v>
      </x:c>
      <x:c r="H25" s="192" t="str">
        <x:v>Moderate</x:v>
      </x:c>
      <x:c r="I25" s="192" t="str">
        <x:v>Application</x:v>
      </x:c>
      <x:c r="J25" s="192" t="str">
        <x:v>C</x:v>
      </x:c>
      <x:c r="K25" s="192" t="n">
        <x:v>1</x:v>
      </x:c>
      <x:c r="L25" s="192" t="str"/>
      <x:c r="M25" s="192" t="str">
        <x:v>Released</x:v>
      </x:c>
      <x:c r="N25" s="194" t="str">
        <x:v>Workbook bank; reserve pool after controlled review</x:v>
      </x:c>
    </x:row>
    <x:row r="26">
      <x:c r="A26" s="191" t="str">
        <x:v>CTA-LMFT-MQB-0025</x:v>
      </x:c>
      <x:c r="B26" s="192" t="str">
        <x:v>LMFT-WB02-QB-Q008</x:v>
      </x:c>
      <x:c r="C26" s="192" t="str">
        <x:v>LMFT Workbook 2 Question Bank</x:v>
      </x:c>
      <x:c r="D26" s="192" t="n">
        <x:v>8</x:v>
      </x:c>
      <x:c r="E26" s="192" t="str">
        <x:v>Workbook Bank</x:v>
      </x:c>
      <x:c r="F26" s="192" t="str">
        <x:v>1. Clinical Evaluation</x:v>
      </x:c>
      <x:c r="G26" s="192" t="str">
        <x:v>Conjoint-treatment safety</x:v>
      </x:c>
      <x:c r="H26" s="192" t="str">
        <x:v>Moderate</x:v>
      </x:c>
      <x:c r="I26" s="192" t="str">
        <x:v>Application</x:v>
      </x:c>
      <x:c r="J26" s="192" t="str">
        <x:v>D</x:v>
      </x:c>
      <x:c r="K26" s="192" t="n">
        <x:v>1</x:v>
      </x:c>
      <x:c r="L26" s="192" t="str"/>
      <x:c r="M26" s="192" t="str">
        <x:v>Released</x:v>
      </x:c>
      <x:c r="N26" s="194" t="str">
        <x:v>Workbook bank; reserve pool after controlled review</x:v>
      </x:c>
    </x:row>
    <x:row r="27">
      <x:c r="A27" s="191" t="str">
        <x:v>CTA-LMFT-MQB-0026</x:v>
      </x:c>
      <x:c r="B27" s="192" t="str">
        <x:v>LMFT-WB02-QB-Q009</x:v>
      </x:c>
      <x:c r="C27" s="192" t="str">
        <x:v>LMFT Workbook 2 Question Bank</x:v>
      </x:c>
      <x:c r="D27" s="192" t="n">
        <x:v>9</x:v>
      </x:c>
      <x:c r="E27" s="192" t="str">
        <x:v>Workbook Bank</x:v>
      </x:c>
      <x:c r="F27" s="192" t="str">
        <x:v>1. Clinical Evaluation</x:v>
      </x:c>
      <x:c r="G27" s="192" t="str">
        <x:v>Alliance rupture repair</x:v>
      </x:c>
      <x:c r="H27" s="192" t="str">
        <x:v>Moderate</x:v>
      </x:c>
      <x:c r="I27" s="192" t="str">
        <x:v>Application</x:v>
      </x:c>
      <x:c r="J27" s="192" t="str">
        <x:v>A</x:v>
      </x:c>
      <x:c r="K27" s="192" t="n">
        <x:v>1</x:v>
      </x:c>
      <x:c r="L27" s="192" t="str"/>
      <x:c r="M27" s="192" t="str">
        <x:v>Released</x:v>
      </x:c>
      <x:c r="N27" s="194" t="str">
        <x:v>Workbook bank; reserve pool after controlled review</x:v>
      </x:c>
    </x:row>
    <x:row r="28">
      <x:c r="A28" s="191" t="str">
        <x:v>CTA-LMFT-MQB-0027</x:v>
      </x:c>
      <x:c r="B28" s="192" t="str">
        <x:v>LMFT-WB02-QB-Q010</x:v>
      </x:c>
      <x:c r="C28" s="192" t="str">
        <x:v>LMFT Workbook 2 Question Bank</x:v>
      </x:c>
      <x:c r="D28" s="192" t="n">
        <x:v>10</x:v>
      </x:c>
      <x:c r="E28" s="192" t="str">
        <x:v>Workbook Bank</x:v>
      </x:c>
      <x:c r="F28" s="192" t="str">
        <x:v>1. Clinical Evaluation</x:v>
      </x:c>
      <x:c r="G28" s="192" t="str">
        <x:v>Possible head-injury emergency</x:v>
      </x:c>
      <x:c r="H28" s="192" t="str">
        <x:v>Moderate</x:v>
      </x:c>
      <x:c r="I28" s="192" t="str">
        <x:v>Scenario-Based</x:v>
      </x:c>
      <x:c r="J28" s="192" t="str">
        <x:v>B</x:v>
      </x:c>
      <x:c r="K28" s="192" t="n">
        <x:v>1</x:v>
      </x:c>
      <x:c r="L28" s="192" t="str"/>
      <x:c r="M28" s="192" t="str">
        <x:v>Released</x:v>
      </x:c>
      <x:c r="N28" s="194" t="str">
        <x:v>Workbook bank; reserve pool after controlled review</x:v>
      </x:c>
    </x:row>
    <x:row r="29">
      <x:c r="A29" s="191" t="str">
        <x:v>CTA-LMFT-MQB-0028</x:v>
      </x:c>
      <x:c r="B29" s="192" t="str">
        <x:v>LMFT-WB02-QB-Q011</x:v>
      </x:c>
      <x:c r="C29" s="192" t="str">
        <x:v>LMFT Workbook 2 Question Bank</x:v>
      </x:c>
      <x:c r="D29" s="192" t="n">
        <x:v>11</x:v>
      </x:c>
      <x:c r="E29" s="192" t="str">
        <x:v>Workbook Bank</x:v>
      </x:c>
      <x:c r="F29" s="192" t="str">
        <x:v>1. Clinical Evaluation</x:v>
      </x:c>
      <x:c r="G29" s="192" t="str">
        <x:v>Adolescent trust after prior disclosure</x:v>
      </x:c>
      <x:c r="H29" s="192" t="str">
        <x:v>Moderate</x:v>
      </x:c>
      <x:c r="I29" s="192" t="str">
        <x:v>Scenario-Based</x:v>
      </x:c>
      <x:c r="J29" s="192" t="str">
        <x:v>C</x:v>
      </x:c>
      <x:c r="K29" s="192" t="n">
        <x:v>1</x:v>
      </x:c>
      <x:c r="L29" s="192" t="str"/>
      <x:c r="M29" s="192" t="str">
        <x:v>Released</x:v>
      </x:c>
      <x:c r="N29" s="194" t="str">
        <x:v>Workbook bank; reserve pool after controlled review</x:v>
      </x:c>
    </x:row>
    <x:row r="30">
      <x:c r="A30" s="191" t="str">
        <x:v>CTA-LMFT-MQB-0029</x:v>
      </x:c>
      <x:c r="B30" s="192" t="str">
        <x:v>LMFT-WB02-QB-Q012</x:v>
      </x:c>
      <x:c r="C30" s="192" t="str">
        <x:v>LMFT Workbook 2 Question Bank</x:v>
      </x:c>
      <x:c r="D30" s="192" t="n">
        <x:v>12</x:v>
      </x:c>
      <x:c r="E30" s="192" t="str">
        <x:v>Workbook Bank</x:v>
      </x:c>
      <x:c r="F30" s="192" t="str">
        <x:v>1. Clinical Evaluation</x:v>
      </x:c>
      <x:c r="G30" s="192" t="str">
        <x:v>Court-referred role clarification</x:v>
      </x:c>
      <x:c r="H30" s="192" t="str">
        <x:v>Moderate</x:v>
      </x:c>
      <x:c r="I30" s="192" t="str">
        <x:v>Scenario-Based</x:v>
      </x:c>
      <x:c r="J30" s="192" t="str">
        <x:v>D</x:v>
      </x:c>
      <x:c r="K30" s="192" t="n">
        <x:v>1</x:v>
      </x:c>
      <x:c r="L30" s="192" t="str"/>
      <x:c r="M30" s="192" t="str">
        <x:v>Released</x:v>
      </x:c>
      <x:c r="N30" s="194" t="str">
        <x:v>Workbook bank; reserve pool after controlled review</x:v>
      </x:c>
    </x:row>
    <x:row r="31">
      <x:c r="A31" s="191" t="str">
        <x:v>CTA-LMFT-MQB-0030</x:v>
      </x:c>
      <x:c r="B31" s="192" t="str">
        <x:v>LMFT-WB02-QB-Q013</x:v>
      </x:c>
      <x:c r="C31" s="192" t="str">
        <x:v>LMFT Workbook 2 Question Bank</x:v>
      </x:c>
      <x:c r="D31" s="192" t="n">
        <x:v>13</x:v>
      </x:c>
      <x:c r="E31" s="192" t="str">
        <x:v>Workbook Bank</x:v>
      </x:c>
      <x:c r="F31" s="192" t="str">
        <x:v>1. Clinical Evaluation</x:v>
      </x:c>
      <x:c r="G31" s="192" t="str">
        <x:v>Coercive control and treatment structure</x:v>
      </x:c>
      <x:c r="H31" s="192" t="str">
        <x:v>Difficult</x:v>
      </x:c>
      <x:c r="I31" s="192" t="str">
        <x:v>Scenario-Based</x:v>
      </x:c>
      <x:c r="J31" s="192" t="str">
        <x:v>A</x:v>
      </x:c>
      <x:c r="K31" s="192" t="n">
        <x:v>1</x:v>
      </x:c>
      <x:c r="L31" s="192" t="str"/>
      <x:c r="M31" s="192" t="str">
        <x:v>Released</x:v>
      </x:c>
      <x:c r="N31" s="194" t="str">
        <x:v>Workbook bank; reserve pool after controlled review</x:v>
      </x:c>
    </x:row>
    <x:row r="32">
      <x:c r="A32" s="191" t="str">
        <x:v>CTA-LMFT-MQB-0031</x:v>
      </x:c>
      <x:c r="B32" s="192" t="str">
        <x:v>LMFT-WB02-QB-Q014</x:v>
      </x:c>
      <x:c r="C32" s="192" t="str">
        <x:v>LMFT Workbook 2 Question Bank</x:v>
      </x:c>
      <x:c r="D32" s="192" t="n">
        <x:v>14</x:v>
      </x:c>
      <x:c r="E32" s="192" t="str">
        <x:v>Workbook Bank</x:v>
      </x:c>
      <x:c r="F32" s="192" t="str">
        <x:v>1. Clinical Evaluation</x:v>
      </x:c>
      <x:c r="G32" s="192" t="str">
        <x:v>Delirium, capacity, and exploitation</x:v>
      </x:c>
      <x:c r="H32" s="192" t="str">
        <x:v>Difficult</x:v>
      </x:c>
      <x:c r="I32" s="192" t="str">
        <x:v>Scenario-Based</x:v>
      </x:c>
      <x:c r="J32" s="192" t="str">
        <x:v>B</x:v>
      </x:c>
      <x:c r="K32" s="192" t="n">
        <x:v>1</x:v>
      </x:c>
      <x:c r="L32" s="192" t="str"/>
      <x:c r="M32" s="192" t="str">
        <x:v>Released</x:v>
      </x:c>
      <x:c r="N32" s="194" t="str">
        <x:v>Workbook bank; reserve pool after controlled review</x:v>
      </x:c>
    </x:row>
    <x:row r="33">
      <x:c r="A33" s="191" t="str">
        <x:v>CTA-LMFT-MQB-0032</x:v>
      </x:c>
      <x:c r="B33" s="192" t="str">
        <x:v>LMFT-WB02-QB-Q015</x:v>
      </x:c>
      <x:c r="C33" s="192" t="str">
        <x:v>LMFT Workbook 2 Question Bank</x:v>
      </x:c>
      <x:c r="D33" s="192" t="n">
        <x:v>15</x:v>
      </x:c>
      <x:c r="E33" s="192" t="str">
        <x:v>Workbook Bank</x:v>
      </x:c>
      <x:c r="F33" s="192" t="str">
        <x:v>1. Clinical Evaluation</x:v>
      </x:c>
      <x:c r="G33" s="192" t="str">
        <x:v>Integrated cognitive, autonomy, and family assessment</x:v>
      </x:c>
      <x:c r="H33" s="192" t="str">
        <x:v>Difficult</x:v>
      </x:c>
      <x:c r="I33" s="192" t="str">
        <x:v>Integrated Clinical Reasoning</x:v>
      </x:c>
      <x:c r="J33" s="192" t="str">
        <x:v>C</x:v>
      </x:c>
      <x:c r="K33" s="192" t="n">
        <x:v>1</x:v>
      </x:c>
      <x:c r="L33" s="192" t="str"/>
      <x:c r="M33" s="192" t="str">
        <x:v>Released</x:v>
      </x:c>
      <x:c r="N33" s="194" t="str">
        <x:v>Workbook bank; reserve pool after controlled review</x:v>
      </x:c>
    </x:row>
    <x:row r="34">
      <x:c r="A34" s="191" t="str">
        <x:v>CTA-LMFT-MQB-0033</x:v>
      </x:c>
      <x:c r="B34" s="192" t="str">
        <x:v>LMFT-WB02-QB-Q016</x:v>
      </x:c>
      <x:c r="C34" s="192" t="str">
        <x:v>LMFT Workbook 2 Question Bank</x:v>
      </x:c>
      <x:c r="D34" s="192" t="n">
        <x:v>16</x:v>
      </x:c>
      <x:c r="E34" s="192" t="str">
        <x:v>Workbook Bank</x:v>
      </x:c>
      <x:c r="F34" s="192" t="str">
        <x:v>1. Clinical Evaluation</x:v>
      </x:c>
      <x:c r="G34" s="192" t="str">
        <x:v>Adolescent safety, substance use, and family engagement</x:v>
      </x:c>
      <x:c r="H34" s="192" t="str">
        <x:v>Difficult</x:v>
      </x:c>
      <x:c r="I34" s="192" t="str">
        <x:v>Integrated Clinical Reasoning</x:v>
      </x:c>
      <x:c r="J34" s="192" t="str">
        <x:v>D</x:v>
      </x:c>
      <x:c r="K34" s="192" t="n">
        <x:v>1</x:v>
      </x:c>
      <x:c r="L34" s="192" t="str"/>
      <x:c r="M34" s="192" t="str">
        <x:v>Released</x:v>
      </x:c>
      <x:c r="N34" s="194" t="str">
        <x:v>Workbook bank; reserve pool after controlled review</x:v>
      </x:c>
    </x:row>
    <x:row r="35">
      <x:c r="A35" s="191" t="str">
        <x:v>CTA-LMFT-MQB-0034</x:v>
      </x:c>
      <x:c r="B35" s="192" t="str">
        <x:v>LMFT-WB02-QB-Q017</x:v>
      </x:c>
      <x:c r="C35" s="192" t="str">
        <x:v>LMFT Workbook 2 Question Bank</x:v>
      </x:c>
      <x:c r="D35" s="192" t="n">
        <x:v>17</x:v>
      </x:c>
      <x:c r="E35" s="192" t="str">
        <x:v>Workbook Bank</x:v>
      </x:c>
      <x:c r="F35" s="192" t="str">
        <x:v>1. Clinical Evaluation</x:v>
      </x:c>
      <x:c r="G35" s="192" t="str">
        <x:v>Integrated language, coercion, medical, and perceptual assessment</x:v>
      </x:c>
      <x:c r="H35" s="192" t="str">
        <x:v>Difficult</x:v>
      </x:c>
      <x:c r="I35" s="192" t="str">
        <x:v>Integrated Clinical Reasoning</x:v>
      </x:c>
      <x:c r="J35" s="192" t="str">
        <x:v>A</x:v>
      </x:c>
      <x:c r="K35" s="192" t="n">
        <x:v>1</x:v>
      </x:c>
      <x:c r="L35" s="192" t="str"/>
      <x:c r="M35" s="192" t="str">
        <x:v>Released</x:v>
      </x:c>
      <x:c r="N35" s="194" t="str">
        <x:v>Workbook bank; reserve pool after controlled review</x:v>
      </x:c>
    </x:row>
    <x:row r="36">
      <x:c r="A36" s="191" t="str">
        <x:v>CTA-LMFT-MQB-0035</x:v>
      </x:c>
      <x:c r="B36" s="192" t="str">
        <x:v>LMFT-WB03-QB-Q001</x:v>
      </x:c>
      <x:c r="C36" s="192" t="str">
        <x:v>LMFT Workbook 3 Question Bank</x:v>
      </x:c>
      <x:c r="D36" s="192" t="n">
        <x:v>1</x:v>
      </x:c>
      <x:c r="E36" s="192" t="str">
        <x:v>Workbook Bank</x:v>
      </x:c>
      <x:c r="F36" s="192" t="str">
        <x:v>1. Clinical Evaluation</x:v>
      </x:c>
      <x:c r="G36" s="192" t="str">
        <x:v>Chronological age versus developmental level</x:v>
      </x:c>
      <x:c r="H36" s="192" t="str">
        <x:v>Easy</x:v>
      </x:c>
      <x:c r="I36" s="192" t="str">
        <x:v>Knowledge &amp; Recall</x:v>
      </x:c>
      <x:c r="J36" s="192" t="str">
        <x:v>B</x:v>
      </x:c>
      <x:c r="K36" s="192" t="n">
        <x:v>1</x:v>
      </x:c>
      <x:c r="L36" s="192" t="str"/>
      <x:c r="M36" s="192" t="str">
        <x:v>Released</x:v>
      </x:c>
      <x:c r="N36" s="194" t="str">
        <x:v>Workbook bank; reserve pool after controlled review</x:v>
      </x:c>
    </x:row>
    <x:row r="37">
      <x:c r="A37" s="191" t="str">
        <x:v>CTA-LMFT-MQB-0036</x:v>
      </x:c>
      <x:c r="B37" s="192" t="str">
        <x:v>LMFT-WB03-QB-Q002</x:v>
      </x:c>
      <x:c r="C37" s="192" t="str">
        <x:v>LMFT Workbook 3 Question Bank</x:v>
      </x:c>
      <x:c r="D37" s="192" t="n">
        <x:v>2</x:v>
      </x:c>
      <x:c r="E37" s="192" t="str">
        <x:v>Workbook Bank</x:v>
      </x:c>
      <x:c r="F37" s="192" t="str">
        <x:v>1. Clinical Evaluation</x:v>
      </x:c>
      <x:c r="G37" s="192" t="str">
        <x:v>Change from baseline</x:v>
      </x:c>
      <x:c r="H37" s="192" t="str">
        <x:v>Easy</x:v>
      </x:c>
      <x:c r="I37" s="192" t="str">
        <x:v>Knowledge &amp; Recall</x:v>
      </x:c>
      <x:c r="J37" s="192" t="str">
        <x:v>A</x:v>
      </x:c>
      <x:c r="K37" s="192" t="n">
        <x:v>1</x:v>
      </x:c>
      <x:c r="L37" s="192" t="str"/>
      <x:c r="M37" s="192" t="str">
        <x:v>Released</x:v>
      </x:c>
      <x:c r="N37" s="194" t="str">
        <x:v>Workbook bank; reserve pool after controlled review</x:v>
      </x:c>
    </x:row>
    <x:row r="38">
      <x:c r="A38" s="191" t="str">
        <x:v>CTA-LMFT-MQB-0037</x:v>
      </x:c>
      <x:c r="B38" s="192" t="str">
        <x:v>LMFT-WB03-QB-Q003</x:v>
      </x:c>
      <x:c r="C38" s="192" t="str">
        <x:v>LMFT Workbook 3 Question Bank</x:v>
      </x:c>
      <x:c r="D38" s="192" t="n">
        <x:v>3</x:v>
      </x:c>
      <x:c r="E38" s="192" t="str">
        <x:v>Workbook Bank</x:v>
      </x:c>
      <x:c r="F38" s="192" t="str">
        <x:v>1. Clinical Evaluation</x:v>
      </x:c>
      <x:c r="G38" s="192" t="str">
        <x:v>Cultural humility</x:v>
      </x:c>
      <x:c r="H38" s="192" t="str">
        <x:v>Easy</x:v>
      </x:c>
      <x:c r="I38" s="192" t="str">
        <x:v>Knowledge &amp; Recall</x:v>
      </x:c>
      <x:c r="J38" s="192" t="str">
        <x:v>C</x:v>
      </x:c>
      <x:c r="K38" s="192" t="n">
        <x:v>1</x:v>
      </x:c>
      <x:c r="L38" s="192" t="str"/>
      <x:c r="M38" s="192" t="str">
        <x:v>Released</x:v>
      </x:c>
      <x:c r="N38" s="194" t="str">
        <x:v>Workbook bank; reserve pool after controlled review</x:v>
      </x:c>
    </x:row>
    <x:row r="39">
      <x:c r="A39" s="191" t="str">
        <x:v>CTA-LMFT-MQB-0038</x:v>
      </x:c>
      <x:c r="B39" s="192" t="str">
        <x:v>LMFT-WB03-QB-Q004</x:v>
      </x:c>
      <x:c r="C39" s="192" t="str">
        <x:v>LMFT Workbook 3 Question Bank</x:v>
      </x:c>
      <x:c r="D39" s="192" t="n">
        <x:v>4</x:v>
      </x:c>
      <x:c r="E39" s="192" t="str">
        <x:v>Workbook Bank</x:v>
      </x:c>
      <x:c r="F39" s="192" t="str">
        <x:v>1. Clinical Evaluation</x:v>
      </x:c>
      <x:c r="G39" s="192" t="str">
        <x:v>Cross-setting comparison</x:v>
      </x:c>
      <x:c r="H39" s="192" t="str">
        <x:v>Easy</x:v>
      </x:c>
      <x:c r="I39" s="192" t="str">
        <x:v>Knowledge &amp; Recall</x:v>
      </x:c>
      <x:c r="J39" s="192" t="str">
        <x:v>D</x:v>
      </x:c>
      <x:c r="K39" s="192" t="n">
        <x:v>1</x:v>
      </x:c>
      <x:c r="L39" s="192" t="str"/>
      <x:c r="M39" s="192" t="str">
        <x:v>Released</x:v>
      </x:c>
      <x:c r="N39" s="194" t="str">
        <x:v>Workbook bank; reserve pool after controlled review</x:v>
      </x:c>
    </x:row>
    <x:row r="40">
      <x:c r="A40" s="191" t="str">
        <x:v>CTA-LMFT-MQB-0039</x:v>
      </x:c>
      <x:c r="B40" s="192" t="str">
        <x:v>LMFT-WB03-QB-Q005</x:v>
      </x:c>
      <x:c r="C40" s="192" t="str">
        <x:v>LMFT Workbook 3 Question Bank</x:v>
      </x:c>
      <x:c r="D40" s="192" t="n">
        <x:v>5</x:v>
      </x:c>
      <x:c r="E40" s="192" t="str">
        <x:v>Workbook Bank</x:v>
      </x:c>
      <x:c r="F40" s="192" t="str">
        <x:v>1. Clinical Evaluation</x:v>
      </x:c>
      <x:c r="G40" s="192" t="str">
        <x:v>Sudden functional regression</x:v>
      </x:c>
      <x:c r="H40" s="192" t="str">
        <x:v>Easy</x:v>
      </x:c>
      <x:c r="I40" s="192" t="str">
        <x:v>Application</x:v>
      </x:c>
      <x:c r="J40" s="192" t="str">
        <x:v>A</x:v>
      </x:c>
      <x:c r="K40" s="192" t="n">
        <x:v>1</x:v>
      </x:c>
      <x:c r="L40" s="192" t="str"/>
      <x:c r="M40" s="192" t="str">
        <x:v>Released</x:v>
      </x:c>
      <x:c r="N40" s="194" t="str">
        <x:v>Workbook bank; reserve pool after controlled review</x:v>
      </x:c>
    </x:row>
    <x:row r="41">
      <x:c r="A41" s="191" t="str">
        <x:v>CTA-LMFT-MQB-0040</x:v>
      </x:c>
      <x:c r="B41" s="192" t="str">
        <x:v>LMFT-WB03-QB-Q006</x:v>
      </x:c>
      <x:c r="C41" s="192" t="str">
        <x:v>LMFT Workbook 3 Question Bank</x:v>
      </x:c>
      <x:c r="D41" s="192" t="n">
        <x:v>6</x:v>
      </x:c>
      <x:c r="E41" s="192" t="str">
        <x:v>Workbook Bank</x:v>
      </x:c>
      <x:c r="F41" s="192" t="str">
        <x:v>1. Clinical Evaluation</x:v>
      </x:c>
      <x:c r="G41" s="192" t="str">
        <x:v>Adolescent privacy and family involvement</x:v>
      </x:c>
      <x:c r="H41" s="192" t="str">
        <x:v>Moderate</x:v>
      </x:c>
      <x:c r="I41" s="192" t="str">
        <x:v>Application</x:v>
      </x:c>
      <x:c r="J41" s="192" t="str">
        <x:v>B</x:v>
      </x:c>
      <x:c r="K41" s="192" t="n">
        <x:v>1</x:v>
      </x:c>
      <x:c r="L41" s="192" t="str"/>
      <x:c r="M41" s="192" t="str">
        <x:v>Released</x:v>
      </x:c>
      <x:c r="N41" s="194" t="str">
        <x:v>Workbook bank; reserve pool after controlled review</x:v>
      </x:c>
    </x:row>
    <x:row r="42">
      <x:c r="A42" s="191" t="str">
        <x:v>CTA-LMFT-MQB-0041</x:v>
      </x:c>
      <x:c r="B42" s="192" t="str">
        <x:v>LMFT-WB03-QB-Q007</x:v>
      </x:c>
      <x:c r="C42" s="192" t="str">
        <x:v>LMFT Workbook 3 Question Bank</x:v>
      </x:c>
      <x:c r="D42" s="192" t="n">
        <x:v>7</x:v>
      </x:c>
      <x:c r="E42" s="192" t="str">
        <x:v>Workbook Bank</x:v>
      </x:c>
      <x:c r="F42" s="192" t="str">
        <x:v>1. Clinical Evaluation</x:v>
      </x:c>
      <x:c r="G42" s="192" t="str">
        <x:v>Migration, acculturation, and autonomy</x:v>
      </x:c>
      <x:c r="H42" s="192" t="str">
        <x:v>Moderate</x:v>
      </x:c>
      <x:c r="I42" s="192" t="str">
        <x:v>Application</x:v>
      </x:c>
      <x:c r="J42" s="192" t="str">
        <x:v>C</x:v>
      </x:c>
      <x:c r="K42" s="192" t="n">
        <x:v>1</x:v>
      </x:c>
      <x:c r="L42" s="192" t="str"/>
      <x:c r="M42" s="192" t="str">
        <x:v>Released</x:v>
      </x:c>
      <x:c r="N42" s="194" t="str">
        <x:v>Workbook bank; reserve pool after controlled review</x:v>
      </x:c>
    </x:row>
    <x:row r="43">
      <x:c r="A43" s="191" t="str">
        <x:v>CTA-LMFT-MQB-0042</x:v>
      </x:c>
      <x:c r="B43" s="192" t="str">
        <x:v>LMFT-WB03-QB-Q008</x:v>
      </x:c>
      <x:c r="C43" s="192" t="str">
        <x:v>LMFT Workbook 3 Question Bank</x:v>
      </x:c>
      <x:c r="D43" s="192" t="n">
        <x:v>8</x:v>
      </x:c>
      <x:c r="E43" s="192" t="str">
        <x:v>Workbook Bank</x:v>
      </x:c>
      <x:c r="F43" s="192" t="str">
        <x:v>1. Clinical Evaluation</x:v>
      </x:c>
      <x:c r="G43" s="192" t="str">
        <x:v>Neurodiversity and environmental fit</x:v>
      </x:c>
      <x:c r="H43" s="192" t="str">
        <x:v>Moderate</x:v>
      </x:c>
      <x:c r="I43" s="192" t="str">
        <x:v>Application</x:v>
      </x:c>
      <x:c r="J43" s="192" t="str">
        <x:v>D</x:v>
      </x:c>
      <x:c r="K43" s="192" t="n">
        <x:v>1</x:v>
      </x:c>
      <x:c r="L43" s="192" t="str"/>
      <x:c r="M43" s="192" t="str">
        <x:v>Released</x:v>
      </x:c>
      <x:c r="N43" s="194" t="str">
        <x:v>Workbook bank; reserve pool after controlled review</x:v>
      </x:c>
    </x:row>
    <x:row r="44">
      <x:c r="A44" s="191" t="str">
        <x:v>CTA-LMFT-MQB-0043</x:v>
      </x:c>
      <x:c r="B44" s="192" t="str">
        <x:v>LMFT-WB03-QB-Q009</x:v>
      </x:c>
      <x:c r="C44" s="192" t="str">
        <x:v>LMFT Workbook 3 Question Bank</x:v>
      </x:c>
      <x:c r="D44" s="192" t="n">
        <x:v>9</x:v>
      </x:c>
      <x:c r="E44" s="192" t="str">
        <x:v>Workbook Bank</x:v>
      </x:c>
      <x:c r="F44" s="192" t="str">
        <x:v>1. Clinical Evaluation</x:v>
      </x:c>
      <x:c r="G44" s="192" t="str">
        <x:v>Economic stress and child symptoms</x:v>
      </x:c>
      <x:c r="H44" s="192" t="str">
        <x:v>Moderate</x:v>
      </x:c>
      <x:c r="I44" s="192" t="str">
        <x:v>Application</x:v>
      </x:c>
      <x:c r="J44" s="192" t="str">
        <x:v>A</x:v>
      </x:c>
      <x:c r="K44" s="192" t="n">
        <x:v>1</x:v>
      </x:c>
      <x:c r="L44" s="192" t="str"/>
      <x:c r="M44" s="192" t="str">
        <x:v>Released</x:v>
      </x:c>
      <x:c r="N44" s="194" t="str">
        <x:v>Workbook bank; reserve pool after controlled review</x:v>
      </x:c>
    </x:row>
    <x:row r="45">
      <x:c r="A45" s="191" t="str">
        <x:v>CTA-LMFT-MQB-0044</x:v>
      </x:c>
      <x:c r="B45" s="192" t="str">
        <x:v>LMFT-WB03-QB-Q010</x:v>
      </x:c>
      <x:c r="C45" s="192" t="str">
        <x:v>LMFT Workbook 3 Question Bank</x:v>
      </x:c>
      <x:c r="D45" s="192" t="n">
        <x:v>10</x:v>
      </x:c>
      <x:c r="E45" s="192" t="str">
        <x:v>Workbook Bank</x:v>
      </x:c>
      <x:c r="F45" s="192" t="str">
        <x:v>1. Clinical Evaluation</x:v>
      </x:c>
      <x:c r="G45" s="192" t="str">
        <x:v>Postpartum adjustment and risk</x:v>
      </x:c>
      <x:c r="H45" s="192" t="str">
        <x:v>Moderate</x:v>
      </x:c>
      <x:c r="I45" s="192" t="str">
        <x:v>Scenario-Based</x:v>
      </x:c>
      <x:c r="J45" s="192" t="str">
        <x:v>B</x:v>
      </x:c>
      <x:c r="K45" s="192" t="n">
        <x:v>1</x:v>
      </x:c>
      <x:c r="L45" s="192" t="str"/>
      <x:c r="M45" s="192" t="str">
        <x:v>Released</x:v>
      </x:c>
      <x:c r="N45" s="194" t="str">
        <x:v>Workbook bank; reserve pool after controlled review</x:v>
      </x:c>
    </x:row>
    <x:row r="46">
      <x:c r="A46" s="191" t="str">
        <x:v>CTA-LMFT-MQB-0045</x:v>
      </x:c>
      <x:c r="B46" s="192" t="str">
        <x:v>LMFT-WB03-QB-Q011</x:v>
      </x:c>
      <x:c r="C46" s="192" t="str">
        <x:v>LMFT Workbook 3 Question Bank</x:v>
      </x:c>
      <x:c r="D46" s="192" t="n">
        <x:v>11</x:v>
      </x:c>
      <x:c r="E46" s="192" t="str">
        <x:v>Workbook Bank</x:v>
      </x:c>
      <x:c r="F46" s="192" t="str">
        <x:v>1. Clinical Evaluation</x:v>
      </x:c>
      <x:c r="G46" s="192" t="str">
        <x:v>Placement disruption and attachment</x:v>
      </x:c>
      <x:c r="H46" s="192" t="str">
        <x:v>Moderate</x:v>
      </x:c>
      <x:c r="I46" s="192" t="str">
        <x:v>Scenario-Based</x:v>
      </x:c>
      <x:c r="J46" s="192" t="str">
        <x:v>C</x:v>
      </x:c>
      <x:c r="K46" s="192" t="n">
        <x:v>1</x:v>
      </x:c>
      <x:c r="L46" s="192" t="str"/>
      <x:c r="M46" s="192" t="str">
        <x:v>Released</x:v>
      </x:c>
      <x:c r="N46" s="194" t="str">
        <x:v>Workbook bank; reserve pool after controlled review</x:v>
      </x:c>
    </x:row>
    <x:row r="47">
      <x:c r="A47" s="191" t="str">
        <x:v>CTA-LMFT-MQB-0046</x:v>
      </x:c>
      <x:c r="B47" s="192" t="str">
        <x:v>LMFT-WB03-QB-Q012</x:v>
      </x:c>
      <x:c r="C47" s="192" t="str">
        <x:v>LMFT Workbook 3 Question Bank</x:v>
      </x:c>
      <x:c r="D47" s="192" t="n">
        <x:v>12</x:v>
      </x:c>
      <x:c r="E47" s="192" t="str">
        <x:v>Workbook Bank</x:v>
      </x:c>
      <x:c r="F47" s="192" t="str">
        <x:v>1. Clinical Evaluation</x:v>
      </x:c>
      <x:c r="G47" s="192" t="str">
        <x:v>Deaf access in couple therapy</x:v>
      </x:c>
      <x:c r="H47" s="192" t="str">
        <x:v>Moderate</x:v>
      </x:c>
      <x:c r="I47" s="192" t="str">
        <x:v>Scenario-Based</x:v>
      </x:c>
      <x:c r="J47" s="192" t="str">
        <x:v>D</x:v>
      </x:c>
      <x:c r="K47" s="192" t="n">
        <x:v>1</x:v>
      </x:c>
      <x:c r="L47" s="192" t="str"/>
      <x:c r="M47" s="192" t="str">
        <x:v>Released</x:v>
      </x:c>
      <x:c r="N47" s="194" t="str">
        <x:v>Workbook bank; reserve pool after controlled review</x:v>
      </x:c>
    </x:row>
    <x:row r="48">
      <x:c r="A48" s="191" t="str">
        <x:v>CTA-LMFT-MQB-0047</x:v>
      </x:c>
      <x:c r="B48" s="192" t="str">
        <x:v>LMFT-WB03-QB-Q013</x:v>
      </x:c>
      <x:c r="C48" s="192" t="str">
        <x:v>LMFT Workbook 3 Question Bank</x:v>
      </x:c>
      <x:c r="D48" s="192" t="n">
        <x:v>13</x:v>
      </x:c>
      <x:c r="E48" s="192" t="str">
        <x:v>Workbook Bank</x:v>
      </x:c>
      <x:c r="F48" s="192" t="str">
        <x:v>1. Clinical Evaluation</x:v>
      </x:c>
      <x:c r="G48" s="192" t="str">
        <x:v>Adolescent privacy, coercion, and safety</x:v>
      </x:c>
      <x:c r="H48" s="192" t="str">
        <x:v>Difficult</x:v>
      </x:c>
      <x:c r="I48" s="192" t="str">
        <x:v>Scenario-Based</x:v>
      </x:c>
      <x:c r="J48" s="192" t="str">
        <x:v>A</x:v>
      </x:c>
      <x:c r="K48" s="192" t="n">
        <x:v>1</x:v>
      </x:c>
      <x:c r="L48" s="192" t="str"/>
      <x:c r="M48" s="192" t="str">
        <x:v>Released</x:v>
      </x:c>
      <x:c r="N48" s="194" t="str">
        <x:v>Workbook bank; reserve pool after controlled review</x:v>
      </x:c>
    </x:row>
    <x:row r="49">
      <x:c r="A49" s="191" t="str">
        <x:v>CTA-LMFT-MQB-0048</x:v>
      </x:c>
      <x:c r="B49" s="192" t="str">
        <x:v>LMFT-WB03-QB-Q014</x:v>
      </x:c>
      <x:c r="C49" s="192" t="str">
        <x:v>LMFT Workbook 3 Question Bank</x:v>
      </x:c>
      <x:c r="D49" s="192" t="n">
        <x:v>14</x:v>
      </x:c>
      <x:c r="E49" s="192" t="str">
        <x:v>Workbook Bank</x:v>
      </x:c>
      <x:c r="F49" s="192" t="str">
        <x:v>1. Clinical Evaluation</x:v>
      </x:c>
      <x:c r="G49" s="192" t="str">
        <x:v>Acute disorientation during couple therapy</x:v>
      </x:c>
      <x:c r="H49" s="192" t="str">
        <x:v>Difficult</x:v>
      </x:c>
      <x:c r="I49" s="192" t="str">
        <x:v>Scenario-Based</x:v>
      </x:c>
      <x:c r="J49" s="192" t="str">
        <x:v>B</x:v>
      </x:c>
      <x:c r="K49" s="192" t="n">
        <x:v>1</x:v>
      </x:c>
      <x:c r="L49" s="192" t="str"/>
      <x:c r="M49" s="192" t="str">
        <x:v>Released</x:v>
      </x:c>
      <x:c r="N49" s="194" t="str">
        <x:v>Workbook bank; reserve pool after controlled review</x:v>
      </x:c>
    </x:row>
    <x:row r="50">
      <x:c r="A50" s="191" t="str">
        <x:v>CTA-LMFT-MQB-0049</x:v>
      </x:c>
      <x:c r="B50" s="192" t="str">
        <x:v>LMFT-WB03-QB-Q015</x:v>
      </x:c>
      <x:c r="C50" s="192" t="str">
        <x:v>LMFT Workbook 3 Question Bank</x:v>
      </x:c>
      <x:c r="D50" s="192" t="n">
        <x:v>15</x:v>
      </x:c>
      <x:c r="E50" s="192" t="str">
        <x:v>Workbook Bank</x:v>
      </x:c>
      <x:c r="F50" s="192" t="str">
        <x:v>1. Clinical Evaluation</x:v>
      </x:c>
      <x:c r="G50" s="192" t="str">
        <x:v>Development, migration, work, and discrimination</x:v>
      </x:c>
      <x:c r="H50" s="192" t="str">
        <x:v>Difficult</x:v>
      </x:c>
      <x:c r="I50" s="192" t="str">
        <x:v>Integrated Clinical Reasoning</x:v>
      </x:c>
      <x:c r="J50" s="192" t="str">
        <x:v>C</x:v>
      </x:c>
      <x:c r="K50" s="192" t="n">
        <x:v>1</x:v>
      </x:c>
      <x:c r="L50" s="192" t="str"/>
      <x:c r="M50" s="192" t="str">
        <x:v>Released</x:v>
      </x:c>
      <x:c r="N50" s="194" t="str">
        <x:v>Workbook bank; reserve pool after controlled review</x:v>
      </x:c>
    </x:row>
    <x:row r="51">
      <x:c r="A51" s="191" t="str">
        <x:v>CTA-LMFT-MQB-0050</x:v>
      </x:c>
      <x:c r="B51" s="192" t="str">
        <x:v>LMFT-WB03-QB-Q016</x:v>
      </x:c>
      <x:c r="C51" s="192" t="str">
        <x:v>LMFT Workbook 3 Question Bank</x:v>
      </x:c>
      <x:c r="D51" s="192" t="n">
        <x:v>16</x:v>
      </x:c>
      <x:c r="E51" s="192" t="str">
        <x:v>Workbook Bank</x:v>
      </x:c>
      <x:c r="F51" s="192" t="str">
        <x:v>1. Clinical Evaluation</x:v>
      </x:c>
      <x:c r="G51" s="192" t="str">
        <x:v>Disaster displacement and multigenerational reorganization</x:v>
      </x:c>
      <x:c r="H51" s="192" t="str">
        <x:v>Difficult</x:v>
      </x:c>
      <x:c r="I51" s="192" t="str">
        <x:v>Integrated Clinical Reasoning</x:v>
      </x:c>
      <x:c r="J51" s="192" t="str">
        <x:v>D</x:v>
      </x:c>
      <x:c r="K51" s="192" t="n">
        <x:v>1</x:v>
      </x:c>
      <x:c r="L51" s="192" t="str"/>
      <x:c r="M51" s="192" t="str">
        <x:v>Released</x:v>
      </x:c>
      <x:c r="N51" s="194" t="str">
        <x:v>Workbook bank; reserve pool after controlled review</x:v>
      </x:c>
    </x:row>
    <x:row r="52">
      <x:c r="A52" s="191" t="str">
        <x:v>CTA-LMFT-MQB-0051</x:v>
      </x:c>
      <x:c r="B52" s="192" t="str">
        <x:v>LMFT-WB03-QB-Q017</x:v>
      </x:c>
      <x:c r="C52" s="192" t="str">
        <x:v>LMFT Workbook 3 Question Bank</x:v>
      </x:c>
      <x:c r="D52" s="192" t="n">
        <x:v>17</x:v>
      </x:c>
      <x:c r="E52" s="192" t="str">
        <x:v>Workbook Bank</x:v>
      </x:c>
      <x:c r="F52" s="192" t="str">
        <x:v>1. Clinical Evaluation</x:v>
      </x:c>
      <x:c r="G52" s="192" t="str">
        <x:v>Cognitive decline, caregiving, and family decision-making</x:v>
      </x:c>
      <x:c r="H52" s="192" t="str">
        <x:v>Difficult</x:v>
      </x:c>
      <x:c r="I52" s="192" t="str">
        <x:v>Integrated Clinical Reasoning</x:v>
      </x:c>
      <x:c r="J52" s="192" t="str">
        <x:v>A</x:v>
      </x:c>
      <x:c r="K52" s="192" t="n">
        <x:v>1</x:v>
      </x:c>
      <x:c r="L52" s="192" t="str"/>
      <x:c r="M52" s="192" t="str">
        <x:v>Released</x:v>
      </x:c>
      <x:c r="N52" s="194" t="str">
        <x:v>Workbook bank; reserve pool after controlled review</x:v>
      </x:c>
    </x:row>
    <x:row r="53">
      <x:c r="A53" s="191" t="str">
        <x:v>CTA-LMFT-MQB-0052</x:v>
      </x:c>
      <x:c r="B53" s="192" t="str">
        <x:v>LMFT-WB04-QB-Q001</x:v>
      </x:c>
      <x:c r="C53" s="192" t="str">
        <x:v>LMFT Workbook 4 Question Bank</x:v>
      </x:c>
      <x:c r="D53" s="192" t="n">
        <x:v>1</x:v>
      </x:c>
      <x:c r="E53" s="192" t="str">
        <x:v>Workbook Bank</x:v>
      </x:c>
      <x:c r="F53" s="192" t="str">
        <x:v>1. Clinical Evaluation</x:v>
      </x:c>
      <x:c r="G53" s="192" t="str">
        <x:v>Social-support quality</x:v>
      </x:c>
      <x:c r="H53" s="192" t="str">
        <x:v>Easy</x:v>
      </x:c>
      <x:c r="I53" s="192" t="str">
        <x:v>Knowledge &amp; Recall</x:v>
      </x:c>
      <x:c r="J53" s="192" t="str">
        <x:v>B</x:v>
      </x:c>
      <x:c r="K53" s="192" t="n">
        <x:v>1</x:v>
      </x:c>
      <x:c r="L53" s="192" t="str"/>
      <x:c r="M53" s="192" t="str">
        <x:v>Released</x:v>
      </x:c>
      <x:c r="N53" s="194" t="str">
        <x:v>Workbook bank; reserve pool after controlled review</x:v>
      </x:c>
    </x:row>
    <x:row r="54">
      <x:c r="A54" s="191" t="str">
        <x:v>CTA-LMFT-MQB-0053</x:v>
      </x:c>
      <x:c r="B54" s="192" t="str">
        <x:v>LMFT-WB04-QB-Q002</x:v>
      </x:c>
      <x:c r="C54" s="192" t="str">
        <x:v>LMFT Workbook 4 Question Bank</x:v>
      </x:c>
      <x:c r="D54" s="192" t="n">
        <x:v>2</x:v>
      </x:c>
      <x:c r="E54" s="192" t="str">
        <x:v>Workbook Bank</x:v>
      </x:c>
      <x:c r="F54" s="192" t="str">
        <x:v>1. Clinical Evaluation</x:v>
      </x:c>
      <x:c r="G54" s="192" t="str">
        <x:v>Genogram function</x:v>
      </x:c>
      <x:c r="H54" s="192" t="str">
        <x:v>Easy</x:v>
      </x:c>
      <x:c r="I54" s="192" t="str">
        <x:v>Knowledge &amp; Recall</x:v>
      </x:c>
      <x:c r="J54" s="192" t="str">
        <x:v>A</x:v>
      </x:c>
      <x:c r="K54" s="192" t="n">
        <x:v>1</x:v>
      </x:c>
      <x:c r="L54" s="192" t="str"/>
      <x:c r="M54" s="192" t="str">
        <x:v>Released</x:v>
      </x:c>
      <x:c r="N54" s="194" t="str">
        <x:v>Workbook bank; reserve pool after controlled review</x:v>
      </x:c>
    </x:row>
    <x:row r="55">
      <x:c r="A55" s="191" t="str">
        <x:v>CTA-LMFT-MQB-0054</x:v>
      </x:c>
      <x:c r="B55" s="192" t="str">
        <x:v>LMFT-WB04-QB-Q003</x:v>
      </x:c>
      <x:c r="C55" s="192" t="str">
        <x:v>LMFT Workbook 4 Question Bank</x:v>
      </x:c>
      <x:c r="D55" s="192" t="n">
        <x:v>3</x:v>
      </x:c>
      <x:c r="E55" s="192" t="str">
        <x:v>Workbook Bank</x:v>
      </x:c>
      <x:c r="F55" s="192" t="str">
        <x:v>1. Clinical Evaluation</x:v>
      </x:c>
      <x:c r="G55" s="192" t="str">
        <x:v>Screening versus specialized testing</x:v>
      </x:c>
      <x:c r="H55" s="192" t="str">
        <x:v>Easy</x:v>
      </x:c>
      <x:c r="I55" s="192" t="str">
        <x:v>Knowledge &amp; Recall</x:v>
      </x:c>
      <x:c r="J55" s="192" t="str">
        <x:v>C</x:v>
      </x:c>
      <x:c r="K55" s="192" t="n">
        <x:v>1</x:v>
      </x:c>
      <x:c r="L55" s="192" t="str"/>
      <x:c r="M55" s="192" t="str">
        <x:v>Released</x:v>
      </x:c>
      <x:c r="N55" s="194" t="str">
        <x:v>Workbook bank; reserve pool after controlled review</x:v>
      </x:c>
    </x:row>
    <x:row r="56">
      <x:c r="A56" s="191" t="str">
        <x:v>CTA-LMFT-MQB-0055</x:v>
      </x:c>
      <x:c r="B56" s="192" t="str">
        <x:v>LMFT-WB04-QB-Q004</x:v>
      </x:c>
      <x:c r="C56" s="192" t="str">
        <x:v>LMFT Workbook 4 Question Bank</x:v>
      </x:c>
      <x:c r="D56" s="192" t="n">
        <x:v>4</x:v>
      </x:c>
      <x:c r="E56" s="192" t="str">
        <x:v>Workbook Bank</x:v>
      </x:c>
      <x:c r="F56" s="192" t="str">
        <x:v>1. Clinical Evaluation</x:v>
      </x:c>
      <x:c r="G56" s="192" t="str">
        <x:v>Systemic resilience</x:v>
      </x:c>
      <x:c r="H56" s="192" t="str">
        <x:v>Easy</x:v>
      </x:c>
      <x:c r="I56" s="192" t="str">
        <x:v>Knowledge &amp; Recall</x:v>
      </x:c>
      <x:c r="J56" s="192" t="str">
        <x:v>D</x:v>
      </x:c>
      <x:c r="K56" s="192" t="n">
        <x:v>1</x:v>
      </x:c>
      <x:c r="L56" s="192" t="str"/>
      <x:c r="M56" s="192" t="str">
        <x:v>Released</x:v>
      </x:c>
      <x:c r="N56" s="194" t="str">
        <x:v>Workbook bank; reserve pool after controlled review</x:v>
      </x:c>
    </x:row>
    <x:row r="57">
      <x:c r="A57" s="191" t="str">
        <x:v>CTA-LMFT-MQB-0056</x:v>
      </x:c>
      <x:c r="B57" s="192" t="str">
        <x:v>LMFT-WB04-QB-Q005</x:v>
      </x:c>
      <x:c r="C57" s="192" t="str">
        <x:v>LMFT Workbook 4 Question Bank</x:v>
      </x:c>
      <x:c r="D57" s="192" t="n">
        <x:v>5</x:v>
      </x:c>
      <x:c r="E57" s="192" t="str">
        <x:v>Workbook Bank</x:v>
      </x:c>
      <x:c r="F57" s="192" t="str">
        <x:v>1. Clinical Evaluation</x:v>
      </x:c>
      <x:c r="G57" s="192" t="str">
        <x:v>Anger versus violence</x:v>
      </x:c>
      <x:c r="H57" s="192" t="str">
        <x:v>Easy</x:v>
      </x:c>
      <x:c r="I57" s="192" t="str">
        <x:v>Knowledge &amp; Recall</x:v>
      </x:c>
      <x:c r="J57" s="192" t="str">
        <x:v>A</x:v>
      </x:c>
      <x:c r="K57" s="192" t="n">
        <x:v>1</x:v>
      </x:c>
      <x:c r="L57" s="192" t="str"/>
      <x:c r="M57" s="192" t="str">
        <x:v>Released</x:v>
      </x:c>
      <x:c r="N57" s="194" t="str">
        <x:v>Workbook bank; reserve pool after controlled review</x:v>
      </x:c>
    </x:row>
    <x:row r="58">
      <x:c r="A58" s="191" t="str">
        <x:v>CTA-LMFT-MQB-0057</x:v>
      </x:c>
      <x:c r="B58" s="192" t="str">
        <x:v>LMFT-WB04-QB-Q006</x:v>
      </x:c>
      <x:c r="C58" s="192" t="str">
        <x:v>LMFT Workbook 4 Question Bank</x:v>
      </x:c>
      <x:c r="D58" s="192" t="n">
        <x:v>6</x:v>
      </x:c>
      <x:c r="E58" s="192" t="str">
        <x:v>Workbook Bank</x:v>
      </x:c>
      <x:c r="F58" s="192" t="str">
        <x:v>1. Clinical Evaluation</x:v>
      </x:c>
      <x:c r="G58" s="192" t="str">
        <x:v>Inclusive intimacy assessment</x:v>
      </x:c>
      <x:c r="H58" s="192" t="str">
        <x:v>Moderate</x:v>
      </x:c>
      <x:c r="I58" s="192" t="str">
        <x:v>Application</x:v>
      </x:c>
      <x:c r="J58" s="192" t="str">
        <x:v>B</x:v>
      </x:c>
      <x:c r="K58" s="192" t="n">
        <x:v>1</x:v>
      </x:c>
      <x:c r="L58" s="192" t="str"/>
      <x:c r="M58" s="192" t="str">
        <x:v>Released</x:v>
      </x:c>
      <x:c r="N58" s="194" t="str">
        <x:v>Workbook bank; reserve pool after controlled review</x:v>
      </x:c>
    </x:row>
    <x:row r="59">
      <x:c r="A59" s="191" t="str">
        <x:v>CTA-LMFT-MQB-0058</x:v>
      </x:c>
      <x:c r="B59" s="192" t="str">
        <x:v>LMFT-WB04-QB-Q007</x:v>
      </x:c>
      <x:c r="C59" s="192" t="str">
        <x:v>LMFT Workbook 4 Question Bank</x:v>
      </x:c>
      <x:c r="D59" s="192" t="n">
        <x:v>7</x:v>
      </x:c>
      <x:c r="E59" s="192" t="str">
        <x:v>Workbook Bank</x:v>
      </x:c>
      <x:c r="F59" s="192" t="str">
        <x:v>1. Clinical Evaluation</x:v>
      </x:c>
      <x:c r="G59" s="192" t="str">
        <x:v>Cultural meaning of family closeness</x:v>
      </x:c>
      <x:c r="H59" s="192" t="str">
        <x:v>Moderate</x:v>
      </x:c>
      <x:c r="I59" s="192" t="str">
        <x:v>Application</x:v>
      </x:c>
      <x:c r="J59" s="192" t="str">
        <x:v>C</x:v>
      </x:c>
      <x:c r="K59" s="192" t="n">
        <x:v>1</x:v>
      </x:c>
      <x:c r="L59" s="192" t="str"/>
      <x:c r="M59" s="192" t="str">
        <x:v>Released</x:v>
      </x:c>
      <x:c r="N59" s="194" t="str">
        <x:v>Workbook bank; reserve pool after controlled review</x:v>
      </x:c>
    </x:row>
    <x:row r="60">
      <x:c r="A60" s="191" t="str">
        <x:v>CTA-LMFT-MQB-0059</x:v>
      </x:c>
      <x:c r="B60" s="192" t="str">
        <x:v>LMFT-WB04-QB-Q008</x:v>
      </x:c>
      <x:c r="C60" s="192" t="str">
        <x:v>LMFT Workbook 4 Question Bank</x:v>
      </x:c>
      <x:c r="D60" s="192" t="n">
        <x:v>8</x:v>
      </x:c>
      <x:c r="E60" s="192" t="str">
        <x:v>Workbook Bank</x:v>
      </x:c>
      <x:c r="F60" s="192" t="str">
        <x:v>1. Clinical Evaluation</x:v>
      </x:c>
      <x:c r="G60" s="192" t="str">
        <x:v>Grief and cultural context</x:v>
      </x:c>
      <x:c r="H60" s="192" t="str">
        <x:v>Moderate</x:v>
      </x:c>
      <x:c r="I60" s="192" t="str">
        <x:v>Application</x:v>
      </x:c>
      <x:c r="J60" s="192" t="str">
        <x:v>D</x:v>
      </x:c>
      <x:c r="K60" s="192" t="n">
        <x:v>1</x:v>
      </x:c>
      <x:c r="L60" s="192" t="str"/>
      <x:c r="M60" s="192" t="str">
        <x:v>Released</x:v>
      </x:c>
      <x:c r="N60" s="194" t="str">
        <x:v>Workbook bank; reserve pool after controlled review</x:v>
      </x:c>
    </x:row>
    <x:row r="61">
      <x:c r="A61" s="191" t="str">
        <x:v>CTA-LMFT-MQB-0060</x:v>
      </x:c>
      <x:c r="B61" s="192" t="str">
        <x:v>LMFT-WB04-QB-Q009</x:v>
      </x:c>
      <x:c r="C61" s="192" t="str">
        <x:v>LMFT Workbook 4 Question Bank</x:v>
      </x:c>
      <x:c r="D61" s="192" t="n">
        <x:v>9</x:v>
      </x:c>
      <x:c r="E61" s="192" t="str">
        <x:v>Workbook Bank</x:v>
      </x:c>
      <x:c r="F61" s="192" t="str">
        <x:v>1. Clinical Evaluation</x:v>
      </x:c>
      <x:c r="G61" s="192" t="str">
        <x:v>Aggression pattern assessment</x:v>
      </x:c>
      <x:c r="H61" s="192" t="str">
        <x:v>Moderate</x:v>
      </x:c>
      <x:c r="I61" s="192" t="str">
        <x:v>Scenario-Based</x:v>
      </x:c>
      <x:c r="J61" s="192" t="str">
        <x:v>A</x:v>
      </x:c>
      <x:c r="K61" s="192" t="n">
        <x:v>1</x:v>
      </x:c>
      <x:c r="L61" s="192" t="str"/>
      <x:c r="M61" s="192" t="str">
        <x:v>Released</x:v>
      </x:c>
      <x:c r="N61" s="194" t="str">
        <x:v>Workbook bank; reserve pool after controlled review</x:v>
      </x:c>
    </x:row>
    <x:row r="62">
      <x:c r="A62" s="191" t="str">
        <x:v>CTA-LMFT-MQB-0061</x:v>
      </x:c>
      <x:c r="B62" s="192" t="str">
        <x:v>LMFT-WB04-QB-Q010</x:v>
      </x:c>
      <x:c r="C62" s="192" t="str">
        <x:v>LMFT Workbook 4 Question Bank</x:v>
      </x:c>
      <x:c r="D62" s="192" t="n">
        <x:v>10</x:v>
      </x:c>
      <x:c r="E62" s="192" t="str">
        <x:v>Workbook Bank</x:v>
      </x:c>
      <x:c r="F62" s="192" t="str">
        <x:v>1. Clinical Evaluation</x:v>
      </x:c>
      <x:c r="G62" s="192" t="str">
        <x:v>Dissociation and stabilization</x:v>
      </x:c>
      <x:c r="H62" s="192" t="str">
        <x:v>Moderate</x:v>
      </x:c>
      <x:c r="I62" s="192" t="str">
        <x:v>Scenario-Based</x:v>
      </x:c>
      <x:c r="J62" s="192" t="str">
        <x:v>B</x:v>
      </x:c>
      <x:c r="K62" s="192" t="n">
        <x:v>1</x:v>
      </x:c>
      <x:c r="L62" s="192" t="str"/>
      <x:c r="M62" s="192" t="str">
        <x:v>Released</x:v>
      </x:c>
      <x:c r="N62" s="194" t="str">
        <x:v>Workbook bank; reserve pool after controlled review</x:v>
      </x:c>
    </x:row>
    <x:row r="63">
      <x:c r="A63" s="191" t="str">
        <x:v>CTA-LMFT-MQB-0062</x:v>
      </x:c>
      <x:c r="B63" s="192" t="str">
        <x:v>LMFT-WB04-QB-Q011</x:v>
      </x:c>
      <x:c r="C63" s="192" t="str">
        <x:v>LMFT Workbook 4 Question Bank</x:v>
      </x:c>
      <x:c r="D63" s="192" t="n">
        <x:v>11</x:v>
      </x:c>
      <x:c r="E63" s="192" t="str">
        <x:v>Workbook Bank</x:v>
      </x:c>
      <x:c r="F63" s="192" t="str">
        <x:v>1. Clinical Evaluation</x:v>
      </x:c>
      <x:c r="G63" s="192" t="str">
        <x:v>Instrument language and cultural fit</x:v>
      </x:c>
      <x:c r="H63" s="192" t="str">
        <x:v>Moderate</x:v>
      </x:c>
      <x:c r="I63" s="192" t="str">
        <x:v>Application</x:v>
      </x:c>
      <x:c r="J63" s="192" t="str">
        <x:v>C</x:v>
      </x:c>
      <x:c r="K63" s="192" t="n">
        <x:v>1</x:v>
      </x:c>
      <x:c r="L63" s="192" t="str"/>
      <x:c r="M63" s="192" t="str">
        <x:v>Released</x:v>
      </x:c>
      <x:c r="N63" s="194" t="str">
        <x:v>Workbook bank; reserve pool after controlled review</x:v>
      </x:c>
    </x:row>
    <x:row r="64">
      <x:c r="A64" s="191" t="str">
        <x:v>CTA-LMFT-MQB-0063</x:v>
      </x:c>
      <x:c r="B64" s="192" t="str">
        <x:v>LMFT-WB04-QB-Q012</x:v>
      </x:c>
      <x:c r="C64" s="192" t="str">
        <x:v>LMFT Workbook 4 Question Bank</x:v>
      </x:c>
      <x:c r="D64" s="192" t="n">
        <x:v>12</x:v>
      </x:c>
      <x:c r="E64" s="192" t="str">
        <x:v>Workbook Bank</x:v>
      </x:c>
      <x:c r="F64" s="192" t="str">
        <x:v>1. Clinical Evaluation</x:v>
      </x:c>
      <x:c r="G64" s="192" t="str">
        <x:v>Referral for specialized learning evaluation</x:v>
      </x:c>
      <x:c r="H64" s="192" t="str">
        <x:v>Moderate</x:v>
      </x:c>
      <x:c r="I64" s="192" t="str">
        <x:v>Application</x:v>
      </x:c>
      <x:c r="J64" s="192" t="str">
        <x:v>D</x:v>
      </x:c>
      <x:c r="K64" s="192" t="n">
        <x:v>1</x:v>
      </x:c>
      <x:c r="L64" s="192" t="str"/>
      <x:c r="M64" s="192" t="str">
        <x:v>Released</x:v>
      </x:c>
      <x:c r="N64" s="194" t="str">
        <x:v>Workbook bank; reserve pool after controlled review</x:v>
      </x:c>
    </x:row>
    <x:row r="65">
      <x:c r="A65" s="191" t="str">
        <x:v>CTA-LMFT-MQB-0064</x:v>
      </x:c>
      <x:c r="B65" s="192" t="str">
        <x:v>LMFT-WB04-QB-Q013</x:v>
      </x:c>
      <x:c r="C65" s="192" t="str">
        <x:v>LMFT Workbook 4 Question Bank</x:v>
      </x:c>
      <x:c r="D65" s="192" t="n">
        <x:v>13</x:v>
      </x:c>
      <x:c r="E65" s="192" t="str">
        <x:v>Workbook Bank</x:v>
      </x:c>
      <x:c r="F65" s="192" t="str">
        <x:v>1. Clinical Evaluation</x:v>
      </x:c>
      <x:c r="G65" s="192" t="str">
        <x:v>Caregiving transition and family system</x:v>
      </x:c>
      <x:c r="H65" s="192" t="str">
        <x:v>Difficult</x:v>
      </x:c>
      <x:c r="I65" s="192" t="str">
        <x:v>Integrated Clinical Reasoning</x:v>
      </x:c>
      <x:c r="J65" s="192" t="str">
        <x:v>A</x:v>
      </x:c>
      <x:c r="K65" s="192" t="n">
        <x:v>1</x:v>
      </x:c>
      <x:c r="L65" s="192" t="str"/>
      <x:c r="M65" s="192" t="str">
        <x:v>Released</x:v>
      </x:c>
      <x:c r="N65" s="194" t="str">
        <x:v>Workbook bank; reserve pool after controlled review</x:v>
      </x:c>
    </x:row>
    <x:row r="66">
      <x:c r="A66" s="191" t="str">
        <x:v>CTA-LMFT-MQB-0065</x:v>
      </x:c>
      <x:c r="B66" s="192" t="str">
        <x:v>LMFT-WB04-QB-Q014</x:v>
      </x:c>
      <x:c r="C66" s="192" t="str">
        <x:v>LMFT Workbook 4 Question Bank</x:v>
      </x:c>
      <x:c r="D66" s="192" t="n">
        <x:v>14</x:v>
      </x:c>
      <x:c r="E66" s="192" t="str">
        <x:v>Workbook Bank</x:v>
      </x:c>
      <x:c r="F66" s="192" t="str">
        <x:v>1. Clinical Evaluation</x:v>
      </x:c>
      <x:c r="G66" s="192" t="str">
        <x:v>Stalking and coercive control</x:v>
      </x:c>
      <x:c r="H66" s="192" t="str">
        <x:v>Difficult</x:v>
      </x:c>
      <x:c r="I66" s="192" t="str">
        <x:v>Scenario-Based</x:v>
      </x:c>
      <x:c r="J66" s="192" t="str">
        <x:v>B</x:v>
      </x:c>
      <x:c r="K66" s="192" t="n">
        <x:v>1</x:v>
      </x:c>
      <x:c r="L66" s="192" t="str"/>
      <x:c r="M66" s="192" t="str">
        <x:v>Released</x:v>
      </x:c>
      <x:c r="N66" s="194" t="str">
        <x:v>Workbook bank; reserve pool after controlled review</x:v>
      </x:c>
    </x:row>
    <x:row r="67">
      <x:c r="A67" s="191" t="str">
        <x:v>CTA-LMFT-MQB-0066</x:v>
      </x:c>
      <x:c r="B67" s="192" t="str">
        <x:v>LMFT-WB04-QB-Q015</x:v>
      </x:c>
      <x:c r="C67" s="192" t="str">
        <x:v>LMFT Workbook 4 Question Bank</x:v>
      </x:c>
      <x:c r="D67" s="192" t="n">
        <x:v>15</x:v>
      </x:c>
      <x:c r="E67" s="192" t="str">
        <x:v>Workbook Bank</x:v>
      </x:c>
      <x:c r="F67" s="192" t="str">
        <x:v>1. Clinical Evaluation</x:v>
      </x:c>
      <x:c r="G67" s="192" t="str">
        <x:v>Sexualized behavior and safety assessment</x:v>
      </x:c>
      <x:c r="H67" s="192" t="str">
        <x:v>Difficult</x:v>
      </x:c>
      <x:c r="I67" s="192" t="str">
        <x:v>Scenario-Based</x:v>
      </x:c>
      <x:c r="J67" s="192" t="str">
        <x:v>C</x:v>
      </x:c>
      <x:c r="K67" s="192" t="n">
        <x:v>1</x:v>
      </x:c>
      <x:c r="L67" s="192" t="str"/>
      <x:c r="M67" s="192" t="str">
        <x:v>Released</x:v>
      </x:c>
      <x:c r="N67" s="194" t="str">
        <x:v>Workbook bank; reserve pool after controlled review</x:v>
      </x:c>
    </x:row>
    <x:row r="68">
      <x:c r="A68" s="191" t="str">
        <x:v>CTA-LMFT-MQB-0067</x:v>
      </x:c>
      <x:c r="B68" s="192" t="str">
        <x:v>LMFT-WB04-QB-Q016</x:v>
      </x:c>
      <x:c r="C68" s="192" t="str">
        <x:v>LMFT Workbook 4 Question Bank</x:v>
      </x:c>
      <x:c r="D68" s="192" t="n">
        <x:v>16</x:v>
      </x:c>
      <x:c r="E68" s="192" t="str">
        <x:v>Workbook Bank</x:v>
      </x:c>
      <x:c r="F68" s="192" t="str">
        <x:v>1. Clinical Evaluation</x:v>
      </x:c>
      <x:c r="G68" s="192" t="str">
        <x:v>Abrupt change, medication, and family decision</x:v>
      </x:c>
      <x:c r="H68" s="192" t="str">
        <x:v>Difficult</x:v>
      </x:c>
      <x:c r="I68" s="192" t="str">
        <x:v>Integrated Clinical Reasoning</x:v>
      </x:c>
      <x:c r="J68" s="192" t="str">
        <x:v>D</x:v>
      </x:c>
      <x:c r="K68" s="192" t="n">
        <x:v>1</x:v>
      </x:c>
      <x:c r="L68" s="192" t="str"/>
      <x:c r="M68" s="192" t="str">
        <x:v>Released</x:v>
      </x:c>
      <x:c r="N68" s="194" t="str">
        <x:v>Workbook bank; reserve pool after controlled review</x:v>
      </x:c>
    </x:row>
    <x:row r="69">
      <x:c r="A69" s="191" t="str">
        <x:v>CTA-LMFT-MQB-0068</x:v>
      </x:c>
      <x:c r="B69" s="192" t="str">
        <x:v>LMFT-WB04-QB-Q017</x:v>
      </x:c>
      <x:c r="C69" s="192" t="str">
        <x:v>LMFT Workbook 4 Question Bank</x:v>
      </x:c>
      <x:c r="D69" s="192" t="n">
        <x:v>17</x:v>
      </x:c>
      <x:c r="E69" s="192" t="str">
        <x:v>Workbook Bank</x:v>
      </x:c>
      <x:c r="F69" s="192" t="str">
        <x:v>1. Clinical Evaluation</x:v>
      </x:c>
      <x:c r="G69" s="192" t="str">
        <x:v>Integrated cross-cultural trauma and family assessment</x:v>
      </x:c>
      <x:c r="H69" s="192" t="str">
        <x:v>Difficult</x:v>
      </x:c>
      <x:c r="I69" s="192" t="str">
        <x:v>Integrated Clinical Reasoning</x:v>
      </x:c>
      <x:c r="J69" s="192" t="str">
        <x:v>A</x:v>
      </x:c>
      <x:c r="K69" s="192" t="n">
        <x:v>1</x:v>
      </x:c>
      <x:c r="L69" s="192" t="str"/>
      <x:c r="M69" s="192" t="str">
        <x:v>Released</x:v>
      </x:c>
      <x:c r="N69" s="194" t="str">
        <x:v>Workbook bank; reserve pool after controlled review</x:v>
      </x:c>
    </x:row>
    <x:row r="70">
      <x:c r="A70" s="191" t="str">
        <x:v>CTA-LMFT-MQB-0069</x:v>
      </x:c>
      <x:c r="B70" s="192" t="str">
        <x:v>LMFT-WB05-QB-Q001</x:v>
      </x:c>
      <x:c r="C70" s="192" t="str">
        <x:v>LMFT Workbook 5 Question Bank</x:v>
      </x:c>
      <x:c r="D70" s="192" t="n">
        <x:v>1</x:v>
      </x:c>
      <x:c r="E70" s="192" t="str">
        <x:v>Workbook Bank</x:v>
      </x:c>
      <x:c r="F70" s="192" t="str">
        <x:v>2. Developing a Diagnostic Impression</x:v>
      </x:c>
      <x:c r="G70" s="192" t="str">
        <x:v>Provisional diagnosis</x:v>
      </x:c>
      <x:c r="H70" s="192" t="str">
        <x:v>Easy</x:v>
      </x:c>
      <x:c r="I70" s="192" t="str">
        <x:v>Knowledge &amp; Recall</x:v>
      </x:c>
      <x:c r="J70" s="192" t="str">
        <x:v>B</x:v>
      </x:c>
      <x:c r="K70" s="192" t="n">
        <x:v>1</x:v>
      </x:c>
      <x:c r="L70" s="192" t="str"/>
      <x:c r="M70" s="192" t="str">
        <x:v>Released</x:v>
      </x:c>
      <x:c r="N70" s="194" t="str">
        <x:v>Workbook bank; reserve pool after controlled review</x:v>
      </x:c>
    </x:row>
    <x:row r="71">
      <x:c r="A71" s="191" t="str">
        <x:v>CTA-LMFT-MQB-0070</x:v>
      </x:c>
      <x:c r="B71" s="192" t="str">
        <x:v>LMFT-WB05-QB-Q002</x:v>
      </x:c>
      <x:c r="C71" s="192" t="str">
        <x:v>LMFT Workbook 5 Question Bank</x:v>
      </x:c>
      <x:c r="D71" s="192" t="n">
        <x:v>2</x:v>
      </x:c>
      <x:c r="E71" s="192" t="str">
        <x:v>Workbook Bank</x:v>
      </x:c>
      <x:c r="F71" s="192" t="str">
        <x:v>2. Developing a Diagnostic Impression</x:v>
      </x:c>
      <x:c r="G71" s="192" t="str">
        <x:v>Diagnostic parsimony</x:v>
      </x:c>
      <x:c r="H71" s="192" t="str">
        <x:v>Easy</x:v>
      </x:c>
      <x:c r="I71" s="192" t="str">
        <x:v>Knowledge &amp; Recall</x:v>
      </x:c>
      <x:c r="J71" s="192" t="str">
        <x:v>A</x:v>
      </x:c>
      <x:c r="K71" s="192" t="n">
        <x:v>1</x:v>
      </x:c>
      <x:c r="L71" s="192" t="str"/>
      <x:c r="M71" s="192" t="str">
        <x:v>Released</x:v>
      </x:c>
      <x:c r="N71" s="194" t="str">
        <x:v>Workbook bank; reserve pool after controlled review</x:v>
      </x:c>
    </x:row>
    <x:row r="72">
      <x:c r="A72" s="191" t="str">
        <x:v>CTA-LMFT-MQB-0071</x:v>
      </x:c>
      <x:c r="B72" s="192" t="str">
        <x:v>LMFT-WB05-QB-Q003</x:v>
      </x:c>
      <x:c r="C72" s="192" t="str">
        <x:v>LMFT Workbook 5 Question Bank</x:v>
      </x:c>
      <x:c r="D72" s="192" t="n">
        <x:v>3</x:v>
      </x:c>
      <x:c r="E72" s="192" t="str">
        <x:v>Workbook Bank</x:v>
      </x:c>
      <x:c r="F72" s="192" t="str">
        <x:v>2. Developing a Diagnostic Impression</x:v>
      </x:c>
      <x:c r="G72" s="192" t="str">
        <x:v>Bipolar differential</x:v>
      </x:c>
      <x:c r="H72" s="192" t="str">
        <x:v>Easy</x:v>
      </x:c>
      <x:c r="I72" s="192" t="str">
        <x:v>Knowledge &amp; Recall</x:v>
      </x:c>
      <x:c r="J72" s="192" t="str">
        <x:v>C</x:v>
      </x:c>
      <x:c r="K72" s="192" t="n">
        <x:v>1</x:v>
      </x:c>
      <x:c r="L72" s="192" t="str"/>
      <x:c r="M72" s="192" t="str">
        <x:v>Released</x:v>
      </x:c>
      <x:c r="N72" s="194" t="str">
        <x:v>Workbook bank; reserve pool after controlled review</x:v>
      </x:c>
    </x:row>
    <x:row r="73">
      <x:c r="A73" s="191" t="str">
        <x:v>CTA-LMFT-MQB-0072</x:v>
      </x:c>
      <x:c r="B73" s="192" t="str">
        <x:v>LMFT-WB05-QB-Q004</x:v>
      </x:c>
      <x:c r="C73" s="192" t="str">
        <x:v>LMFT Workbook 5 Question Bank</x:v>
      </x:c>
      <x:c r="D73" s="192" t="n">
        <x:v>4</x:v>
      </x:c>
      <x:c r="E73" s="192" t="str">
        <x:v>Workbook Bank</x:v>
      </x:c>
      <x:c r="F73" s="192" t="str">
        <x:v>2. Developing a Diagnostic Impression</x:v>
      </x:c>
      <x:c r="G73" s="192" t="str">
        <x:v>Contextual and relational conditions</x:v>
      </x:c>
      <x:c r="H73" s="192" t="str">
        <x:v>Easy</x:v>
      </x:c>
      <x:c r="I73" s="192" t="str">
        <x:v>Knowledge &amp; Recall</x:v>
      </x:c>
      <x:c r="J73" s="192" t="str">
        <x:v>D</x:v>
      </x:c>
      <x:c r="K73" s="192" t="n">
        <x:v>1</x:v>
      </x:c>
      <x:c r="L73" s="192" t="str"/>
      <x:c r="M73" s="192" t="str">
        <x:v>Released</x:v>
      </x:c>
      <x:c r="N73" s="194" t="str">
        <x:v>Workbook bank; reserve pool after controlled review</x:v>
      </x:c>
    </x:row>
    <x:row r="74">
      <x:c r="A74" s="191" t="str">
        <x:v>CTA-LMFT-MQB-0073</x:v>
      </x:c>
      <x:c r="B74" s="192" t="str">
        <x:v>LMFT-WB05-QB-Q005</x:v>
      </x:c>
      <x:c r="C74" s="192" t="str">
        <x:v>LMFT Workbook 5 Question Bank</x:v>
      </x:c>
      <x:c r="D74" s="192" t="n">
        <x:v>5</x:v>
      </x:c>
      <x:c r="E74" s="192" t="str">
        <x:v>Workbook Bank</x:v>
      </x:c>
      <x:c r="F74" s="192" t="str">
        <x:v>2. Developing a Diagnostic Impression</x:v>
      </x:c>
      <x:c r="G74" s="192" t="str">
        <x:v>Medical and substance rule-outs</x:v>
      </x:c>
      <x:c r="H74" s="192" t="str">
        <x:v>Easy</x:v>
      </x:c>
      <x:c r="I74" s="192" t="str">
        <x:v>Knowledge &amp; Recall</x:v>
      </x:c>
      <x:c r="J74" s="192" t="str">
        <x:v>A</x:v>
      </x:c>
      <x:c r="K74" s="192" t="n">
        <x:v>1</x:v>
      </x:c>
      <x:c r="L74" s="192" t="str"/>
      <x:c r="M74" s="192" t="str">
        <x:v>Released</x:v>
      </x:c>
      <x:c r="N74" s="194" t="str">
        <x:v>Workbook bank; reserve pool after controlled review</x:v>
      </x:c>
    </x:row>
    <x:row r="75">
      <x:c r="A75" s="191" t="str">
        <x:v>CTA-LMFT-MQB-0074</x:v>
      </x:c>
      <x:c r="B75" s="192" t="str">
        <x:v>LMFT-WB05-QB-Q006</x:v>
      </x:c>
      <x:c r="C75" s="192" t="str">
        <x:v>LMFT Workbook 5 Question Bank</x:v>
      </x:c>
      <x:c r="D75" s="192" t="n">
        <x:v>6</x:v>
      </x:c>
      <x:c r="E75" s="192" t="str">
        <x:v>Workbook Bank</x:v>
      </x:c>
      <x:c r="F75" s="192" t="str">
        <x:v>2. Developing a Diagnostic Impression</x:v>
      </x:c>
      <x:c r="G75" s="192" t="str">
        <x:v>Obsessive-compulsive differential</x:v>
      </x:c>
      <x:c r="H75" s="192" t="str">
        <x:v>Moderate</x:v>
      </x:c>
      <x:c r="I75" s="192" t="str">
        <x:v>Application</x:v>
      </x:c>
      <x:c r="J75" s="192" t="str">
        <x:v>B</x:v>
      </x:c>
      <x:c r="K75" s="192" t="n">
        <x:v>1</x:v>
      </x:c>
      <x:c r="L75" s="192" t="str"/>
      <x:c r="M75" s="192" t="str">
        <x:v>Released</x:v>
      </x:c>
      <x:c r="N75" s="194" t="str">
        <x:v>Workbook bank; reserve pool after controlled review</x:v>
      </x:c>
    </x:row>
    <x:row r="76">
      <x:c r="A76" s="191" t="str">
        <x:v>CTA-LMFT-MQB-0075</x:v>
      </x:c>
      <x:c r="B76" s="192" t="str">
        <x:v>LMFT-WB05-QB-Q007</x:v>
      </x:c>
      <x:c r="C76" s="192" t="str">
        <x:v>LMFT Workbook 5 Question Bank</x:v>
      </x:c>
      <x:c r="D76" s="192" t="n">
        <x:v>7</x:v>
      </x:c>
      <x:c r="E76" s="192" t="str">
        <x:v>Workbook Bank</x:v>
      </x:c>
      <x:c r="F76" s="192" t="str">
        <x:v>2. Developing a Diagnostic Impression</x:v>
      </x:c>
      <x:c r="G76" s="192" t="str">
        <x:v>Stress-related versus depressive presentation</x:v>
      </x:c>
      <x:c r="H76" s="192" t="str">
        <x:v>Moderate</x:v>
      </x:c>
      <x:c r="I76" s="192" t="str">
        <x:v>Application</x:v>
      </x:c>
      <x:c r="J76" s="192" t="str">
        <x:v>C</x:v>
      </x:c>
      <x:c r="K76" s="192" t="n">
        <x:v>1</x:v>
      </x:c>
      <x:c r="L76" s="192" t="str"/>
      <x:c r="M76" s="192" t="str">
        <x:v>Released</x:v>
      </x:c>
      <x:c r="N76" s="194" t="str">
        <x:v>Workbook bank; reserve pool after controlled review</x:v>
      </x:c>
    </x:row>
    <x:row r="77">
      <x:c r="A77" s="191" t="str">
        <x:v>CTA-LMFT-MQB-0076</x:v>
      </x:c>
      <x:c r="B77" s="192" t="str">
        <x:v>LMFT-WB05-QB-Q008</x:v>
      </x:c>
      <x:c r="C77" s="192" t="str">
        <x:v>LMFT Workbook 5 Question Bank</x:v>
      </x:c>
      <x:c r="D77" s="192" t="n">
        <x:v>8</x:v>
      </x:c>
      <x:c r="E77" s="192" t="str">
        <x:v>Workbook Bank</x:v>
      </x:c>
      <x:c r="F77" s="192" t="str">
        <x:v>2. Developing a Diagnostic Impression</x:v>
      </x:c>
      <x:c r="G77" s="192" t="str">
        <x:v>Primary versus substance-induced psychosis</x:v>
      </x:c>
      <x:c r="H77" s="192" t="str">
        <x:v>Moderate</x:v>
      </x:c>
      <x:c r="I77" s="192" t="str">
        <x:v>Scenario-Based</x:v>
      </x:c>
      <x:c r="J77" s="192" t="str">
        <x:v>D</x:v>
      </x:c>
      <x:c r="K77" s="192" t="n">
        <x:v>1</x:v>
      </x:c>
      <x:c r="L77" s="192" t="str"/>
      <x:c r="M77" s="192" t="str">
        <x:v>Released</x:v>
      </x:c>
      <x:c r="N77" s="194" t="str">
        <x:v>Workbook bank; reserve pool after controlled review</x:v>
      </x:c>
    </x:row>
    <x:row r="78">
      <x:c r="A78" s="191" t="str">
        <x:v>CTA-LMFT-MQB-0077</x:v>
      </x:c>
      <x:c r="B78" s="192" t="str">
        <x:v>LMFT-WB05-QB-Q009</x:v>
      </x:c>
      <x:c r="C78" s="192" t="str">
        <x:v>LMFT Workbook 5 Question Bank</x:v>
      </x:c>
      <x:c r="D78" s="192" t="n">
        <x:v>9</x:v>
      </x:c>
      <x:c r="E78" s="192" t="str">
        <x:v>Workbook Bank</x:v>
      </x:c>
      <x:c r="F78" s="192" t="str">
        <x:v>2. Developing a Diagnostic Impression</x:v>
      </x:c>
      <x:c r="G78" s="192" t="str">
        <x:v>Child developmental differential</x:v>
      </x:c>
      <x:c r="H78" s="192" t="str">
        <x:v>Moderate</x:v>
      </x:c>
      <x:c r="I78" s="192" t="str">
        <x:v>Application</x:v>
      </x:c>
      <x:c r="J78" s="192" t="str">
        <x:v>A</x:v>
      </x:c>
      <x:c r="K78" s="192" t="n">
        <x:v>1</x:v>
      </x:c>
      <x:c r="L78" s="192" t="str"/>
      <x:c r="M78" s="192" t="str">
        <x:v>Released</x:v>
      </x:c>
      <x:c r="N78" s="194" t="str">
        <x:v>Workbook bank; reserve pool after controlled review</x:v>
      </x:c>
    </x:row>
    <x:row r="79">
      <x:c r="A79" s="191" t="str">
        <x:v>CTA-LMFT-MQB-0078</x:v>
      </x:c>
      <x:c r="B79" s="192" t="str">
        <x:v>LMFT-WB05-QB-Q010</x:v>
      </x:c>
      <x:c r="C79" s="192" t="str">
        <x:v>LMFT Workbook 5 Question Bank</x:v>
      </x:c>
      <x:c r="D79" s="192" t="n">
        <x:v>10</x:v>
      </x:c>
      <x:c r="E79" s="192" t="str">
        <x:v>Workbook Bank</x:v>
      </x:c>
      <x:c r="F79" s="192" t="str">
        <x:v>2. Developing a Diagnostic Impression</x:v>
      </x:c>
      <x:c r="G79" s="192" t="str">
        <x:v>Gender diversity and diagnostic context</x:v>
      </x:c>
      <x:c r="H79" s="192" t="str">
        <x:v>Moderate</x:v>
      </x:c>
      <x:c r="I79" s="192" t="str">
        <x:v>Application</x:v>
      </x:c>
      <x:c r="J79" s="192" t="str">
        <x:v>B</x:v>
      </x:c>
      <x:c r="K79" s="192" t="n">
        <x:v>1</x:v>
      </x:c>
      <x:c r="L79" s="192" t="str"/>
      <x:c r="M79" s="192" t="str">
        <x:v>Released</x:v>
      </x:c>
      <x:c r="N79" s="194" t="str">
        <x:v>Workbook bank; reserve pool after controlled review</x:v>
      </x:c>
    </x:row>
    <x:row r="80">
      <x:c r="A80" s="191" t="str">
        <x:v>CTA-LMFT-MQB-0079</x:v>
      </x:c>
      <x:c r="B80" s="192" t="str">
        <x:v>LMFT-WB05-QB-Q011</x:v>
      </x:c>
      <x:c r="C80" s="192" t="str">
        <x:v>LMFT Workbook 5 Question Bank</x:v>
      </x:c>
      <x:c r="D80" s="192" t="n">
        <x:v>11</x:v>
      </x:c>
      <x:c r="E80" s="192" t="str">
        <x:v>Workbook Bank</x:v>
      </x:c>
      <x:c r="F80" s="192" t="str">
        <x:v>2. Developing a Diagnostic Impression</x:v>
      </x:c>
      <x:c r="G80" s="192" t="str">
        <x:v>Collateral report and unassessed partner</x:v>
      </x:c>
      <x:c r="H80" s="192" t="str">
        <x:v>Moderate</x:v>
      </x:c>
      <x:c r="I80" s="192" t="str">
        <x:v>Scenario-Based</x:v>
      </x:c>
      <x:c r="J80" s="192" t="str">
        <x:v>C</x:v>
      </x:c>
      <x:c r="K80" s="192" t="n">
        <x:v>1</x:v>
      </x:c>
      <x:c r="L80" s="192" t="str"/>
      <x:c r="M80" s="192" t="str">
        <x:v>Released</x:v>
      </x:c>
      <x:c r="N80" s="194" t="str">
        <x:v>Workbook bank; reserve pool after controlled review</x:v>
      </x:c>
    </x:row>
    <x:row r="81">
      <x:c r="A81" s="191" t="str">
        <x:v>CTA-LMFT-MQB-0080</x:v>
      </x:c>
      <x:c r="B81" s="192" t="str">
        <x:v>LMFT-WB05-QB-Q012</x:v>
      </x:c>
      <x:c r="C81" s="192" t="str">
        <x:v>LMFT Workbook 5 Question Bank</x:v>
      </x:c>
      <x:c r="D81" s="192" t="n">
        <x:v>12</x:v>
      </x:c>
      <x:c r="E81" s="192" t="str">
        <x:v>Workbook Bank</x:v>
      </x:c>
      <x:c r="F81" s="192" t="str">
        <x:v>2. Developing a Diagnostic Impression</x:v>
      </x:c>
      <x:c r="G81" s="192" t="str">
        <x:v>Trauma and personality differential</x:v>
      </x:c>
      <x:c r="H81" s="192" t="str">
        <x:v>Moderate</x:v>
      </x:c>
      <x:c r="I81" s="192" t="str">
        <x:v>Application</x:v>
      </x:c>
      <x:c r="J81" s="192" t="str">
        <x:v>D</x:v>
      </x:c>
      <x:c r="K81" s="192" t="n">
        <x:v>1</x:v>
      </x:c>
      <x:c r="L81" s="192" t="str"/>
      <x:c r="M81" s="192" t="str">
        <x:v>Released</x:v>
      </x:c>
      <x:c r="N81" s="194" t="str">
        <x:v>Workbook bank; reserve pool after controlled review</x:v>
      </x:c>
    </x:row>
    <x:row r="82">
      <x:c r="A82" s="191" t="str">
        <x:v>CTA-LMFT-MQB-0081</x:v>
      </x:c>
      <x:c r="B82" s="192" t="str">
        <x:v>LMFT-WB05-QB-Q013</x:v>
      </x:c>
      <x:c r="C82" s="192" t="str">
        <x:v>LMFT Workbook 5 Question Bank</x:v>
      </x:c>
      <x:c r="D82" s="192" t="n">
        <x:v>13</x:v>
      </x:c>
      <x:c r="E82" s="192" t="str">
        <x:v>Workbook Bank</x:v>
      </x:c>
      <x:c r="F82" s="192" t="str">
        <x:v>2. Developing a Diagnostic Impression</x:v>
      </x:c>
      <x:c r="G82" s="192" t="str">
        <x:v>Perinatal psychiatric emergency</x:v>
      </x:c>
      <x:c r="H82" s="192" t="str">
        <x:v>Difficult</x:v>
      </x:c>
      <x:c r="I82" s="192" t="str">
        <x:v>Integrated Clinical Reasoning</x:v>
      </x:c>
      <x:c r="J82" s="192" t="str">
        <x:v>A</x:v>
      </x:c>
      <x:c r="K82" s="192" t="n">
        <x:v>1</x:v>
      </x:c>
      <x:c r="L82" s="192" t="str"/>
      <x:c r="M82" s="192" t="str">
        <x:v>Released</x:v>
      </x:c>
      <x:c r="N82" s="194" t="str">
        <x:v>Workbook bank; reserve pool after controlled review</x:v>
      </x:c>
    </x:row>
    <x:row r="83">
      <x:c r="A83" s="191" t="str">
        <x:v>CTA-LMFT-MQB-0082</x:v>
      </x:c>
      <x:c r="B83" s="192" t="str">
        <x:v>LMFT-WB05-QB-Q014</x:v>
      </x:c>
      <x:c r="C83" s="192" t="str">
        <x:v>LMFT Workbook 5 Question Bank</x:v>
      </x:c>
      <x:c r="D83" s="192" t="n">
        <x:v>14</x:v>
      </x:c>
      <x:c r="E83" s="192" t="str">
        <x:v>Workbook Bank</x:v>
      </x:c>
      <x:c r="F83" s="192" t="str">
        <x:v>2. Developing a Diagnostic Impression</x:v>
      </x:c>
      <x:c r="G83" s="192" t="str">
        <x:v>Abrupt cognitive change and family decision</x:v>
      </x:c>
      <x:c r="H83" s="192" t="str">
        <x:v>Difficult</x:v>
      </x:c>
      <x:c r="I83" s="192" t="str">
        <x:v>Integrated Clinical Reasoning</x:v>
      </x:c>
      <x:c r="J83" s="192" t="str">
        <x:v>B</x:v>
      </x:c>
      <x:c r="K83" s="192" t="n">
        <x:v>1</x:v>
      </x:c>
      <x:c r="L83" s="192" t="str"/>
      <x:c r="M83" s="192" t="str">
        <x:v>Released</x:v>
      </x:c>
      <x:c r="N83" s="194" t="str">
        <x:v>Workbook bank; reserve pool after controlled review</x:v>
      </x:c>
    </x:row>
    <x:row r="84">
      <x:c r="A84" s="191" t="str">
        <x:v>CTA-LMFT-MQB-0083</x:v>
      </x:c>
      <x:c r="B84" s="192" t="str">
        <x:v>LMFT-WB05-QB-Q015</x:v>
      </x:c>
      <x:c r="C84" s="192" t="str">
        <x:v>LMFT Workbook 5 Question Bank</x:v>
      </x:c>
      <x:c r="D84" s="192" t="n">
        <x:v>15</x:v>
      </x:c>
      <x:c r="E84" s="192" t="str">
        <x:v>Workbook Bank</x:v>
      </x:c>
      <x:c r="F84" s="192" t="str">
        <x:v>2. Developing a Diagnostic Impression</x:v>
      </x:c>
      <x:c r="G84" s="192" t="str">
        <x:v>Bipolar, substance, gambling, and relational differential</x:v>
      </x:c>
      <x:c r="H84" s="192" t="str">
        <x:v>Difficult</x:v>
      </x:c>
      <x:c r="I84" s="192" t="str">
        <x:v>Integrated Clinical Reasoning</x:v>
      </x:c>
      <x:c r="J84" s="192" t="str">
        <x:v>C</x:v>
      </x:c>
      <x:c r="K84" s="192" t="n">
        <x:v>1</x:v>
      </x:c>
      <x:c r="L84" s="192" t="str"/>
      <x:c r="M84" s="192" t="str">
        <x:v>Released</x:v>
      </x:c>
      <x:c r="N84" s="194" t="str">
        <x:v>Workbook bank; reserve pool after controlled review</x:v>
      </x:c>
    </x:row>
    <x:row r="85">
      <x:c r="A85" s="191" t="str">
        <x:v>CTA-LMFT-MQB-0084</x:v>
      </x:c>
      <x:c r="B85" s="192" t="str">
        <x:v>LMFT-WB05-QB-Q016</x:v>
      </x:c>
      <x:c r="C85" s="192" t="str">
        <x:v>LMFT Workbook 5 Question Bank</x:v>
      </x:c>
      <x:c r="D85" s="192" t="n">
        <x:v>16</x:v>
      </x:c>
      <x:c r="E85" s="192" t="str">
        <x:v>Workbook Bank</x:v>
      </x:c>
      <x:c r="F85" s="192" t="str">
        <x:v>2. Developing a Diagnostic Impression</x:v>
      </x:c>
      <x:c r="G85" s="192" t="str">
        <x:v>Eating-disorder differential and medical risk</x:v>
      </x:c>
      <x:c r="H85" s="192" t="str">
        <x:v>Difficult</x:v>
      </x:c>
      <x:c r="I85" s="192" t="str">
        <x:v>Integrated Clinical Reasoning</x:v>
      </x:c>
      <x:c r="J85" s="192" t="str">
        <x:v>D</x:v>
      </x:c>
      <x:c r="K85" s="192" t="n">
        <x:v>1</x:v>
      </x:c>
      <x:c r="L85" s="192" t="str"/>
      <x:c r="M85" s="192" t="str">
        <x:v>Released</x:v>
      </x:c>
      <x:c r="N85" s="194" t="str">
        <x:v>Workbook bank; reserve pool after controlled review</x:v>
      </x:c>
    </x:row>
    <x:row r="86">
      <x:c r="A86" s="191" t="str">
        <x:v>CTA-LMFT-MQB-0085</x:v>
      </x:c>
      <x:c r="B86" s="192" t="str">
        <x:v>LMFT-WB05-QB-Q017</x:v>
      </x:c>
      <x:c r="C86" s="192" t="str">
        <x:v>LMFT Workbook 5 Question Bank</x:v>
      </x:c>
      <x:c r="D86" s="192" t="n">
        <x:v>17</x:v>
      </x:c>
      <x:c r="E86" s="192" t="str">
        <x:v>Workbook Bank</x:v>
      </x:c>
      <x:c r="F86" s="192" t="str">
        <x:v>2. Developing a Diagnostic Impression</x:v>
      </x:c>
      <x:c r="G86" s="192" t="str">
        <x:v>Cultural, trauma, spiritual, and language differential</x:v>
      </x:c>
      <x:c r="H86" s="192" t="str">
        <x:v>Difficult</x:v>
      </x:c>
      <x:c r="I86" s="192" t="str">
        <x:v>Integrated Clinical Reasoning</x:v>
      </x:c>
      <x:c r="J86" s="192" t="str">
        <x:v>A</x:v>
      </x:c>
      <x:c r="K86" s="192" t="n">
        <x:v>1</x:v>
      </x:c>
      <x:c r="L86" s="192" t="str"/>
      <x:c r="M86" s="192" t="str">
        <x:v>Released</x:v>
      </x:c>
      <x:c r="N86" s="194" t="str">
        <x:v>Workbook bank; reserve pool after controlled review</x:v>
      </x:c>
    </x:row>
    <x:row r="87">
      <x:c r="A87" s="191" t="str">
        <x:v>CTA-LMFT-MQB-0086</x:v>
      </x:c>
      <x:c r="B87" s="192" t="str">
        <x:v>LMFT-WB06-QB-Q001</x:v>
      </x:c>
      <x:c r="C87" s="192" t="str">
        <x:v>LMFT Workbook 6 Question Bank</x:v>
      </x:c>
      <x:c r="D87" s="192" t="n">
        <x:v>1</x:v>
      </x:c>
      <x:c r="E87" s="192" t="str">
        <x:v>Workbook Bank</x:v>
      </x:c>
      <x:c r="F87" s="192" t="str">
        <x:v>3. Managing Crisis Situations</x:v>
      </x:c>
      <x:c r="G87" s="192" t="str">
        <x:v>SAFER direct assessment</x:v>
      </x:c>
      <x:c r="H87" s="192" t="str">
        <x:v>Easy</x:v>
      </x:c>
      <x:c r="I87" s="192" t="str">
        <x:v>Application</x:v>
      </x:c>
      <x:c r="J87" s="192" t="str">
        <x:v>B</x:v>
      </x:c>
      <x:c r="K87" s="192" t="n">
        <x:v>1</x:v>
      </x:c>
      <x:c r="L87" s="192" t="str"/>
      <x:c r="M87" s="192" t="str">
        <x:v>Released</x:v>
      </x:c>
      <x:c r="N87" s="194" t="str">
        <x:v>Workbook bank; reserve pool after controlled review</x:v>
      </x:c>
    </x:row>
    <x:row r="88">
      <x:c r="A88" s="191" t="str">
        <x:v>CTA-LMFT-MQB-0087</x:v>
      </x:c>
      <x:c r="B88" s="192" t="str">
        <x:v>LMFT-WB06-QB-Q002</x:v>
      </x:c>
      <x:c r="C88" s="192" t="str">
        <x:v>LMFT Workbook 6 Question Bank</x:v>
      </x:c>
      <x:c r="D88" s="192" t="n">
        <x:v>2</x:v>
      </x:c>
      <x:c r="E88" s="192" t="str">
        <x:v>Workbook Bank</x:v>
      </x:c>
      <x:c r="F88" s="192" t="str">
        <x:v>3. Managing Crisis Situations</x:v>
      </x:c>
      <x:c r="G88" s="192" t="str">
        <x:v>Dynamic risk factors</x:v>
      </x:c>
      <x:c r="H88" s="192" t="str">
        <x:v>Easy</x:v>
      </x:c>
      <x:c r="I88" s="192" t="str">
        <x:v>Knowledge &amp; Recall</x:v>
      </x:c>
      <x:c r="J88" s="192" t="str">
        <x:v>A</x:v>
      </x:c>
      <x:c r="K88" s="192" t="n">
        <x:v>1</x:v>
      </x:c>
      <x:c r="L88" s="192" t="str"/>
      <x:c r="M88" s="192" t="str">
        <x:v>Released</x:v>
      </x:c>
      <x:c r="N88" s="194" t="str">
        <x:v>Workbook bank; reserve pool after controlled review</x:v>
      </x:c>
    </x:row>
    <x:row r="89">
      <x:c r="A89" s="191" t="str">
        <x:v>CTA-LMFT-MQB-0088</x:v>
      </x:c>
      <x:c r="B89" s="192" t="str">
        <x:v>LMFT-WB06-QB-Q003</x:v>
      </x:c>
      <x:c r="C89" s="192" t="str">
        <x:v>LMFT Workbook 6 Question Bank</x:v>
      </x:c>
      <x:c r="D89" s="192" t="n">
        <x:v>3</x:v>
      </x:c>
      <x:c r="E89" s="192" t="str">
        <x:v>Workbook Bank</x:v>
      </x:c>
      <x:c r="F89" s="192" t="str">
        <x:v>3. Managing Crisis Situations</x:v>
      </x:c>
      <x:c r="G89" s="192" t="str">
        <x:v>Collaborative safety planning</x:v>
      </x:c>
      <x:c r="H89" s="192" t="str">
        <x:v>Easy</x:v>
      </x:c>
      <x:c r="I89" s="192" t="str">
        <x:v>Knowledge &amp; Recall</x:v>
      </x:c>
      <x:c r="J89" s="192" t="str">
        <x:v>C</x:v>
      </x:c>
      <x:c r="K89" s="192" t="n">
        <x:v>1</x:v>
      </x:c>
      <x:c r="L89" s="192" t="str"/>
      <x:c r="M89" s="192" t="str">
        <x:v>Released</x:v>
      </x:c>
      <x:c r="N89" s="194" t="str">
        <x:v>Workbook bank; reserve pool after controlled review</x:v>
      </x:c>
    </x:row>
    <x:row r="90">
      <x:c r="A90" s="191" t="str">
        <x:v>CTA-LMFT-MQB-0089</x:v>
      </x:c>
      <x:c r="B90" s="192" t="str">
        <x:v>LMFT-WB06-QB-Q004</x:v>
      </x:c>
      <x:c r="C90" s="192" t="str">
        <x:v>LMFT Workbook 6 Question Bank</x:v>
      </x:c>
      <x:c r="D90" s="192" t="n">
        <x:v>4</x:v>
      </x:c>
      <x:c r="E90" s="192" t="str">
        <x:v>Workbook Bank</x:v>
      </x:c>
      <x:c r="F90" s="192" t="str">
        <x:v>3. Managing Crisis Situations</x:v>
      </x:c>
      <x:c r="G90" s="192" t="str">
        <x:v>Reasonable suspicion and child reporting</x:v>
      </x:c>
      <x:c r="H90" s="192" t="str">
        <x:v>Easy</x:v>
      </x:c>
      <x:c r="I90" s="192" t="str">
        <x:v>Application</x:v>
      </x:c>
      <x:c r="J90" s="192" t="str">
        <x:v>D</x:v>
      </x:c>
      <x:c r="K90" s="192" t="n">
        <x:v>1</x:v>
      </x:c>
      <x:c r="L90" s="192" t="str"/>
      <x:c r="M90" s="192" t="str">
        <x:v>Released</x:v>
      </x:c>
      <x:c r="N90" s="194" t="str">
        <x:v>Workbook bank; reserve pool after controlled review</x:v>
      </x:c>
    </x:row>
    <x:row r="91">
      <x:c r="A91" s="191" t="str">
        <x:v>CTA-LMFT-MQB-0090</x:v>
      </x:c>
      <x:c r="B91" s="192" t="str">
        <x:v>LMFT-WB06-QB-Q005</x:v>
      </x:c>
      <x:c r="C91" s="192" t="str">
        <x:v>LMFT Workbook 6 Question Bank</x:v>
      </x:c>
      <x:c r="D91" s="192" t="n">
        <x:v>5</x:v>
      </x:c>
      <x:c r="E91" s="192" t="str">
        <x:v>Workbook Bank</x:v>
      </x:c>
      <x:c r="F91" s="192" t="str">
        <x:v>3. Managing Crisis Situations</x:v>
      </x:c>
      <x:c r="G91" s="192" t="str">
        <x:v>Section 5150 scope</x:v>
      </x:c>
      <x:c r="H91" s="192" t="str">
        <x:v>Easy</x:v>
      </x:c>
      <x:c r="I91" s="192" t="str">
        <x:v>Knowledge &amp; Recall</x:v>
      </x:c>
      <x:c r="J91" s="192" t="str">
        <x:v>A</x:v>
      </x:c>
      <x:c r="K91" s="192" t="n">
        <x:v>1</x:v>
      </x:c>
      <x:c r="L91" s="192" t="str"/>
      <x:c r="M91" s="192" t="str">
        <x:v>Released</x:v>
      </x:c>
      <x:c r="N91" s="194" t="str">
        <x:v>Workbook bank; reserve pool after controlled review</x:v>
      </x:c>
    </x:row>
    <x:row r="92">
      <x:c r="A92" s="191" t="str">
        <x:v>CTA-LMFT-MQB-0091</x:v>
      </x:c>
      <x:c r="B92" s="192" t="str">
        <x:v>LMFT-WB06-QB-Q006</x:v>
      </x:c>
      <x:c r="C92" s="192" t="str">
        <x:v>LMFT Workbook 6 Question Bank</x:v>
      </x:c>
      <x:c r="D92" s="192" t="n">
        <x:v>6</x:v>
      </x:c>
      <x:c r="E92" s="192" t="str">
        <x:v>Workbook Bank</x:v>
      </x:c>
      <x:c r="F92" s="192" t="str">
        <x:v>3. Managing Crisis Situations</x:v>
      </x:c>
      <x:c r="G92" s="192" t="str">
        <x:v>Telehealth crisis location</x:v>
      </x:c>
      <x:c r="H92" s="192" t="str">
        <x:v>Moderate</x:v>
      </x:c>
      <x:c r="I92" s="192" t="str">
        <x:v>Scenario-Based</x:v>
      </x:c>
      <x:c r="J92" s="192" t="str">
        <x:v>B</x:v>
      </x:c>
      <x:c r="K92" s="192" t="n">
        <x:v>1</x:v>
      </x:c>
      <x:c r="L92" s="192" t="str"/>
      <x:c r="M92" s="192" t="str">
        <x:v>Released</x:v>
      </x:c>
      <x:c r="N92" s="194" t="str">
        <x:v>Workbook bank; reserve pool after controlled review</x:v>
      </x:c>
    </x:row>
    <x:row r="93">
      <x:c r="A93" s="191" t="str">
        <x:v>CTA-LMFT-MQB-0092</x:v>
      </x:c>
      <x:c r="B93" s="192" t="str">
        <x:v>LMFT-WB06-QB-Q007</x:v>
      </x:c>
      <x:c r="C93" s="192" t="str">
        <x:v>LMFT Workbook 6 Question Bank</x:v>
      </x:c>
      <x:c r="D93" s="192" t="n">
        <x:v>7</x:v>
      </x:c>
      <x:c r="E93" s="192" t="str">
        <x:v>Workbook Bank</x:v>
      </x:c>
      <x:c r="F93" s="192" t="str">
        <x:v>3. Managing Crisis Situations</x:v>
      </x:c>
      <x:c r="G93" s="192" t="str">
        <x:v>Nonsuicidal self-injury assessment</x:v>
      </x:c>
      <x:c r="H93" s="192" t="str">
        <x:v>Moderate</x:v>
      </x:c>
      <x:c r="I93" s="192" t="str">
        <x:v>Application</x:v>
      </x:c>
      <x:c r="J93" s="192" t="str">
        <x:v>C</x:v>
      </x:c>
      <x:c r="K93" s="192" t="n">
        <x:v>1</x:v>
      </x:c>
      <x:c r="L93" s="192" t="str"/>
      <x:c r="M93" s="192" t="str">
        <x:v>Released</x:v>
      </x:c>
      <x:c r="N93" s="194" t="str">
        <x:v>Workbook bank; reserve pool after controlled review</x:v>
      </x:c>
    </x:row>
    <x:row r="94">
      <x:c r="A94" s="191" t="str">
        <x:v>CTA-LMFT-MQB-0093</x:v>
      </x:c>
      <x:c r="B94" s="192" t="str">
        <x:v>LMFT-WB06-QB-Q008</x:v>
      </x:c>
      <x:c r="C94" s="192" t="str">
        <x:v>LMFT Workbook 6 Question Bank</x:v>
      </x:c>
      <x:c r="D94" s="192" t="n">
        <x:v>8</x:v>
      </x:c>
      <x:c r="E94" s="192" t="str">
        <x:v>Workbook Bank</x:v>
      </x:c>
      <x:c r="F94" s="192" t="str">
        <x:v>3. Managing Crisis Situations</x:v>
      </x:c>
      <x:c r="G94" s="192" t="str">
        <x:v>Violence-risk clarification</x:v>
      </x:c>
      <x:c r="H94" s="192" t="str">
        <x:v>Moderate</x:v>
      </x:c>
      <x:c r="I94" s="192" t="str">
        <x:v>Scenario-Based</x:v>
      </x:c>
      <x:c r="J94" s="192" t="str">
        <x:v>D</x:v>
      </x:c>
      <x:c r="K94" s="192" t="n">
        <x:v>1</x:v>
      </x:c>
      <x:c r="L94" s="192" t="str"/>
      <x:c r="M94" s="192" t="str">
        <x:v>Released</x:v>
      </x:c>
      <x:c r="N94" s="194" t="str">
        <x:v>Workbook bank; reserve pool after controlled review</x:v>
      </x:c>
    </x:row>
    <x:row r="95">
      <x:c r="A95" s="191" t="str">
        <x:v>CTA-LMFT-MQB-0094</x:v>
      </x:c>
      <x:c r="B95" s="192" t="str">
        <x:v>LMFT-WB06-QB-Q009</x:v>
      </x:c>
      <x:c r="C95" s="192" t="str">
        <x:v>LMFT Workbook 6 Question Bank</x:v>
      </x:c>
      <x:c r="D95" s="192" t="n">
        <x:v>9</x:v>
      </x:c>
      <x:c r="E95" s="192" t="str">
        <x:v>Workbook Bank</x:v>
      </x:c>
      <x:c r="F95" s="192" t="str">
        <x:v>3. Managing Crisis Situations</x:v>
      </x:c>
      <x:c r="G95" s="192" t="str">
        <x:v>Elder abuse and basic needs</x:v>
      </x:c>
      <x:c r="H95" s="192" t="str">
        <x:v>Moderate</x:v>
      </x:c>
      <x:c r="I95" s="192" t="str">
        <x:v>Scenario-Based</x:v>
      </x:c>
      <x:c r="J95" s="192" t="str">
        <x:v>A</x:v>
      </x:c>
      <x:c r="K95" s="192" t="n">
        <x:v>1</x:v>
      </x:c>
      <x:c r="L95" s="192" t="str"/>
      <x:c r="M95" s="192" t="str">
        <x:v>Released</x:v>
      </x:c>
      <x:c r="N95" s="194" t="str">
        <x:v>Workbook bank; reserve pool after controlled review</x:v>
      </x:c>
    </x:row>
    <x:row r="96">
      <x:c r="A96" s="191" t="str">
        <x:v>CTA-LMFT-MQB-0095</x:v>
      </x:c>
      <x:c r="B96" s="192" t="str">
        <x:v>LMFT-WB06-QB-Q010</x:v>
      </x:c>
      <x:c r="C96" s="192" t="str">
        <x:v>LMFT Workbook 6 Question Bank</x:v>
      </x:c>
      <x:c r="D96" s="192" t="n">
        <x:v>10</x:v>
      </x:c>
      <x:c r="E96" s="192" t="str">
        <x:v>Workbook Bank</x:v>
      </x:c>
      <x:c r="F96" s="192" t="str">
        <x:v>3. Managing Crisis Situations</x:v>
      </x:c>
      <x:c r="G96" s="192" t="str">
        <x:v>Coercive control and conjoint safety</x:v>
      </x:c>
      <x:c r="H96" s="192" t="str">
        <x:v>Moderate</x:v>
      </x:c>
      <x:c r="I96" s="192" t="str">
        <x:v>Scenario-Based</x:v>
      </x:c>
      <x:c r="J96" s="192" t="str">
        <x:v>B</x:v>
      </x:c>
      <x:c r="K96" s="192" t="n">
        <x:v>1</x:v>
      </x:c>
      <x:c r="L96" s="192" t="str"/>
      <x:c r="M96" s="192" t="str">
        <x:v>Released</x:v>
      </x:c>
      <x:c r="N96" s="194" t="str">
        <x:v>Workbook bank; reserve pool after controlled review</x:v>
      </x:c>
    </x:row>
    <x:row r="97">
      <x:c r="A97" s="191" t="str">
        <x:v>CTA-LMFT-MQB-0096</x:v>
      </x:c>
      <x:c r="B97" s="192" t="str">
        <x:v>LMFT-WB06-QB-Q011</x:v>
      </x:c>
      <x:c r="C97" s="192" t="str">
        <x:v>LMFT Workbook 6 Question Bank</x:v>
      </x:c>
      <x:c r="D97" s="192" t="n">
        <x:v>11</x:v>
      </x:c>
      <x:c r="E97" s="192" t="str">
        <x:v>Workbook Bank</x:v>
      </x:c>
      <x:c r="F97" s="192" t="str">
        <x:v>3. Managing Crisis Situations</x:v>
      </x:c>
      <x:c r="G97" s="192" t="str">
        <x:v>Sedative withdrawal emergency</x:v>
      </x:c>
      <x:c r="H97" s="192" t="str">
        <x:v>Moderate</x:v>
      </x:c>
      <x:c r="I97" s="192" t="str">
        <x:v>Application</x:v>
      </x:c>
      <x:c r="J97" s="192" t="str">
        <x:v>C</x:v>
      </x:c>
      <x:c r="K97" s="192" t="n">
        <x:v>1</x:v>
      </x:c>
      <x:c r="L97" s="192" t="str"/>
      <x:c r="M97" s="192" t="str">
        <x:v>Released</x:v>
      </x:c>
      <x:c r="N97" s="194" t="str">
        <x:v>Workbook bank; reserve pool after controlled review</x:v>
      </x:c>
    </x:row>
    <x:row r="98">
      <x:c r="A98" s="191" t="str">
        <x:v>CTA-LMFT-MQB-0097</x:v>
      </x:c>
      <x:c r="B98" s="192" t="str">
        <x:v>LMFT-WB06-QB-Q012</x:v>
      </x:c>
      <x:c r="C98" s="192" t="str">
        <x:v>LMFT Workbook 6 Question Bank</x:v>
      </x:c>
      <x:c r="D98" s="192" t="n">
        <x:v>12</x:v>
      </x:c>
      <x:c r="E98" s="192" t="str">
        <x:v>Workbook Bank</x:v>
      </x:c>
      <x:c r="F98" s="192" t="str">
        <x:v>3. Managing Crisis Situations</x:v>
      </x:c>
      <x:c r="G98" s="192" t="str">
        <x:v>Disaster stabilization</x:v>
      </x:c>
      <x:c r="H98" s="192" t="str">
        <x:v>Moderate</x:v>
      </x:c>
      <x:c r="I98" s="192" t="str">
        <x:v>Scenario-Based</x:v>
      </x:c>
      <x:c r="J98" s="192" t="str">
        <x:v>D</x:v>
      </x:c>
      <x:c r="K98" s="192" t="n">
        <x:v>1</x:v>
      </x:c>
      <x:c r="L98" s="192" t="str"/>
      <x:c r="M98" s="192" t="str">
        <x:v>Released</x:v>
      </x:c>
      <x:c r="N98" s="194" t="str">
        <x:v>Workbook bank; reserve pool after controlled review</x:v>
      </x:c>
    </x:row>
    <x:row r="99">
      <x:c r="A99" s="191" t="str">
        <x:v>CTA-LMFT-MQB-0098</x:v>
      </x:c>
      <x:c r="B99" s="192" t="str">
        <x:v>LMFT-WB06-QB-Q013</x:v>
      </x:c>
      <x:c r="C99" s="192" t="str">
        <x:v>LMFT Workbook 6 Question Bank</x:v>
      </x:c>
      <x:c r="D99" s="192" t="n">
        <x:v>13</x:v>
      </x:c>
      <x:c r="E99" s="192" t="str">
        <x:v>Workbook Bank</x:v>
      </x:c>
      <x:c r="F99" s="192" t="str">
        <x:v>3. Managing Crisis Situations</x:v>
      </x:c>
      <x:c r="G99" s="192" t="str">
        <x:v>Interrupted suicide behavior</x:v>
      </x:c>
      <x:c r="H99" s="192" t="str">
        <x:v>Difficult</x:v>
      </x:c>
      <x:c r="I99" s="192" t="str">
        <x:v>Integrated Clinical Reasoning</x:v>
      </x:c>
      <x:c r="J99" s="192" t="str">
        <x:v>A</x:v>
      </x:c>
      <x:c r="K99" s="192" t="n">
        <x:v>1</x:v>
      </x:c>
      <x:c r="L99" s="192" t="str"/>
      <x:c r="M99" s="192" t="str">
        <x:v>Released</x:v>
      </x:c>
      <x:c r="N99" s="194" t="str">
        <x:v>Workbook bank; reserve pool after controlled review</x:v>
      </x:c>
    </x:row>
    <x:row r="100">
      <x:c r="A100" s="191" t="str">
        <x:v>CTA-LMFT-MQB-0099</x:v>
      </x:c>
      <x:c r="B100" s="192" t="str">
        <x:v>LMFT-WB06-QB-Q014</x:v>
      </x:c>
      <x:c r="C100" s="192" t="str">
        <x:v>LMFT Workbook 6 Question Bank</x:v>
      </x:c>
      <x:c r="D100" s="192" t="n">
        <x:v>14</x:v>
      </x:c>
      <x:c r="E100" s="192" t="str">
        <x:v>Workbook Bank</x:v>
      </x:c>
      <x:c r="F100" s="192" t="str">
        <x:v>3. Managing Crisis Situations</x:v>
      </x:c>
      <x:c r="G100" s="192" t="str">
        <x:v>Specific adolescent violence threat</x:v>
      </x:c>
      <x:c r="H100" s="192" t="str">
        <x:v>Difficult</x:v>
      </x:c>
      <x:c r="I100" s="192" t="str">
        <x:v>Integrated Clinical Reasoning</x:v>
      </x:c>
      <x:c r="J100" s="192" t="str">
        <x:v>B</x:v>
      </x:c>
      <x:c r="K100" s="192" t="n">
        <x:v>1</x:v>
      </x:c>
      <x:c r="L100" s="192" t="str"/>
      <x:c r="M100" s="192" t="str">
        <x:v>Released</x:v>
      </x:c>
      <x:c r="N100" s="194" t="str">
        <x:v>Workbook bank; reserve pool after controlled review</x:v>
      </x:c>
    </x:row>
    <x:row r="101">
      <x:c r="A101" s="191" t="str">
        <x:v>CTA-LMFT-MQB-0100</x:v>
      </x:c>
      <x:c r="B101" s="192" t="str">
        <x:v>LMFT-WB06-QB-Q015</x:v>
      </x:c>
      <x:c r="C101" s="192" t="str">
        <x:v>LMFT Workbook 6 Question Bank</x:v>
      </x:c>
      <x:c r="D101" s="192" t="n">
        <x:v>15</x:v>
      </x:c>
      <x:c r="E101" s="192" t="str">
        <x:v>Workbook Bank</x:v>
      </x:c>
      <x:c r="F101" s="192" t="str">
        <x:v>3. Managing Crisis Situations</x:v>
      </x:c>
      <x:c r="G101" s="192" t="str">
        <x:v>Psychosis, grave disability, and scope</x:v>
      </x:c>
      <x:c r="H101" s="192" t="str">
        <x:v>Difficult</x:v>
      </x:c>
      <x:c r="I101" s="192" t="str">
        <x:v>Integrated Clinical Reasoning</x:v>
      </x:c>
      <x:c r="J101" s="192" t="str">
        <x:v>C</x:v>
      </x:c>
      <x:c r="K101" s="192" t="n">
        <x:v>1</x:v>
      </x:c>
      <x:c r="L101" s="192" t="str"/>
      <x:c r="M101" s="192" t="str">
        <x:v>Released</x:v>
      </x:c>
      <x:c r="N101" s="194" t="str">
        <x:v>Workbook bank; reserve pool after controlled review</x:v>
      </x:c>
    </x:row>
    <x:row r="102">
      <x:c r="A102" s="191" t="str">
        <x:v>CTA-LMFT-MQB-0101</x:v>
      </x:c>
      <x:c r="B102" s="192" t="str">
        <x:v>LMFT-WB06-QB-Q016</x:v>
      </x:c>
      <x:c r="C102" s="192" t="str">
        <x:v>LMFT Workbook 6 Question Bank</x:v>
      </x:c>
      <x:c r="D102" s="192" t="n">
        <x:v>16</x:v>
      </x:c>
      <x:c r="E102" s="192" t="str">
        <x:v>Workbook Bank</x:v>
      </x:c>
      <x:c r="F102" s="192" t="str">
        <x:v>3. Managing Crisis Situations</x:v>
      </x:c>
      <x:c r="G102" s="192" t="str">
        <x:v>Child abuse with immediate retaliation risk</x:v>
      </x:c>
      <x:c r="H102" s="192" t="str">
        <x:v>Difficult</x:v>
      </x:c>
      <x:c r="I102" s="192" t="str">
        <x:v>Integrated Clinical Reasoning</x:v>
      </x:c>
      <x:c r="J102" s="192" t="str">
        <x:v>D</x:v>
      </x:c>
      <x:c r="K102" s="192" t="n">
        <x:v>1</x:v>
      </x:c>
      <x:c r="L102" s="192" t="str"/>
      <x:c r="M102" s="192" t="str">
        <x:v>Released</x:v>
      </x:c>
      <x:c r="N102" s="194" t="str">
        <x:v>Workbook bank; reserve pool after controlled review</x:v>
      </x:c>
    </x:row>
    <x:row r="103">
      <x:c r="A103" s="191" t="str">
        <x:v>CTA-LMFT-MQB-0102</x:v>
      </x:c>
      <x:c r="B103" s="192" t="str">
        <x:v>LMFT-WB06-QB-Q017</x:v>
      </x:c>
      <x:c r="C103" s="192" t="str">
        <x:v>LMFT Workbook 6 Question Bank</x:v>
      </x:c>
      <x:c r="D103" s="192" t="n">
        <x:v>17</x:v>
      </x:c>
      <x:c r="E103" s="192" t="str">
        <x:v>Workbook Bank</x:v>
      </x:c>
      <x:c r="F103" s="192" t="str">
        <x:v>3. Managing Crisis Situations</x:v>
      </x:c>
      <x:c r="G103" s="192" t="str">
        <x:v>Least restrictive supported disposition</x:v>
      </x:c>
      <x:c r="H103" s="192" t="str">
        <x:v>Difficult</x:v>
      </x:c>
      <x:c r="I103" s="192" t="str">
        <x:v>Integrated Clinical Reasoning</x:v>
      </x:c>
      <x:c r="J103" s="192" t="str">
        <x:v>A</x:v>
      </x:c>
      <x:c r="K103" s="192" t="n">
        <x:v>1</x:v>
      </x:c>
      <x:c r="L103" s="192" t="str"/>
      <x:c r="M103" s="192" t="str">
        <x:v>Released</x:v>
      </x:c>
      <x:c r="N103" s="194" t="str">
        <x:v>Workbook bank; reserve pool after controlled review</x:v>
      </x:c>
    </x:row>
    <x:row r="104">
      <x:c r="A104" s="191" t="str">
        <x:v>CTA-LMFT-MQB-0103</x:v>
      </x:c>
      <x:c r="B104" s="192" t="str">
        <x:v>LMFT-WB07-QB-Q001</x:v>
      </x:c>
      <x:c r="C104" s="192" t="str">
        <x:v>LMFT Workbook 7 Question Bank</x:v>
      </x:c>
      <x:c r="D104" s="192" t="n">
        <x:v>1</x:v>
      </x:c>
      <x:c r="E104" s="192" t="str">
        <x:v>Workbook Bank</x:v>
      </x:c>
      <x:c r="F104" s="192" t="str">
        <x:v>4. Case Conceptualization and Planning</x:v>
      </x:c>
      <x:c r="G104" s="192" t="str">
        <x:v>PLAN-ER sequence</x:v>
      </x:c>
      <x:c r="H104" s="192" t="str">
        <x:v>Easy</x:v>
      </x:c>
      <x:c r="I104" s="192" t="str">
        <x:v>Knowledge &amp; Recall</x:v>
      </x:c>
      <x:c r="J104" s="192" t="str">
        <x:v>B</x:v>
      </x:c>
      <x:c r="K104" s="192" t="n">
        <x:v>1</x:v>
      </x:c>
      <x:c r="L104" s="192" t="str"/>
      <x:c r="M104" s="192" t="str">
        <x:v>Released</x:v>
      </x:c>
      <x:c r="N104" s="194" t="str">
        <x:v>Workbook bank; reserve pool after controlled review</x:v>
      </x:c>
    </x:row>
    <x:row r="105">
      <x:c r="A105" s="191" t="str">
        <x:v>CTA-LMFT-MQB-0104</x:v>
      </x:c>
      <x:c r="B105" s="192" t="str">
        <x:v>LMFT-WB07-QB-Q002</x:v>
      </x:c>
      <x:c r="C105" s="192" t="str">
        <x:v>LMFT Workbook 7 Question Bank</x:v>
      </x:c>
      <x:c r="D105" s="192" t="n">
        <x:v>2</x:v>
      </x:c>
      <x:c r="E105" s="192" t="str">
        <x:v>Workbook Bank</x:v>
      </x:c>
      <x:c r="F105" s="192" t="str">
        <x:v>4. Case Conceptualization and Planning</x:v>
      </x:c>
      <x:c r="G105" s="192" t="str">
        <x:v>Goal hierarchy</x:v>
      </x:c>
      <x:c r="H105" s="192" t="str">
        <x:v>Easy</x:v>
      </x:c>
      <x:c r="I105" s="192" t="str">
        <x:v>Application</x:v>
      </x:c>
      <x:c r="J105" s="192" t="str">
        <x:v>A</x:v>
      </x:c>
      <x:c r="K105" s="192" t="n">
        <x:v>1</x:v>
      </x:c>
      <x:c r="L105" s="192" t="str"/>
      <x:c r="M105" s="192" t="str">
        <x:v>Released</x:v>
      </x:c>
      <x:c r="N105" s="194" t="str">
        <x:v>Workbook bank; reserve pool after controlled review</x:v>
      </x:c>
    </x:row>
    <x:row r="106">
      <x:c r="A106" s="191" t="str">
        <x:v>CTA-LMFT-MQB-0105</x:v>
      </x:c>
      <x:c r="B106" s="192" t="str">
        <x:v>LMFT-WB07-QB-Q003</x:v>
      </x:c>
      <x:c r="C106" s="192" t="str">
        <x:v>LMFT Workbook 7 Question Bank</x:v>
      </x:c>
      <x:c r="D106" s="192" t="n">
        <x:v>3</x:v>
      </x:c>
      <x:c r="E106" s="192" t="str">
        <x:v>Workbook Bank</x:v>
      </x:c>
      <x:c r="F106" s="192" t="str">
        <x:v>4. Case Conceptualization and Planning</x:v>
      </x:c>
      <x:c r="G106" s="192" t="str">
        <x:v>Measurable goals</x:v>
      </x:c>
      <x:c r="H106" s="192" t="str">
        <x:v>Easy</x:v>
      </x:c>
      <x:c r="I106" s="192" t="str">
        <x:v>Knowledge &amp; Recall</x:v>
      </x:c>
      <x:c r="J106" s="192" t="str">
        <x:v>C</x:v>
      </x:c>
      <x:c r="K106" s="192" t="n">
        <x:v>1</x:v>
      </x:c>
      <x:c r="L106" s="192" t="str"/>
      <x:c r="M106" s="192" t="str">
        <x:v>Released</x:v>
      </x:c>
      <x:c r="N106" s="194" t="str">
        <x:v>Workbook bank; reserve pool after controlled review</x:v>
      </x:c>
    </x:row>
    <x:row r="107">
      <x:c r="A107" s="191" t="str">
        <x:v>CTA-LMFT-MQB-0106</x:v>
      </x:c>
      <x:c r="B107" s="192" t="str">
        <x:v>LMFT-WB07-QB-Q004</x:v>
      </x:c>
      <x:c r="C107" s="192" t="str">
        <x:v>LMFT Workbook 7 Question Bank</x:v>
      </x:c>
      <x:c r="D107" s="192" t="n">
        <x:v>4</x:v>
      </x:c>
      <x:c r="E107" s="192" t="str">
        <x:v>Workbook Bank</x:v>
      </x:c>
      <x:c r="F107" s="192" t="str">
        <x:v>4. Case Conceptualization and Planning</x:v>
      </x:c>
      <x:c r="G107" s="192" t="str">
        <x:v>Unit of treatment</x:v>
      </x:c>
      <x:c r="H107" s="192" t="str">
        <x:v>Easy</x:v>
      </x:c>
      <x:c r="I107" s="192" t="str">
        <x:v>Scenario-Based</x:v>
      </x:c>
      <x:c r="J107" s="192" t="str">
        <x:v>D</x:v>
      </x:c>
      <x:c r="K107" s="192" t="n">
        <x:v>1</x:v>
      </x:c>
      <x:c r="L107" s="192" t="str"/>
      <x:c r="M107" s="192" t="str">
        <x:v>Released</x:v>
      </x:c>
      <x:c r="N107" s="194" t="str">
        <x:v>Workbook bank; reserve pool after controlled review</x:v>
      </x:c>
    </x:row>
    <x:row r="108">
      <x:c r="A108" s="191" t="str">
        <x:v>CTA-LMFT-MQB-0107</x:v>
      </x:c>
      <x:c r="B108" s="192" t="str">
        <x:v>LMFT-WB07-QB-Q005</x:v>
      </x:c>
      <x:c r="C108" s="192" t="str">
        <x:v>LMFT Workbook 7 Question Bank</x:v>
      </x:c>
      <x:c r="D108" s="192" t="n">
        <x:v>5</x:v>
      </x:c>
      <x:c r="E108" s="192" t="str">
        <x:v>Workbook Bank</x:v>
      </x:c>
      <x:c r="F108" s="192" t="str">
        <x:v>4. Case Conceptualization and Planning</x:v>
      </x:c>
      <x:c r="G108" s="192" t="str">
        <x:v>Theory-informed planning</x:v>
      </x:c>
      <x:c r="H108" s="192" t="str">
        <x:v>Easy</x:v>
      </x:c>
      <x:c r="I108" s="192" t="str">
        <x:v>Application</x:v>
      </x:c>
      <x:c r="J108" s="192" t="str">
        <x:v>A</x:v>
      </x:c>
      <x:c r="K108" s="192" t="n">
        <x:v>1</x:v>
      </x:c>
      <x:c r="L108" s="192" t="str"/>
      <x:c r="M108" s="192" t="str">
        <x:v>Released</x:v>
      </x:c>
      <x:c r="N108" s="194" t="str">
        <x:v>Workbook bank; reserve pool after controlled review</x:v>
      </x:c>
    </x:row>
    <x:row r="109">
      <x:c r="A109" s="191" t="str">
        <x:v>CTA-LMFT-MQB-0108</x:v>
      </x:c>
      <x:c r="B109" s="192" t="str">
        <x:v>LMFT-WB07-QB-Q006</x:v>
      </x:c>
      <x:c r="C109" s="192" t="str">
        <x:v>LMFT Workbook 7 Question Bank</x:v>
      </x:c>
      <x:c r="D109" s="192" t="n">
        <x:v>6</x:v>
      </x:c>
      <x:c r="E109" s="192" t="str">
        <x:v>Workbook Bank</x:v>
      </x:c>
      <x:c r="F109" s="192" t="str">
        <x:v>4. Case Conceptualization and Planning</x:v>
      </x:c>
      <x:c r="G109" s="192" t="str">
        <x:v>Alliance rupture</x:v>
      </x:c>
      <x:c r="H109" s="192" t="str">
        <x:v>Moderate</x:v>
      </x:c>
      <x:c r="I109" s="192" t="str">
        <x:v>Scenario-Based</x:v>
      </x:c>
      <x:c r="J109" s="192" t="str">
        <x:v>D</x:v>
      </x:c>
      <x:c r="K109" s="192" t="n">
        <x:v>1</x:v>
      </x:c>
      <x:c r="L109" s="192" t="str"/>
      <x:c r="M109" s="192" t="str">
        <x:v>Released</x:v>
      </x:c>
      <x:c r="N109" s="194" t="str">
        <x:v>Workbook bank; reserve pool after controlled review</x:v>
      </x:c>
    </x:row>
    <x:row r="110">
      <x:c r="A110" s="191" t="str">
        <x:v>CTA-LMFT-MQB-0109</x:v>
      </x:c>
      <x:c r="B110" s="192" t="str">
        <x:v>LMFT-WB07-QB-Q007</x:v>
      </x:c>
      <x:c r="C110" s="192" t="str">
        <x:v>LMFT Workbook 7 Question Bank</x:v>
      </x:c>
      <x:c r="D110" s="192" t="n">
        <x:v>7</x:v>
      </x:c>
      <x:c r="E110" s="192" t="str">
        <x:v>Workbook Bank</x:v>
      </x:c>
      <x:c r="F110" s="192" t="str">
        <x:v>4. Case Conceptualization and Planning</x:v>
      </x:c>
      <x:c r="G110" s="192" t="str">
        <x:v>Outcome monitoring</x:v>
      </x:c>
      <x:c r="H110" s="192" t="str">
        <x:v>Moderate</x:v>
      </x:c>
      <x:c r="I110" s="192" t="str">
        <x:v>Application</x:v>
      </x:c>
      <x:c r="J110" s="192" t="str">
        <x:v>C</x:v>
      </x:c>
      <x:c r="K110" s="192" t="n">
        <x:v>1</x:v>
      </x:c>
      <x:c r="L110" s="192" t="str"/>
      <x:c r="M110" s="192" t="str">
        <x:v>Released</x:v>
      </x:c>
      <x:c r="N110" s="194" t="str">
        <x:v>Workbook bank; reserve pool after controlled review</x:v>
      </x:c>
    </x:row>
    <x:row r="111">
      <x:c r="A111" s="191" t="str">
        <x:v>CTA-LMFT-MQB-0110</x:v>
      </x:c>
      <x:c r="B111" s="192" t="str">
        <x:v>LMFT-WB07-QB-Q008</x:v>
      </x:c>
      <x:c r="C111" s="192" t="str">
        <x:v>LMFT Workbook 7 Question Bank</x:v>
      </x:c>
      <x:c r="D111" s="192" t="n">
        <x:v>8</x:v>
      </x:c>
      <x:c r="E111" s="192" t="str">
        <x:v>Workbook Bank</x:v>
      </x:c>
      <x:c r="F111" s="192" t="str">
        <x:v>4. Case Conceptualization and Planning</x:v>
      </x:c>
      <x:c r="G111" s="192" t="str">
        <x:v>Third-party referral limits</x:v>
      </x:c>
      <x:c r="H111" s="192" t="str">
        <x:v>Moderate</x:v>
      </x:c>
      <x:c r="I111" s="192" t="str">
        <x:v>Scenario-Based</x:v>
      </x:c>
      <x:c r="J111" s="192" t="str">
        <x:v>B</x:v>
      </x:c>
      <x:c r="K111" s="192" t="n">
        <x:v>1</x:v>
      </x:c>
      <x:c r="L111" s="192" t="str"/>
      <x:c r="M111" s="192" t="str">
        <x:v>Released</x:v>
      </x:c>
      <x:c r="N111" s="194" t="str">
        <x:v>Workbook bank; reserve pool after controlled review</x:v>
      </x:c>
    </x:row>
    <x:row r="112">
      <x:c r="A112" s="191" t="str">
        <x:v>CTA-LMFT-MQB-0111</x:v>
      </x:c>
      <x:c r="B112" s="192" t="str">
        <x:v>LMFT-WB07-QB-Q009</x:v>
      </x:c>
      <x:c r="C112" s="192" t="str">
        <x:v>LMFT Workbook 7 Question Bank</x:v>
      </x:c>
      <x:c r="D112" s="192" t="n">
        <x:v>9</x:v>
      </x:c>
      <x:c r="E112" s="192" t="str">
        <x:v>Workbook Bank</x:v>
      </x:c>
      <x:c r="F112" s="192" t="str">
        <x:v>4. Case Conceptualization and Planning</x:v>
      </x:c>
      <x:c r="G112" s="192" t="str">
        <x:v>Lack of progress</x:v>
      </x:c>
      <x:c r="H112" s="192" t="str">
        <x:v>Moderate</x:v>
      </x:c>
      <x:c r="I112" s="192" t="str">
        <x:v>Scenario-Based</x:v>
      </x:c>
      <x:c r="J112" s="192" t="str">
        <x:v>A</x:v>
      </x:c>
      <x:c r="K112" s="192" t="n">
        <x:v>1</x:v>
      </x:c>
      <x:c r="L112" s="192" t="str"/>
      <x:c r="M112" s="192" t="str">
        <x:v>Released</x:v>
      </x:c>
      <x:c r="N112" s="194" t="str">
        <x:v>Workbook bank; reserve pool after controlled review</x:v>
      </x:c>
    </x:row>
    <x:row r="113">
      <x:c r="A113" s="191" t="str">
        <x:v>CTA-LMFT-MQB-0112</x:v>
      </x:c>
      <x:c r="B113" s="192" t="str">
        <x:v>LMFT-WB07-QB-Q010</x:v>
      </x:c>
      <x:c r="C113" s="192" t="str">
        <x:v>LMFT Workbook 7 Question Bank</x:v>
      </x:c>
      <x:c r="D113" s="192" t="n">
        <x:v>10</x:v>
      </x:c>
      <x:c r="E113" s="192" t="str">
        <x:v>Workbook Bank</x:v>
      </x:c>
      <x:c r="F113" s="192" t="str">
        <x:v>4. Case Conceptualization and Planning</x:v>
      </x:c>
      <x:c r="G113" s="192" t="str">
        <x:v>Modality and level of care</x:v>
      </x:c>
      <x:c r="H113" s="192" t="str">
        <x:v>Moderate</x:v>
      </x:c>
      <x:c r="I113" s="192" t="str">
        <x:v>Application</x:v>
      </x:c>
      <x:c r="J113" s="192" t="str">
        <x:v>C</x:v>
      </x:c>
      <x:c r="K113" s="192" t="n">
        <x:v>1</x:v>
      </x:c>
      <x:c r="L113" s="192" t="str"/>
      <x:c r="M113" s="192" t="str">
        <x:v>Released</x:v>
      </x:c>
      <x:c r="N113" s="194" t="str">
        <x:v>Workbook bank; reserve pool after controlled review</x:v>
      </x:c>
    </x:row>
    <x:row r="114">
      <x:c r="A114" s="191" t="str">
        <x:v>CTA-LMFT-MQB-0113</x:v>
      </x:c>
      <x:c r="B114" s="192" t="str">
        <x:v>LMFT-WB07-QB-Q011</x:v>
      </x:c>
      <x:c r="C114" s="192" t="str">
        <x:v>LMFT Workbook 7 Question Bank</x:v>
      </x:c>
      <x:c r="D114" s="192" t="n">
        <x:v>11</x:v>
      </x:c>
      <x:c r="E114" s="192" t="str">
        <x:v>Workbook Bank</x:v>
      </x:c>
      <x:c r="F114" s="192" t="str">
        <x:v>4. Case Conceptualization and Planning</x:v>
      </x:c>
      <x:c r="G114" s="192" t="str">
        <x:v>Termination readiness</x:v>
      </x:c>
      <x:c r="H114" s="192" t="str">
        <x:v>Moderate</x:v>
      </x:c>
      <x:c r="I114" s="192" t="str">
        <x:v>Scenario-Based</x:v>
      </x:c>
      <x:c r="J114" s="192" t="str">
        <x:v>D</x:v>
      </x:c>
      <x:c r="K114" s="192" t="n">
        <x:v>1</x:v>
      </x:c>
      <x:c r="L114" s="192" t="str"/>
      <x:c r="M114" s="192" t="str">
        <x:v>Released</x:v>
      </x:c>
      <x:c r="N114" s="194" t="str">
        <x:v>Workbook bank; reserve pool after controlled review</x:v>
      </x:c>
    </x:row>
    <x:row r="115">
      <x:c r="A115" s="191" t="str">
        <x:v>CTA-LMFT-MQB-0114</x:v>
      </x:c>
      <x:c r="B115" s="192" t="str">
        <x:v>LMFT-WB07-QB-Q012</x:v>
      </x:c>
      <x:c r="C115" s="192" t="str">
        <x:v>LMFT Workbook 7 Question Bank</x:v>
      </x:c>
      <x:c r="D115" s="192" t="n">
        <x:v>12</x:v>
      </x:c>
      <x:c r="E115" s="192" t="str">
        <x:v>Workbook Bank</x:v>
      </x:c>
      <x:c r="F115" s="192" t="str">
        <x:v>4. Case Conceptualization and Planning</x:v>
      </x:c>
      <x:c r="G115" s="192" t="str">
        <x:v>CLOSE termination check</x:v>
      </x:c>
      <x:c r="H115" s="192" t="str">
        <x:v>Moderate</x:v>
      </x:c>
      <x:c r="I115" s="192" t="str">
        <x:v>Knowledge &amp; Recall</x:v>
      </x:c>
      <x:c r="J115" s="192" t="str">
        <x:v>B</x:v>
      </x:c>
      <x:c r="K115" s="192" t="n">
        <x:v>1</x:v>
      </x:c>
      <x:c r="L115" s="192" t="str"/>
      <x:c r="M115" s="192" t="str">
        <x:v>Released</x:v>
      </x:c>
      <x:c r="N115" s="194" t="str">
        <x:v>Workbook bank; reserve pool after controlled review</x:v>
      </x:c>
    </x:row>
    <x:row r="116">
      <x:c r="A116" s="191" t="str">
        <x:v>CTA-LMFT-MQB-0115</x:v>
      </x:c>
      <x:c r="B116" s="192" t="str">
        <x:v>LMFT-WB07-QB-Q013</x:v>
      </x:c>
      <x:c r="C116" s="192" t="str">
        <x:v>LMFT Workbook 7 Question Bank</x:v>
      </x:c>
      <x:c r="D116" s="192" t="n">
        <x:v>13</x:v>
      </x:c>
      <x:c r="E116" s="192" t="str">
        <x:v>Workbook Bank</x:v>
      </x:c>
      <x:c r="F116" s="192" t="str">
        <x:v>4. Case Conceptualization and Planning</x:v>
      </x:c>
      <x:c r="G116" s="192" t="str">
        <x:v>Integrated planning under safety and systemic stress</x:v>
      </x:c>
      <x:c r="H116" s="192" t="str">
        <x:v>Difficult</x:v>
      </x:c>
      <x:c r="I116" s="192" t="str">
        <x:v>Integrated Clinical Reasoning</x:v>
      </x:c>
      <x:c r="J116" s="192" t="str">
        <x:v>A</x:v>
      </x:c>
      <x:c r="K116" s="192" t="n">
        <x:v>1</x:v>
      </x:c>
      <x:c r="L116" s="192" t="str"/>
      <x:c r="M116" s="192" t="str">
        <x:v>Released</x:v>
      </x:c>
      <x:c r="N116" s="194" t="str">
        <x:v>Workbook bank; reserve pool after controlled review</x:v>
      </x:c>
    </x:row>
    <x:row r="117">
      <x:c r="A117" s="191" t="str">
        <x:v>CTA-LMFT-MQB-0116</x:v>
      </x:c>
      <x:c r="B117" s="192" t="str">
        <x:v>LMFT-WB07-QB-Q014</x:v>
      </x:c>
      <x:c r="C117" s="192" t="str">
        <x:v>LMFT Workbook 7 Question Bank</x:v>
      </x:c>
      <x:c r="D117" s="192" t="n">
        <x:v>14</x:v>
      </x:c>
      <x:c r="E117" s="192" t="str">
        <x:v>Workbook Bank</x:v>
      </x:c>
      <x:c r="F117" s="192" t="str">
        <x:v>4. Case Conceptualization and Planning</x:v>
      </x:c>
      <x:c r="G117" s="192" t="str">
        <x:v>Integrated plan revision and theory fit</x:v>
      </x:c>
      <x:c r="H117" s="192" t="str">
        <x:v>Difficult</x:v>
      </x:c>
      <x:c r="I117" s="192" t="str">
        <x:v>Integrated Clinical Reasoning</x:v>
      </x:c>
      <x:c r="J117" s="192" t="str">
        <x:v>D</x:v>
      </x:c>
      <x:c r="K117" s="192" t="n">
        <x:v>1</x:v>
      </x:c>
      <x:c r="L117" s="192" t="str"/>
      <x:c r="M117" s="192" t="str">
        <x:v>Released</x:v>
      </x:c>
      <x:c r="N117" s="194" t="str">
        <x:v>Workbook bank; reserve pool after controlled review</x:v>
      </x:c>
    </x:row>
    <x:row r="118">
      <x:c r="A118" s="191" t="str">
        <x:v>CTA-LMFT-MQB-0117</x:v>
      </x:c>
      <x:c r="B118" s="192" t="str">
        <x:v>LMFT-WB07-QB-Q015</x:v>
      </x:c>
      <x:c r="C118" s="192" t="str">
        <x:v>LMFT Workbook 7 Question Bank</x:v>
      </x:c>
      <x:c r="D118" s="192" t="n">
        <x:v>15</x:v>
      </x:c>
      <x:c r="E118" s="192" t="str">
        <x:v>Workbook Bank</x:v>
      </x:c>
      <x:c r="F118" s="192" t="str">
        <x:v>4. Case Conceptualization and Planning</x:v>
      </x:c>
      <x:c r="G118" s="192" t="str">
        <x:v>Integrated termination with financial barrier</x:v>
      </x:c>
      <x:c r="H118" s="192" t="str">
        <x:v>Difficult</x:v>
      </x:c>
      <x:c r="I118" s="192" t="str">
        <x:v>Integrated Clinical Reasoning</x:v>
      </x:c>
      <x:c r="J118" s="192" t="str">
        <x:v>B</x:v>
      </x:c>
      <x:c r="K118" s="192" t="n">
        <x:v>1</x:v>
      </x:c>
      <x:c r="L118" s="192" t="str"/>
      <x:c r="M118" s="192" t="str">
        <x:v>Released</x:v>
      </x:c>
      <x:c r="N118" s="194" t="str">
        <x:v>Workbook bank; reserve pool after controlled review</x:v>
      </x:c>
    </x:row>
    <x:row r="119">
      <x:c r="A119" s="191" t="str">
        <x:v>CTA-LMFT-MQB-0118</x:v>
      </x:c>
      <x:c r="B119" s="192" t="str">
        <x:v>LMFT-WB07-QB-Q016</x:v>
      </x:c>
      <x:c r="C119" s="192" t="str">
        <x:v>LMFT Workbook 7 Question Bank</x:v>
      </x:c>
      <x:c r="D119" s="192" t="n">
        <x:v>16</x:v>
      </x:c>
      <x:c r="E119" s="192" t="str">
        <x:v>Workbook Bank</x:v>
      </x:c>
      <x:c r="F119" s="192" t="str">
        <x:v>4. Case Conceptualization and Planning</x:v>
      </x:c>
      <x:c r="G119" s="192" t="str">
        <x:v>Integrated conjoint termination and client roles</x:v>
      </x:c>
      <x:c r="H119" s="192" t="str">
        <x:v>Difficult</x:v>
      </x:c>
      <x:c r="I119" s="192" t="str">
        <x:v>Integrated Clinical Reasoning</x:v>
      </x:c>
      <x:c r="J119" s="192" t="str">
        <x:v>C</x:v>
      </x:c>
      <x:c r="K119" s="192" t="n">
        <x:v>1</x:v>
      </x:c>
      <x:c r="L119" s="192" t="str"/>
      <x:c r="M119" s="192" t="str">
        <x:v>Released</x:v>
      </x:c>
      <x:c r="N119" s="194" t="str">
        <x:v>Workbook bank; reserve pool after controlled review</x:v>
      </x:c>
    </x:row>
    <x:row r="120">
      <x:c r="A120" s="191" t="str">
        <x:v>CTA-LMFT-MQB-0119</x:v>
      </x:c>
      <x:c r="B120" s="192" t="str">
        <x:v>LMFT-WB07-QB-Q017</x:v>
      </x:c>
      <x:c r="C120" s="192" t="str">
        <x:v>LMFT Workbook 7 Question Bank</x:v>
      </x:c>
      <x:c r="D120" s="192" t="n">
        <x:v>17</x:v>
      </x:c>
      <x:c r="E120" s="192" t="str">
        <x:v>Workbook Bank</x:v>
      </x:c>
      <x:c r="F120" s="192" t="str">
        <x:v>4. Case Conceptualization and Planning</x:v>
      </x:c>
      <x:c r="G120" s="192" t="str">
        <x:v>Integrated discharge after higher-level care</x:v>
      </x:c>
      <x:c r="H120" s="192" t="str">
        <x:v>Difficult</x:v>
      </x:c>
      <x:c r="I120" s="192" t="str">
        <x:v>Integrated Clinical Reasoning</x:v>
      </x:c>
      <x:c r="J120" s="192" t="str">
        <x:v>A</x:v>
      </x:c>
      <x:c r="K120" s="192" t="n">
        <x:v>1</x:v>
      </x:c>
      <x:c r="L120" s="192" t="str"/>
      <x:c r="M120" s="192" t="str">
        <x:v>Released</x:v>
      </x:c>
      <x:c r="N120" s="194" t="str">
        <x:v>Workbook bank; reserve pool after controlled review</x:v>
      </x:c>
    </x:row>
    <x:row r="121">
      <x:c r="A121" s="191" t="str">
        <x:v>CTA-LMFT-MQB-0120</x:v>
      </x:c>
      <x:c r="B121" s="192" t="str">
        <x:v>LMFT-WB08-QB-Q001</x:v>
      </x:c>
      <x:c r="C121" s="192" t="str">
        <x:v>LMFT Workbook 8 Question Bank</x:v>
      </x:c>
      <x:c r="D121" s="192" t="n">
        <x:v>1</x:v>
      </x:c>
      <x:c r="E121" s="192" t="str">
        <x:v>Workbook Bank</x:v>
      </x:c>
      <x:c r="F121" s="192" t="str">
        <x:v>5. Treatment</x:v>
      </x:c>
      <x:c r="G121" s="192" t="str">
        <x:v>Unit of treatment selection</x:v>
      </x:c>
      <x:c r="H121" s="192" t="str">
        <x:v>Easy</x:v>
      </x:c>
      <x:c r="I121" s="192" t="str">
        <x:v>Knowledge &amp; Recall</x:v>
      </x:c>
      <x:c r="J121" s="192" t="str">
        <x:v>B</x:v>
      </x:c>
      <x:c r="K121" s="192" t="n">
        <x:v>1</x:v>
      </x:c>
      <x:c r="L121" s="192" t="str"/>
      <x:c r="M121" s="192" t="str">
        <x:v>Released</x:v>
      </x:c>
      <x:c r="N121" s="194" t="str">
        <x:v>Workbook bank; reserve pool after controlled review</x:v>
      </x:c>
    </x:row>
    <x:row r="122">
      <x:c r="A122" s="191" t="str">
        <x:v>CTA-LMFT-MQB-0121</x:v>
      </x:c>
      <x:c r="B122" s="192" t="str">
        <x:v>LMFT-WB08-QB-Q002</x:v>
      </x:c>
      <x:c r="C122" s="192" t="str">
        <x:v>LMFT Workbook 8 Question Bank</x:v>
      </x:c>
      <x:c r="D122" s="192" t="n">
        <x:v>2</x:v>
      </x:c>
      <x:c r="E122" s="192" t="str">
        <x:v>Workbook Bank</x:v>
      </x:c>
      <x:c r="F122" s="192" t="str">
        <x:v>5. Treatment</x:v>
      </x:c>
      <x:c r="G122" s="192" t="str">
        <x:v>Attachment repair</x:v>
      </x:c>
      <x:c r="H122" s="192" t="str">
        <x:v>Easy</x:v>
      </x:c>
      <x:c r="I122" s="192" t="str">
        <x:v>Application</x:v>
      </x:c>
      <x:c r="J122" s="192" t="str">
        <x:v>A</x:v>
      </x:c>
      <x:c r="K122" s="192" t="n">
        <x:v>1</x:v>
      </x:c>
      <x:c r="L122" s="192" t="str"/>
      <x:c r="M122" s="192" t="str">
        <x:v>Released</x:v>
      </x:c>
      <x:c r="N122" s="194" t="str">
        <x:v>Workbook bank; reserve pool after controlled review</x:v>
      </x:c>
    </x:row>
    <x:row r="123">
      <x:c r="A123" s="191" t="str">
        <x:v>CTA-LMFT-MQB-0122</x:v>
      </x:c>
      <x:c r="B123" s="192" t="str">
        <x:v>LMFT-WB08-QB-Q003</x:v>
      </x:c>
      <x:c r="C123" s="192" t="str">
        <x:v>LMFT Workbook 8 Question Bank</x:v>
      </x:c>
      <x:c r="D123" s="192" t="n">
        <x:v>3</x:v>
      </x:c>
      <x:c r="E123" s="192" t="str">
        <x:v>Workbook Bank</x:v>
      </x:c>
      <x:c r="F123" s="192" t="str">
        <x:v>5. Treatment</x:v>
      </x:c>
      <x:c r="G123" s="192" t="str">
        <x:v>Group screening</x:v>
      </x:c>
      <x:c r="H123" s="192" t="str">
        <x:v>Easy</x:v>
      </x:c>
      <x:c r="I123" s="192" t="str">
        <x:v>Knowledge &amp; Recall</x:v>
      </x:c>
      <x:c r="J123" s="192" t="str">
        <x:v>C</x:v>
      </x:c>
      <x:c r="K123" s="192" t="n">
        <x:v>1</x:v>
      </x:c>
      <x:c r="L123" s="192" t="str"/>
      <x:c r="M123" s="192" t="str">
        <x:v>Released</x:v>
      </x:c>
      <x:c r="N123" s="194" t="str">
        <x:v>Workbook bank; reserve pool after controlled review</x:v>
      </x:c>
    </x:row>
    <x:row r="124">
      <x:c r="A124" s="191" t="str">
        <x:v>CTA-LMFT-MQB-0123</x:v>
      </x:c>
      <x:c r="B124" s="192" t="str">
        <x:v>LMFT-WB08-QB-Q004</x:v>
      </x:c>
      <x:c r="C124" s="192" t="str">
        <x:v>LMFT Workbook 8 Question Bank</x:v>
      </x:c>
      <x:c r="D124" s="192" t="n">
        <x:v>4</x:v>
      </x:c>
      <x:c r="E124" s="192" t="str">
        <x:v>Workbook Bank</x:v>
      </x:c>
      <x:c r="F124" s="192" t="str">
        <x:v>5. Treatment</x:v>
      </x:c>
      <x:c r="G124" s="192" t="str">
        <x:v>Family transition normalization</x:v>
      </x:c>
      <x:c r="H124" s="192" t="str">
        <x:v>Easy</x:v>
      </x:c>
      <x:c r="I124" s="192" t="str">
        <x:v>Scenario-Based</x:v>
      </x:c>
      <x:c r="J124" s="192" t="str">
        <x:v>D</x:v>
      </x:c>
      <x:c r="K124" s="192" t="n">
        <x:v>1</x:v>
      </x:c>
      <x:c r="L124" s="192" t="str"/>
      <x:c r="M124" s="192" t="str">
        <x:v>Released</x:v>
      </x:c>
      <x:c r="N124" s="194" t="str">
        <x:v>Workbook bank; reserve pool after controlled review</x:v>
      </x:c>
    </x:row>
    <x:row r="125">
      <x:c r="A125" s="191" t="str">
        <x:v>CTA-LMFT-MQB-0124</x:v>
      </x:c>
      <x:c r="B125" s="192" t="str">
        <x:v>LMFT-WB08-QB-Q005</x:v>
      </x:c>
      <x:c r="C125" s="192" t="str">
        <x:v>LMFT Workbook 8 Question Bank</x:v>
      </x:c>
      <x:c r="D125" s="192" t="n">
        <x:v>5</x:v>
      </x:c>
      <x:c r="E125" s="192" t="str">
        <x:v>Workbook Bank</x:v>
      </x:c>
      <x:c r="F125" s="192" t="str">
        <x:v>5. Treatment</x:v>
      </x:c>
      <x:c r="G125" s="192" t="str">
        <x:v>Demand-withdraw cycle</x:v>
      </x:c>
      <x:c r="H125" s="192" t="str">
        <x:v>Easy</x:v>
      </x:c>
      <x:c r="I125" s="192" t="str">
        <x:v>Application</x:v>
      </x:c>
      <x:c r="J125" s="192" t="str">
        <x:v>A</x:v>
      </x:c>
      <x:c r="K125" s="192" t="n">
        <x:v>1</x:v>
      </x:c>
      <x:c r="L125" s="192" t="str"/>
      <x:c r="M125" s="192" t="str">
        <x:v>Released</x:v>
      </x:c>
      <x:c r="N125" s="194" t="str">
        <x:v>Workbook bank; reserve pool after controlled review</x:v>
      </x:c>
    </x:row>
    <x:row r="126">
      <x:c r="A126" s="191" t="str">
        <x:v>CTA-LMFT-MQB-0125</x:v>
      </x:c>
      <x:c r="B126" s="192" t="str">
        <x:v>LMFT-WB08-QB-Q006</x:v>
      </x:c>
      <x:c r="C126" s="192" t="str">
        <x:v>LMFT Workbook 8 Question Bank</x:v>
      </x:c>
      <x:c r="D126" s="192" t="n">
        <x:v>6</x:v>
      </x:c>
      <x:c r="E126" s="192" t="str">
        <x:v>Workbook Bank</x:v>
      </x:c>
      <x:c r="F126" s="192" t="str">
        <x:v>5. Treatment</x:v>
      </x:c>
      <x:c r="G126" s="192" t="str">
        <x:v>Intimacy and sexuality assessment</x:v>
      </x:c>
      <x:c r="H126" s="192" t="str">
        <x:v>Moderate</x:v>
      </x:c>
      <x:c r="I126" s="192" t="str">
        <x:v>Scenario-Based</x:v>
      </x:c>
      <x:c r="J126" s="192" t="str">
        <x:v>D</x:v>
      </x:c>
      <x:c r="K126" s="192" t="n">
        <x:v>1</x:v>
      </x:c>
      <x:c r="L126" s="192" t="str"/>
      <x:c r="M126" s="192" t="str">
        <x:v>Released</x:v>
      </x:c>
      <x:c r="N126" s="194" t="str">
        <x:v>Workbook bank; reserve pool after controlled review</x:v>
      </x:c>
    </x:row>
    <x:row r="127">
      <x:c r="A127" s="191" t="str">
        <x:v>CTA-LMFT-MQB-0126</x:v>
      </x:c>
      <x:c r="B127" s="192" t="str">
        <x:v>LMFT-WB08-QB-Q007</x:v>
      </x:c>
      <x:c r="C127" s="192" t="str">
        <x:v>LMFT Workbook 8 Question Bank</x:v>
      </x:c>
      <x:c r="D127" s="192" t="n">
        <x:v>7</x:v>
      </x:c>
      <x:c r="E127" s="192" t="str">
        <x:v>Workbook Bank</x:v>
      </x:c>
      <x:c r="F127" s="192" t="str">
        <x:v>5. Treatment</x:v>
      </x:c>
      <x:c r="G127" s="192" t="str">
        <x:v>Caregiver burden and family organization</x:v>
      </x:c>
      <x:c r="H127" s="192" t="str">
        <x:v>Moderate</x:v>
      </x:c>
      <x:c r="I127" s="192" t="str">
        <x:v>Application</x:v>
      </x:c>
      <x:c r="J127" s="192" t="str">
        <x:v>C</x:v>
      </x:c>
      <x:c r="K127" s="192" t="n">
        <x:v>1</x:v>
      </x:c>
      <x:c r="L127" s="192" t="str"/>
      <x:c r="M127" s="192" t="str">
        <x:v>Released</x:v>
      </x:c>
      <x:c r="N127" s="194" t="str">
        <x:v>Workbook bank; reserve pool after controlled review</x:v>
      </x:c>
    </x:row>
    <x:row r="128">
      <x:c r="A128" s="191" t="str">
        <x:v>CTA-LMFT-MQB-0127</x:v>
      </x:c>
      <x:c r="B128" s="192" t="str">
        <x:v>LMFT-WB08-QB-Q008</x:v>
      </x:c>
      <x:c r="C128" s="192" t="str">
        <x:v>LMFT Workbook 8 Question Bank</x:v>
      </x:c>
      <x:c r="D128" s="192" t="n">
        <x:v>8</x:v>
      </x:c>
      <x:c r="E128" s="192" t="str">
        <x:v>Workbook Bank</x:v>
      </x:c>
      <x:c r="F128" s="192" t="str">
        <x:v>5. Treatment</x:v>
      </x:c>
      <x:c r="G128" s="192" t="str">
        <x:v>Group process and monopolizing</x:v>
      </x:c>
      <x:c r="H128" s="192" t="str">
        <x:v>Moderate</x:v>
      </x:c>
      <x:c r="I128" s="192" t="str">
        <x:v>Scenario-Based</x:v>
      </x:c>
      <x:c r="J128" s="192" t="str">
        <x:v>B</x:v>
      </x:c>
      <x:c r="K128" s="192" t="n">
        <x:v>1</x:v>
      </x:c>
      <x:c r="L128" s="192" t="str"/>
      <x:c r="M128" s="192" t="str">
        <x:v>Released</x:v>
      </x:c>
      <x:c r="N128" s="194" t="str">
        <x:v>Workbook bank; reserve pool after controlled review</x:v>
      </x:c>
    </x:row>
    <x:row r="129">
      <x:c r="A129" s="191" t="str">
        <x:v>CTA-LMFT-MQB-0128</x:v>
      </x:c>
      <x:c r="B129" s="192" t="str">
        <x:v>LMFT-WB08-QB-Q009</x:v>
      </x:c>
      <x:c r="C129" s="192" t="str">
        <x:v>LMFT Workbook 8 Question Bank</x:v>
      </x:c>
      <x:c r="D129" s="192" t="n">
        <x:v>9</x:v>
      </x:c>
      <x:c r="E129" s="192" t="str">
        <x:v>Workbook Bank</x:v>
      </x:c>
      <x:c r="F129" s="192" t="str">
        <x:v>5. Treatment</x:v>
      </x:c>
      <x:c r="G129" s="192" t="str">
        <x:v>School collaboration and minimum disclosure</x:v>
      </x:c>
      <x:c r="H129" s="192" t="str">
        <x:v>Moderate</x:v>
      </x:c>
      <x:c r="I129" s="192" t="str">
        <x:v>Scenario-Based</x:v>
      </x:c>
      <x:c r="J129" s="192" t="str">
        <x:v>A</x:v>
      </x:c>
      <x:c r="K129" s="192" t="n">
        <x:v>1</x:v>
      </x:c>
      <x:c r="L129" s="192" t="str"/>
      <x:c r="M129" s="192" t="str">
        <x:v>Released</x:v>
      </x:c>
      <x:c r="N129" s="194" t="str">
        <x:v>Workbook bank; reserve pool after controlled review</x:v>
      </x:c>
    </x:row>
    <x:row r="130">
      <x:c r="A130" s="191" t="str">
        <x:v>CTA-LMFT-MQB-0129</x:v>
      </x:c>
      <x:c r="B130" s="192" t="str">
        <x:v>LMFT-WB08-QB-Q010</x:v>
      </x:c>
      <x:c r="C130" s="192" t="str">
        <x:v>LMFT Workbook 8 Question Bank</x:v>
      </x:c>
      <x:c r="D130" s="192" t="n">
        <x:v>10</x:v>
      </x:c>
      <x:c r="E130" s="192" t="str">
        <x:v>Workbook Bank</x:v>
      </x:c>
      <x:c r="F130" s="192" t="str">
        <x:v>5. Treatment</x:v>
      </x:c>
      <x:c r="G130" s="192" t="str">
        <x:v>Voluntariness in conjoint treatment</x:v>
      </x:c>
      <x:c r="H130" s="192" t="str">
        <x:v>Moderate</x:v>
      </x:c>
      <x:c r="I130" s="192" t="str">
        <x:v>Application</x:v>
      </x:c>
      <x:c r="J130" s="192" t="str">
        <x:v>C</x:v>
      </x:c>
      <x:c r="K130" s="192" t="n">
        <x:v>1</x:v>
      </x:c>
      <x:c r="L130" s="192" t="str"/>
      <x:c r="M130" s="192" t="str">
        <x:v>Released</x:v>
      </x:c>
      <x:c r="N130" s="194" t="str">
        <x:v>Workbook bank; reserve pool after controlled review</x:v>
      </x:c>
    </x:row>
    <x:row r="131">
      <x:c r="A131" s="191" t="str">
        <x:v>CTA-LMFT-MQB-0130</x:v>
      </x:c>
      <x:c r="B131" s="192" t="str">
        <x:v>LMFT-WB08-QB-Q011</x:v>
      </x:c>
      <x:c r="C131" s="192" t="str">
        <x:v>LMFT Workbook 8 Question Bank</x:v>
      </x:c>
      <x:c r="D131" s="192" t="n">
        <x:v>11</x:v>
      </x:c>
      <x:c r="E131" s="192" t="str">
        <x:v>Workbook Bank</x:v>
      </x:c>
      <x:c r="F131" s="192" t="str">
        <x:v>5. Treatment</x:v>
      </x:c>
      <x:c r="G131" s="192" t="str">
        <x:v>Alliance rupture and perceived alignment</x:v>
      </x:c>
      <x:c r="H131" s="192" t="str">
        <x:v>Moderate</x:v>
      </x:c>
      <x:c r="I131" s="192" t="str">
        <x:v>Scenario-Based</x:v>
      </x:c>
      <x:c r="J131" s="192" t="str">
        <x:v>D</x:v>
      </x:c>
      <x:c r="K131" s="192" t="n">
        <x:v>1</x:v>
      </x:c>
      <x:c r="L131" s="192" t="str"/>
      <x:c r="M131" s="192" t="str">
        <x:v>Released</x:v>
      </x:c>
      <x:c r="N131" s="194" t="str">
        <x:v>Workbook bank; reserve pool after controlled review</x:v>
      </x:c>
    </x:row>
    <x:row r="132">
      <x:c r="A132" s="191" t="str">
        <x:v>CTA-LMFT-MQB-0131</x:v>
      </x:c>
      <x:c r="B132" s="192" t="str">
        <x:v>LMFT-WB08-QB-Q012</x:v>
      </x:c>
      <x:c r="C132" s="192" t="str">
        <x:v>LMFT Workbook 8 Question Bank</x:v>
      </x:c>
      <x:c r="D132" s="192" t="n">
        <x:v>12</x:v>
      </x:c>
      <x:c r="E132" s="192" t="str">
        <x:v>Workbook Bank</x:v>
      </x:c>
      <x:c r="F132" s="192" t="str">
        <x:v>5. Treatment</x:v>
      </x:c>
      <x:c r="G132" s="192" t="str">
        <x:v>SAFER SYSTEM response review</x:v>
      </x:c>
      <x:c r="H132" s="192" t="str">
        <x:v>Moderate</x:v>
      </x:c>
      <x:c r="I132" s="192" t="str">
        <x:v>Knowledge &amp; Recall</x:v>
      </x:c>
      <x:c r="J132" s="192" t="str">
        <x:v>B</x:v>
      </x:c>
      <x:c r="K132" s="192" t="n">
        <x:v>1</x:v>
      </x:c>
      <x:c r="L132" s="192" t="str"/>
      <x:c r="M132" s="192" t="str">
        <x:v>Released</x:v>
      </x:c>
      <x:c r="N132" s="194" t="str">
        <x:v>Workbook bank; reserve pool after controlled review</x:v>
      </x:c>
    </x:row>
    <x:row r="133">
      <x:c r="A133" s="191" t="str">
        <x:v>CTA-LMFT-MQB-0132</x:v>
      </x:c>
      <x:c r="B133" s="192" t="str">
        <x:v>LMFT-WB08-QB-Q013</x:v>
      </x:c>
      <x:c r="C133" s="192" t="str">
        <x:v>LMFT Workbook 8 Question Bank</x:v>
      </x:c>
      <x:c r="D133" s="192" t="n">
        <x:v>13</x:v>
      </x:c>
      <x:c r="E133" s="192" t="str">
        <x:v>Workbook Bank</x:v>
      </x:c>
      <x:c r="F133" s="192" t="str">
        <x:v>5. Treatment</x:v>
      </x:c>
      <x:c r="G133" s="192" t="str">
        <x:v>Integrated unit and family pattern revision</x:v>
      </x:c>
      <x:c r="H133" s="192" t="str">
        <x:v>Difficult</x:v>
      </x:c>
      <x:c r="I133" s="192" t="str">
        <x:v>Integrated Clinical Reasoning</x:v>
      </x:c>
      <x:c r="J133" s="192" t="str">
        <x:v>A</x:v>
      </x:c>
      <x:c r="K133" s="192" t="n">
        <x:v>1</x:v>
      </x:c>
      <x:c r="L133" s="192" t="str"/>
      <x:c r="M133" s="192" t="str">
        <x:v>Released</x:v>
      </x:c>
      <x:c r="N133" s="194" t="str">
        <x:v>Workbook bank; reserve pool after controlled review</x:v>
      </x:c>
    </x:row>
    <x:row r="134">
      <x:c r="A134" s="191" t="str">
        <x:v>CTA-LMFT-MQB-0133</x:v>
      </x:c>
      <x:c r="B134" s="192" t="str">
        <x:v>LMFT-WB08-QB-Q014</x:v>
      </x:c>
      <x:c r="C134" s="192" t="str">
        <x:v>LMFT Workbook 8 Question Bank</x:v>
      </x:c>
      <x:c r="D134" s="192" t="n">
        <x:v>14</x:v>
      </x:c>
      <x:c r="E134" s="192" t="str">
        <x:v>Workbook Bank</x:v>
      </x:c>
      <x:c r="F134" s="192" t="str">
        <x:v>5. Treatment</x:v>
      </x:c>
      <x:c r="G134" s="192" t="str">
        <x:v>Integrated stepfamily pacing and hierarchy</x:v>
      </x:c>
      <x:c r="H134" s="192" t="str">
        <x:v>Difficult</x:v>
      </x:c>
      <x:c r="I134" s="192" t="str">
        <x:v>Integrated Clinical Reasoning</x:v>
      </x:c>
      <x:c r="J134" s="192" t="str">
        <x:v>D</x:v>
      </x:c>
      <x:c r="K134" s="192" t="n">
        <x:v>1</x:v>
      </x:c>
      <x:c r="L134" s="192" t="str"/>
      <x:c r="M134" s="192" t="str">
        <x:v>Released</x:v>
      </x:c>
      <x:c r="N134" s="194" t="str">
        <x:v>Workbook bank; reserve pool after controlled review</x:v>
      </x:c>
    </x:row>
    <x:row r="135">
      <x:c r="A135" s="191" t="str">
        <x:v>CTA-LMFT-MQB-0134</x:v>
      </x:c>
      <x:c r="B135" s="192" t="str">
        <x:v>LMFT-WB08-QB-Q015</x:v>
      </x:c>
      <x:c r="C135" s="192" t="str">
        <x:v>LMFT Workbook 8 Question Bank</x:v>
      </x:c>
      <x:c r="D135" s="192" t="n">
        <x:v>15</x:v>
      </x:c>
      <x:c r="E135" s="192" t="str">
        <x:v>Workbook Bank</x:v>
      </x:c>
      <x:c r="F135" s="192" t="str">
        <x:v>5. Treatment</x:v>
      </x:c>
      <x:c r="G135" s="192" t="str">
        <x:v>Integrated caregiving, medical coordination, and continuity</x:v>
      </x:c>
      <x:c r="H135" s="192" t="str">
        <x:v>Difficult</x:v>
      </x:c>
      <x:c r="I135" s="192" t="str">
        <x:v>Integrated Clinical Reasoning</x:v>
      </x:c>
      <x:c r="J135" s="192" t="str">
        <x:v>C</x:v>
      </x:c>
      <x:c r="K135" s="192" t="n">
        <x:v>1</x:v>
      </x:c>
      <x:c r="L135" s="192" t="str"/>
      <x:c r="M135" s="192" t="str">
        <x:v>Released</x:v>
      </x:c>
      <x:c r="N135" s="194" t="str">
        <x:v>Workbook bank; reserve pool after controlled review</x:v>
      </x:c>
    </x:row>
    <x:row r="136">
      <x:c r="A136" s="191" t="str">
        <x:v>CTA-LMFT-MQB-0135</x:v>
      </x:c>
      <x:c r="B136" s="192" t="str">
        <x:v>LMFT-WB08-QB-Q016</x:v>
      </x:c>
      <x:c r="C136" s="192" t="str">
        <x:v>LMFT Workbook 8 Question Bank</x:v>
      </x:c>
      <x:c r="D136" s="192" t="n">
        <x:v>16</x:v>
      </x:c>
      <x:c r="E136" s="192" t="str">
        <x:v>Workbook Bank</x:v>
      </x:c>
      <x:c r="F136" s="192" t="str">
        <x:v>5. Treatment</x:v>
      </x:c>
      <x:c r="G136" s="192" t="str">
        <x:v>Integrated group safety and process</x:v>
      </x:c>
      <x:c r="H136" s="192" t="str">
        <x:v>Difficult</x:v>
      </x:c>
      <x:c r="I136" s="192" t="str">
        <x:v>Integrated Clinical Reasoning</x:v>
      </x:c>
      <x:c r="J136" s="192" t="str">
        <x:v>B</x:v>
      </x:c>
      <x:c r="K136" s="192" t="n">
        <x:v>1</x:v>
      </x:c>
      <x:c r="L136" s="192" t="str"/>
      <x:c r="M136" s="192" t="str">
        <x:v>Released</x:v>
      </x:c>
      <x:c r="N136" s="194" t="str">
        <x:v>Workbook bank; reserve pool after controlled review</x:v>
      </x:c>
    </x:row>
    <x:row r="137">
      <x:c r="A137" s="191" t="str">
        <x:v>CTA-LMFT-MQB-0136</x:v>
      </x:c>
      <x:c r="B137" s="192" t="str">
        <x:v>LMFT-WB08-QB-Q017</x:v>
      </x:c>
      <x:c r="C137" s="192" t="str">
        <x:v>LMFT Workbook 8 Question Bank</x:v>
      </x:c>
      <x:c r="D137" s="192" t="n">
        <x:v>17</x:v>
      </x:c>
      <x:c r="E137" s="192" t="str">
        <x:v>Workbook Bank</x:v>
      </x:c>
      <x:c r="F137" s="192" t="str">
        <x:v>5. Treatment</x:v>
      </x:c>
      <x:c r="G137" s="192" t="str">
        <x:v>Integrated reassessment of conjoint treatment</x:v>
      </x:c>
      <x:c r="H137" s="192" t="str">
        <x:v>Difficult</x:v>
      </x:c>
      <x:c r="I137" s="192" t="str">
        <x:v>Integrated Clinical Reasoning</x:v>
      </x:c>
      <x:c r="J137" s="192" t="str">
        <x:v>A</x:v>
      </x:c>
      <x:c r="K137" s="192" t="n">
        <x:v>1</x:v>
      </x:c>
      <x:c r="L137" s="192" t="str"/>
      <x:c r="M137" s="192" t="str">
        <x:v>Released</x:v>
      </x:c>
      <x:c r="N137" s="194" t="str">
        <x:v>Workbook bank; reserve pool after controlled review</x:v>
      </x:c>
    </x:row>
    <x:row r="138">
      <x:c r="A138" s="191" t="str">
        <x:v>CTA-LMFT-MQB-0137</x:v>
      </x:c>
      <x:c r="B138" s="192" t="str">
        <x:v>LMFT-WB09-QB-Q001</x:v>
      </x:c>
      <x:c r="C138" s="192" t="str">
        <x:v>LMFT Workbook 9 Question Bank</x:v>
      </x:c>
      <x:c r="D138" s="192" t="n">
        <x:v>1</x:v>
      </x:c>
      <x:c r="E138" s="192" t="str">
        <x:v>Workbook Bank</x:v>
      </x:c>
      <x:c r="F138" s="192" t="str">
        <x:v>5. Treatment</x:v>
      </x:c>
      <x:c r="G138" s="192" t="str">
        <x:v>FITS intervention sequence</x:v>
      </x:c>
      <x:c r="H138" s="192" t="str">
        <x:v>Easy</x:v>
      </x:c>
      <x:c r="I138" s="192" t="str">
        <x:v>Knowledge &amp; Recall</x:v>
      </x:c>
      <x:c r="J138" s="192" t="str">
        <x:v>A</x:v>
      </x:c>
      <x:c r="K138" s="192" t="n">
        <x:v>1</x:v>
      </x:c>
      <x:c r="L138" s="192" t="str"/>
      <x:c r="M138" s="192" t="str">
        <x:v>Released</x:v>
      </x:c>
      <x:c r="N138" s="194" t="str">
        <x:v>Workbook bank; reserve pool after controlled review</x:v>
      </x:c>
    </x:row>
    <x:row r="139">
      <x:c r="A139" s="191" t="str">
        <x:v>CTA-LMFT-MQB-0138</x:v>
      </x:c>
      <x:c r="B139" s="192" t="str">
        <x:v>LMFT-WB09-QB-Q002</x:v>
      </x:c>
      <x:c r="C139" s="192" t="str">
        <x:v>LMFT Workbook 9 Question Bank</x:v>
      </x:c>
      <x:c r="D139" s="192" t="n">
        <x:v>2</x:v>
      </x:c>
      <x:c r="E139" s="192" t="str">
        <x:v>Workbook Bank</x:v>
      </x:c>
      <x:c r="F139" s="192" t="str">
        <x:v>5. Treatment</x:v>
      </x:c>
      <x:c r="G139" s="192" t="str">
        <x:v>Trauma stabilization and pacing</x:v>
      </x:c>
      <x:c r="H139" s="192" t="str">
        <x:v>Easy</x:v>
      </x:c>
      <x:c r="I139" s="192" t="str">
        <x:v>Application</x:v>
      </x:c>
      <x:c r="J139" s="192" t="str">
        <x:v>B</x:v>
      </x:c>
      <x:c r="K139" s="192" t="n">
        <x:v>1</x:v>
      </x:c>
      <x:c r="L139" s="192" t="str"/>
      <x:c r="M139" s="192" t="str">
        <x:v>Released</x:v>
      </x:c>
      <x:c r="N139" s="194" t="str">
        <x:v>Workbook bank; reserve pool after controlled review</x:v>
      </x:c>
    </x:row>
    <x:row r="140">
      <x:c r="A140" s="191" t="str">
        <x:v>CTA-LMFT-MQB-0139</x:v>
      </x:c>
      <x:c r="B140" s="192" t="str">
        <x:v>LMFT-WB09-QB-Q003</x:v>
      </x:c>
      <x:c r="C140" s="192" t="str">
        <x:v>LMFT Workbook 9 Question Bank</x:v>
      </x:c>
      <x:c r="D140" s="192" t="n">
        <x:v>3</x:v>
      </x:c>
      <x:c r="E140" s="192" t="str">
        <x:v>Workbook Bank</x:v>
      </x:c>
      <x:c r="F140" s="192" t="str">
        <x:v>5. Treatment</x:v>
      </x:c>
      <x:c r="G140" s="192" t="str">
        <x:v>Behavioral activation</x:v>
      </x:c>
      <x:c r="H140" s="192" t="str">
        <x:v>Easy</x:v>
      </x:c>
      <x:c r="I140" s="192" t="str">
        <x:v>Knowledge &amp; Recall</x:v>
      </x:c>
      <x:c r="J140" s="192" t="str">
        <x:v>C</x:v>
      </x:c>
      <x:c r="K140" s="192" t="n">
        <x:v>1</x:v>
      </x:c>
      <x:c r="L140" s="192" t="str"/>
      <x:c r="M140" s="192" t="str">
        <x:v>Released</x:v>
      </x:c>
      <x:c r="N140" s="194" t="str">
        <x:v>Workbook bank; reserve pool after controlled review</x:v>
      </x:c>
    </x:row>
    <x:row r="141">
      <x:c r="A141" s="191" t="str">
        <x:v>CTA-LMFT-MQB-0140</x:v>
      </x:c>
      <x:c r="B141" s="192" t="str">
        <x:v>LMFT-WB09-QB-Q004</x:v>
      </x:c>
      <x:c r="C141" s="192" t="str">
        <x:v>LMFT Workbook 9 Question Bank</x:v>
      </x:c>
      <x:c r="D141" s="192" t="n">
        <x:v>4</x:v>
      </x:c>
      <x:c r="E141" s="192" t="str">
        <x:v>Workbook Bank</x:v>
      </x:c>
      <x:c r="F141" s="192" t="str">
        <x:v>5. Treatment</x:v>
      </x:c>
      <x:c r="G141" s="192" t="str">
        <x:v>Behavioral chain analysis</x:v>
      </x:c>
      <x:c r="H141" s="192" t="str">
        <x:v>Easy</x:v>
      </x:c>
      <x:c r="I141" s="192" t="str">
        <x:v>Scenario-Based</x:v>
      </x:c>
      <x:c r="J141" s="192" t="str">
        <x:v>D</x:v>
      </x:c>
      <x:c r="K141" s="192" t="n">
        <x:v>1</x:v>
      </x:c>
      <x:c r="L141" s="192" t="str"/>
      <x:c r="M141" s="192" t="str">
        <x:v>Released</x:v>
      </x:c>
      <x:c r="N141" s="194" t="str">
        <x:v>Workbook bank; reserve pool after controlled review</x:v>
      </x:c>
    </x:row>
    <x:row r="142">
      <x:c r="A142" s="191" t="str">
        <x:v>CTA-LMFT-MQB-0141</x:v>
      </x:c>
      <x:c r="B142" s="192" t="str">
        <x:v>LMFT-WB09-QB-Q005</x:v>
      </x:c>
      <x:c r="C142" s="192" t="str">
        <x:v>LMFT Workbook 9 Question Bank</x:v>
      </x:c>
      <x:c r="D142" s="192" t="n">
        <x:v>5</x:v>
      </x:c>
      <x:c r="E142" s="192" t="str">
        <x:v>Workbook Bank</x:v>
      </x:c>
      <x:c r="F142" s="192" t="str">
        <x:v>5. Treatment</x:v>
      </x:c>
      <x:c r="G142" s="192" t="str">
        <x:v>Motivational interviewing</x:v>
      </x:c>
      <x:c r="H142" s="192" t="str">
        <x:v>Easy</x:v>
      </x:c>
      <x:c r="I142" s="192" t="str">
        <x:v>Application</x:v>
      </x:c>
      <x:c r="J142" s="192" t="str">
        <x:v>A</x:v>
      </x:c>
      <x:c r="K142" s="192" t="n">
        <x:v>1</x:v>
      </x:c>
      <x:c r="L142" s="192" t="str"/>
      <x:c r="M142" s="192" t="str">
        <x:v>Released</x:v>
      </x:c>
      <x:c r="N142" s="194" t="str">
        <x:v>Workbook bank; reserve pool after controlled review</x:v>
      </x:c>
    </x:row>
    <x:row r="143">
      <x:c r="A143" s="191" t="str">
        <x:v>CTA-LMFT-MQB-0142</x:v>
      </x:c>
      <x:c r="B143" s="192" t="str">
        <x:v>LMFT-WB09-QB-Q006</x:v>
      </x:c>
      <x:c r="C143" s="192" t="str">
        <x:v>LMFT Workbook 9 Question Bank</x:v>
      </x:c>
      <x:c r="D143" s="192" t="n">
        <x:v>6</x:v>
      </x:c>
      <x:c r="E143" s="192" t="str">
        <x:v>Workbook Bank</x:v>
      </x:c>
      <x:c r="F143" s="192" t="str">
        <x:v>5. Treatment</x:v>
      </x:c>
      <x:c r="G143" s="192" t="str">
        <x:v>Grief, role change, and functioning</x:v>
      </x:c>
      <x:c r="H143" s="192" t="str">
        <x:v>Moderate</x:v>
      </x:c>
      <x:c r="I143" s="192" t="str">
        <x:v>Scenario-Based</x:v>
      </x:c>
      <x:c r="J143" s="192" t="str">
        <x:v>B</x:v>
      </x:c>
      <x:c r="K143" s="192" t="n">
        <x:v>1</x:v>
      </x:c>
      <x:c r="L143" s="192" t="str"/>
      <x:c r="M143" s="192" t="str">
        <x:v>Released</x:v>
      </x:c>
      <x:c r="N143" s="194" t="str">
        <x:v>Workbook bank; reserve pool after controlled review</x:v>
      </x:c>
    </x:row>
    <x:row r="144">
      <x:c r="A144" s="191" t="str">
        <x:v>CTA-LMFT-MQB-0143</x:v>
      </x:c>
      <x:c r="B144" s="192" t="str">
        <x:v>LMFT-WB09-QB-Q007</x:v>
      </x:c>
      <x:c r="C144" s="192" t="str">
        <x:v>LMFT Workbook 9 Question Bank</x:v>
      </x:c>
      <x:c r="D144" s="192" t="n">
        <x:v>7</x:v>
      </x:c>
      <x:c r="E144" s="192" t="str">
        <x:v>Workbook Bank</x:v>
      </x:c>
      <x:c r="F144" s="192" t="str">
        <x:v>5. Treatment</x:v>
      </x:c>
      <x:c r="G144" s="192" t="str">
        <x:v>Recovery-oriented coordination</x:v>
      </x:c>
      <x:c r="H144" s="192" t="str">
        <x:v>Moderate</x:v>
      </x:c>
      <x:c r="I144" s="192" t="str">
        <x:v>Application</x:v>
      </x:c>
      <x:c r="J144" s="192" t="str">
        <x:v>C</x:v>
      </x:c>
      <x:c r="K144" s="192" t="n">
        <x:v>1</x:v>
      </x:c>
      <x:c r="L144" s="192" t="str"/>
      <x:c r="M144" s="192" t="str">
        <x:v>Released</x:v>
      </x:c>
      <x:c r="N144" s="194" t="str">
        <x:v>Workbook bank; reserve pool after controlled review</x:v>
      </x:c>
    </x:row>
    <x:row r="145">
      <x:c r="A145" s="191" t="str">
        <x:v>CTA-LMFT-MQB-0144</x:v>
      </x:c>
      <x:c r="B145" s="192" t="str">
        <x:v>LMFT-WB09-QB-Q008</x:v>
      </x:c>
      <x:c r="C145" s="192" t="str">
        <x:v>LMFT Workbook 9 Question Bank</x:v>
      </x:c>
      <x:c r="D145" s="192" t="n">
        <x:v>8</x:v>
      </x:c>
      <x:c r="E145" s="192" t="str">
        <x:v>Workbook Bank</x:v>
      </x:c>
      <x:c r="F145" s="192" t="str">
        <x:v>5. Treatment</x:v>
      </x:c>
      <x:c r="G145" s="192" t="str">
        <x:v>Developmental and caregiver intervention</x:v>
      </x:c>
      <x:c r="H145" s="192" t="str">
        <x:v>Moderate</x:v>
      </x:c>
      <x:c r="I145" s="192" t="str">
        <x:v>Scenario-Based</x:v>
      </x:c>
      <x:c r="J145" s="192" t="str">
        <x:v>D</x:v>
      </x:c>
      <x:c r="K145" s="192" t="n">
        <x:v>1</x:v>
      </x:c>
      <x:c r="L145" s="192" t="str"/>
      <x:c r="M145" s="192" t="str">
        <x:v>Released</x:v>
      </x:c>
      <x:c r="N145" s="194" t="str">
        <x:v>Workbook bank; reserve pool after controlled review</x:v>
      </x:c>
    </x:row>
    <x:row r="146">
      <x:c r="A146" s="191" t="str">
        <x:v>CTA-LMFT-MQB-0145</x:v>
      </x:c>
      <x:c r="B146" s="192" t="str">
        <x:v>LMFT-WB09-QB-Q009</x:v>
      </x:c>
      <x:c r="C146" s="192" t="str">
        <x:v>LMFT Workbook 9 Question Bank</x:v>
      </x:c>
      <x:c r="D146" s="192" t="n">
        <x:v>9</x:v>
      </x:c>
      <x:c r="E146" s="192" t="str">
        <x:v>Workbook Bank</x:v>
      </x:c>
      <x:c r="F146" s="192" t="str">
        <x:v>5. Treatment</x:v>
      </x:c>
      <x:c r="G146" s="192" t="str">
        <x:v>Caregiver burden and resource intervention</x:v>
      </x:c>
      <x:c r="H146" s="192" t="str">
        <x:v>Moderate</x:v>
      </x:c>
      <x:c r="I146" s="192" t="str">
        <x:v>Scenario-Based</x:v>
      </x:c>
      <x:c r="J146" s="192" t="str">
        <x:v>A</x:v>
      </x:c>
      <x:c r="K146" s="192" t="n">
        <x:v>1</x:v>
      </x:c>
      <x:c r="L146" s="192" t="str"/>
      <x:c r="M146" s="192" t="str">
        <x:v>Released</x:v>
      </x:c>
      <x:c r="N146" s="194" t="str">
        <x:v>Workbook bank; reserve pool after controlled review</x:v>
      </x:c>
    </x:row>
    <x:row r="147">
      <x:c r="A147" s="191" t="str">
        <x:v>CTA-LMFT-MQB-0146</x:v>
      </x:c>
      <x:c r="B147" s="192" t="str">
        <x:v>LMFT-WB09-QB-Q010</x:v>
      </x:c>
      <x:c r="C147" s="192" t="str">
        <x:v>LMFT Workbook 9 Question Bank</x:v>
      </x:c>
      <x:c r="D147" s="192" t="n">
        <x:v>10</x:v>
      </x:c>
      <x:c r="E147" s="192" t="str">
        <x:v>Workbook Bank</x:v>
      </x:c>
      <x:c r="F147" s="192" t="str">
        <x:v>5. Treatment</x:v>
      </x:c>
      <x:c r="G147" s="192" t="str">
        <x:v>Harm reduction and readiness</x:v>
      </x:c>
      <x:c r="H147" s="192" t="str">
        <x:v>Moderate</x:v>
      </x:c>
      <x:c r="I147" s="192" t="str">
        <x:v>Application</x:v>
      </x:c>
      <x:c r="J147" s="192" t="str">
        <x:v>B</x:v>
      </x:c>
      <x:c r="K147" s="192" t="n">
        <x:v>1</x:v>
      </x:c>
      <x:c r="L147" s="192" t="str"/>
      <x:c r="M147" s="192" t="str">
        <x:v>Released</x:v>
      </x:c>
      <x:c r="N147" s="194" t="str">
        <x:v>Workbook bank; reserve pool after controlled review</x:v>
      </x:c>
    </x:row>
    <x:row r="148">
      <x:c r="A148" s="191" t="str">
        <x:v>CTA-LMFT-MQB-0147</x:v>
      </x:c>
      <x:c r="B148" s="192" t="str">
        <x:v>LMFT-WB09-QB-Q011</x:v>
      </x:c>
      <x:c r="C148" s="192" t="str">
        <x:v>LMFT Workbook 9 Question Bank</x:v>
      </x:c>
      <x:c r="D148" s="192" t="n">
        <x:v>11</x:v>
      </x:c>
      <x:c r="E148" s="192" t="str">
        <x:v>Workbook Bank</x:v>
      </x:c>
      <x:c r="F148" s="192" t="str">
        <x:v>5. Treatment</x:v>
      </x:c>
      <x:c r="G148" s="192" t="str">
        <x:v>Eating concerns and medical risk</x:v>
      </x:c>
      <x:c r="H148" s="192" t="str">
        <x:v>Moderate</x:v>
      </x:c>
      <x:c r="I148" s="192" t="str">
        <x:v>Scenario-Based</x:v>
      </x:c>
      <x:c r="J148" s="192" t="str">
        <x:v>C</x:v>
      </x:c>
      <x:c r="K148" s="192" t="n">
        <x:v>1</x:v>
      </x:c>
      <x:c r="L148" s="192" t="str"/>
      <x:c r="M148" s="192" t="str">
        <x:v>Released</x:v>
      </x:c>
      <x:c r="N148" s="194" t="str">
        <x:v>Workbook bank; reserve pool after controlled review</x:v>
      </x:c>
    </x:row>
    <x:row r="149">
      <x:c r="A149" s="191" t="str">
        <x:v>CTA-LMFT-MQB-0148</x:v>
      </x:c>
      <x:c r="B149" s="192" t="str">
        <x:v>LMFT-WB09-QB-Q012</x:v>
      </x:c>
      <x:c r="C149" s="192" t="str">
        <x:v>LMFT Workbook 9 Question Bank</x:v>
      </x:c>
      <x:c r="D149" s="192" t="n">
        <x:v>12</x:v>
      </x:c>
      <x:c r="E149" s="192" t="str">
        <x:v>Workbook Bank</x:v>
      </x:c>
      <x:c r="F149" s="192" t="str">
        <x:v>5. Treatment</x:v>
      </x:c>
      <x:c r="G149" s="192" t="str">
        <x:v>Theory-consistent selection</x:v>
      </x:c>
      <x:c r="H149" s="192" t="str">
        <x:v>Moderate</x:v>
      </x:c>
      <x:c r="I149" s="192" t="str">
        <x:v>Knowledge &amp; Recall</x:v>
      </x:c>
      <x:c r="J149" s="192" t="str">
        <x:v>D</x:v>
      </x:c>
      <x:c r="K149" s="192" t="n">
        <x:v>1</x:v>
      </x:c>
      <x:c r="L149" s="192" t="str"/>
      <x:c r="M149" s="192" t="str">
        <x:v>Released</x:v>
      </x:c>
      <x:c r="N149" s="194" t="str">
        <x:v>Workbook bank; reserve pool after controlled review</x:v>
      </x:c>
    </x:row>
    <x:row r="150">
      <x:c r="A150" s="191" t="str">
        <x:v>CTA-LMFT-MQB-0149</x:v>
      </x:c>
      <x:c r="B150" s="192" t="str">
        <x:v>LMFT-WB09-QB-Q013</x:v>
      </x:c>
      <x:c r="C150" s="192" t="str">
        <x:v>LMFT Workbook 9 Question Bank</x:v>
      </x:c>
      <x:c r="D150" s="192" t="n">
        <x:v>13</x:v>
      </x:c>
      <x:c r="E150" s="192" t="str">
        <x:v>Workbook Bank</x:v>
      </x:c>
      <x:c r="F150" s="192" t="str">
        <x:v>5. Treatment</x:v>
      </x:c>
      <x:c r="G150" s="192" t="str">
        <x:v>Integrated trauma and reassurance cycle</x:v>
      </x:c>
      <x:c r="H150" s="192" t="str">
        <x:v>Difficult</x:v>
      </x:c>
      <x:c r="I150" s="192" t="str">
        <x:v>Integrated Clinical Reasoning</x:v>
      </x:c>
      <x:c r="J150" s="192" t="str">
        <x:v>A</x:v>
      </x:c>
      <x:c r="K150" s="192" t="n">
        <x:v>1</x:v>
      </x:c>
      <x:c r="L150" s="192" t="str"/>
      <x:c r="M150" s="192" t="str">
        <x:v>Released</x:v>
      </x:c>
      <x:c r="N150" s="194" t="str">
        <x:v>Workbook bank; reserve pool after controlled review</x:v>
      </x:c>
    </x:row>
    <x:row r="151">
      <x:c r="A151" s="191" t="str">
        <x:v>CTA-LMFT-MQB-0150</x:v>
      </x:c>
      <x:c r="B151" s="192" t="str">
        <x:v>LMFT-WB09-QB-Q014</x:v>
      </x:c>
      <x:c r="C151" s="192" t="str">
        <x:v>LMFT Workbook 9 Question Bank</x:v>
      </x:c>
      <x:c r="D151" s="192" t="n">
        <x:v>14</x:v>
      </x:c>
      <x:c r="E151" s="192" t="str">
        <x:v>Workbook Bank</x:v>
      </x:c>
      <x:c r="F151" s="192" t="str">
        <x:v>5. Treatment</x:v>
      </x:c>
      <x:c r="G151" s="192" t="str">
        <x:v>Integrated relapse and family recovery</x:v>
      </x:c>
      <x:c r="H151" s="192" t="str">
        <x:v>Difficult</x:v>
      </x:c>
      <x:c r="I151" s="192" t="str">
        <x:v>Integrated Clinical Reasoning</x:v>
      </x:c>
      <x:c r="J151" s="192" t="str">
        <x:v>B</x:v>
      </x:c>
      <x:c r="K151" s="192" t="n">
        <x:v>1</x:v>
      </x:c>
      <x:c r="L151" s="192" t="str"/>
      <x:c r="M151" s="192" t="str">
        <x:v>Released</x:v>
      </x:c>
      <x:c r="N151" s="194" t="str">
        <x:v>Workbook bank; reserve pool after controlled review</x:v>
      </x:c>
    </x:row>
    <x:row r="152">
      <x:c r="A152" s="191" t="str">
        <x:v>CTA-LMFT-MQB-0151</x:v>
      </x:c>
      <x:c r="B152" s="192" t="str">
        <x:v>LMFT-WB09-QB-Q015</x:v>
      </x:c>
      <x:c r="C152" s="192" t="str">
        <x:v>LMFT Workbook 9 Question Bank</x:v>
      </x:c>
      <x:c r="D152" s="192" t="n">
        <x:v>15</x:v>
      </x:c>
      <x:c r="E152" s="192" t="str">
        <x:v>Workbook Bank</x:v>
      </x:c>
      <x:c r="F152" s="192" t="str">
        <x:v>5. Treatment</x:v>
      </x:c>
      <x:c r="G152" s="192" t="str">
        <x:v>Integrated nonresponse and access barriers</x:v>
      </x:c>
      <x:c r="H152" s="192" t="str">
        <x:v>Difficult</x:v>
      </x:c>
      <x:c r="I152" s="192" t="str">
        <x:v>Integrated Clinical Reasoning</x:v>
      </x:c>
      <x:c r="J152" s="192" t="str">
        <x:v>C</x:v>
      </x:c>
      <x:c r="K152" s="192" t="n">
        <x:v>1</x:v>
      </x:c>
      <x:c r="L152" s="192" t="str"/>
      <x:c r="M152" s="192" t="str">
        <x:v>Released</x:v>
      </x:c>
      <x:c r="N152" s="194" t="str">
        <x:v>Workbook bank; reserve pool after controlled review</x:v>
      </x:c>
    </x:row>
    <x:row r="153">
      <x:c r="A153" s="191" t="str">
        <x:v>CTA-LMFT-MQB-0152</x:v>
      </x:c>
      <x:c r="B153" s="192" t="str">
        <x:v>LMFT-WB09-QB-Q016</x:v>
      </x:c>
      <x:c r="C153" s="192" t="str">
        <x:v>LMFT Workbook 9 Question Bank</x:v>
      </x:c>
      <x:c r="D153" s="192" t="n">
        <x:v>16</x:v>
      </x:c>
      <x:c r="E153" s="192" t="str">
        <x:v>Workbook Bank</x:v>
      </x:c>
      <x:c r="F153" s="192" t="str">
        <x:v>5. Treatment</x:v>
      </x:c>
      <x:c r="G153" s="192" t="str">
        <x:v>Integrated adolescent risk and family work</x:v>
      </x:c>
      <x:c r="H153" s="192" t="str">
        <x:v>Difficult</x:v>
      </x:c>
      <x:c r="I153" s="192" t="str">
        <x:v>Integrated Clinical Reasoning</x:v>
      </x:c>
      <x:c r="J153" s="192" t="str">
        <x:v>D</x:v>
      </x:c>
      <x:c r="K153" s="192" t="n">
        <x:v>1</x:v>
      </x:c>
      <x:c r="L153" s="192" t="str"/>
      <x:c r="M153" s="192" t="str">
        <x:v>Released</x:v>
      </x:c>
      <x:c r="N153" s="194" t="str">
        <x:v>Workbook bank; reserve pool after controlled review</x:v>
      </x:c>
    </x:row>
    <x:row r="154">
      <x:c r="A154" s="191" t="str">
        <x:v>CTA-LMFT-MQB-0153</x:v>
      </x:c>
      <x:c r="B154" s="192" t="str">
        <x:v>LMFT-WB09-QB-Q017</x:v>
      </x:c>
      <x:c r="C154" s="192" t="str">
        <x:v>LMFT Workbook 9 Question Bank</x:v>
      </x:c>
      <x:c r="D154" s="192" t="n">
        <x:v>17</x:v>
      </x:c>
      <x:c r="E154" s="192" t="str">
        <x:v>Workbook Bank</x:v>
      </x:c>
      <x:c r="F154" s="192" t="str">
        <x:v>5. Treatment</x:v>
      </x:c>
      <x:c r="G154" s="192" t="str">
        <x:v>Integrated competence, continuity, and specialty care</x:v>
      </x:c>
      <x:c r="H154" s="192" t="str">
        <x:v>Difficult</x:v>
      </x:c>
      <x:c r="I154" s="192" t="str">
        <x:v>Integrated Clinical Reasoning</x:v>
      </x:c>
      <x:c r="J154" s="192" t="str">
        <x:v>A</x:v>
      </x:c>
      <x:c r="K154" s="192" t="n">
        <x:v>1</x:v>
      </x:c>
      <x:c r="L154" s="192" t="str"/>
      <x:c r="M154" s="192" t="str">
        <x:v>Released</x:v>
      </x:c>
      <x:c r="N154" s="194" t="str">
        <x:v>Workbook bank; reserve pool after controlled review</x:v>
      </x:c>
    </x:row>
    <x:row r="155">
      <x:c r="A155" s="191" t="str">
        <x:v>CTA-LMFT-MQB-0154</x:v>
      </x:c>
      <x:c r="B155" s="192" t="str">
        <x:v>LMFT-WB10-QB-Q001</x:v>
      </x:c>
      <x:c r="C155" s="192" t="str">
        <x:v>LMFT Workbook 10 Question Bank</x:v>
      </x:c>
      <x:c r="D155" s="192" t="n">
        <x:v>1</x:v>
      </x:c>
      <x:c r="E155" s="192" t="str">
        <x:v>Workbook Bank</x:v>
      </x:c>
      <x:c r="F155" s="192" t="str">
        <x:v>5. Treatment</x:v>
      </x:c>
      <x:c r="G155" s="192" t="str">
        <x:v>CARE contextual intervention sequence</x:v>
      </x:c>
      <x:c r="H155" s="192" t="str">
        <x:v>Easy</x:v>
      </x:c>
      <x:c r="I155" s="192" t="str">
        <x:v>Knowledge &amp; Recall</x:v>
      </x:c>
      <x:c r="J155" s="192" t="str">
        <x:v>A</x:v>
      </x:c>
      <x:c r="K155" s="192" t="n">
        <x:v>1</x:v>
      </x:c>
      <x:c r="L155" s="192" t="str"/>
      <x:c r="M155" s="192" t="str">
        <x:v>Released</x:v>
      </x:c>
      <x:c r="N155" s="194" t="str">
        <x:v>Workbook bank; reserve pool after controlled review</x:v>
      </x:c>
    </x:row>
    <x:row r="156">
      <x:c r="A156" s="191" t="str">
        <x:v>CTA-LMFT-MQB-0155</x:v>
      </x:c>
      <x:c r="B156" s="192" t="str">
        <x:v>LMFT-WB10-QB-Q002</x:v>
      </x:c>
      <x:c r="C156" s="192" t="str">
        <x:v>LMFT Workbook 10 Question Bank</x:v>
      </x:c>
      <x:c r="D156" s="192" t="n">
        <x:v>2</x:v>
      </x:c>
      <x:c r="E156" s="192" t="str">
        <x:v>Workbook Bank</x:v>
      </x:c>
      <x:c r="F156" s="192" t="str">
        <x:v>5. Treatment</x:v>
      </x:c>
      <x:c r="G156" s="192" t="str">
        <x:v>Developmental capacity versus chronological age</x:v>
      </x:c>
      <x:c r="H156" s="192" t="str">
        <x:v>Easy</x:v>
      </x:c>
      <x:c r="I156" s="192" t="str">
        <x:v>Knowledge &amp; Recall</x:v>
      </x:c>
      <x:c r="J156" s="192" t="str">
        <x:v>B</x:v>
      </x:c>
      <x:c r="K156" s="192" t="n">
        <x:v>1</x:v>
      </x:c>
      <x:c r="L156" s="192" t="str"/>
      <x:c r="M156" s="192" t="str">
        <x:v>Released</x:v>
      </x:c>
      <x:c r="N156" s="194" t="str">
        <x:v>Workbook bank; reserve pool after controlled review</x:v>
      </x:c>
    </x:row>
    <x:row r="157">
      <x:c r="A157" s="191" t="str">
        <x:v>CTA-LMFT-MQB-0156</x:v>
      </x:c>
      <x:c r="B157" s="192" t="str">
        <x:v>LMFT-WB10-QB-Q003</x:v>
      </x:c>
      <x:c r="C157" s="192" t="str">
        <x:v>LMFT Workbook 10 Question Bank</x:v>
      </x:c>
      <x:c r="D157" s="192" t="n">
        <x:v>3</x:v>
      </x:c>
      <x:c r="E157" s="192" t="str">
        <x:v>Workbook Bank</x:v>
      </x:c>
      <x:c r="F157" s="192" t="str">
        <x:v>5. Treatment</x:v>
      </x:c>
      <x:c r="G157" s="192" t="str">
        <x:v>Cultural humility and interactional adaptation</x:v>
      </x:c>
      <x:c r="H157" s="192" t="str">
        <x:v>Easy</x:v>
      </x:c>
      <x:c r="I157" s="192" t="str">
        <x:v>Application</x:v>
      </x:c>
      <x:c r="J157" s="192" t="str">
        <x:v>C</x:v>
      </x:c>
      <x:c r="K157" s="192" t="n">
        <x:v>1</x:v>
      </x:c>
      <x:c r="L157" s="192" t="str"/>
      <x:c r="M157" s="192" t="str">
        <x:v>Released</x:v>
      </x:c>
      <x:c r="N157" s="194" t="str">
        <x:v>Workbook bank; reserve pool after controlled review</x:v>
      </x:c>
    </x:row>
    <x:row r="158">
      <x:c r="A158" s="191" t="str">
        <x:v>CTA-LMFT-MQB-0157</x:v>
      </x:c>
      <x:c r="B158" s="192" t="str">
        <x:v>LMFT-WB10-QB-Q004</x:v>
      </x:c>
      <x:c r="C158" s="192" t="str">
        <x:v>LMFT Workbook 10 Question Bank</x:v>
      </x:c>
      <x:c r="D158" s="192" t="n">
        <x:v>4</x:v>
      </x:c>
      <x:c r="E158" s="192" t="str">
        <x:v>Workbook Bank</x:v>
      </x:c>
      <x:c r="F158" s="192" t="str">
        <x:v>5. Treatment</x:v>
      </x:c>
      <x:c r="G158" s="192" t="str">
        <x:v>Accessibility as clinical effectiveness</x:v>
      </x:c>
      <x:c r="H158" s="192" t="str">
        <x:v>Easy</x:v>
      </x:c>
      <x:c r="I158" s="192" t="str">
        <x:v>Knowledge &amp; Recall</x:v>
      </x:c>
      <x:c r="J158" s="192" t="str">
        <x:v>D</x:v>
      </x:c>
      <x:c r="K158" s="192" t="n">
        <x:v>1</x:v>
      </x:c>
      <x:c r="L158" s="192" t="str"/>
      <x:c r="M158" s="192" t="str">
        <x:v>Released</x:v>
      </x:c>
      <x:c r="N158" s="194" t="str">
        <x:v>Workbook bank; reserve pool after controlled review</x:v>
      </x:c>
    </x:row>
    <x:row r="159">
      <x:c r="A159" s="191" t="str">
        <x:v>CTA-LMFT-MQB-0158</x:v>
      </x:c>
      <x:c r="B159" s="192" t="str">
        <x:v>LMFT-WB10-QB-Q005</x:v>
      </x:c>
      <x:c r="C159" s="192" t="str">
        <x:v>LMFT Workbook 10 Question Bank</x:v>
      </x:c>
      <x:c r="D159" s="192" t="n">
        <x:v>5</x:v>
      </x:c>
      <x:c r="E159" s="192" t="str">
        <x:v>Workbook Bank</x:v>
      </x:c>
      <x:c r="F159" s="192" t="str">
        <x:v>5. Treatment</x:v>
      </x:c>
      <x:c r="G159" s="192" t="str">
        <x:v>Evaluation of contextual fit</x:v>
      </x:c>
      <x:c r="H159" s="192" t="str">
        <x:v>Easy</x:v>
      </x:c>
      <x:c r="I159" s="192" t="str">
        <x:v>Application</x:v>
      </x:c>
      <x:c r="J159" s="192" t="str">
        <x:v>A</x:v>
      </x:c>
      <x:c r="K159" s="192" t="n">
        <x:v>1</x:v>
      </x:c>
      <x:c r="L159" s="192" t="str"/>
      <x:c r="M159" s="192" t="str">
        <x:v>Released</x:v>
      </x:c>
      <x:c r="N159" s="194" t="str">
        <x:v>Workbook bank; reserve pool after controlled review</x:v>
      </x:c>
    </x:row>
    <x:row r="160">
      <x:c r="A160" s="191" t="str">
        <x:v>CTA-LMFT-MQB-0159</x:v>
      </x:c>
      <x:c r="B160" s="192" t="str">
        <x:v>LMFT-WB10-QB-Q006</x:v>
      </x:c>
      <x:c r="C160" s="192" t="str">
        <x:v>LMFT Workbook 10 Question Bank</x:v>
      </x:c>
      <x:c r="D160" s="192" t="n">
        <x:v>6</x:v>
      </x:c>
      <x:c r="E160" s="192" t="str">
        <x:v>Workbook Bank</x:v>
      </x:c>
      <x:c r="F160" s="192" t="str">
        <x:v>5. Treatment</x:v>
      </x:c>
      <x:c r="G160" s="192" t="str">
        <x:v>Retirement and family life-cycle transition</x:v>
      </x:c>
      <x:c r="H160" s="192" t="str">
        <x:v>Moderate</x:v>
      </x:c>
      <x:c r="I160" s="192" t="str">
        <x:v>Application</x:v>
      </x:c>
      <x:c r="J160" s="192" t="str">
        <x:v>B</x:v>
      </x:c>
      <x:c r="K160" s="192" t="n">
        <x:v>1</x:v>
      </x:c>
      <x:c r="L160" s="192" t="str"/>
      <x:c r="M160" s="192" t="str">
        <x:v>Released</x:v>
      </x:c>
      <x:c r="N160" s="194" t="str">
        <x:v>Workbook bank; reserve pool after controlled review</x:v>
      </x:c>
    </x:row>
    <x:row r="161">
      <x:c r="A161" s="191" t="str">
        <x:v>CTA-LMFT-MQB-0160</x:v>
      </x:c>
      <x:c r="B161" s="192" t="str">
        <x:v>LMFT-WB10-QB-Q007</x:v>
      </x:c>
      <x:c r="C161" s="192" t="str">
        <x:v>LMFT Workbook 10 Question Bank</x:v>
      </x:c>
      <x:c r="D161" s="192" t="n">
        <x:v>7</x:v>
      </x:c>
      <x:c r="E161" s="192" t="str">
        <x:v>Workbook Bank</x:v>
      </x:c>
      <x:c r="F161" s="192" t="str">
        <x:v>5. Treatment</x:v>
      </x:c>
      <x:c r="G161" s="192" t="str">
        <x:v>Neurodiversity, sensory access, and engagement</x:v>
      </x:c>
      <x:c r="H161" s="192" t="str">
        <x:v>Moderate</x:v>
      </x:c>
      <x:c r="I161" s="192" t="str">
        <x:v>Scenario-Based</x:v>
      </x:c>
      <x:c r="J161" s="192" t="str">
        <x:v>C</x:v>
      </x:c>
      <x:c r="K161" s="192" t="n">
        <x:v>1</x:v>
      </x:c>
      <x:c r="L161" s="192" t="str"/>
      <x:c r="M161" s="192" t="str">
        <x:v>Released</x:v>
      </x:c>
      <x:c r="N161" s="194" t="str">
        <x:v>Workbook bank; reserve pool after controlled review</x:v>
      </x:c>
    </x:row>
    <x:row r="162">
      <x:c r="A162" s="191" t="str">
        <x:v>CTA-LMFT-MQB-0161</x:v>
      </x:c>
      <x:c r="B162" s="192" t="str">
        <x:v>LMFT-WB10-QB-Q008</x:v>
      </x:c>
      <x:c r="C162" s="192" t="str">
        <x:v>LMFT Workbook 10 Question Bank</x:v>
      </x:c>
      <x:c r="D162" s="192" t="n">
        <x:v>8</x:v>
      </x:c>
      <x:c r="E162" s="192" t="str">
        <x:v>Workbook Bank</x:v>
      </x:c>
      <x:c r="F162" s="192" t="str">
        <x:v>5. Treatment</x:v>
      </x:c>
      <x:c r="G162" s="192" t="str">
        <x:v>Spirituality, safety, and client-defined meaning</x:v>
      </x:c>
      <x:c r="H162" s="192" t="str">
        <x:v>Moderate</x:v>
      </x:c>
      <x:c r="I162" s="192" t="str">
        <x:v>Scenario-Based</x:v>
      </x:c>
      <x:c r="J162" s="192" t="str">
        <x:v>D</x:v>
      </x:c>
      <x:c r="K162" s="192" t="n">
        <x:v>1</x:v>
      </x:c>
      <x:c r="L162" s="192" t="str"/>
      <x:c r="M162" s="192" t="str">
        <x:v>Released</x:v>
      </x:c>
      <x:c r="N162" s="194" t="str">
        <x:v>Workbook bank; reserve pool after controlled review</x:v>
      </x:c>
    </x:row>
    <x:row r="163">
      <x:c r="A163" s="191" t="str">
        <x:v>CTA-LMFT-MQB-0162</x:v>
      </x:c>
      <x:c r="B163" s="192" t="str">
        <x:v>LMFT-WB10-QB-Q009</x:v>
      </x:c>
      <x:c r="C163" s="192" t="str">
        <x:v>LMFT Workbook 10 Question Bank</x:v>
      </x:c>
      <x:c r="D163" s="192" t="n">
        <x:v>9</x:v>
      </x:c>
      <x:c r="E163" s="192" t="str">
        <x:v>Workbook Bank</x:v>
      </x:c>
      <x:c r="F163" s="192" t="str">
        <x:v>5. Treatment</x:v>
      </x:c>
      <x:c r="G163" s="192" t="str">
        <x:v>Structural stress and feasible intervention design</x:v>
      </x:c>
      <x:c r="H163" s="192" t="str">
        <x:v>Moderate</x:v>
      </x:c>
      <x:c r="I163" s="192" t="str">
        <x:v>Application</x:v>
      </x:c>
      <x:c r="J163" s="192" t="str">
        <x:v>A</x:v>
      </x:c>
      <x:c r="K163" s="192" t="n">
        <x:v>1</x:v>
      </x:c>
      <x:c r="L163" s="192" t="str"/>
      <x:c r="M163" s="192" t="str">
        <x:v>Released</x:v>
      </x:c>
      <x:c r="N163" s="194" t="str">
        <x:v>Workbook bank; reserve pool after controlled review</x:v>
      </x:c>
    </x:row>
    <x:row r="164">
      <x:c r="A164" s="191" t="str">
        <x:v>CTA-LMFT-MQB-0163</x:v>
      </x:c>
      <x:c r="B164" s="192" t="str">
        <x:v>LMFT-WB10-QB-Q010</x:v>
      </x:c>
      <x:c r="C164" s="192" t="str">
        <x:v>LMFT Workbook 10 Question Bank</x:v>
      </x:c>
      <x:c r="D164" s="192" t="n">
        <x:v>10</x:v>
      </x:c>
      <x:c r="E164" s="192" t="str">
        <x:v>Workbook Bank</x:v>
      </x:c>
      <x:c r="F164" s="192" t="str">
        <x:v>5. Treatment</x:v>
      </x:c>
      <x:c r="G164" s="192" t="str">
        <x:v>Military reintegration and role renegotiation</x:v>
      </x:c>
      <x:c r="H164" s="192" t="str">
        <x:v>Moderate</x:v>
      </x:c>
      <x:c r="I164" s="192" t="str">
        <x:v>Scenario-Based</x:v>
      </x:c>
      <x:c r="J164" s="192" t="str">
        <x:v>B</x:v>
      </x:c>
      <x:c r="K164" s="192" t="n">
        <x:v>1</x:v>
      </x:c>
      <x:c r="L164" s="192" t="str"/>
      <x:c r="M164" s="192" t="str">
        <x:v>Released</x:v>
      </x:c>
      <x:c r="N164" s="194" t="str">
        <x:v>Workbook bank; reserve pool after controlled review</x:v>
      </x:c>
    </x:row>
    <x:row r="165">
      <x:c r="A165" s="191" t="str">
        <x:v>CTA-LMFT-MQB-0164</x:v>
      </x:c>
      <x:c r="B165" s="192" t="str">
        <x:v>LMFT-WB10-QB-Q011</x:v>
      </x:c>
      <x:c r="C165" s="192" t="str">
        <x:v>LMFT Workbook 10 Question Bank</x:v>
      </x:c>
      <x:c r="D165" s="192" t="n">
        <x:v>11</x:v>
      </x:c>
      <x:c r="E165" s="192" t="str">
        <x:v>Workbook Bank</x:v>
      </x:c>
      <x:c r="F165" s="192" t="str">
        <x:v>5. Treatment</x:v>
      </x:c>
      <x:c r="G165" s="192" t="str">
        <x:v>Qualified interpretation and role protection</x:v>
      </x:c>
      <x:c r="H165" s="192" t="str">
        <x:v>Moderate</x:v>
      </x:c>
      <x:c r="I165" s="192" t="str">
        <x:v>Scenario-Based</x:v>
      </x:c>
      <x:c r="J165" s="192" t="str">
        <x:v>C</x:v>
      </x:c>
      <x:c r="K165" s="192" t="n">
        <x:v>1</x:v>
      </x:c>
      <x:c r="L165" s="192" t="str"/>
      <x:c r="M165" s="192" t="str">
        <x:v>Released</x:v>
      </x:c>
      <x:c r="N165" s="194" t="str">
        <x:v>Workbook bank; reserve pool after controlled review</x:v>
      </x:c>
    </x:row>
    <x:row r="166">
      <x:c r="A166" s="191" t="str">
        <x:v>CTA-LMFT-MQB-0165</x:v>
      </x:c>
      <x:c r="B166" s="192" t="str">
        <x:v>LMFT-WB10-QB-Q012</x:v>
      </x:c>
      <x:c r="C166" s="192" t="str">
        <x:v>LMFT Workbook 10 Question Bank</x:v>
      </x:c>
      <x:c r="D166" s="192" t="n">
        <x:v>12</x:v>
      </x:c>
      <x:c r="E166" s="192" t="str">
        <x:v>Workbook Bank</x:v>
      </x:c>
      <x:c r="F166" s="192" t="str">
        <x:v>5. Treatment</x:v>
      </x:c>
      <x:c r="G166" s="192" t="str">
        <x:v>Affirming care, family involvement, and housing safety</x:v>
      </x:c>
      <x:c r="H166" s="192" t="str">
        <x:v>Moderate</x:v>
      </x:c>
      <x:c r="I166" s="192" t="str">
        <x:v>Integrated Clinical Reasoning</x:v>
      </x:c>
      <x:c r="J166" s="192" t="str">
        <x:v>D</x:v>
      </x:c>
      <x:c r="K166" s="192" t="n">
        <x:v>1</x:v>
      </x:c>
      <x:c r="L166" s="192" t="str"/>
      <x:c r="M166" s="192" t="str">
        <x:v>Released</x:v>
      </x:c>
      <x:c r="N166" s="194" t="str">
        <x:v>Workbook bank; reserve pool after controlled review</x:v>
      </x:c>
    </x:row>
    <x:row r="167">
      <x:c r="A167" s="191" t="str">
        <x:v>CTA-LMFT-MQB-0166</x:v>
      </x:c>
      <x:c r="B167" s="192" t="str">
        <x:v>LMFT-WB10-QB-Q013</x:v>
      </x:c>
      <x:c r="C167" s="192" t="str">
        <x:v>LMFT Workbook 10 Question Bank</x:v>
      </x:c>
      <x:c r="D167" s="192" t="n">
        <x:v>13</x:v>
      </x:c>
      <x:c r="E167" s="192" t="str">
        <x:v>Workbook Bank</x:v>
      </x:c>
      <x:c r="F167" s="192" t="str">
        <x:v>5. Treatment</x:v>
      </x:c>
      <x:c r="G167" s="192" t="str">
        <x:v>Aging, hearing access, caregiving, and independent participation</x:v>
      </x:c>
      <x:c r="H167" s="192" t="str">
        <x:v>Difficult</x:v>
      </x:c>
      <x:c r="I167" s="192" t="str">
        <x:v>Scenario-Based</x:v>
      </x:c>
      <x:c r="J167" s="192" t="str">
        <x:v>A</x:v>
      </x:c>
      <x:c r="K167" s="192" t="n">
        <x:v>1</x:v>
      </x:c>
      <x:c r="L167" s="192" t="str"/>
      <x:c r="M167" s="192" t="str">
        <x:v>Released</x:v>
      </x:c>
      <x:c r="N167" s="194" t="str">
        <x:v>Workbook bank; reserve pool after controlled review</x:v>
      </x:c>
    </x:row>
    <x:row r="168">
      <x:c r="A168" s="191" t="str">
        <x:v>CTA-LMFT-MQB-0167</x:v>
      </x:c>
      <x:c r="B168" s="192" t="str">
        <x:v>LMFT-WB10-QB-Q014</x:v>
      </x:c>
      <x:c r="C168" s="192" t="str">
        <x:v>LMFT Workbook 10 Question Bank</x:v>
      </x:c>
      <x:c r="D168" s="192" t="n">
        <x:v>14</x:v>
      </x:c>
      <x:c r="E168" s="192" t="str">
        <x:v>Workbook Bank</x:v>
      </x:c>
      <x:c r="F168" s="192" t="str">
        <x:v>5. Treatment</x:v>
      </x:c>
      <x:c r="G168" s="192" t="str">
        <x:v>Migration, coercive control, language access, and scope</x:v>
      </x:c>
      <x:c r="H168" s="192" t="str">
        <x:v>Difficult</x:v>
      </x:c>
      <x:c r="I168" s="192" t="str">
        <x:v>Integrated Clinical Reasoning</x:v>
      </x:c>
      <x:c r="J168" s="192" t="str">
        <x:v>B</x:v>
      </x:c>
      <x:c r="K168" s="192" t="n">
        <x:v>1</x:v>
      </x:c>
      <x:c r="L168" s="192" t="str"/>
      <x:c r="M168" s="192" t="str">
        <x:v>Released</x:v>
      </x:c>
      <x:c r="N168" s="194" t="str">
        <x:v>Workbook bank; reserve pool after controlled review</x:v>
      </x:c>
    </x:row>
    <x:row r="169">
      <x:c r="A169" s="191" t="str">
        <x:v>CTA-LMFT-MQB-0168</x:v>
      </x:c>
      <x:c r="B169" s="192" t="str">
        <x:v>LMFT-WB10-QB-Q015</x:v>
      </x:c>
      <x:c r="C169" s="192" t="str">
        <x:v>LMFT Workbook 10 Question Bank</x:v>
      </x:c>
      <x:c r="D169" s="192" t="n">
        <x:v>15</x:v>
      </x:c>
      <x:c r="E169" s="192" t="str">
        <x:v>Workbook Bank</x:v>
      </x:c>
      <x:c r="F169" s="192" t="str">
        <x:v>5. Treatment</x:v>
      </x:c>
      <x:c r="G169" s="192" t="str">
        <x:v>Adolescent school context, cultural meaning, and coordinated care</x:v>
      </x:c>
      <x:c r="H169" s="192" t="str">
        <x:v>Difficult</x:v>
      </x:c>
      <x:c r="I169" s="192" t="str">
        <x:v>Integrated Clinical Reasoning</x:v>
      </x:c>
      <x:c r="J169" s="192" t="str">
        <x:v>C</x:v>
      </x:c>
      <x:c r="K169" s="192" t="n">
        <x:v>1</x:v>
      </x:c>
      <x:c r="L169" s="192" t="str"/>
      <x:c r="M169" s="192" t="str">
        <x:v>Released</x:v>
      </x:c>
      <x:c r="N169" s="194" t="str">
        <x:v>Workbook bank; reserve pool after controlled review</x:v>
      </x:c>
    </x:row>
    <x:row r="170">
      <x:c r="A170" s="191" t="str">
        <x:v>CTA-LMFT-MQB-0169</x:v>
      </x:c>
      <x:c r="B170" s="192" t="str">
        <x:v>LMFT-WB10-QB-Q016</x:v>
      </x:c>
      <x:c r="C170" s="192" t="str">
        <x:v>LMFT Workbook 10 Question Bank</x:v>
      </x:c>
      <x:c r="D170" s="192" t="n">
        <x:v>16</x:v>
      </x:c>
      <x:c r="E170" s="192" t="str">
        <x:v>Workbook Bank</x:v>
      </x:c>
      <x:c r="F170" s="192" t="str">
        <x:v>5. Treatment</x:v>
      </x:c>
      <x:c r="G170" s="192" t="str">
        <x:v>Executive functioning, chronic pain, couple cycle, and homework adaptation</x:v>
      </x:c>
      <x:c r="H170" s="192" t="str">
        <x:v>Difficult</x:v>
      </x:c>
      <x:c r="I170" s="192" t="str">
        <x:v>Integrated Clinical Reasoning</x:v>
      </x:c>
      <x:c r="J170" s="192" t="str">
        <x:v>D</x:v>
      </x:c>
      <x:c r="K170" s="192" t="n">
        <x:v>1</x:v>
      </x:c>
      <x:c r="L170" s="192" t="str"/>
      <x:c r="M170" s="192" t="str">
        <x:v>Released</x:v>
      </x:c>
      <x:c r="N170" s="194" t="str">
        <x:v>Workbook bank; reserve pool after controlled review</x:v>
      </x:c>
    </x:row>
    <x:row r="171">
      <x:c r="A171" s="191" t="str">
        <x:v>CTA-LMFT-MQB-0170</x:v>
      </x:c>
      <x:c r="B171" s="192" t="str">
        <x:v>LMFT-WB10-QB-Q017</x:v>
      </x:c>
      <x:c r="C171" s="192" t="str">
        <x:v>LMFT Workbook 10 Question Bank</x:v>
      </x:c>
      <x:c r="D171" s="192" t="n">
        <x:v>17</x:v>
      </x:c>
      <x:c r="E171" s="192" t="str">
        <x:v>Workbook Bank</x:v>
      </x:c>
      <x:c r="F171" s="192" t="str">
        <x:v>5. Treatment</x:v>
      </x:c>
      <x:c r="G171" s="192" t="str">
        <x:v>Historical trauma, institutional mistrust, and coordinated intervention</x:v>
      </x:c>
      <x:c r="H171" s="192" t="str">
        <x:v>Difficult</x:v>
      </x:c>
      <x:c r="I171" s="192" t="str">
        <x:v>Integrated Clinical Reasoning</x:v>
      </x:c>
      <x:c r="J171" s="192" t="str">
        <x:v>A</x:v>
      </x:c>
      <x:c r="K171" s="192" t="n">
        <x:v>1</x:v>
      </x:c>
      <x:c r="L171" s="192" t="str"/>
      <x:c r="M171" s="192" t="str">
        <x:v>Released</x:v>
      </x:c>
      <x:c r="N171" s="194" t="str">
        <x:v>Workbook bank; reserve pool after controlled review</x:v>
      </x:c>
    </x:row>
    <x:row r="172">
      <x:c r="A172" s="191" t="str">
        <x:v>CTA-LMFT-MQB-0171</x:v>
      </x:c>
      <x:c r="B172" s="192" t="str">
        <x:v>LMFT-WB11-QB-Q001</x:v>
      </x:c>
      <x:c r="C172" s="192" t="str">
        <x:v>LMFT Workbook 11 Question Bank</x:v>
      </x:c>
      <x:c r="D172" s="192" t="n">
        <x:v>1</x:v>
      </x:c>
      <x:c r="E172" s="192" t="str">
        <x:v>Workbook Bank</x:v>
      </x:c>
      <x:c r="F172" s="192" t="str">
        <x:v>5. Treatment</x:v>
      </x:c>
      <x:c r="G172" s="192" t="str">
        <x:v>Theory versus technique</x:v>
      </x:c>
      <x:c r="H172" s="192" t="str">
        <x:v>Easy</x:v>
      </x:c>
      <x:c r="I172" s="192" t="str">
        <x:v>Knowledge &amp; Recall</x:v>
      </x:c>
      <x:c r="J172" s="192" t="str">
        <x:v>A</x:v>
      </x:c>
      <x:c r="K172" s="192" t="n">
        <x:v>1</x:v>
      </x:c>
      <x:c r="L172" s="192" t="str"/>
      <x:c r="M172" s="192" t="str">
        <x:v>Released</x:v>
      </x:c>
      <x:c r="N172" s="194" t="str">
        <x:v>Workbook bank; reserve pool after controlled review</x:v>
      </x:c>
    </x:row>
    <x:row r="173">
      <x:c r="A173" s="191" t="str">
        <x:v>CTA-LMFT-MQB-0172</x:v>
      </x:c>
      <x:c r="B173" s="192" t="str">
        <x:v>LMFT-WB11-QB-Q002</x:v>
      </x:c>
      <x:c r="C173" s="192" t="str">
        <x:v>LMFT Workbook 11 Question Bank</x:v>
      </x:c>
      <x:c r="D173" s="192" t="n">
        <x:v>2</x:v>
      </x:c>
      <x:c r="E173" s="192" t="str">
        <x:v>Workbook Bank</x:v>
      </x:c>
      <x:c r="F173" s="192" t="str">
        <x:v>5. Treatment</x:v>
      </x:c>
      <x:c r="G173" s="192" t="str">
        <x:v>Group screening and fit</x:v>
      </x:c>
      <x:c r="H173" s="192" t="str">
        <x:v>Easy</x:v>
      </x:c>
      <x:c r="I173" s="192" t="str">
        <x:v>Knowledge &amp; Recall</x:v>
      </x:c>
      <x:c r="J173" s="192" t="str">
        <x:v>B</x:v>
      </x:c>
      <x:c r="K173" s="192" t="n">
        <x:v>1</x:v>
      </x:c>
      <x:c r="L173" s="192" t="str"/>
      <x:c r="M173" s="192" t="str">
        <x:v>Released</x:v>
      </x:c>
      <x:c r="N173" s="194" t="str">
        <x:v>Workbook bank; reserve pool after controlled review</x:v>
      </x:c>
    </x:row>
    <x:row r="174">
      <x:c r="A174" s="191" t="str">
        <x:v>CTA-LMFT-MQB-0173</x:v>
      </x:c>
      <x:c r="B174" s="192" t="str">
        <x:v>LMFT-WB11-QB-Q003</x:v>
      </x:c>
      <x:c r="C174" s="192" t="str">
        <x:v>LMFT Workbook 11 Question Bank</x:v>
      </x:c>
      <x:c r="D174" s="192" t="n">
        <x:v>3</x:v>
      </x:c>
      <x:c r="E174" s="192" t="str">
        <x:v>Workbook Bank</x:v>
      </x:c>
      <x:c r="F174" s="192" t="str">
        <x:v>5. Treatment</x:v>
      </x:c>
      <x:c r="G174" s="192" t="str">
        <x:v>Consultation versus referral</x:v>
      </x:c>
      <x:c r="H174" s="192" t="str">
        <x:v>Easy</x:v>
      </x:c>
      <x:c r="I174" s="192" t="str">
        <x:v>Application</x:v>
      </x:c>
      <x:c r="J174" s="192" t="str">
        <x:v>C</x:v>
      </x:c>
      <x:c r="K174" s="192" t="n">
        <x:v>1</x:v>
      </x:c>
      <x:c r="L174" s="192" t="str"/>
      <x:c r="M174" s="192" t="str">
        <x:v>Released</x:v>
      </x:c>
      <x:c r="N174" s="194" t="str">
        <x:v>Workbook bank; reserve pool after controlled review</x:v>
      </x:c>
    </x:row>
    <x:row r="175">
      <x:c r="A175" s="191" t="str">
        <x:v>CTA-LMFT-MQB-0174</x:v>
      </x:c>
      <x:c r="B175" s="192" t="str">
        <x:v>LMFT-WB11-QB-Q004</x:v>
      </x:c>
      <x:c r="C175" s="192" t="str">
        <x:v>LMFT Workbook 11 Question Bank</x:v>
      </x:c>
      <x:c r="D175" s="192" t="n">
        <x:v>4</x:v>
      </x:c>
      <x:c r="E175" s="192" t="str">
        <x:v>Workbook Bank</x:v>
      </x:c>
      <x:c r="F175" s="192" t="str">
        <x:v>5. Treatment</x:v>
      </x:c>
      <x:c r="G175" s="192" t="str">
        <x:v>Interdisciplinary information sharing</x:v>
      </x:c>
      <x:c r="H175" s="192" t="str">
        <x:v>Easy</x:v>
      </x:c>
      <x:c r="I175" s="192" t="str">
        <x:v>Knowledge &amp; Recall</x:v>
      </x:c>
      <x:c r="J175" s="192" t="str">
        <x:v>D</x:v>
      </x:c>
      <x:c r="K175" s="192" t="n">
        <x:v>1</x:v>
      </x:c>
      <x:c r="L175" s="192" t="str"/>
      <x:c r="M175" s="192" t="str">
        <x:v>Released</x:v>
      </x:c>
      <x:c r="N175" s="194" t="str">
        <x:v>Workbook bank; reserve pool after controlled review</x:v>
      </x:c>
    </x:row>
    <x:row r="176">
      <x:c r="A176" s="191" t="str">
        <x:v>CTA-LMFT-MQB-0175</x:v>
      </x:c>
      <x:c r="B176" s="192" t="str">
        <x:v>LMFT-WB11-QB-Q005</x:v>
      </x:c>
      <x:c r="C176" s="192" t="str">
        <x:v>LMFT Workbook 11 Question Bank</x:v>
      </x:c>
      <x:c r="D176" s="192" t="n">
        <x:v>5</x:v>
      </x:c>
      <x:c r="E176" s="192" t="str">
        <x:v>Workbook Bank</x:v>
      </x:c>
      <x:c r="F176" s="192" t="str">
        <x:v>5. Treatment</x:v>
      </x:c>
      <x:c r="G176" s="192" t="str">
        <x:v>Coherent integration</x:v>
      </x:c>
      <x:c r="H176" s="192" t="str">
        <x:v>Easy</x:v>
      </x:c>
      <x:c r="I176" s="192" t="str">
        <x:v>Application</x:v>
      </x:c>
      <x:c r="J176" s="192" t="str">
        <x:v>A</x:v>
      </x:c>
      <x:c r="K176" s="192" t="n">
        <x:v>1</x:v>
      </x:c>
      <x:c r="L176" s="192" t="str"/>
      <x:c r="M176" s="192" t="str">
        <x:v>Released</x:v>
      </x:c>
      <x:c r="N176" s="194" t="str">
        <x:v>Workbook bank; reserve pool after controlled review</x:v>
      </x:c>
    </x:row>
    <x:row r="177">
      <x:c r="A177" s="191" t="str">
        <x:v>CTA-LMFT-MQB-0176</x:v>
      </x:c>
      <x:c r="B177" s="192" t="str">
        <x:v>LMFT-WB11-QB-Q006</x:v>
      </x:c>
      <x:c r="C177" s="192" t="str">
        <x:v>LMFT Workbook 11 Question Bank</x:v>
      </x:c>
      <x:c r="D177" s="192" t="n">
        <x:v>6</x:v>
      </x:c>
      <x:c r="E177" s="192" t="str">
        <x:v>Workbook Bank</x:v>
      </x:c>
      <x:c r="F177" s="192" t="str">
        <x:v>5. Treatment</x:v>
      </x:c>
      <x:c r="G177" s="192" t="str">
        <x:v>Structural intervention and hierarchy</x:v>
      </x:c>
      <x:c r="H177" s="192" t="str">
        <x:v>Moderate</x:v>
      </x:c>
      <x:c r="I177" s="192" t="str">
        <x:v>Scenario-Based</x:v>
      </x:c>
      <x:c r="J177" s="192" t="str">
        <x:v>B</x:v>
      </x:c>
      <x:c r="K177" s="192" t="n">
        <x:v>1</x:v>
      </x:c>
      <x:c r="L177" s="192" t="str"/>
      <x:c r="M177" s="192" t="str">
        <x:v>Released</x:v>
      </x:c>
      <x:c r="N177" s="194" t="str">
        <x:v>Workbook bank; reserve pool after controlled review</x:v>
      </x:c>
    </x:row>
    <x:row r="178">
      <x:c r="A178" s="191" t="str">
        <x:v>CTA-LMFT-MQB-0177</x:v>
      </x:c>
      <x:c r="B178" s="192" t="str">
        <x:v>LMFT-WB11-QB-Q007</x:v>
      </x:c>
      <x:c r="C178" s="192" t="str">
        <x:v>LMFT Workbook 11 Question Bank</x:v>
      </x:c>
      <x:c r="D178" s="192" t="n">
        <x:v>7</x:v>
      </x:c>
      <x:c r="E178" s="192" t="str">
        <x:v>Workbook Bank</x:v>
      </x:c>
      <x:c r="F178" s="192" t="str">
        <x:v>5. Treatment</x:v>
      </x:c>
      <x:c r="G178" s="192" t="str">
        <x:v>Bowen differentiation and triangles</x:v>
      </x:c>
      <x:c r="H178" s="192" t="str">
        <x:v>Moderate</x:v>
      </x:c>
      <x:c r="I178" s="192" t="str">
        <x:v>Application</x:v>
      </x:c>
      <x:c r="J178" s="192" t="str">
        <x:v>C</x:v>
      </x:c>
      <x:c r="K178" s="192" t="n">
        <x:v>1</x:v>
      </x:c>
      <x:c r="L178" s="192" t="str"/>
      <x:c r="M178" s="192" t="str">
        <x:v>Released</x:v>
      </x:c>
      <x:c r="N178" s="194" t="str">
        <x:v>Workbook bank; reserve pool after controlled review</x:v>
      </x:c>
    </x:row>
    <x:row r="179">
      <x:c r="A179" s="191" t="str">
        <x:v>CTA-LMFT-MQB-0178</x:v>
      </x:c>
      <x:c r="B179" s="192" t="str">
        <x:v>LMFT-WB11-QB-Q008</x:v>
      </x:c>
      <x:c r="C179" s="192" t="str">
        <x:v>LMFT Workbook 11 Question Bank</x:v>
      </x:c>
      <x:c r="D179" s="192" t="n">
        <x:v>8</x:v>
      </x:c>
      <x:c r="E179" s="192" t="str">
        <x:v>Workbook Bank</x:v>
      </x:c>
      <x:c r="F179" s="192" t="str">
        <x:v>5. Treatment</x:v>
      </x:c>
      <x:c r="G179" s="192" t="str">
        <x:v>Attachment-focused couple intervention</x:v>
      </x:c>
      <x:c r="H179" s="192" t="str">
        <x:v>Moderate</x:v>
      </x:c>
      <x:c r="I179" s="192" t="str">
        <x:v>Scenario-Based</x:v>
      </x:c>
      <x:c r="J179" s="192" t="str">
        <x:v>D</x:v>
      </x:c>
      <x:c r="K179" s="192" t="n">
        <x:v>1</x:v>
      </x:c>
      <x:c r="L179" s="192" t="str"/>
      <x:c r="M179" s="192" t="str">
        <x:v>Released</x:v>
      </x:c>
      <x:c r="N179" s="194" t="str">
        <x:v>Workbook bank; reserve pool after controlled review</x:v>
      </x:c>
    </x:row>
    <x:row r="180">
      <x:c r="A180" s="191" t="str">
        <x:v>CTA-LMFT-MQB-0179</x:v>
      </x:c>
      <x:c r="B180" s="192" t="str">
        <x:v>LMFT-WB11-QB-Q009</x:v>
      </x:c>
      <x:c r="C180" s="192" t="str">
        <x:v>LMFT Workbook 11 Question Bank</x:v>
      </x:c>
      <x:c r="D180" s="192" t="n">
        <x:v>9</x:v>
      </x:c>
      <x:c r="E180" s="192" t="str">
        <x:v>Workbook Bank</x:v>
      </x:c>
      <x:c r="F180" s="192" t="str">
        <x:v>5. Treatment</x:v>
      </x:c>
      <x:c r="G180" s="192" t="str">
        <x:v>Strategic attempted solution</x:v>
      </x:c>
      <x:c r="H180" s="192" t="str">
        <x:v>Moderate</x:v>
      </x:c>
      <x:c r="I180" s="192" t="str">
        <x:v>Scenario-Based</x:v>
      </x:c>
      <x:c r="J180" s="192" t="str">
        <x:v>A</x:v>
      </x:c>
      <x:c r="K180" s="192" t="n">
        <x:v>1</x:v>
      </x:c>
      <x:c r="L180" s="192" t="str"/>
      <x:c r="M180" s="192" t="str">
        <x:v>Released</x:v>
      </x:c>
      <x:c r="N180" s="194" t="str">
        <x:v>Workbook bank; reserve pool after controlled review</x:v>
      </x:c>
    </x:row>
    <x:row r="181">
      <x:c r="A181" s="191" t="str">
        <x:v>CTA-LMFT-MQB-0180</x:v>
      </x:c>
      <x:c r="B181" s="192" t="str">
        <x:v>LMFT-WB11-QB-Q010</x:v>
      </x:c>
      <x:c r="C181" s="192" t="str">
        <x:v>LMFT Workbook 11 Question Bank</x:v>
      </x:c>
      <x:c r="D181" s="192" t="n">
        <x:v>10</x:v>
      </x:c>
      <x:c r="E181" s="192" t="str">
        <x:v>Workbook Bank</x:v>
      </x:c>
      <x:c r="F181" s="192" t="str">
        <x:v>5. Treatment</x:v>
      </x:c>
      <x:c r="G181" s="192" t="str">
        <x:v>Early group-stage facilitation</x:v>
      </x:c>
      <x:c r="H181" s="192" t="str">
        <x:v>Moderate</x:v>
      </x:c>
      <x:c r="I181" s="192" t="str">
        <x:v>Application</x:v>
      </x:c>
      <x:c r="J181" s="192" t="str">
        <x:v>B</x:v>
      </x:c>
      <x:c r="K181" s="192" t="n">
        <x:v>1</x:v>
      </x:c>
      <x:c r="L181" s="192" t="str"/>
      <x:c r="M181" s="192" t="str">
        <x:v>Released</x:v>
      </x:c>
      <x:c r="N181" s="194" t="str">
        <x:v>Workbook bank; reserve pool after controlled review</x:v>
      </x:c>
    </x:row>
    <x:row r="182">
      <x:c r="A182" s="191" t="str">
        <x:v>CTA-LMFT-MQB-0181</x:v>
      </x:c>
      <x:c r="B182" s="192" t="str">
        <x:v>LMFT-WB11-QB-Q011</x:v>
      </x:c>
      <x:c r="C182" s="192" t="str">
        <x:v>LMFT Workbook 11 Question Bank</x:v>
      </x:c>
      <x:c r="D182" s="192" t="n">
        <x:v>11</x:v>
      </x:c>
      <x:c r="E182" s="192" t="str">
        <x:v>Workbook Bank</x:v>
      </x:c>
      <x:c r="F182" s="192" t="str">
        <x:v>5. Treatment</x:v>
      </x:c>
      <x:c r="G182" s="192" t="str">
        <x:v>Managing monopolizing behavior in group</x:v>
      </x:c>
      <x:c r="H182" s="192" t="str">
        <x:v>Moderate</x:v>
      </x:c>
      <x:c r="I182" s="192" t="str">
        <x:v>Scenario-Based</x:v>
      </x:c>
      <x:c r="J182" s="192" t="str">
        <x:v>C</x:v>
      </x:c>
      <x:c r="K182" s="192" t="n">
        <x:v>1</x:v>
      </x:c>
      <x:c r="L182" s="192" t="str"/>
      <x:c r="M182" s="192" t="str">
        <x:v>Released</x:v>
      </x:c>
      <x:c r="N182" s="194" t="str">
        <x:v>Workbook bank; reserve pool after controlled review</x:v>
      </x:c>
    </x:row>
    <x:row r="183">
      <x:c r="A183" s="191" t="str">
        <x:v>CTA-LMFT-MQB-0182</x:v>
      </x:c>
      <x:c r="B183" s="192" t="str">
        <x:v>LMFT-WB11-QB-Q012</x:v>
      </x:c>
      <x:c r="C183" s="192" t="str">
        <x:v>LMFT Workbook 11 Question Bank</x:v>
      </x:c>
      <x:c r="D183" s="192" t="n">
        <x:v>12</x:v>
      </x:c>
      <x:c r="E183" s="192" t="str">
        <x:v>Workbook Bank</x:v>
      </x:c>
      <x:c r="F183" s="192" t="str">
        <x:v>5. Treatment</x:v>
      </x:c>
      <x:c r="G183" s="192" t="str">
        <x:v>Medication concern and specialty coordination</x:v>
      </x:c>
      <x:c r="H183" s="192" t="str">
        <x:v>Moderate</x:v>
      </x:c>
      <x:c r="I183" s="192" t="str">
        <x:v>Scenario-Based</x:v>
      </x:c>
      <x:c r="J183" s="192" t="str">
        <x:v>D</x:v>
      </x:c>
      <x:c r="K183" s="192" t="n">
        <x:v>1</x:v>
      </x:c>
      <x:c r="L183" s="192" t="str"/>
      <x:c r="M183" s="192" t="str">
        <x:v>Released</x:v>
      </x:c>
      <x:c r="N183" s="194" t="str">
        <x:v>Workbook bank; reserve pool after controlled review</x:v>
      </x:c>
    </x:row>
    <x:row r="184">
      <x:c r="A184" s="191" t="str">
        <x:v>CTA-LMFT-MQB-0183</x:v>
      </x:c>
      <x:c r="B184" s="192" t="str">
        <x:v>LMFT-WB11-QB-Q013</x:v>
      </x:c>
      <x:c r="C184" s="192" t="str">
        <x:v>LMFT Workbook 11 Question Bank</x:v>
      </x:c>
      <x:c r="D184" s="192" t="n">
        <x:v>13</x:v>
      </x:c>
      <x:c r="E184" s="192" t="str">
        <x:v>Workbook Bank</x:v>
      </x:c>
      <x:c r="F184" s="192" t="str">
        <x:v>5. Treatment</x:v>
      </x:c>
      <x:c r="G184" s="192" t="str">
        <x:v>Structural and safety formulation</x:v>
      </x:c>
      <x:c r="H184" s="192" t="str">
        <x:v>Difficult</x:v>
      </x:c>
      <x:c r="I184" s="192" t="str">
        <x:v>Integrated Clinical Reasoning</x:v>
      </x:c>
      <x:c r="J184" s="192" t="str">
        <x:v>A</x:v>
      </x:c>
      <x:c r="K184" s="192" t="n">
        <x:v>1</x:v>
      </x:c>
      <x:c r="L184" s="192" t="str"/>
      <x:c r="M184" s="192" t="str">
        <x:v>Released</x:v>
      </x:c>
      <x:c r="N184" s="194" t="str">
        <x:v>Workbook bank; reserve pool after controlled review</x:v>
      </x:c>
    </x:row>
    <x:row r="185">
      <x:c r="A185" s="191" t="str">
        <x:v>CTA-LMFT-MQB-0184</x:v>
      </x:c>
      <x:c r="B185" s="192" t="str">
        <x:v>LMFT-WB11-QB-Q014</x:v>
      </x:c>
      <x:c r="C185" s="192" t="str">
        <x:v>LMFT Workbook 11 Question Bank</x:v>
      </x:c>
      <x:c r="D185" s="192" t="n">
        <x:v>14</x:v>
      </x:c>
      <x:c r="E185" s="192" t="str">
        <x:v>Workbook Bank</x:v>
      </x:c>
      <x:c r="F185" s="192" t="str">
        <x:v>5. Treatment</x:v>
      </x:c>
      <x:c r="G185" s="192" t="str">
        <x:v>Group readiness and level of care</x:v>
      </x:c>
      <x:c r="H185" s="192" t="str">
        <x:v>Difficult</x:v>
      </x:c>
      <x:c r="I185" s="192" t="str">
        <x:v>Integrated Clinical Reasoning</x:v>
      </x:c>
      <x:c r="J185" s="192" t="str">
        <x:v>B</x:v>
      </x:c>
      <x:c r="K185" s="192" t="n">
        <x:v>1</x:v>
      </x:c>
      <x:c r="L185" s="192" t="str"/>
      <x:c r="M185" s="192" t="str">
        <x:v>Released</x:v>
      </x:c>
      <x:c r="N185" s="194" t="str">
        <x:v>Workbook bank; reserve pool after controlled review</x:v>
      </x:c>
    </x:row>
    <x:row r="186">
      <x:c r="A186" s="191" t="str">
        <x:v>CTA-LMFT-MQB-0185</x:v>
      </x:c>
      <x:c r="B186" s="192" t="str">
        <x:v>LMFT-WB11-QB-Q015</x:v>
      </x:c>
      <x:c r="C186" s="192" t="str">
        <x:v>LMFT Workbook 11 Question Bank</x:v>
      </x:c>
      <x:c r="D186" s="192" t="n">
        <x:v>15</x:v>
      </x:c>
      <x:c r="E186" s="192" t="str">
        <x:v>Workbook Bank</x:v>
      </x:c>
      <x:c r="F186" s="192" t="str">
        <x:v>5. Treatment</x:v>
      </x:c>
      <x:c r="G186" s="192" t="str">
        <x:v>School collaboration and role clarity</x:v>
      </x:c>
      <x:c r="H186" s="192" t="str">
        <x:v>Difficult</x:v>
      </x:c>
      <x:c r="I186" s="192" t="str">
        <x:v>Integrated Clinical Reasoning</x:v>
      </x:c>
      <x:c r="J186" s="192" t="str">
        <x:v>C</x:v>
      </x:c>
      <x:c r="K186" s="192" t="n">
        <x:v>1</x:v>
      </x:c>
      <x:c r="L186" s="192" t="str"/>
      <x:c r="M186" s="192" t="str">
        <x:v>Released</x:v>
      </x:c>
      <x:c r="N186" s="194" t="str">
        <x:v>Workbook bank; reserve pool after controlled review</x:v>
      </x:c>
    </x:row>
    <x:row r="187">
      <x:c r="A187" s="191" t="str">
        <x:v>CTA-LMFT-MQB-0186</x:v>
      </x:c>
      <x:c r="B187" s="192" t="str">
        <x:v>LMFT-WB11-QB-Q016</x:v>
      </x:c>
      <x:c r="C187" s="192" t="str">
        <x:v>LMFT Workbook 11 Question Bank</x:v>
      </x:c>
      <x:c r="D187" s="192" t="n">
        <x:v>16</x:v>
      </x:c>
      <x:c r="E187" s="192" t="str">
        <x:v>Workbook Bank</x:v>
      </x:c>
      <x:c r="F187" s="192" t="str">
        <x:v>5. Treatment</x:v>
      </x:c>
      <x:c r="G187" s="192" t="str">
        <x:v>Revision after poor treatment response</x:v>
      </x:c>
      <x:c r="H187" s="192" t="str">
        <x:v>Difficult</x:v>
      </x:c>
      <x:c r="I187" s="192" t="str">
        <x:v>Integrated Clinical Reasoning</x:v>
      </x:c>
      <x:c r="J187" s="192" t="str">
        <x:v>D</x:v>
      </x:c>
      <x:c r="K187" s="192" t="n">
        <x:v>1</x:v>
      </x:c>
      <x:c r="L187" s="192" t="str"/>
      <x:c r="M187" s="192" t="str">
        <x:v>Released</x:v>
      </x:c>
      <x:c r="N187" s="194" t="str">
        <x:v>Workbook bank; reserve pool after controlled review</x:v>
      </x:c>
    </x:row>
    <x:row r="188">
      <x:c r="A188" s="191" t="str">
        <x:v>CTA-LMFT-MQB-0187</x:v>
      </x:c>
      <x:c r="B188" s="192" t="str">
        <x:v>LMFT-WB11-QB-Q017</x:v>
      </x:c>
      <x:c r="C188" s="192" t="str">
        <x:v>LMFT Workbook 11 Question Bank</x:v>
      </x:c>
      <x:c r="D188" s="192" t="n">
        <x:v>17</x:v>
      </x:c>
      <x:c r="E188" s="192" t="str">
        <x:v>Workbook Bank</x:v>
      </x:c>
      <x:c r="F188" s="192" t="str">
        <x:v>5. Treatment</x:v>
      </x:c>
      <x:c r="G188" s="192" t="str">
        <x:v>Independent judgment after consultation</x:v>
      </x:c>
      <x:c r="H188" s="192" t="str">
        <x:v>Difficult</x:v>
      </x:c>
      <x:c r="I188" s="192" t="str">
        <x:v>Integrated Clinical Reasoning</x:v>
      </x:c>
      <x:c r="J188" s="192" t="str">
        <x:v>A</x:v>
      </x:c>
      <x:c r="K188" s="192" t="n">
        <x:v>1</x:v>
      </x:c>
      <x:c r="L188" s="192" t="str"/>
      <x:c r="M188" s="192" t="str">
        <x:v>Released</x:v>
      </x:c>
      <x:c r="N188" s="194" t="str">
        <x:v>Workbook bank; reserve pool after controlled review</x:v>
      </x:c>
    </x:row>
    <x:row r="189">
      <x:c r="A189" s="191" t="str">
        <x:v>CTA-LMFT-MQB-0188</x:v>
      </x:c>
      <x:c r="B189" s="192" t="str">
        <x:v>LMFT-WB12-QB-Q001</x:v>
      </x:c>
      <x:c r="C189" s="192" t="str">
        <x:v>LMFT Workbook 12 Question Bank</x:v>
      </x:c>
      <x:c r="D189" s="192" t="n">
        <x:v>1</x:v>
      </x:c>
      <x:c r="E189" s="192" t="str">
        <x:v>Workbook Bank</x:v>
      </x:c>
      <x:c r="F189" s="192" t="str">
        <x:v>6. Managing Legal and Ethical Obligations within the Therapeutic Relationship</x:v>
      </x:c>
      <x:c r="G189" s="192" t="str">
        <x:v>Controlling authority and professional judgment</x:v>
      </x:c>
      <x:c r="H189" s="192" t="str">
        <x:v>Easy</x:v>
      </x:c>
      <x:c r="I189" s="192" t="str">
        <x:v>Knowledge &amp; Recall</x:v>
      </x:c>
      <x:c r="J189" s="192" t="str">
        <x:v>A</x:v>
      </x:c>
      <x:c r="K189" s="192" t="n">
        <x:v>1</x:v>
      </x:c>
      <x:c r="L189" s="192" t="str"/>
      <x:c r="M189" s="192" t="str">
        <x:v>Released</x:v>
      </x:c>
      <x:c r="N189" s="194" t="str">
        <x:v>Workbook bank; reserve pool after controlled review</x:v>
      </x:c>
    </x:row>
    <x:row r="190">
      <x:c r="A190" s="191" t="str">
        <x:v>CTA-LMFT-MQB-0189</x:v>
      </x:c>
      <x:c r="B190" s="192" t="str">
        <x:v>LMFT-WB12-QB-Q002</x:v>
      </x:c>
      <x:c r="C190" s="192" t="str">
        <x:v>LMFT Workbook 12 Question Bank</x:v>
      </x:c>
      <x:c r="D190" s="192" t="n">
        <x:v>2</x:v>
      </x:c>
      <x:c r="E190" s="192" t="str">
        <x:v>Workbook Bank</x:v>
      </x:c>
      <x:c r="F190" s="192" t="str">
        <x:v>6. Managing Legal and Ethical Obligations within the Therapeutic Relationship</x:v>
      </x:c>
      <x:c r="G190" s="192" t="str">
        <x:v>Ongoing informed consent</x:v>
      </x:c>
      <x:c r="H190" s="192" t="str">
        <x:v>Easy</x:v>
      </x:c>
      <x:c r="I190" s="192" t="str">
        <x:v>Knowledge &amp; Recall</x:v>
      </x:c>
      <x:c r="J190" s="192" t="str">
        <x:v>B</x:v>
      </x:c>
      <x:c r="K190" s="192" t="n">
        <x:v>1</x:v>
      </x:c>
      <x:c r="L190" s="192" t="str"/>
      <x:c r="M190" s="192" t="str">
        <x:v>Released</x:v>
      </x:c>
      <x:c r="N190" s="194" t="str">
        <x:v>Workbook bank; reserve pool after controlled review</x:v>
      </x:c>
    </x:row>
    <x:row r="191">
      <x:c r="A191" s="191" t="str">
        <x:v>CTA-LMFT-MQB-0190</x:v>
      </x:c>
      <x:c r="B191" s="192" t="str">
        <x:v>LMFT-WB12-QB-Q003</x:v>
      </x:c>
      <x:c r="C191" s="192" t="str">
        <x:v>LMFT Workbook 12 Question Bank</x:v>
      </x:c>
      <x:c r="D191" s="192" t="n">
        <x:v>3</x:v>
      </x:c>
      <x:c r="E191" s="192" t="str">
        <x:v>Workbook Bank</x:v>
      </x:c>
      <x:c r="F191" s="192" t="str">
        <x:v>6. Managing Legal and Ethical Obligations within the Therapeutic Relationship</x:v>
      </x:c>
      <x:c r="G191" s="192" t="str">
        <x:v>Client status in relational treatment</x:v>
      </x:c>
      <x:c r="H191" s="192" t="str">
        <x:v>Easy</x:v>
      </x:c>
      <x:c r="I191" s="192" t="str">
        <x:v>Application</x:v>
      </x:c>
      <x:c r="J191" s="192" t="str">
        <x:v>C</x:v>
      </x:c>
      <x:c r="K191" s="192" t="n">
        <x:v>1</x:v>
      </x:c>
      <x:c r="L191" s="192" t="str"/>
      <x:c r="M191" s="192" t="str">
        <x:v>Released</x:v>
      </x:c>
      <x:c r="N191" s="194" t="str">
        <x:v>Workbook bank; reserve pool after controlled review</x:v>
      </x:c>
    </x:row>
    <x:row r="192">
      <x:c r="A192" s="191" t="str">
        <x:v>CTA-LMFT-MQB-0191</x:v>
      </x:c>
      <x:c r="B192" s="192" t="str">
        <x:v>LMFT-WB12-QB-Q004</x:v>
      </x:c>
      <x:c r="C192" s="192" t="str">
        <x:v>LMFT Workbook 12 Question Bank</x:v>
      </x:c>
      <x:c r="D192" s="192" t="n">
        <x:v>4</x:v>
      </x:c>
      <x:c r="E192" s="192" t="str">
        <x:v>Workbook Bank</x:v>
      </x:c>
      <x:c r="F192" s="192" t="str">
        <x:v>6. Managing Legal and Ethical Obligations within the Therapeutic Relationship</x:v>
      </x:c>
      <x:c r="G192" s="192" t="str">
        <x:v>Record amendment integrity</x:v>
      </x:c>
      <x:c r="H192" s="192" t="str">
        <x:v>Easy</x:v>
      </x:c>
      <x:c r="I192" s="192" t="str">
        <x:v>Knowledge &amp; Recall</x:v>
      </x:c>
      <x:c r="J192" s="192" t="str">
        <x:v>D</x:v>
      </x:c>
      <x:c r="K192" s="192" t="n">
        <x:v>1</x:v>
      </x:c>
      <x:c r="L192" s="192" t="str"/>
      <x:c r="M192" s="192" t="str">
        <x:v>Released</x:v>
      </x:c>
      <x:c r="N192" s="194" t="str">
        <x:v>Workbook bank; reserve pool after controlled review</x:v>
      </x:c>
    </x:row>
    <x:row r="193">
      <x:c r="A193" s="191" t="str">
        <x:v>CTA-LMFT-MQB-0192</x:v>
      </x:c>
      <x:c r="B193" s="192" t="str">
        <x:v>LMFT-WB12-QB-Q005</x:v>
      </x:c>
      <x:c r="C193" s="192" t="str">
        <x:v>LMFT Workbook 12 Question Bank</x:v>
      </x:c>
      <x:c r="D193" s="192" t="n">
        <x:v>5</x:v>
      </x:c>
      <x:c r="E193" s="192" t="str">
        <x:v>Workbook Bank</x:v>
      </x:c>
      <x:c r="F193" s="192" t="str">
        <x:v>6. Managing Legal and Ethical Obligations within the Therapeutic Relationship</x:v>
      </x:c>
      <x:c r="G193" s="192" t="str">
        <x:v>Consultation and retained responsibility</x:v>
      </x:c>
      <x:c r="H193" s="192" t="str">
        <x:v>Easy</x:v>
      </x:c>
      <x:c r="I193" s="192" t="str">
        <x:v>Application</x:v>
      </x:c>
      <x:c r="J193" s="192" t="str">
        <x:v>A</x:v>
      </x:c>
      <x:c r="K193" s="192" t="n">
        <x:v>1</x:v>
      </x:c>
      <x:c r="L193" s="192" t="str"/>
      <x:c r="M193" s="192" t="str">
        <x:v>Released</x:v>
      </x:c>
      <x:c r="N193" s="194" t="str">
        <x:v>Workbook bank; reserve pool after controlled review</x:v>
      </x:c>
    </x:row>
    <x:row r="194">
      <x:c r="A194" s="191" t="str">
        <x:v>CTA-LMFT-MQB-0193</x:v>
      </x:c>
      <x:c r="B194" s="192" t="str">
        <x:v>LMFT-WB12-QB-Q006</x:v>
      </x:c>
      <x:c r="C194" s="192" t="str">
        <x:v>LMFT Workbook 12 Question Bank</x:v>
      </x:c>
      <x:c r="D194" s="192" t="n">
        <x:v>6</x:v>
      </x:c>
      <x:c r="E194" s="192" t="str">
        <x:v>Workbook Bank</x:v>
      </x:c>
      <x:c r="F194" s="192" t="str">
        <x:v>6. Managing Legal and Ethical Obligations within the Therapeutic Relationship</x:v>
      </x:c>
      <x:c r="G194" s="192" t="str">
        <x:v>Telehealth location and emergency capacity</x:v>
      </x:c>
      <x:c r="H194" s="192" t="str">
        <x:v>Moderate</x:v>
      </x:c>
      <x:c r="I194" s="192" t="str">
        <x:v>Scenario-Based</x:v>
      </x:c>
      <x:c r="J194" s="192" t="str">
        <x:v>B</x:v>
      </x:c>
      <x:c r="K194" s="192" t="n">
        <x:v>1</x:v>
      </x:c>
      <x:c r="L194" s="192" t="str"/>
      <x:c r="M194" s="192" t="str">
        <x:v>Released</x:v>
      </x:c>
      <x:c r="N194" s="194" t="str">
        <x:v>Workbook bank; reserve pool after controlled review</x:v>
      </x:c>
    </x:row>
    <x:row r="195">
      <x:c r="A195" s="191" t="str">
        <x:v>CTA-LMFT-MQB-0194</x:v>
      </x:c>
      <x:c r="B195" s="192" t="str">
        <x:v>LMFT-WB12-QB-Q007</x:v>
      </x:c>
      <x:c r="C195" s="192" t="str">
        <x:v>LMFT Workbook 12 Question Bank</x:v>
      </x:c>
      <x:c r="D195" s="192" t="n">
        <x:v>7</x:v>
      </x:c>
      <x:c r="E195" s="192" t="str">
        <x:v>Workbook Bank</x:v>
      </x:c>
      <x:c r="F195" s="192" t="str">
        <x:v>6. Managing Legal and Ethical Obligations within the Therapeutic Relationship</x:v>
      </x:c>
      <x:c r="G195" s="192" t="str">
        <x:v>Electronic communication and privacy</x:v>
      </x:c>
      <x:c r="H195" s="192" t="str">
        <x:v>Moderate</x:v>
      </x:c>
      <x:c r="I195" s="192" t="str">
        <x:v>Application</x:v>
      </x:c>
      <x:c r="J195" s="192" t="str">
        <x:v>C</x:v>
      </x:c>
      <x:c r="K195" s="192" t="n">
        <x:v>1</x:v>
      </x:c>
      <x:c r="L195" s="192" t="str"/>
      <x:c r="M195" s="192" t="str">
        <x:v>Released</x:v>
      </x:c>
      <x:c r="N195" s="194" t="str">
        <x:v>Workbook bank; reserve pool after controlled review</x:v>
      </x:c>
    </x:row>
    <x:row r="196">
      <x:c r="A196" s="191" t="str">
        <x:v>CTA-LMFT-MQB-0195</x:v>
      </x:c>
      <x:c r="B196" s="192" t="str">
        <x:v>LMFT-WB12-QB-Q008</x:v>
      </x:c>
      <x:c r="C196" s="192" t="str">
        <x:v>LMFT Workbook 12 Question Bank</x:v>
      </x:c>
      <x:c r="D196" s="192" t="n">
        <x:v>8</x:v>
      </x:c>
      <x:c r="E196" s="192" t="str">
        <x:v>Workbook Bank</x:v>
      </x:c>
      <x:c r="F196" s="192" t="str">
        <x:v>6. Managing Legal and Ethical Obligations within the Therapeutic Relationship</x:v>
      </x:c>
      <x:c r="G196" s="192" t="str">
        <x:v>Countertransference and objectivity</x:v>
      </x:c>
      <x:c r="H196" s="192" t="str">
        <x:v>Moderate</x:v>
      </x:c>
      <x:c r="I196" s="192" t="str">
        <x:v>Scenario-Based</x:v>
      </x:c>
      <x:c r="J196" s="192" t="str">
        <x:v>D</x:v>
      </x:c>
      <x:c r="K196" s="192" t="n">
        <x:v>1</x:v>
      </x:c>
      <x:c r="L196" s="192" t="str"/>
      <x:c r="M196" s="192" t="str">
        <x:v>Released</x:v>
      </x:c>
      <x:c r="N196" s="194" t="str">
        <x:v>Workbook bank; reserve pool after controlled review</x:v>
      </x:c>
    </x:row>
    <x:row r="197">
      <x:c r="A197" s="191" t="str">
        <x:v>CTA-LMFT-MQB-0196</x:v>
      </x:c>
      <x:c r="B197" s="192" t="str">
        <x:v>LMFT-WB12-QB-Q009</x:v>
      </x:c>
      <x:c r="C197" s="192" t="str">
        <x:v>LMFT Workbook 12 Question Bank</x:v>
      </x:c>
      <x:c r="D197" s="192" t="n">
        <x:v>9</x:v>
      </x:c>
      <x:c r="E197" s="192" t="str">
        <x:v>Workbook Bank</x:v>
      </x:c>
      <x:c r="F197" s="192" t="str">
        <x:v>6. Managing Legal and Ethical Obligations within the Therapeutic Relationship</x:v>
      </x:c>
      <x:c r="G197" s="192" t="str">
        <x:v>Payer request and minimum disclosure</x:v>
      </x:c>
      <x:c r="H197" s="192" t="str">
        <x:v>Moderate</x:v>
      </x:c>
      <x:c r="I197" s="192" t="str">
        <x:v>Scenario-Based</x:v>
      </x:c>
      <x:c r="J197" s="192" t="str">
        <x:v>A</x:v>
      </x:c>
      <x:c r="K197" s="192" t="n">
        <x:v>1</x:v>
      </x:c>
      <x:c r="L197" s="192" t="str"/>
      <x:c r="M197" s="192" t="str">
        <x:v>Released</x:v>
      </x:c>
      <x:c r="N197" s="194" t="str">
        <x:v>Workbook bank; reserve pool after controlled review</x:v>
      </x:c>
    </x:row>
    <x:row r="198">
      <x:c r="A198" s="191" t="str">
        <x:v>CTA-LMFT-MQB-0197</x:v>
      </x:c>
      <x:c r="B198" s="192" t="str">
        <x:v>LMFT-WB12-QB-Q010</x:v>
      </x:c>
      <x:c r="C198" s="192" t="str">
        <x:v>LMFT Workbook 12 Question Bank</x:v>
      </x:c>
      <x:c r="D198" s="192" t="n">
        <x:v>10</x:v>
      </x:c>
      <x:c r="E198" s="192" t="str">
        <x:v>Workbook Bank</x:v>
      </x:c>
      <x:c r="F198" s="192" t="str">
        <x:v>6. Managing Legal and Ethical Obligations within the Therapeutic Relationship</x:v>
      </x:c>
      <x:c r="G198" s="192" t="str">
        <x:v>Individual contacts during couple treatment</x:v>
      </x:c>
      <x:c r="H198" s="192" t="str">
        <x:v>Moderate</x:v>
      </x:c>
      <x:c r="I198" s="192" t="str">
        <x:v>Application</x:v>
      </x:c>
      <x:c r="J198" s="192" t="str">
        <x:v>B</x:v>
      </x:c>
      <x:c r="K198" s="192" t="n">
        <x:v>1</x:v>
      </x:c>
      <x:c r="L198" s="192" t="str"/>
      <x:c r="M198" s="192" t="str">
        <x:v>Released</x:v>
      </x:c>
      <x:c r="N198" s="194" t="str">
        <x:v>Workbook bank; reserve pool after controlled review</x:v>
      </x:c>
    </x:row>
    <x:row r="199">
      <x:c r="A199" s="191" t="str">
        <x:v>CTA-LMFT-MQB-0198</x:v>
      </x:c>
      <x:c r="B199" s="192" t="str">
        <x:v>LMFT-WB12-QB-Q011</x:v>
      </x:c>
      <x:c r="C199" s="192" t="str">
        <x:v>LMFT Workbook 12 Question Bank</x:v>
      </x:c>
      <x:c r="D199" s="192" t="n">
        <x:v>11</x:v>
      </x:c>
      <x:c r="E199" s="192" t="str">
        <x:v>Workbook Bank</x:v>
      </x:c>
      <x:c r="F199" s="192" t="str">
        <x:v>6. Managing Legal and Ethical Obligations within the Therapeutic Relationship</x:v>
      </x:c>
      <x:c r="G199" s="192" t="str">
        <x:v>Nonpayment and continuity of care</x:v>
      </x:c>
      <x:c r="H199" s="192" t="str">
        <x:v>Moderate</x:v>
      </x:c>
      <x:c r="I199" s="192" t="str">
        <x:v>Scenario-Based</x:v>
      </x:c>
      <x:c r="J199" s="192" t="str">
        <x:v>C</x:v>
      </x:c>
      <x:c r="K199" s="192" t="n">
        <x:v>1</x:v>
      </x:c>
      <x:c r="L199" s="192" t="str"/>
      <x:c r="M199" s="192" t="str">
        <x:v>Released</x:v>
      </x:c>
      <x:c r="N199" s="194" t="str">
        <x:v>Workbook bank; reserve pool after controlled review</x:v>
      </x:c>
    </x:row>
    <x:row r="200">
      <x:c r="A200" s="191" t="str">
        <x:v>CTA-LMFT-MQB-0199</x:v>
      </x:c>
      <x:c r="B200" s="192" t="str">
        <x:v>LMFT-WB12-QB-Q012</x:v>
      </x:c>
      <x:c r="C200" s="192" t="str">
        <x:v>LMFT Workbook 12 Question Bank</x:v>
      </x:c>
      <x:c r="D200" s="192" t="n">
        <x:v>12</x:v>
      </x:c>
      <x:c r="E200" s="192" t="str">
        <x:v>Workbook Bank</x:v>
      </x:c>
      <x:c r="F200" s="192" t="str">
        <x:v>6. Managing Legal and Ethical Obligations within the Therapeutic Relationship</x:v>
      </x:c>
      <x:c r="G200" s="192" t="str">
        <x:v>Legal demand and privilege analysis</x:v>
      </x:c>
      <x:c r="H200" s="192" t="str">
        <x:v>Moderate</x:v>
      </x:c>
      <x:c r="I200" s="192" t="str">
        <x:v>Scenario-Based</x:v>
      </x:c>
      <x:c r="J200" s="192" t="str">
        <x:v>D</x:v>
      </x:c>
      <x:c r="K200" s="192" t="n">
        <x:v>1</x:v>
      </x:c>
      <x:c r="L200" s="192" t="str"/>
      <x:c r="M200" s="192" t="str">
        <x:v>Released</x:v>
      </x:c>
      <x:c r="N200" s="194" t="str">
        <x:v>Workbook bank; reserve pool after controlled review</x:v>
      </x:c>
    </x:row>
    <x:row r="201">
      <x:c r="A201" s="191" t="str">
        <x:v>CTA-LMFT-MQB-0200</x:v>
      </x:c>
      <x:c r="B201" s="192" t="str">
        <x:v>LMFT-WB12-QB-Q013</x:v>
      </x:c>
      <x:c r="C201" s="192" t="str">
        <x:v>LMFT Workbook 12 Question Bank</x:v>
      </x:c>
      <x:c r="D201" s="192" t="n">
        <x:v>13</x:v>
      </x:c>
      <x:c r="E201" s="192" t="str">
        <x:v>Workbook Bank</x:v>
      </x:c>
      <x:c r="F201" s="192" t="str">
        <x:v>6. Managing Legal and Ethical Obligations within the Therapeutic Relationship</x:v>
      </x:c>
      <x:c r="G201" s="192" t="str">
        <x:v>Relational record after separation</x:v>
      </x:c>
      <x:c r="H201" s="192" t="str">
        <x:v>Difficult</x:v>
      </x:c>
      <x:c r="I201" s="192" t="str">
        <x:v>Integrated Clinical Reasoning</x:v>
      </x:c>
      <x:c r="J201" s="192" t="str">
        <x:v>A</x:v>
      </x:c>
      <x:c r="K201" s="192" t="n">
        <x:v>1</x:v>
      </x:c>
      <x:c r="L201" s="192" t="str"/>
      <x:c r="M201" s="192" t="str">
        <x:v>Released</x:v>
      </x:c>
      <x:c r="N201" s="194" t="str">
        <x:v>Workbook bank; reserve pool after controlled review</x:v>
      </x:c>
    </x:row>
    <x:row r="202">
      <x:c r="A202" s="191" t="str">
        <x:v>CTA-LMFT-MQB-0201</x:v>
      </x:c>
      <x:c r="B202" s="192" t="str">
        <x:v>LMFT-WB12-QB-Q014</x:v>
      </x:c>
      <x:c r="C202" s="192" t="str">
        <x:v>LMFT Workbook 12 Question Bank</x:v>
      </x:c>
      <x:c r="D202" s="192" t="n">
        <x:v>14</x:v>
      </x:c>
      <x:c r="E202" s="192" t="str">
        <x:v>Workbook Bank</x:v>
      </x:c>
      <x:c r="F202" s="192" t="str">
        <x:v>6. Managing Legal and Ethical Obligations within the Therapeutic Relationship</x:v>
      </x:c>
      <x:c r="G202" s="192" t="str">
        <x:v>Emerging technology and informed participation</x:v>
      </x:c>
      <x:c r="H202" s="192" t="str">
        <x:v>Difficult</x:v>
      </x:c>
      <x:c r="I202" s="192" t="str">
        <x:v>Integrated Clinical Reasoning</x:v>
      </x:c>
      <x:c r="J202" s="192" t="str">
        <x:v>B</x:v>
      </x:c>
      <x:c r="K202" s="192" t="n">
        <x:v>1</x:v>
      </x:c>
      <x:c r="L202" s="192" t="str"/>
      <x:c r="M202" s="192" t="str">
        <x:v>Released</x:v>
      </x:c>
      <x:c r="N202" s="194" t="str">
        <x:v>Workbook bank; reserve pool after controlled review</x:v>
      </x:c>
    </x:row>
    <x:row r="203">
      <x:c r="A203" s="191" t="str">
        <x:v>CTA-LMFT-MQB-0202</x:v>
      </x:c>
      <x:c r="B203" s="192" t="str">
        <x:v>LMFT-WB12-QB-Q015</x:v>
      </x:c>
      <x:c r="C203" s="192" t="str">
        <x:v>LMFT Workbook 12 Question Bank</x:v>
      </x:c>
      <x:c r="D203" s="192" t="n">
        <x:v>15</x:v>
      </x:c>
      <x:c r="E203" s="192" t="str">
        <x:v>Workbook Bank</x:v>
      </x:c>
      <x:c r="F203" s="192" t="str">
        <x:v>6. Managing Legal and Ethical Obligations within the Therapeutic Relationship</x:v>
      </x:c>
      <x:c r="G203" s="192" t="str">
        <x:v>Impairment, high-risk care, and coverage</x:v>
      </x:c>
      <x:c r="H203" s="192" t="str">
        <x:v>Difficult</x:v>
      </x:c>
      <x:c r="I203" s="192" t="str">
        <x:v>Integrated Clinical Reasoning</x:v>
      </x:c>
      <x:c r="J203" s="192" t="str">
        <x:v>C</x:v>
      </x:c>
      <x:c r="K203" s="192" t="n">
        <x:v>1</x:v>
      </x:c>
      <x:c r="L203" s="192" t="str"/>
      <x:c r="M203" s="192" t="str">
        <x:v>Released</x:v>
      </x:c>
      <x:c r="N203" s="194" t="str">
        <x:v>Workbook bank; reserve pool after controlled review</x:v>
      </x:c>
    </x:row>
    <x:row r="204">
      <x:c r="A204" s="191" t="str">
        <x:v>CTA-LMFT-MQB-0203</x:v>
      </x:c>
      <x:c r="B204" s="192" t="str">
        <x:v>LMFT-WB12-QB-Q016</x:v>
      </x:c>
      <x:c r="C204" s="192" t="str">
        <x:v>LMFT Workbook 12 Question Bank</x:v>
      </x:c>
      <x:c r="D204" s="192" t="n">
        <x:v>16</x:v>
      </x:c>
      <x:c r="E204" s="192" t="str">
        <x:v>Workbook Bank</x:v>
      </x:c>
      <x:c r="F204" s="192" t="str">
        <x:v>6. Managing Legal and Ethical Obligations within the Therapeutic Relationship</x:v>
      </x:c>
      <x:c r="G204" s="192" t="str">
        <x:v>Therapeutic and forensic role conflict</x:v>
      </x:c>
      <x:c r="H204" s="192" t="str">
        <x:v>Difficult</x:v>
      </x:c>
      <x:c r="I204" s="192" t="str">
        <x:v>Integrated Clinical Reasoning</x:v>
      </x:c>
      <x:c r="J204" s="192" t="str">
        <x:v>D</x:v>
      </x:c>
      <x:c r="K204" s="192" t="n">
        <x:v>1</x:v>
      </x:c>
      <x:c r="L204" s="192" t="str"/>
      <x:c r="M204" s="192" t="str">
        <x:v>Released</x:v>
      </x:c>
      <x:c r="N204" s="194" t="str">
        <x:v>Workbook bank; reserve pool after controlled review</x:v>
      </x:c>
    </x:row>
    <x:row r="205">
      <x:c r="A205" s="191" t="str">
        <x:v>CTA-LMFT-MQB-0204</x:v>
      </x:c>
      <x:c r="B205" s="192" t="str">
        <x:v>LMFT-WB12-QB-Q017</x:v>
      </x:c>
      <x:c r="C205" s="192" t="str">
        <x:v>LMFT Workbook 12 Question Bank</x:v>
      </x:c>
      <x:c r="D205" s="192" t="n">
        <x:v>17</x:v>
      </x:c>
      <x:c r="E205" s="192" t="str">
        <x:v>Workbook Bank</x:v>
      </x:c>
      <x:c r="F205" s="192" t="str">
        <x:v>6. Managing Legal and Ethical Obligations within the Therapeutic Relationship</x:v>
      </x:c>
      <x:c r="G205" s="192" t="str">
        <x:v>Boundary overlap and continuity in a small community</x:v>
      </x:c>
      <x:c r="H205" s="192" t="str">
        <x:v>Difficult</x:v>
      </x:c>
      <x:c r="I205" s="192" t="str">
        <x:v>Integrated Clinical Reasoning</x:v>
      </x:c>
      <x:c r="J205" s="192" t="str">
        <x:v>A</x:v>
      </x:c>
      <x:c r="K205" s="192" t="n">
        <x:v>1</x:v>
      </x:c>
      <x:c r="L205" s="192" t="str"/>
      <x:c r="M205" s="192" t="str">
        <x:v>Released</x:v>
      </x:c>
      <x:c r="N205" s="194" t="str">
        <x:v>Workbook bank; reserve pool after controlled review</x:v>
      </x:c>
    </x:row>
    <x:row r="206">
      <x:c r="A206" s="191" t="str">
        <x:v>CTA-LMFT-MQB-0205</x:v>
      </x:c>
      <x:c r="B206" s="192" t="str">
        <x:v>LMFT-MQB-FA-CR-005</x:v>
      </x:c>
      <x:c r="C206" s="192" t="str">
        <x:v>LMFT Comprehensive Simulation Form A</x:v>
      </x:c>
      <x:c r="D206" s="192" t="n">
        <x:v>1</x:v>
      </x:c>
      <x:c r="E206" s="192" t="str">
        <x:v>Scored-Style</x:v>
      </x:c>
      <x:c r="F206" s="192" t="str">
        <x:v>3. Managing Crisis Situations</x:v>
      </x:c>
      <x:c r="G206" s="192" t="str">
        <x:v>Domestic violence response</x:v>
      </x:c>
      <x:c r="H206" s="192" t="str">
        <x:v>Moderate</x:v>
      </x:c>
      <x:c r="I206" s="192" t="str">
        <x:v>Application</x:v>
      </x:c>
      <x:c r="J206" s="192" t="str">
        <x:v>D</x:v>
      </x:c>
      <x:c r="K206" s="192" t="n">
        <x:v>1</x:v>
      </x:c>
      <x:c r="L206" s="192" t="str">
        <x:v>LMFT-ALT-064</x:v>
      </x:c>
      <x:c r="M206" s="192" t="str">
        <x:v>Released</x:v>
      </x:c>
      <x:c r="N206" s="194" t="str">
        <x:v>Form A only; paired alternate retained on the other comprehensive form</x:v>
      </x:c>
    </x:row>
    <x:row r="207">
      <x:c r="A207" s="191" t="str">
        <x:v>CTA-LMFT-MQB-0206</x:v>
      </x:c>
      <x:c r="B207" s="192" t="str">
        <x:v>LMFT-MQB-FA-CP-009</x:v>
      </x:c>
      <x:c r="C207" s="192" t="str">
        <x:v>LMFT Comprehensive Simulation Form A</x:v>
      </x:c>
      <x:c r="D207" s="192" t="n">
        <x:v>2</x:v>
      </x:c>
      <x:c r="E207" s="192" t="str">
        <x:v>Pretest-Style</x:v>
      </x:c>
      <x:c r="F207" s="192" t="str">
        <x:v>4. Case Conceptualization and Planning</x:v>
      </x:c>
      <x:c r="G207" s="192" t="str">
        <x:v>Level of care</x:v>
      </x:c>
      <x:c r="H207" s="192" t="str">
        <x:v>Difficult</x:v>
      </x:c>
      <x:c r="I207" s="192" t="str">
        <x:v>Application</x:v>
      </x:c>
      <x:c r="J207" s="192" t="str">
        <x:v>D</x:v>
      </x:c>
      <x:c r="K207" s="192" t="n">
        <x:v>1</x:v>
      </x:c>
      <x:c r="L207" s="192" t="str">
        <x:v>LMFT-ALT-050</x:v>
      </x:c>
      <x:c r="M207" s="192" t="str">
        <x:v>Released</x:v>
      </x:c>
      <x:c r="N207" s="194" t="str">
        <x:v>Form A only; paired alternate retained on the other comprehensive form</x:v>
      </x:c>
    </x:row>
    <x:row r="208">
      <x:c r="A208" s="191" t="str">
        <x:v>CTA-LMFT-MQB-0207</x:v>
      </x:c>
      <x:c r="B208" s="192" t="str">
        <x:v>LMFT-MQB-FA-DI-001</x:v>
      </x:c>
      <x:c r="C208" s="192" t="str">
        <x:v>LMFT Comprehensive Simulation Form A</x:v>
      </x:c>
      <x:c r="D208" s="192" t="n">
        <x:v>3</x:v>
      </x:c>
      <x:c r="E208" s="192" t="str">
        <x:v>Pretest-Style</x:v>
      </x:c>
      <x:c r="F208" s="192" t="str">
        <x:v>2. Developing a Diagnostic Impression</x:v>
      </x:c>
      <x:c r="G208" s="192" t="str">
        <x:v>Provisional diagnosis</x:v>
      </x:c>
      <x:c r="H208" s="192" t="str">
        <x:v>Easy</x:v>
      </x:c>
      <x:c r="I208" s="192" t="str">
        <x:v>Knowledge &amp; Recall</x:v>
      </x:c>
      <x:c r="J208" s="192" t="str">
        <x:v>B</x:v>
      </x:c>
      <x:c r="K208" s="192" t="n">
        <x:v>1</x:v>
      </x:c>
      <x:c r="L208" s="192" t="str">
        <x:v>LMFT-ALT-076</x:v>
      </x:c>
      <x:c r="M208" s="192" t="str">
        <x:v>Released</x:v>
      </x:c>
      <x:c r="N208" s="194" t="str">
        <x:v>Form A only; paired alternate retained on the other comprehensive form</x:v>
      </x:c>
    </x:row>
    <x:row r="209">
      <x:c r="A209" s="191" t="str">
        <x:v>CTA-LMFT-MQB-0208</x:v>
      </x:c>
      <x:c r="B209" s="192" t="str">
        <x:v>LMFT-MQB-FA-CE-028</x:v>
      </x:c>
      <x:c r="C209" s="192" t="str">
        <x:v>LMFT Comprehensive Simulation Form A</x:v>
      </x:c>
      <x:c r="D209" s="192" t="n">
        <x:v>4</x:v>
      </x:c>
      <x:c r="E209" s="192" t="str">
        <x:v>Scored-Style</x:v>
      </x:c>
      <x:c r="F209" s="192" t="str">
        <x:v>1. Clinical Evaluation</x:v>
      </x:c>
      <x:c r="G209" s="192" t="str">
        <x:v>Possible mania or stimulant effect</x:v>
      </x:c>
      <x:c r="H209" s="192" t="str">
        <x:v>Moderate</x:v>
      </x:c>
      <x:c r="I209" s="192" t="str">
        <x:v>Scenario-Based</x:v>
      </x:c>
      <x:c r="J209" s="192" t="str">
        <x:v>C</x:v>
      </x:c>
      <x:c r="K209" s="192" t="n">
        <x:v>1</x:v>
      </x:c>
      <x:c r="L209" s="192" t="str">
        <x:v>LMFT-ALT-028</x:v>
      </x:c>
      <x:c r="M209" s="192" t="str">
        <x:v>Released</x:v>
      </x:c>
      <x:c r="N209" s="194" t="str">
        <x:v>Form A only; paired alternate retained on the other comprehensive form</x:v>
      </x:c>
    </x:row>
    <x:row r="210">
      <x:c r="A210" s="191" t="str">
        <x:v>CTA-LMFT-MQB-0209</x:v>
      </x:c>
      <x:c r="B210" s="192" t="str">
        <x:v>LMFT-MQB-FA-CE-014</x:v>
      </x:c>
      <x:c r="C210" s="192" t="str">
        <x:v>LMFT Comprehensive Simulation Form A</x:v>
      </x:c>
      <x:c r="D210" s="192" t="n">
        <x:v>5</x:v>
      </x:c>
      <x:c r="E210" s="192" t="str">
        <x:v>Scored-Style</x:v>
      </x:c>
      <x:c r="F210" s="192" t="str">
        <x:v>1. Clinical Evaluation</x:v>
      </x:c>
      <x:c r="G210" s="192" t="str">
        <x:v>Standardized measure use</x:v>
      </x:c>
      <x:c r="H210" s="192" t="str">
        <x:v>Moderate</x:v>
      </x:c>
      <x:c r="I210" s="192" t="str">
        <x:v>Application</x:v>
      </x:c>
      <x:c r="J210" s="192" t="str">
        <x:v>D</x:v>
      </x:c>
      <x:c r="K210" s="192" t="n">
        <x:v>1</x:v>
      </x:c>
      <x:c r="L210" s="192" t="str">
        <x:v>LMFT-ALT-014</x:v>
      </x:c>
      <x:c r="M210" s="192" t="str">
        <x:v>Released</x:v>
      </x:c>
      <x:c r="N210" s="194" t="str">
        <x:v>Form A only; paired alternate retained on the other comprehensive form</x:v>
      </x:c>
    </x:row>
    <x:row r="211">
      <x:c r="A211" s="191" t="str">
        <x:v>CTA-LMFT-MQB-0210</x:v>
      </x:c>
      <x:c r="B211" s="192" t="str">
        <x:v>LMFT-MQB-FA-TX-003</x:v>
      </x:c>
      <x:c r="C211" s="192" t="str">
        <x:v>LMFT Comprehensive Simulation Form A</x:v>
      </x:c>
      <x:c r="D211" s="192" t="n">
        <x:v>6</x:v>
      </x:c>
      <x:c r="E211" s="192" t="str">
        <x:v>Pretest-Style</x:v>
      </x:c>
      <x:c r="F211" s="192" t="str">
        <x:v>5. Treatment</x:v>
      </x:c>
      <x:c r="G211" s="192" t="str">
        <x:v>Group stage</x:v>
      </x:c>
      <x:c r="H211" s="192" t="str">
        <x:v>Moderate</x:v>
      </x:c>
      <x:c r="I211" s="192" t="str">
        <x:v>Knowledge &amp; Recall</x:v>
      </x:c>
      <x:c r="J211" s="192" t="str">
        <x:v>A</x:v>
      </x:c>
      <x:c r="K211" s="192" t="n">
        <x:v>1</x:v>
      </x:c>
      <x:c r="L211" s="192" t="str">
        <x:v>LMFT-ALT-110</x:v>
      </x:c>
      <x:c r="M211" s="192" t="str">
        <x:v>Released</x:v>
      </x:c>
      <x:c r="N211" s="194" t="str">
        <x:v>Form A only; paired alternate retained on the other comprehensive form</x:v>
      </x:c>
    </x:row>
    <x:row r="212">
      <x:c r="A212" s="191" t="str">
        <x:v>CTA-LMFT-MQB-0211</x:v>
      </x:c>
      <x:c r="B212" s="192" t="str">
        <x:v>LMFT-MQB-FA-CR-008</x:v>
      </x:c>
      <x:c r="C212" s="192" t="str">
        <x:v>LMFT Comprehensive Simulation Form A</x:v>
      </x:c>
      <x:c r="D212" s="192" t="n">
        <x:v>7</x:v>
      </x:c>
      <x:c r="E212" s="192" t="str">
        <x:v>Scored-Style</x:v>
      </x:c>
      <x:c r="F212" s="192" t="str">
        <x:v>3. Managing Crisis Situations</x:v>
      </x:c>
      <x:c r="G212" s="192" t="str">
        <x:v>Threat to identifiable person</x:v>
      </x:c>
      <x:c r="H212" s="192" t="str">
        <x:v>Moderate</x:v>
      </x:c>
      <x:c r="I212" s="192" t="str">
        <x:v>Scenario-Based</x:v>
      </x:c>
      <x:c r="J212" s="192" t="str">
        <x:v>A</x:v>
      </x:c>
      <x:c r="K212" s="192" t="n">
        <x:v>1</x:v>
      </x:c>
      <x:c r="L212" s="192" t="str">
        <x:v>LMFT-ALT-067</x:v>
      </x:c>
      <x:c r="M212" s="192" t="str">
        <x:v>Released</x:v>
      </x:c>
      <x:c r="N212" s="194" t="str">
        <x:v>Form A only; paired alternate retained on the other comprehensive form</x:v>
      </x:c>
    </x:row>
    <x:row r="213">
      <x:c r="A213" s="191" t="str">
        <x:v>CTA-LMFT-MQB-0212</x:v>
      </x:c>
      <x:c r="B213" s="192" t="str">
        <x:v>LMFT-MQB-FA-CE-002</x:v>
      </x:c>
      <x:c r="C213" s="192" t="str">
        <x:v>LMFT Comprehensive Simulation Form A</x:v>
      </x:c>
      <x:c r="D213" s="192" t="n">
        <x:v>8</x:v>
      </x:c>
      <x:c r="E213" s="192" t="str">
        <x:v>Scored-Style</x:v>
      </x:c>
      <x:c r="F213" s="192" t="str">
        <x:v>1. Clinical Evaluation</x:v>
      </x:c>
      <x:c r="G213" s="192" t="str">
        <x:v>Mental status examination</x:v>
      </x:c>
      <x:c r="H213" s="192" t="str">
        <x:v>Easy</x:v>
      </x:c>
      <x:c r="I213" s="192" t="str">
        <x:v>Knowledge &amp; Recall</x:v>
      </x:c>
      <x:c r="J213" s="192" t="str">
        <x:v>D</x:v>
      </x:c>
      <x:c r="K213" s="192" t="n">
        <x:v>1</x:v>
      </x:c>
      <x:c r="L213" s="192" t="str">
        <x:v>LMFT-ALT-002</x:v>
      </x:c>
      <x:c r="M213" s="192" t="str">
        <x:v>Released</x:v>
      </x:c>
      <x:c r="N213" s="194" t="str">
        <x:v>Form A only; paired alternate retained on the other comprehensive form</x:v>
      </x:c>
    </x:row>
    <x:row r="214">
      <x:c r="A214" s="191" t="str">
        <x:v>CTA-LMFT-MQB-0213</x:v>
      </x:c>
      <x:c r="B214" s="192" t="str">
        <x:v>LMFT-MQB-FA-CE-020</x:v>
      </x:c>
      <x:c r="C214" s="192" t="str">
        <x:v>LMFT Comprehensive Simulation Form A</x:v>
      </x:c>
      <x:c r="D214" s="192" t="n">
        <x:v>9</x:v>
      </x:c>
      <x:c r="E214" s="192" t="str">
        <x:v>Pretest-Style</x:v>
      </x:c>
      <x:c r="F214" s="192" t="str">
        <x:v>1. Clinical Evaluation</x:v>
      </x:c>
      <x:c r="G214" s="192" t="str">
        <x:v>Medical rule-out urgency</x:v>
      </x:c>
      <x:c r="H214" s="192" t="str">
        <x:v>Difficult</x:v>
      </x:c>
      <x:c r="I214" s="192" t="str">
        <x:v>Application</x:v>
      </x:c>
      <x:c r="J214" s="192" t="str">
        <x:v>B</x:v>
      </x:c>
      <x:c r="K214" s="192" t="n">
        <x:v>1</x:v>
      </x:c>
      <x:c r="L214" s="192" t="str">
        <x:v>LMFT-ALT-020</x:v>
      </x:c>
      <x:c r="M214" s="192" t="str">
        <x:v>Released</x:v>
      </x:c>
      <x:c r="N214" s="194" t="str">
        <x:v>Form A only; paired alternate retained on the other comprehensive form</x:v>
      </x:c>
    </x:row>
    <x:row r="215">
      <x:c r="A215" s="191" t="str">
        <x:v>CTA-LMFT-MQB-0214</x:v>
      </x:c>
      <x:c r="B215" s="192" t="str">
        <x:v>LMFT-MQB-FA-LE-011</x:v>
      </x:c>
      <x:c r="C215" s="192" t="str">
        <x:v>LMFT Comprehensive Simulation Form A</x:v>
      </x:c>
      <x:c r="D215" s="192" t="n">
        <x:v>10</x:v>
      </x:c>
      <x:c r="E215" s="192" t="str">
        <x:v>Scored-Style</x:v>
      </x:c>
      <x:c r="F215" s="192" t="str">
        <x:v>6. Managing Legal and Ethical Obligations within the Therapeutic Relationship</x:v>
      </x:c>
      <x:c r="G215" s="192" t="str">
        <x:v>Telehealth jurisdiction</x:v>
      </x:c>
      <x:c r="H215" s="192" t="str">
        <x:v>Moderate</x:v>
      </x:c>
      <x:c r="I215" s="192" t="str">
        <x:v>Scenario-Based</x:v>
      </x:c>
      <x:c r="J215" s="192" t="str">
        <x:v>D</x:v>
      </x:c>
      <x:c r="K215" s="192" t="n">
        <x:v>1</x:v>
      </x:c>
      <x:c r="L215" s="192" t="str">
        <x:v>LMFT-ALT-103</x:v>
      </x:c>
      <x:c r="M215" s="192" t="str">
        <x:v>Released</x:v>
      </x:c>
      <x:c r="N215" s="194" t="str">
        <x:v>Form A only; paired alternate retained on the other comprehensive form</x:v>
      </x:c>
    </x:row>
    <x:row r="216">
      <x:c r="A216" s="191" t="str">
        <x:v>CTA-LMFT-MQB-0215</x:v>
      </x:c>
      <x:c r="B216" s="192" t="str">
        <x:v>LMFT-MQB-FA-TX-034</x:v>
      </x:c>
      <x:c r="C216" s="192" t="str">
        <x:v>LMFT Comprehensive Simulation Form A</x:v>
      </x:c>
      <x:c r="D216" s="192" t="n">
        <x:v>11</x:v>
      </x:c>
      <x:c r="E216" s="192" t="str">
        <x:v>Scored-Style</x:v>
      </x:c>
      <x:c r="F216" s="192" t="str">
        <x:v>5. Treatment</x:v>
      </x:c>
      <x:c r="G216" s="192" t="str">
        <x:v>High-risk group member</x:v>
      </x:c>
      <x:c r="H216" s="192" t="str">
        <x:v>Difficult</x:v>
      </x:c>
      <x:c r="I216" s="192" t="str">
        <x:v>Scenario-Based</x:v>
      </x:c>
      <x:c r="J216" s="192" t="str">
        <x:v>C</x:v>
      </x:c>
      <x:c r="K216" s="192" t="n">
        <x:v>1</x:v>
      </x:c>
      <x:c r="L216" s="192" t="str">
        <x:v>LMFT-ALT-141</x:v>
      </x:c>
      <x:c r="M216" s="192" t="str">
        <x:v>Released</x:v>
      </x:c>
      <x:c r="N216" s="194" t="str">
        <x:v>Form A only; paired alternate retained on the other comprehensive form</x:v>
      </x:c>
    </x:row>
    <x:row r="217">
      <x:c r="A217" s="191" t="str">
        <x:v>CTA-LMFT-MQB-0216</x:v>
      </x:c>
      <x:c r="B217" s="192" t="str">
        <x:v>LMFT-MQB-FA-LE-012</x:v>
      </x:c>
      <x:c r="C217" s="192" t="str">
        <x:v>LMFT Comprehensive Simulation Form A</x:v>
      </x:c>
      <x:c r="D217" s="192" t="n">
        <x:v>12</x:v>
      </x:c>
      <x:c r="E217" s="192" t="str">
        <x:v>Scored-Style</x:v>
      </x:c>
      <x:c r="F217" s="192" t="str">
        <x:v>6. Managing Legal and Ethical Obligations within the Therapeutic Relationship</x:v>
      </x:c>
      <x:c r="G217" s="192" t="str">
        <x:v>Third-party payer request</x:v>
      </x:c>
      <x:c r="H217" s="192" t="str">
        <x:v>Difficult</x:v>
      </x:c>
      <x:c r="I217" s="192" t="str">
        <x:v>Scenario-Based</x:v>
      </x:c>
      <x:c r="J217" s="192" t="str">
        <x:v>C</x:v>
      </x:c>
      <x:c r="K217" s="192" t="n">
        <x:v>1</x:v>
      </x:c>
      <x:c r="L217" s="192" t="str">
        <x:v>LMFT-ALT-104</x:v>
      </x:c>
      <x:c r="M217" s="192" t="str">
        <x:v>Released</x:v>
      </x:c>
      <x:c r="N217" s="194" t="str">
        <x:v>Form A only; paired alternate retained on the other comprehensive form</x:v>
      </x:c>
    </x:row>
    <x:row r="218">
      <x:c r="A218" s="191" t="str">
        <x:v>CTA-LMFT-MQB-0217</x:v>
      </x:c>
      <x:c r="B218" s="192" t="str">
        <x:v>LMFT-MQB-FA-CR-012</x:v>
      </x:c>
      <x:c r="C218" s="192" t="str">
        <x:v>LMFT Comprehensive Simulation Form A</x:v>
      </x:c>
      <x:c r="D218" s="192" t="n">
        <x:v>13</x:v>
      </x:c>
      <x:c r="E218" s="192" t="str">
        <x:v>Scored-Style</x:v>
      </x:c>
      <x:c r="F218" s="192" t="str">
        <x:v>3. Managing Crisis Situations</x:v>
      </x:c>
      <x:c r="G218" s="192" t="str">
        <x:v>Sexual assault disclosure</x:v>
      </x:c>
      <x:c r="H218" s="192" t="str">
        <x:v>Difficult</x:v>
      </x:c>
      <x:c r="I218" s="192" t="str">
        <x:v>Scenario-Based</x:v>
      </x:c>
      <x:c r="J218" s="192" t="str">
        <x:v>A</x:v>
      </x:c>
      <x:c r="K218" s="192" t="n">
        <x:v>1</x:v>
      </x:c>
      <x:c r="L218" s="192" t="str">
        <x:v>LMFT-ALT-071</x:v>
      </x:c>
      <x:c r="M218" s="192" t="str">
        <x:v>Released</x:v>
      </x:c>
      <x:c r="N218" s="194" t="str">
        <x:v>Form A only; paired alternate retained on the other comprehensive form</x:v>
      </x:c>
    </x:row>
    <x:row r="219">
      <x:c r="A219" s="191" t="str">
        <x:v>CTA-LMFT-MQB-0218</x:v>
      </x:c>
      <x:c r="B219" s="192" t="str">
        <x:v>LMFT-MQB-FA-LE-003</x:v>
      </x:c>
      <x:c r="C219" s="192" t="str">
        <x:v>LMFT Comprehensive Simulation Form A</x:v>
      </x:c>
      <x:c r="D219" s="192" t="n">
        <x:v>14</x:v>
      </x:c>
      <x:c r="E219" s="192" t="str">
        <x:v>Scored-Style</x:v>
      </x:c>
      <x:c r="F219" s="192" t="str">
        <x:v>6. Managing Legal and Ethical Obligations within the Therapeutic Relationship</x:v>
      </x:c>
      <x:c r="G219" s="192" t="str">
        <x:v>Record correction</x:v>
      </x:c>
      <x:c r="H219" s="192" t="str">
        <x:v>Easy</x:v>
      </x:c>
      <x:c r="I219" s="192" t="str">
        <x:v>Application</x:v>
      </x:c>
      <x:c r="J219" s="192" t="str">
        <x:v>D</x:v>
      </x:c>
      <x:c r="K219" s="192" t="n">
        <x:v>1</x:v>
      </x:c>
      <x:c r="L219" s="192" t="str">
        <x:v>LMFT-ALT-095</x:v>
      </x:c>
      <x:c r="M219" s="192" t="str">
        <x:v>Released</x:v>
      </x:c>
      <x:c r="N219" s="194" t="str">
        <x:v>Form A only; paired alternate retained on the other comprehensive form</x:v>
      </x:c>
    </x:row>
    <x:row r="220">
      <x:c r="A220" s="191" t="str">
        <x:v>CTA-LMFT-MQB-0219</x:v>
      </x:c>
      <x:c r="B220" s="192" t="str">
        <x:v>LMFT-MQB-FA-CE-037</x:v>
      </x:c>
      <x:c r="C220" s="192" t="str">
        <x:v>LMFT Comprehensive Simulation Form A</x:v>
      </x:c>
      <x:c r="D220" s="192" t="n">
        <x:v>15</x:v>
      </x:c>
      <x:c r="E220" s="192" t="str">
        <x:v>Pretest-Style</x:v>
      </x:c>
      <x:c r="F220" s="192" t="str">
        <x:v>1. Clinical Evaluation</x:v>
      </x:c>
      <x:c r="G220" s="192" t="str">
        <x:v>Integrated intake prioritization</x:v>
      </x:c>
      <x:c r="H220" s="192" t="str">
        <x:v>Moderate</x:v>
      </x:c>
      <x:c r="I220" s="192" t="str">
        <x:v>Integrated Clinical Reasoning</x:v>
      </x:c>
      <x:c r="J220" s="192" t="str">
        <x:v>A</x:v>
      </x:c>
      <x:c r="K220" s="192" t="n">
        <x:v>1</x:v>
      </x:c>
      <x:c r="L220" s="192" t="str">
        <x:v>LMFT-ALT-037</x:v>
      </x:c>
      <x:c r="M220" s="192" t="str">
        <x:v>Released</x:v>
      </x:c>
      <x:c r="N220" s="194" t="str">
        <x:v>Form A only; paired alternate retained on the other comprehensive form</x:v>
      </x:c>
    </x:row>
    <x:row r="221">
      <x:c r="A221" s="191" t="str">
        <x:v>CTA-LMFT-MQB-0220</x:v>
      </x:c>
      <x:c r="B221" s="192" t="str">
        <x:v>LMFT-MQB-FA-TX-008</x:v>
      </x:c>
      <x:c r="C221" s="192" t="str">
        <x:v>LMFT Comprehensive Simulation Form A</x:v>
      </x:c>
      <x:c r="D221" s="192" t="n">
        <x:v>16</x:v>
      </x:c>
      <x:c r="E221" s="192" t="str">
        <x:v>Scored-Style</x:v>
      </x:c>
      <x:c r="F221" s="192" t="str">
        <x:v>5. Treatment</x:v>
      </x:c>
      <x:c r="G221" s="192" t="str">
        <x:v>Solution-focused exception</x:v>
      </x:c>
      <x:c r="H221" s="192" t="str">
        <x:v>Easy</x:v>
      </x:c>
      <x:c r="I221" s="192" t="str">
        <x:v>Application</x:v>
      </x:c>
      <x:c r="J221" s="192" t="str">
        <x:v>D</x:v>
      </x:c>
      <x:c r="K221" s="192" t="n">
        <x:v>1</x:v>
      </x:c>
      <x:c r="L221" s="192" t="str">
        <x:v>LMFT-ALT-115</x:v>
      </x:c>
      <x:c r="M221" s="192" t="str">
        <x:v>Released</x:v>
      </x:c>
      <x:c r="N221" s="194" t="str">
        <x:v>Form A only; paired alternate retained on the other comprehensive form</x:v>
      </x:c>
    </x:row>
    <x:row r="222">
      <x:c r="A222" s="191" t="str">
        <x:v>CTA-LMFT-MQB-0221</x:v>
      </x:c>
      <x:c r="B222" s="192" t="str">
        <x:v>LMFT-MQB-FA-DI-007</x:v>
      </x:c>
      <x:c r="C222" s="192" t="str">
        <x:v>LMFT Comprehensive Simulation Form A</x:v>
      </x:c>
      <x:c r="D222" s="192" t="n">
        <x:v>17</x:v>
      </x:c>
      <x:c r="E222" s="192" t="str">
        <x:v>Scored-Style</x:v>
      </x:c>
      <x:c r="F222" s="192" t="str">
        <x:v>2. Developing a Diagnostic Impression</x:v>
      </x:c>
      <x:c r="G222" s="192" t="str">
        <x:v>Bipolar versus unipolar depression</x:v>
      </x:c>
      <x:c r="H222" s="192" t="str">
        <x:v>Moderate</x:v>
      </x:c>
      <x:c r="I222" s="192" t="str">
        <x:v>Application</x:v>
      </x:c>
      <x:c r="J222" s="192" t="str">
        <x:v>B</x:v>
      </x:c>
      <x:c r="K222" s="192" t="n">
        <x:v>1</x:v>
      </x:c>
      <x:c r="L222" s="192" t="str">
        <x:v>LMFT-ALT-082</x:v>
      </x:c>
      <x:c r="M222" s="192" t="str">
        <x:v>Released</x:v>
      </x:c>
      <x:c r="N222" s="194" t="str">
        <x:v>Form A only; paired alternate retained on the other comprehensive form</x:v>
      </x:c>
    </x:row>
    <x:row r="223">
      <x:c r="A223" s="191" t="str">
        <x:v>CTA-LMFT-MQB-0222</x:v>
      </x:c>
      <x:c r="B223" s="192" t="str">
        <x:v>LMFT-MQB-FA-CE-024</x:v>
      </x:c>
      <x:c r="C223" s="192" t="str">
        <x:v>LMFT Comprehensive Simulation Form A</x:v>
      </x:c>
      <x:c r="D223" s="192" t="n">
        <x:v>18</x:v>
      </x:c>
      <x:c r="E223" s="192" t="str">
        <x:v>Scored-Style</x:v>
      </x:c>
      <x:c r="F223" s="192" t="str">
        <x:v>1. Clinical Evaluation</x:v>
      </x:c>
      <x:c r="G223" s="192" t="str">
        <x:v>Possible intoxication at intake</x:v>
      </x:c>
      <x:c r="H223" s="192" t="str">
        <x:v>Moderate</x:v>
      </x:c>
      <x:c r="I223" s="192" t="str">
        <x:v>Scenario-Based</x:v>
      </x:c>
      <x:c r="J223" s="192" t="str">
        <x:v>D</x:v>
      </x:c>
      <x:c r="K223" s="192" t="n">
        <x:v>1</x:v>
      </x:c>
      <x:c r="L223" s="192" t="str">
        <x:v>LMFT-ALT-024</x:v>
      </x:c>
      <x:c r="M223" s="192" t="str">
        <x:v>Released</x:v>
      </x:c>
      <x:c r="N223" s="194" t="str">
        <x:v>Form A only; paired alternate retained on the other comprehensive form</x:v>
      </x:c>
    </x:row>
    <x:row r="224">
      <x:c r="A224" s="191" t="str">
        <x:v>CTA-LMFT-MQB-0223</x:v>
      </x:c>
      <x:c r="B224" s="192" t="str">
        <x:v>LMFT-MQB-FA-TX-040</x:v>
      </x:c>
      <x:c r="C224" s="192" t="str">
        <x:v>LMFT Comprehensive Simulation Form A</x:v>
      </x:c>
      <x:c r="D224" s="192" t="n">
        <x:v>19</x:v>
      </x:c>
      <x:c r="E224" s="192" t="str">
        <x:v>Scored-Style</x:v>
      </x:c>
      <x:c r="F224" s="192" t="str">
        <x:v>5. Treatment</x:v>
      </x:c>
      <x:c r="G224" s="192" t="str">
        <x:v>Integrated attachment and trauma pacing</x:v>
      </x:c>
      <x:c r="H224" s="192" t="str">
        <x:v>Difficult</x:v>
      </x:c>
      <x:c r="I224" s="192" t="str">
        <x:v>Integrated Clinical Reasoning</x:v>
      </x:c>
      <x:c r="J224" s="192" t="str">
        <x:v>A</x:v>
      </x:c>
      <x:c r="K224" s="192" t="n">
        <x:v>1</x:v>
      </x:c>
      <x:c r="L224" s="192" t="str">
        <x:v>LMFT-ALT-147</x:v>
      </x:c>
      <x:c r="M224" s="192" t="str">
        <x:v>Released</x:v>
      </x:c>
      <x:c r="N224" s="194" t="str">
        <x:v>Form A only; paired alternate retained on the other comprehensive form</x:v>
      </x:c>
    </x:row>
    <x:row r="225">
      <x:c r="A225" s="191" t="str">
        <x:v>CTA-LMFT-MQB-0224</x:v>
      </x:c>
      <x:c r="B225" s="192" t="str">
        <x:v>LMFT-MQB-FA-TX-014</x:v>
      </x:c>
      <x:c r="C225" s="192" t="str">
        <x:v>LMFT Comprehensive Simulation Form A</x:v>
      </x:c>
      <x:c r="D225" s="192" t="n">
        <x:v>20</x:v>
      </x:c>
      <x:c r="E225" s="192" t="str">
        <x:v>Scored-Style</x:v>
      </x:c>
      <x:c r="F225" s="192" t="str">
        <x:v>5. Treatment</x:v>
      </x:c>
      <x:c r="G225" s="192" t="str">
        <x:v>Bowen differentiation</x:v>
      </x:c>
      <x:c r="H225" s="192" t="str">
        <x:v>Moderate</x:v>
      </x:c>
      <x:c r="I225" s="192" t="str">
        <x:v>Application</x:v>
      </x:c>
      <x:c r="J225" s="192" t="str">
        <x:v>B</x:v>
      </x:c>
      <x:c r="K225" s="192" t="n">
        <x:v>1</x:v>
      </x:c>
      <x:c r="L225" s="192" t="str">
        <x:v>LMFT-ALT-121</x:v>
      </x:c>
      <x:c r="M225" s="192" t="str">
        <x:v>Released</x:v>
      </x:c>
      <x:c r="N225" s="194" t="str">
        <x:v>Form A only; paired alternate retained on the other comprehensive form</x:v>
      </x:c>
    </x:row>
    <x:row r="226">
      <x:c r="A226" s="191" t="str">
        <x:v>CTA-LMFT-MQB-0225</x:v>
      </x:c>
      <x:c r="B226" s="192" t="str">
        <x:v>LMFT-MQB-FA-CR-002</x:v>
      </x:c>
      <x:c r="C226" s="192" t="str">
        <x:v>LMFT Comprehensive Simulation Form A</x:v>
      </x:c>
      <x:c r="D226" s="192" t="n">
        <x:v>21</x:v>
      </x:c>
      <x:c r="E226" s="192" t="str">
        <x:v>Scored-Style</x:v>
      </x:c>
      <x:c r="F226" s="192" t="str">
        <x:v>3. Managing Crisis Situations</x:v>
      </x:c>
      <x:c r="G226" s="192" t="str">
        <x:v>Safety planning</x:v>
      </x:c>
      <x:c r="H226" s="192" t="str">
        <x:v>Easy</x:v>
      </x:c>
      <x:c r="I226" s="192" t="str">
        <x:v>Application</x:v>
      </x:c>
      <x:c r="J226" s="192" t="str">
        <x:v>B</x:v>
      </x:c>
      <x:c r="K226" s="192" t="n">
        <x:v>1</x:v>
      </x:c>
      <x:c r="L226" s="192" t="str">
        <x:v>LMFT-ALT-061</x:v>
      </x:c>
      <x:c r="M226" s="192" t="str">
        <x:v>Released</x:v>
      </x:c>
      <x:c r="N226" s="194" t="str">
        <x:v>Form A only; paired alternate retained on the other comprehensive form</x:v>
      </x:c>
    </x:row>
    <x:row r="227">
      <x:c r="A227" s="191" t="str">
        <x:v>CTA-LMFT-MQB-0226</x:v>
      </x:c>
      <x:c r="B227" s="192" t="str">
        <x:v>LMFT-MQB-FA-CR-016</x:v>
      </x:c>
      <x:c r="C227" s="192" t="str">
        <x:v>LMFT Comprehensive Simulation Form A</x:v>
      </x:c>
      <x:c r="D227" s="192" t="n">
        <x:v>22</x:v>
      </x:c>
      <x:c r="E227" s="192" t="str">
        <x:v>Scored-Style</x:v>
      </x:c>
      <x:c r="F227" s="192" t="str">
        <x:v>3. Managing Crisis Situations</x:v>
      </x:c>
      <x:c r="G227" s="192" t="str">
        <x:v>Disaster, medication, and family system</x:v>
      </x:c>
      <x:c r="H227" s="192" t="str">
        <x:v>Difficult</x:v>
      </x:c>
      <x:c r="I227" s="192" t="str">
        <x:v>Integrated Clinical Reasoning</x:v>
      </x:c>
      <x:c r="J227" s="192" t="str">
        <x:v>B</x:v>
      </x:c>
      <x:c r="K227" s="192" t="n">
        <x:v>1</x:v>
      </x:c>
      <x:c r="L227" s="192" t="str">
        <x:v>LMFT-ALT-075</x:v>
      </x:c>
      <x:c r="M227" s="192" t="str">
        <x:v>Released</x:v>
      </x:c>
      <x:c r="N227" s="194" t="str">
        <x:v>Form A only; paired alternate retained on the other comprehensive form</x:v>
      </x:c>
    </x:row>
    <x:row r="228">
      <x:c r="A228" s="191" t="str">
        <x:v>CTA-LMFT-MQB-0227</x:v>
      </x:c>
      <x:c r="B228" s="192" t="str">
        <x:v>LMFT-MQB-FA-CE-009</x:v>
      </x:c>
      <x:c r="C228" s="192" t="str">
        <x:v>LMFT Comprehensive Simulation Form A</x:v>
      </x:c>
      <x:c r="D228" s="192" t="n">
        <x:v>23</x:v>
      </x:c>
      <x:c r="E228" s="192" t="str">
        <x:v>Scored-Style</x:v>
      </x:c>
      <x:c r="F228" s="192" t="str">
        <x:v>1. Clinical Evaluation</x:v>
      </x:c>
      <x:c r="G228" s="192" t="str">
        <x:v>Medication assessment</x:v>
      </x:c>
      <x:c r="H228" s="192" t="str">
        <x:v>Easy</x:v>
      </x:c>
      <x:c r="I228" s="192" t="str">
        <x:v>Application</x:v>
      </x:c>
      <x:c r="J228" s="192" t="str">
        <x:v>C</x:v>
      </x:c>
      <x:c r="K228" s="192" t="n">
        <x:v>1</x:v>
      </x:c>
      <x:c r="L228" s="192" t="str">
        <x:v>LMFT-ALT-009</x:v>
      </x:c>
      <x:c r="M228" s="192" t="str">
        <x:v>Released</x:v>
      </x:c>
      <x:c r="N228" s="194" t="str">
        <x:v>Form A only; paired alternate retained on the other comprehensive form</x:v>
      </x:c>
    </x:row>
    <x:row r="229">
      <x:c r="A229" s="191" t="str">
        <x:v>CTA-LMFT-MQB-0228</x:v>
      </x:c>
      <x:c r="B229" s="192" t="str">
        <x:v>LMFT-MQB-FA-CP-011</x:v>
      </x:c>
      <x:c r="C229" s="192" t="str">
        <x:v>LMFT Comprehensive Simulation Form A</x:v>
      </x:c>
      <x:c r="D229" s="192" t="n">
        <x:v>24</x:v>
      </x:c>
      <x:c r="E229" s="192" t="str">
        <x:v>Scored-Style</x:v>
      </x:c>
      <x:c r="F229" s="192" t="str">
        <x:v>4. Case Conceptualization and Planning</x:v>
      </x:c>
      <x:c r="G229" s="192" t="str">
        <x:v>No progress after initial treatment</x:v>
      </x:c>
      <x:c r="H229" s="192" t="str">
        <x:v>Moderate</x:v>
      </x:c>
      <x:c r="I229" s="192" t="str">
        <x:v>Scenario-Based</x:v>
      </x:c>
      <x:c r="J229" s="192" t="str">
        <x:v>A</x:v>
      </x:c>
      <x:c r="K229" s="192" t="n">
        <x:v>1</x:v>
      </x:c>
      <x:c r="L229" s="192" t="str">
        <x:v>LMFT-ALT-052</x:v>
      </x:c>
      <x:c r="M229" s="192" t="str">
        <x:v>Released</x:v>
      </x:c>
      <x:c r="N229" s="194" t="str">
        <x:v>Form A only; paired alternate retained on the other comprehensive form</x:v>
      </x:c>
    </x:row>
    <x:row r="230">
      <x:c r="A230" s="191" t="str">
        <x:v>CTA-LMFT-MQB-0229</x:v>
      </x:c>
      <x:c r="B230" s="192" t="str">
        <x:v>LMFT-MQB-FA-TX-015</x:v>
      </x:c>
      <x:c r="C230" s="192" t="str">
        <x:v>LMFT Comprehensive Simulation Form A</x:v>
      </x:c>
      <x:c r="D230" s="192" t="n">
        <x:v>25</x:v>
      </x:c>
      <x:c r="E230" s="192" t="str">
        <x:v>Scored-Style</x:v>
      </x:c>
      <x:c r="F230" s="192" t="str">
        <x:v>5. Treatment</x:v>
      </x:c>
      <x:c r="G230" s="192" t="str">
        <x:v>Cognitive restructuring</x:v>
      </x:c>
      <x:c r="H230" s="192" t="str">
        <x:v>Moderate</x:v>
      </x:c>
      <x:c r="I230" s="192" t="str">
        <x:v>Application</x:v>
      </x:c>
      <x:c r="J230" s="192" t="str">
        <x:v>A</x:v>
      </x:c>
      <x:c r="K230" s="192" t="n">
        <x:v>1</x:v>
      </x:c>
      <x:c r="L230" s="192" t="str">
        <x:v>LMFT-ALT-122</x:v>
      </x:c>
      <x:c r="M230" s="192" t="str">
        <x:v>Released</x:v>
      </x:c>
      <x:c r="N230" s="194" t="str">
        <x:v>Form A only; paired alternate retained on the other comprehensive form</x:v>
      </x:c>
    </x:row>
    <x:row r="231">
      <x:c r="A231" s="191" t="str">
        <x:v>CTA-LMFT-MQB-0230</x:v>
      </x:c>
      <x:c r="B231" s="192" t="str">
        <x:v>LMFT-MQB-FA-CE-034</x:v>
      </x:c>
      <x:c r="C231" s="192" t="str">
        <x:v>LMFT Comprehensive Simulation Form A</x:v>
      </x:c>
      <x:c r="D231" s="192" t="n">
        <x:v>26</x:v>
      </x:c>
      <x:c r="E231" s="192" t="str">
        <x:v>Scored-Style</x:v>
      </x:c>
      <x:c r="F231" s="192" t="str">
        <x:v>1. Clinical Evaluation</x:v>
      </x:c>
      <x:c r="G231" s="192" t="str">
        <x:v>Medical and trauma overlap</x:v>
      </x:c>
      <x:c r="H231" s="192" t="str">
        <x:v>Difficult</x:v>
      </x:c>
      <x:c r="I231" s="192" t="str">
        <x:v>Scenario-Based</x:v>
      </x:c>
      <x:c r="J231" s="192" t="str">
        <x:v>A</x:v>
      </x:c>
      <x:c r="K231" s="192" t="n">
        <x:v>1</x:v>
      </x:c>
      <x:c r="L231" s="192" t="str">
        <x:v>LMFT-ALT-034</x:v>
      </x:c>
      <x:c r="M231" s="192" t="str">
        <x:v>Released</x:v>
      </x:c>
      <x:c r="N231" s="194" t="str">
        <x:v>Form A only; paired alternate retained on the other comprehensive form</x:v>
      </x:c>
    </x:row>
    <x:row r="232">
      <x:c r="A232" s="191" t="str">
        <x:v>CTA-LMFT-MQB-0231</x:v>
      </x:c>
      <x:c r="B232" s="192" t="str">
        <x:v>LMFT-MQB-FA-TX-013</x:v>
      </x:c>
      <x:c r="C232" s="192" t="str">
        <x:v>LMFT Comprehensive Simulation Form A</x:v>
      </x:c>
      <x:c r="D232" s="192" t="n">
        <x:v>27</x:v>
      </x:c>
      <x:c r="E232" s="192" t="str">
        <x:v>Scored-Style</x:v>
      </x:c>
      <x:c r="F232" s="192" t="str">
        <x:v>5. Treatment</x:v>
      </x:c>
      <x:c r="G232" s="192" t="str">
        <x:v>Structural boundary work</x:v>
      </x:c>
      <x:c r="H232" s="192" t="str">
        <x:v>Moderate</x:v>
      </x:c>
      <x:c r="I232" s="192" t="str">
        <x:v>Application</x:v>
      </x:c>
      <x:c r="J232" s="192" t="str">
        <x:v>C</x:v>
      </x:c>
      <x:c r="K232" s="192" t="n">
        <x:v>1</x:v>
      </x:c>
      <x:c r="L232" s="192" t="str">
        <x:v>LMFT-ALT-120</x:v>
      </x:c>
      <x:c r="M232" s="192" t="str">
        <x:v>Released</x:v>
      </x:c>
      <x:c r="N232" s="194" t="str">
        <x:v>Form A only; paired alternate retained on the other comprehensive form</x:v>
      </x:c>
    </x:row>
    <x:row r="233">
      <x:c r="A233" s="191" t="str">
        <x:v>CTA-LMFT-MQB-0232</x:v>
      </x:c>
      <x:c r="B233" s="192" t="str">
        <x:v>LMFT-MQB-FA-LE-002</x:v>
      </x:c>
      <x:c r="C233" s="192" t="str">
        <x:v>LMFT Comprehensive Simulation Form A</x:v>
      </x:c>
      <x:c r="D233" s="192" t="n">
        <x:v>28</x:v>
      </x:c>
      <x:c r="E233" s="192" t="str">
        <x:v>Scored-Style</x:v>
      </x:c>
      <x:c r="F233" s="192" t="str">
        <x:v>6. Managing Legal and Ethical Obligations within the Therapeutic Relationship</x:v>
      </x:c>
      <x:c r="G233" s="192" t="str">
        <x:v>Minimum necessary disclosure</x:v>
      </x:c>
      <x:c r="H233" s="192" t="str">
        <x:v>Moderate</x:v>
      </x:c>
      <x:c r="I233" s="192" t="str">
        <x:v>Knowledge &amp; Recall</x:v>
      </x:c>
      <x:c r="J233" s="192" t="str">
        <x:v>C</x:v>
      </x:c>
      <x:c r="K233" s="192" t="n">
        <x:v>1</x:v>
      </x:c>
      <x:c r="L233" s="192" t="str">
        <x:v>LMFT-ALT-094</x:v>
      </x:c>
      <x:c r="M233" s="192" t="str">
        <x:v>Released</x:v>
      </x:c>
      <x:c r="N233" s="194" t="str">
        <x:v>Form A only; paired alternate retained on the other comprehensive form</x:v>
      </x:c>
    </x:row>
    <x:row r="234">
      <x:c r="A234" s="191" t="str">
        <x:v>CTA-LMFT-MQB-0233</x:v>
      </x:c>
      <x:c r="B234" s="192" t="str">
        <x:v>LMFT-MQB-FA-TX-020</x:v>
      </x:c>
      <x:c r="C234" s="192" t="str">
        <x:v>LMFT Comprehensive Simulation Form A</x:v>
      </x:c>
      <x:c r="D234" s="192" t="n">
        <x:v>29</x:v>
      </x:c>
      <x:c r="E234" s="192" t="str">
        <x:v>Scored-Style</x:v>
      </x:c>
      <x:c r="F234" s="192" t="str">
        <x:v>5. Treatment</x:v>
      </x:c>
      <x:c r="G234" s="192" t="str">
        <x:v>Caregiver burden</x:v>
      </x:c>
      <x:c r="H234" s="192" t="str">
        <x:v>Moderate</x:v>
      </x:c>
      <x:c r="I234" s="192" t="str">
        <x:v>Application</x:v>
      </x:c>
      <x:c r="J234" s="192" t="str">
        <x:v>B</x:v>
      </x:c>
      <x:c r="K234" s="192" t="n">
        <x:v>1</x:v>
      </x:c>
      <x:c r="L234" s="192" t="str">
        <x:v>LMFT-ALT-127</x:v>
      </x:c>
      <x:c r="M234" s="192" t="str">
        <x:v>Released</x:v>
      </x:c>
      <x:c r="N234" s="194" t="str">
        <x:v>Form A only; paired alternate retained on the other comprehensive form</x:v>
      </x:c>
    </x:row>
    <x:row r="235">
      <x:c r="A235" s="191" t="str">
        <x:v>CTA-LMFT-MQB-0234</x:v>
      </x:c>
      <x:c r="B235" s="192" t="str">
        <x:v>LMFT-MQB-FA-DI-005</x:v>
      </x:c>
      <x:c r="C235" s="192" t="str">
        <x:v>LMFT Comprehensive Simulation Form A</x:v>
      </x:c>
      <x:c r="D235" s="192" t="n">
        <x:v>30</x:v>
      </x:c>
      <x:c r="E235" s="192" t="str">
        <x:v>Scored-Style</x:v>
      </x:c>
      <x:c r="F235" s="192" t="str">
        <x:v>2. Developing a Diagnostic Impression</x:v>
      </x:c>
      <x:c r="G235" s="192" t="str">
        <x:v>Adjustment-related presentation</x:v>
      </x:c>
      <x:c r="H235" s="192" t="str">
        <x:v>Easy</x:v>
      </x:c>
      <x:c r="I235" s="192" t="str">
        <x:v>Application</x:v>
      </x:c>
      <x:c r="J235" s="192" t="str">
        <x:v>D</x:v>
      </x:c>
      <x:c r="K235" s="192" t="n">
        <x:v>1</x:v>
      </x:c>
      <x:c r="L235" s="192" t="str">
        <x:v>LMFT-ALT-080</x:v>
      </x:c>
      <x:c r="M235" s="192" t="str">
        <x:v>Released</x:v>
      </x:c>
      <x:c r="N235" s="194" t="str">
        <x:v>Form A only; paired alternate retained on the other comprehensive form</x:v>
      </x:c>
    </x:row>
    <x:row r="236">
      <x:c r="A236" s="191" t="str">
        <x:v>CTA-LMFT-MQB-0235</x:v>
      </x:c>
      <x:c r="B236" s="192" t="str">
        <x:v>LMFT-MQB-FA-TX-041</x:v>
      </x:c>
      <x:c r="C236" s="192" t="str">
        <x:v>LMFT Comprehensive Simulation Form A</x:v>
      </x:c>
      <x:c r="D236" s="192" t="n">
        <x:v>31</x:v>
      </x:c>
      <x:c r="E236" s="192" t="str">
        <x:v>Scored-Style</x:v>
      </x:c>
      <x:c r="F236" s="192" t="str">
        <x:v>5. Treatment</x:v>
      </x:c>
      <x:c r="G236" s="192" t="str">
        <x:v>Integrated neurodiversity and couple treatment</x:v>
      </x:c>
      <x:c r="H236" s="192" t="str">
        <x:v>Difficult</x:v>
      </x:c>
      <x:c r="I236" s="192" t="str">
        <x:v>Integrated Clinical Reasoning</x:v>
      </x:c>
      <x:c r="J236" s="192" t="str">
        <x:v>C</x:v>
      </x:c>
      <x:c r="K236" s="192" t="n">
        <x:v>1</x:v>
      </x:c>
      <x:c r="L236" s="192" t="str">
        <x:v>LMFT-ALT-148</x:v>
      </x:c>
      <x:c r="M236" s="192" t="str">
        <x:v>Released</x:v>
      </x:c>
      <x:c r="N236" s="194" t="str">
        <x:v>Form A only; paired alternate retained on the other comprehensive form</x:v>
      </x:c>
    </x:row>
    <x:row r="237">
      <x:c r="A237" s="191" t="str">
        <x:v>CTA-LMFT-MQB-0236</x:v>
      </x:c>
      <x:c r="B237" s="192" t="str">
        <x:v>LMFT-MQB-FA-CP-013</x:v>
      </x:c>
      <x:c r="C237" s="192" t="str">
        <x:v>LMFT Comprehensive Simulation Form A</x:v>
      </x:c>
      <x:c r="D237" s="192" t="n">
        <x:v>32</x:v>
      </x:c>
      <x:c r="E237" s="192" t="str">
        <x:v>Scored-Style</x:v>
      </x:c>
      <x:c r="F237" s="192" t="str">
        <x:v>4. Case Conceptualization and Planning</x:v>
      </x:c>
      <x:c r="G237" s="192" t="str">
        <x:v>Termination planning</x:v>
      </x:c>
      <x:c r="H237" s="192" t="str">
        <x:v>Moderate</x:v>
      </x:c>
      <x:c r="I237" s="192" t="str">
        <x:v>Scenario-Based</x:v>
      </x:c>
      <x:c r="J237" s="192" t="str">
        <x:v>A</x:v>
      </x:c>
      <x:c r="K237" s="192" t="n">
        <x:v>1</x:v>
      </x:c>
      <x:c r="L237" s="192" t="str">
        <x:v>LMFT-ALT-054</x:v>
      </x:c>
      <x:c r="M237" s="192" t="str">
        <x:v>Released</x:v>
      </x:c>
      <x:c r="N237" s="194" t="str">
        <x:v>Form A only; paired alternate retained on the other comprehensive form</x:v>
      </x:c>
    </x:row>
    <x:row r="238">
      <x:c r="A238" s="191" t="str">
        <x:v>CTA-LMFT-MQB-0237</x:v>
      </x:c>
      <x:c r="B238" s="192" t="str">
        <x:v>LMFT-MQB-FA-LE-015</x:v>
      </x:c>
      <x:c r="C238" s="192" t="str">
        <x:v>LMFT Comprehensive Simulation Form A</x:v>
      </x:c>
      <x:c r="D238" s="192" t="n">
        <x:v>33</x:v>
      </x:c>
      <x:c r="E238" s="192" t="str">
        <x:v>Scored-Style</x:v>
      </x:c>
      <x:c r="F238" s="192" t="str">
        <x:v>6. Managing Legal and Ethical Obligations within the Therapeutic Relationship</x:v>
      </x:c>
      <x:c r="G238" s="192" t="str">
        <x:v>Court-involved relational treatment</x:v>
      </x:c>
      <x:c r="H238" s="192" t="str">
        <x:v>Difficult</x:v>
      </x:c>
      <x:c r="I238" s="192" t="str">
        <x:v>Integrated Clinical Reasoning</x:v>
      </x:c>
      <x:c r="J238" s="192" t="str">
        <x:v>A</x:v>
      </x:c>
      <x:c r="K238" s="192" t="n">
        <x:v>1</x:v>
      </x:c>
      <x:c r="L238" s="192" t="str">
        <x:v>LMFT-ALT-107</x:v>
      </x:c>
      <x:c r="M238" s="192" t="str">
        <x:v>Released</x:v>
      </x:c>
      <x:c r="N238" s="194" t="str">
        <x:v>Form A only; paired alternate retained on the other comprehensive form</x:v>
      </x:c>
    </x:row>
    <x:row r="239">
      <x:c r="A239" s="191" t="str">
        <x:v>CTA-LMFT-MQB-0238</x:v>
      </x:c>
      <x:c r="B239" s="192" t="str">
        <x:v>LMFT-MQB-FA-TX-029</x:v>
      </x:c>
      <x:c r="C239" s="192" t="str">
        <x:v>LMFT Comprehensive Simulation Form A</x:v>
      </x:c>
      <x:c r="D239" s="192" t="n">
        <x:v>34</x:v>
      </x:c>
      <x:c r="E239" s="192" t="str">
        <x:v>Scored-Style</x:v>
      </x:c>
      <x:c r="F239" s="192" t="str">
        <x:v>5. Treatment</x:v>
      </x:c>
      <x:c r="G239" s="192" t="str">
        <x:v>Group conflict</x:v>
      </x:c>
      <x:c r="H239" s="192" t="str">
        <x:v>Moderate</x:v>
      </x:c>
      <x:c r="I239" s="192" t="str">
        <x:v>Scenario-Based</x:v>
      </x:c>
      <x:c r="J239" s="192" t="str">
        <x:v>B</x:v>
      </x:c>
      <x:c r="K239" s="192" t="n">
        <x:v>1</x:v>
      </x:c>
      <x:c r="L239" s="192" t="str">
        <x:v>LMFT-ALT-136</x:v>
      </x:c>
      <x:c r="M239" s="192" t="str">
        <x:v>Released</x:v>
      </x:c>
      <x:c r="N239" s="194" t="str">
        <x:v>Form A only; paired alternate retained on the other comprehensive form</x:v>
      </x:c>
    </x:row>
    <x:row r="240">
      <x:c r="A240" s="191" t="str">
        <x:v>CTA-LMFT-MQB-0239</x:v>
      </x:c>
      <x:c r="B240" s="192" t="str">
        <x:v>LMFT-MQB-FA-DI-009</x:v>
      </x:c>
      <x:c r="C240" s="192" t="str">
        <x:v>LMFT Comprehensive Simulation Form A</x:v>
      </x:c>
      <x:c r="D240" s="192" t="n">
        <x:v>35</x:v>
      </x:c>
      <x:c r="E240" s="192" t="str">
        <x:v>Scored-Style</x:v>
      </x:c>
      <x:c r="F240" s="192" t="str">
        <x:v>2. Developing a Diagnostic Impression</x:v>
      </x:c>
      <x:c r="G240" s="192" t="str">
        <x:v>Trauma versus panic</x:v>
      </x:c>
      <x:c r="H240" s="192" t="str">
        <x:v>Moderate</x:v>
      </x:c>
      <x:c r="I240" s="192" t="str">
        <x:v>Application</x:v>
      </x:c>
      <x:c r="J240" s="192" t="str">
        <x:v>A</x:v>
      </x:c>
      <x:c r="K240" s="192" t="n">
        <x:v>1</x:v>
      </x:c>
      <x:c r="L240" s="192" t="str">
        <x:v>LMFT-ALT-084</x:v>
      </x:c>
      <x:c r="M240" s="192" t="str">
        <x:v>Released</x:v>
      </x:c>
      <x:c r="N240" s="194" t="str">
        <x:v>Form A only; paired alternate retained on the other comprehensive form</x:v>
      </x:c>
    </x:row>
    <x:row r="241">
      <x:c r="A241" s="191" t="str">
        <x:v>CTA-LMFT-MQB-0240</x:v>
      </x:c>
      <x:c r="B241" s="192" t="str">
        <x:v>LMFT-MQB-FA-TX-032</x:v>
      </x:c>
      <x:c r="C241" s="192" t="str">
        <x:v>LMFT Comprehensive Simulation Form A</x:v>
      </x:c>
      <x:c r="D241" s="192" t="n">
        <x:v>36</x:v>
      </x:c>
      <x:c r="E241" s="192" t="str">
        <x:v>Scored-Style</x:v>
      </x:c>
      <x:c r="F241" s="192" t="str">
        <x:v>5. Treatment</x:v>
      </x:c>
      <x:c r="G241" s="192" t="str">
        <x:v>Treatment nonresponse and diagnosis</x:v>
      </x:c>
      <x:c r="H241" s="192" t="str">
        <x:v>Difficult</x:v>
      </x:c>
      <x:c r="I241" s="192" t="str">
        <x:v>Scenario-Based</x:v>
      </x:c>
      <x:c r="J241" s="192" t="str">
        <x:v>C</x:v>
      </x:c>
      <x:c r="K241" s="192" t="n">
        <x:v>1</x:v>
      </x:c>
      <x:c r="L241" s="192" t="str">
        <x:v>LMFT-ALT-139</x:v>
      </x:c>
      <x:c r="M241" s="192" t="str">
        <x:v>Released</x:v>
      </x:c>
      <x:c r="N241" s="194" t="str">
        <x:v>Form A only; paired alternate retained on the other comprehensive form</x:v>
      </x:c>
    </x:row>
    <x:row r="242">
      <x:c r="A242" s="191" t="str">
        <x:v>CTA-LMFT-MQB-0241</x:v>
      </x:c>
      <x:c r="B242" s="192" t="str">
        <x:v>LMFT-MQB-FA-CE-029</x:v>
      </x:c>
      <x:c r="C242" s="192" t="str">
        <x:v>LMFT Comprehensive Simulation Form A</x:v>
      </x:c>
      <x:c r="D242" s="192" t="n">
        <x:v>37</x:v>
      </x:c>
      <x:c r="E242" s="192" t="str">
        <x:v>Scored-Style</x:v>
      </x:c>
      <x:c r="F242" s="192" t="str">
        <x:v>1. Clinical Evaluation</x:v>
      </x:c>
      <x:c r="G242" s="192" t="str">
        <x:v>Intimate partner violence screening</x:v>
      </x:c>
      <x:c r="H242" s="192" t="str">
        <x:v>Moderate</x:v>
      </x:c>
      <x:c r="I242" s="192" t="str">
        <x:v>Scenario-Based</x:v>
      </x:c>
      <x:c r="J242" s="192" t="str">
        <x:v>D</x:v>
      </x:c>
      <x:c r="K242" s="192" t="n">
        <x:v>1</x:v>
      </x:c>
      <x:c r="L242" s="192" t="str">
        <x:v>LMFT-ALT-029</x:v>
      </x:c>
      <x:c r="M242" s="192" t="str">
        <x:v>Released</x:v>
      </x:c>
      <x:c r="N242" s="194" t="str">
        <x:v>Form A only; paired alternate retained on the other comprehensive form</x:v>
      </x:c>
    </x:row>
    <x:row r="243">
      <x:c r="A243" s="191" t="str">
        <x:v>CTA-LMFT-MQB-0242</x:v>
      </x:c>
      <x:c r="B243" s="192" t="str">
        <x:v>LMFT-MQB-FA-LE-013</x:v>
      </x:c>
      <x:c r="C243" s="192" t="str">
        <x:v>LMFT Comprehensive Simulation Form A</x:v>
      </x:c>
      <x:c r="D243" s="192" t="n">
        <x:v>38</x:v>
      </x:c>
      <x:c r="E243" s="192" t="str">
        <x:v>Scored-Style</x:v>
      </x:c>
      <x:c r="F243" s="192" t="str">
        <x:v>6. Managing Legal and Ethical Obligations within the Therapeutic Relationship</x:v>
      </x:c>
      <x:c r="G243" s="192" t="str">
        <x:v>Abrupt practice closure</x:v>
      </x:c>
      <x:c r="H243" s="192" t="str">
        <x:v>Difficult</x:v>
      </x:c>
      <x:c r="I243" s="192" t="str">
        <x:v>Scenario-Based</x:v>
      </x:c>
      <x:c r="J243" s="192" t="str">
        <x:v>A</x:v>
      </x:c>
      <x:c r="K243" s="192" t="n">
        <x:v>1</x:v>
      </x:c>
      <x:c r="L243" s="192" t="str">
        <x:v>LMFT-ALT-105</x:v>
      </x:c>
      <x:c r="M243" s="192" t="str">
        <x:v>Released</x:v>
      </x:c>
      <x:c r="N243" s="194" t="str">
        <x:v>Form A only; paired alternate retained on the other comprehensive form</x:v>
      </x:c>
    </x:row>
    <x:row r="244">
      <x:c r="A244" s="191" t="str">
        <x:v>CTA-LMFT-MQB-0243</x:v>
      </x:c>
      <x:c r="B244" s="192" t="str">
        <x:v>LMFT-MQB-FA-TX-036</x:v>
      </x:c>
      <x:c r="C244" s="192" t="str">
        <x:v>LMFT Comprehensive Simulation Form A</x:v>
      </x:c>
      <x:c r="D244" s="192" t="n">
        <x:v>39</x:v>
      </x:c>
      <x:c r="E244" s="192" t="str">
        <x:v>Scored-Style</x:v>
      </x:c>
      <x:c r="F244" s="192" t="str">
        <x:v>5. Treatment</x:v>
      </x:c>
      <x:c r="G244" s="192" t="str">
        <x:v>Transfer of care</x:v>
      </x:c>
      <x:c r="H244" s="192" t="str">
        <x:v>Difficult</x:v>
      </x:c>
      <x:c r="I244" s="192" t="str">
        <x:v>Scenario-Based</x:v>
      </x:c>
      <x:c r="J244" s="192" t="str">
        <x:v>B</x:v>
      </x:c>
      <x:c r="K244" s="192" t="n">
        <x:v>1</x:v>
      </x:c>
      <x:c r="L244" s="192" t="str">
        <x:v>LMFT-ALT-143</x:v>
      </x:c>
      <x:c r="M244" s="192" t="str">
        <x:v>Released</x:v>
      </x:c>
      <x:c r="N244" s="194" t="str">
        <x:v>Form A only; paired alternate retained on the other comprehensive form</x:v>
      </x:c>
    </x:row>
    <x:row r="245">
      <x:c r="A245" s="191" t="str">
        <x:v>CTA-LMFT-MQB-0244</x:v>
      </x:c>
      <x:c r="B245" s="192" t="str">
        <x:v>LMFT-MQB-FA-DI-006</x:v>
      </x:c>
      <x:c r="C245" s="192" t="str">
        <x:v>LMFT Comprehensive Simulation Form A</x:v>
      </x:c>
      <x:c r="D245" s="192" t="n">
        <x:v>40</x:v>
      </x:c>
      <x:c r="E245" s="192" t="str">
        <x:v>Scored-Style</x:v>
      </x:c>
      <x:c r="F245" s="192" t="str">
        <x:v>2. Developing a Diagnostic Impression</x:v>
      </x:c>
      <x:c r="G245" s="192" t="str">
        <x:v>Substance-induced symptoms</x:v>
      </x:c>
      <x:c r="H245" s="192" t="str">
        <x:v>Easy</x:v>
      </x:c>
      <x:c r="I245" s="192" t="str">
        <x:v>Application</x:v>
      </x:c>
      <x:c r="J245" s="192" t="str">
        <x:v>B</x:v>
      </x:c>
      <x:c r="K245" s="192" t="n">
        <x:v>1</x:v>
      </x:c>
      <x:c r="L245" s="192" t="str">
        <x:v>LMFT-ALT-081</x:v>
      </x:c>
      <x:c r="M245" s="192" t="str">
        <x:v>Released</x:v>
      </x:c>
      <x:c r="N245" s="194" t="str">
        <x:v>Form A only; paired alternate retained on the other comprehensive form</x:v>
      </x:c>
    </x:row>
    <x:row r="246">
      <x:c r="A246" s="191" t="str">
        <x:v>CTA-LMFT-MQB-0245</x:v>
      </x:c>
      <x:c r="B246" s="192" t="str">
        <x:v>LMFT-MQB-FA-LE-010</x:v>
      </x:c>
      <x:c r="C246" s="192" t="str">
        <x:v>LMFT Comprehensive Simulation Form A</x:v>
      </x:c>
      <x:c r="D246" s="192" t="n">
        <x:v>41</x:v>
      </x:c>
      <x:c r="E246" s="192" t="str">
        <x:v>Scored-Style</x:v>
      </x:c>
      <x:c r="F246" s="192" t="str">
        <x:v>6. Managing Legal and Ethical Obligations within the Therapeutic Relationship</x:v>
      </x:c>
      <x:c r="G246" s="192" t="str">
        <x:v>Countertransference</x:v>
      </x:c>
      <x:c r="H246" s="192" t="str">
        <x:v>Moderate</x:v>
      </x:c>
      <x:c r="I246" s="192" t="str">
        <x:v>Scenario-Based</x:v>
      </x:c>
      <x:c r="J246" s="192" t="str">
        <x:v>D</x:v>
      </x:c>
      <x:c r="K246" s="192" t="n">
        <x:v>1</x:v>
      </x:c>
      <x:c r="L246" s="192" t="str">
        <x:v>LMFT-ALT-102</x:v>
      </x:c>
      <x:c r="M246" s="192" t="str">
        <x:v>Released</x:v>
      </x:c>
      <x:c r="N246" s="194" t="str">
        <x:v>Form A only; paired alternate retained on the other comprehensive form</x:v>
      </x:c>
    </x:row>
    <x:row r="247">
      <x:c r="A247" s="191" t="str">
        <x:v>CTA-LMFT-MQB-0246</x:v>
      </x:c>
      <x:c r="B247" s="192" t="str">
        <x:v>LMFT-MQB-FA-CE-027</x:v>
      </x:c>
      <x:c r="C247" s="192" t="str">
        <x:v>LMFT Comprehensive Simulation Form A</x:v>
      </x:c>
      <x:c r="D247" s="192" t="n">
        <x:v>42</x:v>
      </x:c>
      <x:c r="E247" s="192" t="str">
        <x:v>Scored-Style</x:v>
      </x:c>
      <x:c r="F247" s="192" t="str">
        <x:v>1. Clinical Evaluation</x:v>
      </x:c>
      <x:c r="G247" s="192" t="str">
        <x:v>Telehealth environmental assessment</x:v>
      </x:c>
      <x:c r="H247" s="192" t="str">
        <x:v>Moderate</x:v>
      </x:c>
      <x:c r="I247" s="192" t="str">
        <x:v>Scenario-Based</x:v>
      </x:c>
      <x:c r="J247" s="192" t="str">
        <x:v>B</x:v>
      </x:c>
      <x:c r="K247" s="192" t="n">
        <x:v>1</x:v>
      </x:c>
      <x:c r="L247" s="192" t="str">
        <x:v>LMFT-ALT-027</x:v>
      </x:c>
      <x:c r="M247" s="192" t="str">
        <x:v>Released</x:v>
      </x:c>
      <x:c r="N247" s="194" t="str">
        <x:v>Form A only; paired alternate retained on the other comprehensive form</x:v>
      </x:c>
    </x:row>
    <x:row r="248">
      <x:c r="A248" s="191" t="str">
        <x:v>CTA-LMFT-MQB-0247</x:v>
      </x:c>
      <x:c r="B248" s="192" t="str">
        <x:v>LMFT-MQB-FA-CE-019</x:v>
      </x:c>
      <x:c r="C248" s="192" t="str">
        <x:v>LMFT Comprehensive Simulation Form A</x:v>
      </x:c>
      <x:c r="D248" s="192" t="n">
        <x:v>43</x:v>
      </x:c>
      <x:c r="E248" s="192" t="str">
        <x:v>Scored-Style</x:v>
      </x:c>
      <x:c r="F248" s="192" t="str">
        <x:v>1. Clinical Evaluation</x:v>
      </x:c>
      <x:c r="G248" s="192" t="str">
        <x:v>Family interaction sequence</x:v>
      </x:c>
      <x:c r="H248" s="192" t="str">
        <x:v>Moderate</x:v>
      </x:c>
      <x:c r="I248" s="192" t="str">
        <x:v>Application</x:v>
      </x:c>
      <x:c r="J248" s="192" t="str">
        <x:v>D</x:v>
      </x:c>
      <x:c r="K248" s="192" t="n">
        <x:v>1</x:v>
      </x:c>
      <x:c r="L248" s="192" t="str">
        <x:v>LMFT-ALT-019</x:v>
      </x:c>
      <x:c r="M248" s="192" t="str">
        <x:v>Released</x:v>
      </x:c>
      <x:c r="N248" s="194" t="str">
        <x:v>Form A only; paired alternate retained on the other comprehensive form</x:v>
      </x:c>
    </x:row>
    <x:row r="249">
      <x:c r="A249" s="191" t="str">
        <x:v>CTA-LMFT-MQB-0248</x:v>
      </x:c>
      <x:c r="B249" s="192" t="str">
        <x:v>LMFT-MQB-FA-CP-015</x:v>
      </x:c>
      <x:c r="C249" s="192" t="str">
        <x:v>LMFT Comprehensive Simulation Form A</x:v>
      </x:c>
      <x:c r="D249" s="192" t="n">
        <x:v>44</x:v>
      </x:c>
      <x:c r="E249" s="192" t="str">
        <x:v>Scored-Style</x:v>
      </x:c>
      <x:c r="F249" s="192" t="str">
        <x:v>4. Case Conceptualization and Planning</x:v>
      </x:c>
      <x:c r="G249" s="192" t="str">
        <x:v>Plan under uncertain diagnosis</x:v>
      </x:c>
      <x:c r="H249" s="192" t="str">
        <x:v>Difficult</x:v>
      </x:c>
      <x:c r="I249" s="192" t="str">
        <x:v>Scenario-Based</x:v>
      </x:c>
      <x:c r="J249" s="192" t="str">
        <x:v>B</x:v>
      </x:c>
      <x:c r="K249" s="192" t="n">
        <x:v>1</x:v>
      </x:c>
      <x:c r="L249" s="192" t="str">
        <x:v>LMFT-ALT-056</x:v>
      </x:c>
      <x:c r="M249" s="192" t="str">
        <x:v>Released</x:v>
      </x:c>
      <x:c r="N249" s="194" t="str">
        <x:v>Form A only; paired alternate retained on the other comprehensive form</x:v>
      </x:c>
    </x:row>
    <x:row r="250">
      <x:c r="A250" s="191" t="str">
        <x:v>CTA-LMFT-MQB-0249</x:v>
      </x:c>
      <x:c r="B250" s="192" t="str">
        <x:v>LMFT-MQB-FA-CR-007</x:v>
      </x:c>
      <x:c r="C250" s="192" t="str">
        <x:v>LMFT Comprehensive Simulation Form A</x:v>
      </x:c>
      <x:c r="D250" s="192" t="n">
        <x:v>45</x:v>
      </x:c>
      <x:c r="E250" s="192" t="str">
        <x:v>Pretest-Style</x:v>
      </x:c>
      <x:c r="F250" s="192" t="str">
        <x:v>3. Managing Crisis Situations</x:v>
      </x:c>
      <x:c r="G250" s="192" t="str">
        <x:v>Telehealth imminent risk</x:v>
      </x:c>
      <x:c r="H250" s="192" t="str">
        <x:v>Moderate</x:v>
      </x:c>
      <x:c r="I250" s="192" t="str">
        <x:v>Scenario-Based</x:v>
      </x:c>
      <x:c r="J250" s="192" t="str">
        <x:v>C</x:v>
      </x:c>
      <x:c r="K250" s="192" t="n">
        <x:v>1</x:v>
      </x:c>
      <x:c r="L250" s="192" t="str">
        <x:v>LMFT-ALT-066</x:v>
      </x:c>
      <x:c r="M250" s="192" t="str">
        <x:v>Released</x:v>
      </x:c>
      <x:c r="N250" s="194" t="str">
        <x:v>Form A only; paired alternate retained on the other comprehensive form</x:v>
      </x:c>
    </x:row>
    <x:row r="251">
      <x:c r="A251" s="191" t="str">
        <x:v>CTA-LMFT-MQB-0250</x:v>
      </x:c>
      <x:c r="B251" s="192" t="str">
        <x:v>LMFT-MQB-FA-CE-041</x:v>
      </x:c>
      <x:c r="C251" s="192" t="str">
        <x:v>LMFT Comprehensive Simulation Form A</x:v>
      </x:c>
      <x:c r="D251" s="192" t="n">
        <x:v>46</x:v>
      </x:c>
      <x:c r="E251" s="192" t="str">
        <x:v>Scored-Style</x:v>
      </x:c>
      <x:c r="F251" s="192" t="str">
        <x:v>1. Clinical Evaluation</x:v>
      </x:c>
      <x:c r="G251" s="192" t="str">
        <x:v>High-conflict separation assessment</x:v>
      </x:c>
      <x:c r="H251" s="192" t="str">
        <x:v>Difficult</x:v>
      </x:c>
      <x:c r="I251" s="192" t="str">
        <x:v>Integrated Clinical Reasoning</x:v>
      </x:c>
      <x:c r="J251" s="192" t="str">
        <x:v>A</x:v>
      </x:c>
      <x:c r="K251" s="192" t="n">
        <x:v>1</x:v>
      </x:c>
      <x:c r="L251" s="192" t="str">
        <x:v>LMFT-ALT-041</x:v>
      </x:c>
      <x:c r="M251" s="192" t="str">
        <x:v>Released</x:v>
      </x:c>
      <x:c r="N251" s="194" t="str">
        <x:v>Form A only; paired alternate retained on the other comprehensive form</x:v>
      </x:c>
    </x:row>
    <x:row r="252">
      <x:c r="A252" s="191" t="str">
        <x:v>CTA-LMFT-MQB-0251</x:v>
      </x:c>
      <x:c r="B252" s="192" t="str">
        <x:v>LMFT-MQB-FA-CP-012</x:v>
      </x:c>
      <x:c r="C252" s="192" t="str">
        <x:v>LMFT Comprehensive Simulation Form A</x:v>
      </x:c>
      <x:c r="D252" s="192" t="n">
        <x:v>47</x:v>
      </x:c>
      <x:c r="E252" s="192" t="str">
        <x:v>Scored-Style</x:v>
      </x:c>
      <x:c r="F252" s="192" t="str">
        <x:v>4. Case Conceptualization and Planning</x:v>
      </x:c>
      <x:c r="G252" s="192" t="str">
        <x:v>Parent-child goal conflict</x:v>
      </x:c>
      <x:c r="H252" s="192" t="str">
        <x:v>Moderate</x:v>
      </x:c>
      <x:c r="I252" s="192" t="str">
        <x:v>Scenario-Based</x:v>
      </x:c>
      <x:c r="J252" s="192" t="str">
        <x:v>D</x:v>
      </x:c>
      <x:c r="K252" s="192" t="n">
        <x:v>1</x:v>
      </x:c>
      <x:c r="L252" s="192" t="str">
        <x:v>LMFT-ALT-053</x:v>
      </x:c>
      <x:c r="M252" s="192" t="str">
        <x:v>Released</x:v>
      </x:c>
      <x:c r="N252" s="194" t="str">
        <x:v>Form A only; paired alternate retained on the other comprehensive form</x:v>
      </x:c>
    </x:row>
    <x:row r="253">
      <x:c r="A253" s="191" t="str">
        <x:v>CTA-LMFT-MQB-0252</x:v>
      </x:c>
      <x:c r="B253" s="192" t="str">
        <x:v>LMFT-MQB-FA-CE-021</x:v>
      </x:c>
      <x:c r="C253" s="192" t="str">
        <x:v>LMFT Comprehensive Simulation Form A</x:v>
      </x:c>
      <x:c r="D253" s="192" t="n">
        <x:v>48</x:v>
      </x:c>
      <x:c r="E253" s="192" t="str">
        <x:v>Pretest-Style</x:v>
      </x:c>
      <x:c r="F253" s="192" t="str">
        <x:v>1. Clinical Evaluation</x:v>
      </x:c>
      <x:c r="G253" s="192" t="str">
        <x:v>Complex identity formulation</x:v>
      </x:c>
      <x:c r="H253" s="192" t="str">
        <x:v>Difficult</x:v>
      </x:c>
      <x:c r="I253" s="192" t="str">
        <x:v>Application</x:v>
      </x:c>
      <x:c r="J253" s="192" t="str">
        <x:v>A</x:v>
      </x:c>
      <x:c r="K253" s="192" t="n">
        <x:v>1</x:v>
      </x:c>
      <x:c r="L253" s="192" t="str">
        <x:v>LMFT-ALT-021</x:v>
      </x:c>
      <x:c r="M253" s="192" t="str">
        <x:v>Released</x:v>
      </x:c>
      <x:c r="N253" s="194" t="str">
        <x:v>Form A only; paired alternate retained on the other comprehensive form</x:v>
      </x:c>
    </x:row>
    <x:row r="254">
      <x:c r="A254" s="191" t="str">
        <x:v>CTA-LMFT-MQB-0253</x:v>
      </x:c>
      <x:c r="B254" s="192" t="str">
        <x:v>LMFT-MQB-FA-LE-006</x:v>
      </x:c>
      <x:c r="C254" s="192" t="str">
        <x:v>LMFT Comprehensive Simulation Form A</x:v>
      </x:c>
      <x:c r="D254" s="192" t="n">
        <x:v>49</x:v>
      </x:c>
      <x:c r="E254" s="192" t="str">
        <x:v>Scored-Style</x:v>
      </x:c>
      <x:c r="F254" s="192" t="str">
        <x:v>6. Managing Legal and Ethical Obligations within the Therapeutic Relationship</x:v>
      </x:c>
      <x:c r="G254" s="192" t="str">
        <x:v>Electronic communication</x:v>
      </x:c>
      <x:c r="H254" s="192" t="str">
        <x:v>Moderate</x:v>
      </x:c>
      <x:c r="I254" s="192" t="str">
        <x:v>Application</x:v>
      </x:c>
      <x:c r="J254" s="192" t="str">
        <x:v>C</x:v>
      </x:c>
      <x:c r="K254" s="192" t="n">
        <x:v>1</x:v>
      </x:c>
      <x:c r="L254" s="192" t="str">
        <x:v>LMFT-ALT-098</x:v>
      </x:c>
      <x:c r="M254" s="192" t="str">
        <x:v>Released</x:v>
      </x:c>
      <x:c r="N254" s="194" t="str">
        <x:v>Form A only; paired alternate retained on the other comprehensive form</x:v>
      </x:c>
    </x:row>
    <x:row r="255">
      <x:c r="A255" s="191" t="str">
        <x:v>CTA-LMFT-MQB-0254</x:v>
      </x:c>
      <x:c r="B255" s="192" t="str">
        <x:v>LMFT-MQB-FA-CE-031</x:v>
      </x:c>
      <x:c r="C255" s="192" t="str">
        <x:v>LMFT Comprehensive Simulation Form A</x:v>
      </x:c>
      <x:c r="D255" s="192" t="n">
        <x:v>50</x:v>
      </x:c>
      <x:c r="E255" s="192" t="str">
        <x:v>Scored-Style</x:v>
      </x:c>
      <x:c r="F255" s="192" t="str">
        <x:v>1. Clinical Evaluation</x:v>
      </x:c>
      <x:c r="G255" s="192" t="str">
        <x:v>Adolescent identity and family conflict</x:v>
      </x:c>
      <x:c r="H255" s="192" t="str">
        <x:v>Moderate</x:v>
      </x:c>
      <x:c r="I255" s="192" t="str">
        <x:v>Scenario-Based</x:v>
      </x:c>
      <x:c r="J255" s="192" t="str">
        <x:v>C</x:v>
      </x:c>
      <x:c r="K255" s="192" t="n">
        <x:v>1</x:v>
      </x:c>
      <x:c r="L255" s="192" t="str">
        <x:v>LMFT-ALT-031</x:v>
      </x:c>
      <x:c r="M255" s="192" t="str">
        <x:v>Released</x:v>
      </x:c>
      <x:c r="N255" s="194" t="str">
        <x:v>Form A only; paired alternate retained on the other comprehensive form</x:v>
      </x:c>
    </x:row>
    <x:row r="256">
      <x:c r="A256" s="191" t="str">
        <x:v>CTA-LMFT-MQB-0255</x:v>
      </x:c>
      <x:c r="B256" s="192" t="str">
        <x:v>LMFT-MQB-FA-TX-009</x:v>
      </x:c>
      <x:c r="C256" s="192" t="str">
        <x:v>LMFT Comprehensive Simulation Form A</x:v>
      </x:c>
      <x:c r="D256" s="192" t="n">
        <x:v>51</x:v>
      </x:c>
      <x:c r="E256" s="192" t="str">
        <x:v>Scored-Style</x:v>
      </x:c>
      <x:c r="F256" s="192" t="str">
        <x:v>5. Treatment</x:v>
      </x:c>
      <x:c r="G256" s="192" t="str">
        <x:v>Narrative externalizing</x:v>
      </x:c>
      <x:c r="H256" s="192" t="str">
        <x:v>Easy</x:v>
      </x:c>
      <x:c r="I256" s="192" t="str">
        <x:v>Application</x:v>
      </x:c>
      <x:c r="J256" s="192" t="str">
        <x:v>C</x:v>
      </x:c>
      <x:c r="K256" s="192" t="n">
        <x:v>1</x:v>
      </x:c>
      <x:c r="L256" s="192" t="str">
        <x:v>LMFT-ALT-116</x:v>
      </x:c>
      <x:c r="M256" s="192" t="str">
        <x:v>Released</x:v>
      </x:c>
      <x:c r="N256" s="194" t="str">
        <x:v>Form A only; paired alternate retained on the other comprehensive form</x:v>
      </x:c>
    </x:row>
    <x:row r="257">
      <x:c r="A257" s="191" t="str">
        <x:v>CTA-LMFT-MQB-0256</x:v>
      </x:c>
      <x:c r="B257" s="192" t="str">
        <x:v>LMFT-MQB-FA-CR-013</x:v>
      </x:c>
      <x:c r="C257" s="192" t="str">
        <x:v>LMFT Comprehensive Simulation Form A</x:v>
      </x:c>
      <x:c r="D257" s="192" t="n">
        <x:v>52</x:v>
      </x:c>
      <x:c r="E257" s="192" t="str">
        <x:v>Scored-Style</x:v>
      </x:c>
      <x:c r="F257" s="192" t="str">
        <x:v>3. Managing Crisis Situations</x:v>
      </x:c>
      <x:c r="G257" s="192" t="str">
        <x:v>Crisis in conjoint treatment</x:v>
      </x:c>
      <x:c r="H257" s="192" t="str">
        <x:v>Difficult</x:v>
      </x:c>
      <x:c r="I257" s="192" t="str">
        <x:v>Scenario-Based</x:v>
      </x:c>
      <x:c r="J257" s="192" t="str">
        <x:v>D</x:v>
      </x:c>
      <x:c r="K257" s="192" t="n">
        <x:v>1</x:v>
      </x:c>
      <x:c r="L257" s="192" t="str">
        <x:v>LMFT-ALT-072</x:v>
      </x:c>
      <x:c r="M257" s="192" t="str">
        <x:v>Released</x:v>
      </x:c>
      <x:c r="N257" s="194" t="str">
        <x:v>Form A only; paired alternate retained on the other comprehensive form</x:v>
      </x:c>
    </x:row>
    <x:row r="258">
      <x:c r="A258" s="191" t="str">
        <x:v>CTA-LMFT-MQB-0257</x:v>
      </x:c>
      <x:c r="B258" s="192" t="str">
        <x:v>LMFT-MQB-FA-CE-011</x:v>
      </x:c>
      <x:c r="C258" s="192" t="str">
        <x:v>LMFT Comprehensive Simulation Form A</x:v>
      </x:c>
      <x:c r="D258" s="192" t="n">
        <x:v>53</x:v>
      </x:c>
      <x:c r="E258" s="192" t="str">
        <x:v>Pretest-Style</x:v>
      </x:c>
      <x:c r="F258" s="192" t="str">
        <x:v>1. Clinical Evaluation</x:v>
      </x:c>
      <x:c r="G258" s="192" t="str">
        <x:v>Substance-use screening</x:v>
      </x:c>
      <x:c r="H258" s="192" t="str">
        <x:v>Moderate</x:v>
      </x:c>
      <x:c r="I258" s="192" t="str">
        <x:v>Application</x:v>
      </x:c>
      <x:c r="J258" s="192" t="str">
        <x:v>C</x:v>
      </x:c>
      <x:c r="K258" s="192" t="n">
        <x:v>1</x:v>
      </x:c>
      <x:c r="L258" s="192" t="str">
        <x:v>LMFT-ALT-011</x:v>
      </x:c>
      <x:c r="M258" s="192" t="str">
        <x:v>Released</x:v>
      </x:c>
      <x:c r="N258" s="194" t="str">
        <x:v>Form A only; paired alternate retained on the other comprehensive form</x:v>
      </x:c>
    </x:row>
    <x:row r="259">
      <x:c r="A259" s="191" t="str">
        <x:v>CTA-LMFT-MQB-0258</x:v>
      </x:c>
      <x:c r="B259" s="192" t="str">
        <x:v>LMFT-MQB-FA-TX-030</x:v>
      </x:c>
      <x:c r="C259" s="192" t="str">
        <x:v>LMFT Comprehensive Simulation Form A</x:v>
      </x:c>
      <x:c r="D259" s="192" t="n">
        <x:v>54</x:v>
      </x:c>
      <x:c r="E259" s="192" t="str">
        <x:v>Scored-Style</x:v>
      </x:c>
      <x:c r="F259" s="192" t="str">
        <x:v>5. Treatment</x:v>
      </x:c>
      <x:c r="G259" s="192" t="str">
        <x:v>Recovery-oriented treatment</x:v>
      </x:c>
      <x:c r="H259" s="192" t="str">
        <x:v>Moderate</x:v>
      </x:c>
      <x:c r="I259" s="192" t="str">
        <x:v>Scenario-Based</x:v>
      </x:c>
      <x:c r="J259" s="192" t="str">
        <x:v>B</x:v>
      </x:c>
      <x:c r="K259" s="192" t="n">
        <x:v>1</x:v>
      </x:c>
      <x:c r="L259" s="192" t="str">
        <x:v>LMFT-ALT-137</x:v>
      </x:c>
      <x:c r="M259" s="192" t="str">
        <x:v>Released</x:v>
      </x:c>
      <x:c r="N259" s="194" t="str">
        <x:v>Form A only; paired alternate retained on the other comprehensive form</x:v>
      </x:c>
    </x:row>
    <x:row r="260">
      <x:c r="A260" s="191" t="str">
        <x:v>CTA-LMFT-MQB-0259</x:v>
      </x:c>
      <x:c r="B260" s="192" t="str">
        <x:v>LMFT-MQB-FA-LE-004</x:v>
      </x:c>
      <x:c r="C260" s="192" t="str">
        <x:v>LMFT Comprehensive Simulation Form A</x:v>
      </x:c>
      <x:c r="D260" s="192" t="n">
        <x:v>55</x:v>
      </x:c>
      <x:c r="E260" s="192" t="str">
        <x:v>Scored-Style</x:v>
      </x:c>
      <x:c r="F260" s="192" t="str">
        <x:v>6. Managing Legal and Ethical Obligations within the Therapeutic Relationship</x:v>
      </x:c>
      <x:c r="G260" s="192" t="str">
        <x:v>Competence and referral</x:v>
      </x:c>
      <x:c r="H260" s="192" t="str">
        <x:v>Easy</x:v>
      </x:c>
      <x:c r="I260" s="192" t="str">
        <x:v>Application</x:v>
      </x:c>
      <x:c r="J260" s="192" t="str">
        <x:v>A</x:v>
      </x:c>
      <x:c r="K260" s="192" t="n">
        <x:v>1</x:v>
      </x:c>
      <x:c r="L260" s="192" t="str">
        <x:v>LMFT-ALT-096</x:v>
      </x:c>
      <x:c r="M260" s="192" t="str">
        <x:v>Released</x:v>
      </x:c>
      <x:c r="N260" s="194" t="str">
        <x:v>Form A only; paired alternate retained on the other comprehensive form</x:v>
      </x:c>
    </x:row>
    <x:row r="261">
      <x:c r="A261" s="191" t="str">
        <x:v>CTA-LMFT-MQB-0260</x:v>
      </x:c>
      <x:c r="B261" s="192" t="str">
        <x:v>LMFT-MQB-FA-TX-039</x:v>
      </x:c>
      <x:c r="C261" s="192" t="str">
        <x:v>LMFT Comprehensive Simulation Form A</x:v>
      </x:c>
      <x:c r="D261" s="192" t="n">
        <x:v>56</x:v>
      </x:c>
      <x:c r="E261" s="192" t="str">
        <x:v>Scored-Style</x:v>
      </x:c>
      <x:c r="F261" s="192" t="str">
        <x:v>5. Treatment</x:v>
      </x:c>
      <x:c r="G261" s="192" t="str">
        <x:v>Integrated culturally responsive CBT</x:v>
      </x:c>
      <x:c r="H261" s="192" t="str">
        <x:v>Moderate</x:v>
      </x:c>
      <x:c r="I261" s="192" t="str">
        <x:v>Integrated Clinical Reasoning</x:v>
      </x:c>
      <x:c r="J261" s="192" t="str">
        <x:v>C</x:v>
      </x:c>
      <x:c r="K261" s="192" t="n">
        <x:v>1</x:v>
      </x:c>
      <x:c r="L261" s="192" t="str">
        <x:v>LMFT-ALT-146</x:v>
      </x:c>
      <x:c r="M261" s="192" t="str">
        <x:v>Released</x:v>
      </x:c>
      <x:c r="N261" s="194" t="str">
        <x:v>Form A only; paired alternate retained on the other comprehensive form</x:v>
      </x:c>
    </x:row>
    <x:row r="262">
      <x:c r="A262" s="191" t="str">
        <x:v>CTA-LMFT-MQB-0261</x:v>
      </x:c>
      <x:c r="B262" s="192" t="str">
        <x:v>LMFT-MQB-FA-CE-032</x:v>
      </x:c>
      <x:c r="C262" s="192" t="str">
        <x:v>LMFT Comprehensive Simulation Form A</x:v>
      </x:c>
      <x:c r="D262" s="192" t="n">
        <x:v>57</x:v>
      </x:c>
      <x:c r="E262" s="192" t="str">
        <x:v>Scored-Style</x:v>
      </x:c>
      <x:c r="F262" s="192" t="str">
        <x:v>1. Clinical Evaluation</x:v>
      </x:c>
      <x:c r="G262" s="192" t="str">
        <x:v>Dissociation versus inattention</x:v>
      </x:c>
      <x:c r="H262" s="192" t="str">
        <x:v>Difficult</x:v>
      </x:c>
      <x:c r="I262" s="192" t="str">
        <x:v>Scenario-Based</x:v>
      </x:c>
      <x:c r="J262" s="192" t="str">
        <x:v>D</x:v>
      </x:c>
      <x:c r="K262" s="192" t="n">
        <x:v>1</x:v>
      </x:c>
      <x:c r="L262" s="192" t="str">
        <x:v>LMFT-ALT-032</x:v>
      </x:c>
      <x:c r="M262" s="192" t="str">
        <x:v>Released</x:v>
      </x:c>
      <x:c r="N262" s="194" t="str">
        <x:v>Form A only; paired alternate retained on the other comprehensive form</x:v>
      </x:c>
    </x:row>
    <x:row r="263">
      <x:c r="A263" s="191" t="str">
        <x:v>CTA-LMFT-MQB-0262</x:v>
      </x:c>
      <x:c r="B263" s="192" t="str">
        <x:v>LMFT-MQB-FA-CR-010</x:v>
      </x:c>
      <x:c r="C263" s="192" t="str">
        <x:v>LMFT Comprehensive Simulation Form A</x:v>
      </x:c>
      <x:c r="D263" s="192" t="n">
        <x:v>58</x:v>
      </x:c>
      <x:c r="E263" s="192" t="str">
        <x:v>Scored-Style</x:v>
      </x:c>
      <x:c r="F263" s="192" t="str">
        <x:v>3. Managing Crisis Situations</x:v>
      </x:c>
      <x:c r="G263" s="192" t="str">
        <x:v>Withdrawal emergency</x:v>
      </x:c>
      <x:c r="H263" s="192" t="str">
        <x:v>Moderate</x:v>
      </x:c>
      <x:c r="I263" s="192" t="str">
        <x:v>Scenario-Based</x:v>
      </x:c>
      <x:c r="J263" s="192" t="str">
        <x:v>A</x:v>
      </x:c>
      <x:c r="K263" s="192" t="n">
        <x:v>1</x:v>
      </x:c>
      <x:c r="L263" s="192" t="str">
        <x:v>LMFT-ALT-069</x:v>
      </x:c>
      <x:c r="M263" s="192" t="str">
        <x:v>Released</x:v>
      </x:c>
      <x:c r="N263" s="194" t="str">
        <x:v>Form A only; paired alternate retained on the other comprehensive form</x:v>
      </x:c>
    </x:row>
    <x:row r="264">
      <x:c r="A264" s="191" t="str">
        <x:v>CTA-LMFT-MQB-0263</x:v>
      </x:c>
      <x:c r="B264" s="192" t="str">
        <x:v>LMFT-MQB-FA-TX-016</x:v>
      </x:c>
      <x:c r="C264" s="192" t="str">
        <x:v>LMFT Comprehensive Simulation Form A</x:v>
      </x:c>
      <x:c r="D264" s="192" t="n">
        <x:v>59</x:v>
      </x:c>
      <x:c r="E264" s="192" t="str">
        <x:v>Scored-Style</x:v>
      </x:c>
      <x:c r="F264" s="192" t="str">
        <x:v>5. Treatment</x:v>
      </x:c>
      <x:c r="G264" s="192" t="str">
        <x:v>Exposure pacing</x:v>
      </x:c>
      <x:c r="H264" s="192" t="str">
        <x:v>Moderate</x:v>
      </x:c>
      <x:c r="I264" s="192" t="str">
        <x:v>Application</x:v>
      </x:c>
      <x:c r="J264" s="192" t="str">
        <x:v>C</x:v>
      </x:c>
      <x:c r="K264" s="192" t="n">
        <x:v>1</x:v>
      </x:c>
      <x:c r="L264" s="192" t="str">
        <x:v>LMFT-ALT-123</x:v>
      </x:c>
      <x:c r="M264" s="192" t="str">
        <x:v>Released</x:v>
      </x:c>
      <x:c r="N264" s="194" t="str">
        <x:v>Form A only; paired alternate retained on the other comprehensive form</x:v>
      </x:c>
    </x:row>
    <x:row r="265">
      <x:c r="A265" s="191" t="str">
        <x:v>CTA-LMFT-MQB-0264</x:v>
      </x:c>
      <x:c r="B265" s="192" t="str">
        <x:v>LMFT-MQB-FA-CE-003</x:v>
      </x:c>
      <x:c r="C265" s="192" t="str">
        <x:v>LMFT Comprehensive Simulation Form A</x:v>
      </x:c>
      <x:c r="D265" s="192" t="n">
        <x:v>60</x:v>
      </x:c>
      <x:c r="E265" s="192" t="str">
        <x:v>Scored-Style</x:v>
      </x:c>
      <x:c r="F265" s="192" t="str">
        <x:v>1. Clinical Evaluation</x:v>
      </x:c>
      <x:c r="G265" s="192" t="str">
        <x:v>Protective factors</x:v>
      </x:c>
      <x:c r="H265" s="192" t="str">
        <x:v>Easy</x:v>
      </x:c>
      <x:c r="I265" s="192" t="str">
        <x:v>Knowledge &amp; Recall</x:v>
      </x:c>
      <x:c r="J265" s="192" t="str">
        <x:v>B</x:v>
      </x:c>
      <x:c r="K265" s="192" t="n">
        <x:v>1</x:v>
      </x:c>
      <x:c r="L265" s="192" t="str">
        <x:v>LMFT-ALT-003</x:v>
      </x:c>
      <x:c r="M265" s="192" t="str">
        <x:v>Released</x:v>
      </x:c>
      <x:c r="N265" s="194" t="str">
        <x:v>Form A only; paired alternate retained on the other comprehensive form</x:v>
      </x:c>
    </x:row>
    <x:row r="266">
      <x:c r="A266" s="191" t="str">
        <x:v>CTA-LMFT-MQB-0265</x:v>
      </x:c>
      <x:c r="B266" s="192" t="str">
        <x:v>LMFT-MQB-FA-CR-001</x:v>
      </x:c>
      <x:c r="C266" s="192" t="str">
        <x:v>LMFT Comprehensive Simulation Form A</x:v>
      </x:c>
      <x:c r="D266" s="192" t="n">
        <x:v>61</x:v>
      </x:c>
      <x:c r="E266" s="192" t="str">
        <x:v>Scored-Style</x:v>
      </x:c>
      <x:c r="F266" s="192" t="str">
        <x:v>3. Managing Crisis Situations</x:v>
      </x:c>
      <x:c r="G266" s="192" t="str">
        <x:v>Crisis priority</x:v>
      </x:c>
      <x:c r="H266" s="192" t="str">
        <x:v>Easy</x:v>
      </x:c>
      <x:c r="I266" s="192" t="str">
        <x:v>Knowledge &amp; Recall</x:v>
      </x:c>
      <x:c r="J266" s="192" t="str">
        <x:v>D</x:v>
      </x:c>
      <x:c r="K266" s="192" t="n">
        <x:v>1</x:v>
      </x:c>
      <x:c r="L266" s="192" t="str">
        <x:v>LMFT-ALT-060</x:v>
      </x:c>
      <x:c r="M266" s="192" t="str">
        <x:v>Released</x:v>
      </x:c>
      <x:c r="N266" s="194" t="str">
        <x:v>Form A only; paired alternate retained on the other comprehensive form</x:v>
      </x:c>
    </x:row>
    <x:row r="267">
      <x:c r="A267" s="191" t="str">
        <x:v>CTA-LMFT-MQB-0266</x:v>
      </x:c>
      <x:c r="B267" s="192" t="str">
        <x:v>LMFT-MQB-FA-CE-005</x:v>
      </x:c>
      <x:c r="C267" s="192" t="str">
        <x:v>LMFT Comprehensive Simulation Form A</x:v>
      </x:c>
      <x:c r="D267" s="192" t="n">
        <x:v>62</x:v>
      </x:c>
      <x:c r="E267" s="192" t="str">
        <x:v>Scored-Style</x:v>
      </x:c>
      <x:c r="F267" s="192" t="str">
        <x:v>1. Clinical Evaluation</x:v>
      </x:c>
      <x:c r="G267" s="192" t="str">
        <x:v>Collateral information</x:v>
      </x:c>
      <x:c r="H267" s="192" t="str">
        <x:v>Moderate</x:v>
      </x:c>
      <x:c r="I267" s="192" t="str">
        <x:v>Knowledge &amp; Recall</x:v>
      </x:c>
      <x:c r="J267" s="192" t="str">
        <x:v>B</x:v>
      </x:c>
      <x:c r="K267" s="192" t="n">
        <x:v>1</x:v>
      </x:c>
      <x:c r="L267" s="192" t="str">
        <x:v>LMFT-ALT-005</x:v>
      </x:c>
      <x:c r="M267" s="192" t="str">
        <x:v>Released</x:v>
      </x:c>
      <x:c r="N267" s="194" t="str">
        <x:v>Form A only; paired alternate retained on the other comprehensive form</x:v>
      </x:c>
    </x:row>
    <x:row r="268">
      <x:c r="A268" s="191" t="str">
        <x:v>CTA-LMFT-MQB-0267</x:v>
      </x:c>
      <x:c r="B268" s="192" t="str">
        <x:v>LMFT-MQB-FA-TX-043</x:v>
      </x:c>
      <x:c r="C268" s="192" t="str">
        <x:v>LMFT Comprehensive Simulation Form A</x:v>
      </x:c>
      <x:c r="D268" s="192" t="n">
        <x:v>63</x:v>
      </x:c>
      <x:c r="E268" s="192" t="str">
        <x:v>Scored-Style</x:v>
      </x:c>
      <x:c r="F268" s="192" t="str">
        <x:v>5. Treatment</x:v>
      </x:c>
      <x:c r="G268" s="192" t="str">
        <x:v>Integrated end-of-treatment decision</x:v>
      </x:c>
      <x:c r="H268" s="192" t="str">
        <x:v>Difficult</x:v>
      </x:c>
      <x:c r="I268" s="192" t="str">
        <x:v>Integrated Clinical Reasoning</x:v>
      </x:c>
      <x:c r="J268" s="192" t="str">
        <x:v>C</x:v>
      </x:c>
      <x:c r="K268" s="192" t="n">
        <x:v>1</x:v>
      </x:c>
      <x:c r="L268" s="192" t="str">
        <x:v>LMFT-ALT-150</x:v>
      </x:c>
      <x:c r="M268" s="192" t="str">
        <x:v>Released</x:v>
      </x:c>
      <x:c r="N268" s="194" t="str">
        <x:v>Form A only; paired alternate retained on the other comprehensive form</x:v>
      </x:c>
    </x:row>
    <x:row r="269">
      <x:c r="A269" s="191" t="str">
        <x:v>CTA-LMFT-MQB-0268</x:v>
      </x:c>
      <x:c r="B269" s="192" t="str">
        <x:v>LMFT-MQB-FA-CE-001</x:v>
      </x:c>
      <x:c r="C269" s="192" t="str">
        <x:v>LMFT Comprehensive Simulation Form A</x:v>
      </x:c>
      <x:c r="D269" s="192" t="n">
        <x:v>64</x:v>
      </x:c>
      <x:c r="E269" s="192" t="str">
        <x:v>Scored-Style</x:v>
      </x:c>
      <x:c r="F269" s="192" t="str">
        <x:v>1. Clinical Evaluation</x:v>
      </x:c>
      <x:c r="G269" s="192" t="str">
        <x:v>Unit of treatment</x:v>
      </x:c>
      <x:c r="H269" s="192" t="str">
        <x:v>Easy</x:v>
      </x:c>
      <x:c r="I269" s="192" t="str">
        <x:v>Knowledge &amp; Recall</x:v>
      </x:c>
      <x:c r="J269" s="192" t="str">
        <x:v>C</x:v>
      </x:c>
      <x:c r="K269" s="192" t="n">
        <x:v>1</x:v>
      </x:c>
      <x:c r="L269" s="192" t="str">
        <x:v>LMFT-ALT-001</x:v>
      </x:c>
      <x:c r="M269" s="192" t="str">
        <x:v>Released</x:v>
      </x:c>
      <x:c r="N269" s="194" t="str">
        <x:v>Form A only; paired alternate retained on the other comprehensive form</x:v>
      </x:c>
    </x:row>
    <x:row r="270">
      <x:c r="A270" s="191" t="str">
        <x:v>CTA-LMFT-MQB-0269</x:v>
      </x:c>
      <x:c r="B270" s="192" t="str">
        <x:v>LMFT-MQB-FA-TX-010</x:v>
      </x:c>
      <x:c r="C270" s="192" t="str">
        <x:v>LMFT Comprehensive Simulation Form A</x:v>
      </x:c>
      <x:c r="D270" s="192" t="n">
        <x:v>65</x:v>
      </x:c>
      <x:c r="E270" s="192" t="str">
        <x:v>Scored-Style</x:v>
      </x:c>
      <x:c r="F270" s="192" t="str">
        <x:v>5. Treatment</x:v>
      </x:c>
      <x:c r="G270" s="192" t="str">
        <x:v>Parent coaching</x:v>
      </x:c>
      <x:c r="H270" s="192" t="str">
        <x:v>Easy</x:v>
      </x:c>
      <x:c r="I270" s="192" t="str">
        <x:v>Application</x:v>
      </x:c>
      <x:c r="J270" s="192" t="str">
        <x:v>D</x:v>
      </x:c>
      <x:c r="K270" s="192" t="n">
        <x:v>1</x:v>
      </x:c>
      <x:c r="L270" s="192" t="str">
        <x:v>LMFT-ALT-117</x:v>
      </x:c>
      <x:c r="M270" s="192" t="str">
        <x:v>Released</x:v>
      </x:c>
      <x:c r="N270" s="194" t="str">
        <x:v>Form A only; paired alternate retained on the other comprehensive form</x:v>
      </x:c>
    </x:row>
    <x:row r="271">
      <x:c r="A271" s="191" t="str">
        <x:v>CTA-LMFT-MQB-0270</x:v>
      </x:c>
      <x:c r="B271" s="192" t="str">
        <x:v>LMFT-MQB-FA-CE-010</x:v>
      </x:c>
      <x:c r="C271" s="192" t="str">
        <x:v>LMFT Comprehensive Simulation Form A</x:v>
      </x:c>
      <x:c r="D271" s="192" t="n">
        <x:v>66</x:v>
      </x:c>
      <x:c r="E271" s="192" t="str">
        <x:v>Scored-Style</x:v>
      </x:c>
      <x:c r="F271" s="192" t="str">
        <x:v>1. Clinical Evaluation</x:v>
      </x:c>
      <x:c r="G271" s="192" t="str">
        <x:v>Strengths assessment</x:v>
      </x:c>
      <x:c r="H271" s="192" t="str">
        <x:v>Easy</x:v>
      </x:c>
      <x:c r="I271" s="192" t="str">
        <x:v>Application</x:v>
      </x:c>
      <x:c r="J271" s="192" t="str">
        <x:v>A</x:v>
      </x:c>
      <x:c r="K271" s="192" t="n">
        <x:v>1</x:v>
      </x:c>
      <x:c r="L271" s="192" t="str">
        <x:v>LMFT-ALT-010</x:v>
      </x:c>
      <x:c r="M271" s="192" t="str">
        <x:v>Released</x:v>
      </x:c>
      <x:c r="N271" s="194" t="str">
        <x:v>Form A only; paired alternate retained on the other comprehensive form</x:v>
      </x:c>
    </x:row>
    <x:row r="272">
      <x:c r="A272" s="191" t="str">
        <x:v>CTA-LMFT-MQB-0271</x:v>
      </x:c>
      <x:c r="B272" s="192" t="str">
        <x:v>LMFT-MQB-FA-TX-038</x:v>
      </x:c>
      <x:c r="C272" s="192" t="str">
        <x:v>LMFT Comprehensive Simulation Form A</x:v>
      </x:c>
      <x:c r="D272" s="192" t="n">
        <x:v>67</x:v>
      </x:c>
      <x:c r="E272" s="192" t="str">
        <x:v>Scored-Style</x:v>
      </x:c>
      <x:c r="F272" s="192" t="str">
        <x:v>5. Treatment</x:v>
      </x:c>
      <x:c r="G272" s="192" t="str">
        <x:v>Integrated addiction and couple work</x:v>
      </x:c>
      <x:c r="H272" s="192" t="str">
        <x:v>Moderate</x:v>
      </x:c>
      <x:c r="I272" s="192" t="str">
        <x:v>Integrated Clinical Reasoning</x:v>
      </x:c>
      <x:c r="J272" s="192" t="str">
        <x:v>A</x:v>
      </x:c>
      <x:c r="K272" s="192" t="n">
        <x:v>1</x:v>
      </x:c>
      <x:c r="L272" s="192" t="str">
        <x:v>LMFT-ALT-145</x:v>
      </x:c>
      <x:c r="M272" s="192" t="str">
        <x:v>Released</x:v>
      </x:c>
      <x:c r="N272" s="194" t="str">
        <x:v>Form A only; paired alternate retained on the other comprehensive form</x:v>
      </x:c>
    </x:row>
    <x:row r="273">
      <x:c r="A273" s="191" t="str">
        <x:v>CTA-LMFT-MQB-0272</x:v>
      </x:c>
      <x:c r="B273" s="192" t="str">
        <x:v>LMFT-MQB-FA-CR-011</x:v>
      </x:c>
      <x:c r="C273" s="192" t="str">
        <x:v>LMFT Comprehensive Simulation Form A</x:v>
      </x:c>
      <x:c r="D273" s="192" t="n">
        <x:v>68</x:v>
      </x:c>
      <x:c r="E273" s="192" t="str">
        <x:v>Scored-Style</x:v>
      </x:c>
      <x:c r="F273" s="192" t="str">
        <x:v>3. Managing Crisis Situations</x:v>
      </x:c>
      <x:c r="G273" s="192" t="str">
        <x:v>Grave disability and basic needs</x:v>
      </x:c>
      <x:c r="H273" s="192" t="str">
        <x:v>Moderate</x:v>
      </x:c>
      <x:c r="I273" s="192" t="str">
        <x:v>Scenario-Based</x:v>
      </x:c>
      <x:c r="J273" s="192" t="str">
        <x:v>A</x:v>
      </x:c>
      <x:c r="K273" s="192" t="n">
        <x:v>1</x:v>
      </x:c>
      <x:c r="L273" s="192" t="str">
        <x:v>LMFT-ALT-070</x:v>
      </x:c>
      <x:c r="M273" s="192" t="str">
        <x:v>Released</x:v>
      </x:c>
      <x:c r="N273" s="194" t="str">
        <x:v>Form A only; paired alternate retained on the other comprehensive form</x:v>
      </x:c>
    </x:row>
    <x:row r="274">
      <x:c r="A274" s="191" t="str">
        <x:v>CTA-LMFT-MQB-0273</x:v>
      </x:c>
      <x:c r="B274" s="192" t="str">
        <x:v>LMFT-MQB-FA-CR-004</x:v>
      </x:c>
      <x:c r="C274" s="192" t="str">
        <x:v>LMFT Comprehensive Simulation Form A</x:v>
      </x:c>
      <x:c r="D274" s="192" t="n">
        <x:v>69</x:v>
      </x:c>
      <x:c r="E274" s="192" t="str">
        <x:v>Pretest-Style</x:v>
      </x:c>
      <x:c r="F274" s="192" t="str">
        <x:v>3. Managing Crisis Situations</x:v>
      </x:c>
      <x:c r="G274" s="192" t="str">
        <x:v>Means safety</x:v>
      </x:c>
      <x:c r="H274" s="192" t="str">
        <x:v>Moderate</x:v>
      </x:c>
      <x:c r="I274" s="192" t="str">
        <x:v>Application</x:v>
      </x:c>
      <x:c r="J274" s="192" t="str">
        <x:v>C</x:v>
      </x:c>
      <x:c r="K274" s="192" t="n">
        <x:v>1</x:v>
      </x:c>
      <x:c r="L274" s="192" t="str">
        <x:v>LMFT-ALT-063</x:v>
      </x:c>
      <x:c r="M274" s="192" t="str">
        <x:v>Released</x:v>
      </x:c>
      <x:c r="N274" s="194" t="str">
        <x:v>Form A only; paired alternate retained on the other comprehensive form</x:v>
      </x:c>
    </x:row>
    <x:row r="275">
      <x:c r="A275" s="191" t="str">
        <x:v>CTA-LMFT-MQB-0274</x:v>
      </x:c>
      <x:c r="B275" s="192" t="str">
        <x:v>LMFT-MQB-FA-DI-014</x:v>
      </x:c>
      <x:c r="C275" s="192" t="str">
        <x:v>LMFT Comprehensive Simulation Form A</x:v>
      </x:c>
      <x:c r="D275" s="192" t="n">
        <x:v>70</x:v>
      </x:c>
      <x:c r="E275" s="192" t="str">
        <x:v>Scored-Style</x:v>
      </x:c>
      <x:c r="F275" s="192" t="str">
        <x:v>2. Developing a Diagnostic Impression</x:v>
      </x:c>
      <x:c r="G275" s="192" t="str">
        <x:v>Medication-induced mood change</x:v>
      </x:c>
      <x:c r="H275" s="192" t="str">
        <x:v>Difficult</x:v>
      </x:c>
      <x:c r="I275" s="192" t="str">
        <x:v>Scenario-Based</x:v>
      </x:c>
      <x:c r="J275" s="192" t="str">
        <x:v>B</x:v>
      </x:c>
      <x:c r="K275" s="192" t="n">
        <x:v>1</x:v>
      </x:c>
      <x:c r="L275" s="192" t="str">
        <x:v>LMFT-ALT-089</x:v>
      </x:c>
      <x:c r="M275" s="192" t="str">
        <x:v>Released</x:v>
      </x:c>
      <x:c r="N275" s="194" t="str">
        <x:v>Form A only; paired alternate retained on the other comprehensive form</x:v>
      </x:c>
    </x:row>
    <x:row r="276">
      <x:c r="A276" s="191" t="str">
        <x:v>CTA-LMFT-MQB-0275</x:v>
      </x:c>
      <x:c r="B276" s="192" t="str">
        <x:v>LMFT-MQB-FA-DI-016</x:v>
      </x:c>
      <x:c r="C276" s="192" t="str">
        <x:v>LMFT Comprehensive Simulation Form A</x:v>
      </x:c>
      <x:c r="D276" s="192" t="n">
        <x:v>71</x:v>
      </x:c>
      <x:c r="E276" s="192" t="str">
        <x:v>Scored-Style</x:v>
      </x:c>
      <x:c r="F276" s="192" t="str">
        <x:v>2. Developing a Diagnostic Impression</x:v>
      </x:c>
      <x:c r="G276" s="192" t="str">
        <x:v>Diagnostic and systemic formulation</x:v>
      </x:c>
      <x:c r="H276" s="192" t="str">
        <x:v>Moderate</x:v>
      </x:c>
      <x:c r="I276" s="192" t="str">
        <x:v>Integrated Clinical Reasoning</x:v>
      </x:c>
      <x:c r="J276" s="192" t="str">
        <x:v>C</x:v>
      </x:c>
      <x:c r="K276" s="192" t="n">
        <x:v>1</x:v>
      </x:c>
      <x:c r="L276" s="192" t="str">
        <x:v>LMFT-ALT-091</x:v>
      </x:c>
      <x:c r="M276" s="192" t="str">
        <x:v>Released</x:v>
      </x:c>
      <x:c r="N276" s="194" t="str">
        <x:v>Form A only; paired alternate retained on the other comprehensive form</x:v>
      </x:c>
    </x:row>
    <x:row r="277">
      <x:c r="A277" s="191" t="str">
        <x:v>CTA-LMFT-MQB-0276</x:v>
      </x:c>
      <x:c r="B277" s="192" t="str">
        <x:v>LMFT-MQB-FA-LE-014</x:v>
      </x:c>
      <x:c r="C277" s="192" t="str">
        <x:v>LMFT Comprehensive Simulation Form A</x:v>
      </x:c>
      <x:c r="D277" s="192" t="n">
        <x:v>72</x:v>
      </x:c>
      <x:c r="E277" s="192" t="str">
        <x:v>Pretest-Style</x:v>
      </x:c>
      <x:c r="F277" s="192" t="str">
        <x:v>6. Managing Legal and Ethical Obligations within the Therapeutic Relationship</x:v>
      </x:c>
      <x:c r="G277" s="192" t="str">
        <x:v>Ethics, safety, and minimum disclosure</x:v>
      </x:c>
      <x:c r="H277" s="192" t="str">
        <x:v>Moderate</x:v>
      </x:c>
      <x:c r="I277" s="192" t="str">
        <x:v>Integrated Clinical Reasoning</x:v>
      </x:c>
      <x:c r="J277" s="192" t="str">
        <x:v>B</x:v>
      </x:c>
      <x:c r="K277" s="192" t="n">
        <x:v>1</x:v>
      </x:c>
      <x:c r="L277" s="192" t="str">
        <x:v>LMFT-ALT-106</x:v>
      </x:c>
      <x:c r="M277" s="192" t="str">
        <x:v>Released</x:v>
      </x:c>
      <x:c r="N277" s="194" t="str">
        <x:v>Form A only; paired alternate retained on the other comprehensive form</x:v>
      </x:c>
    </x:row>
    <x:row r="278">
      <x:c r="A278" s="191" t="str">
        <x:v>CTA-LMFT-MQB-0277</x:v>
      </x:c>
      <x:c r="B278" s="192" t="str">
        <x:v>LMFT-MQB-FA-LE-007</x:v>
      </x:c>
      <x:c r="C278" s="192" t="str">
        <x:v>LMFT Comprehensive Simulation Form A</x:v>
      </x:c>
      <x:c r="D278" s="192" t="n">
        <x:v>73</x:v>
      </x:c>
      <x:c r="E278" s="192" t="str">
        <x:v>Pretest-Style</x:v>
      </x:c>
      <x:c r="F278" s="192" t="str">
        <x:v>6. Managing Legal and Ethical Obligations within the Therapeutic Relationship</x:v>
      </x:c>
      <x:c r="G278" s="192" t="str">
        <x:v>Court request</x:v>
      </x:c>
      <x:c r="H278" s="192" t="str">
        <x:v>Difficult</x:v>
      </x:c>
      <x:c r="I278" s="192" t="str">
        <x:v>Application</x:v>
      </x:c>
      <x:c r="J278" s="192" t="str">
        <x:v>A</x:v>
      </x:c>
      <x:c r="K278" s="192" t="n">
        <x:v>1</x:v>
      </x:c>
      <x:c r="L278" s="192" t="str">
        <x:v>LMFT-ALT-099</x:v>
      </x:c>
      <x:c r="M278" s="192" t="str">
        <x:v>Released</x:v>
      </x:c>
      <x:c r="N278" s="194" t="str">
        <x:v>Form A only; paired alternate retained on the other comprehensive form</x:v>
      </x:c>
    </x:row>
    <x:row r="279">
      <x:c r="A279" s="191" t="str">
        <x:v>CTA-LMFT-MQB-0278</x:v>
      </x:c>
      <x:c r="B279" s="192" t="str">
        <x:v>LMFT-MQB-FA-TX-004</x:v>
      </x:c>
      <x:c r="C279" s="192" t="str">
        <x:v>LMFT Comprehensive Simulation Form A</x:v>
      </x:c>
      <x:c r="D279" s="192" t="n">
        <x:v>74</x:v>
      </x:c>
      <x:c r="E279" s="192" t="str">
        <x:v>Scored-Style</x:v>
      </x:c>
      <x:c r="F279" s="192" t="str">
        <x:v>5. Treatment</x:v>
      </x:c>
      <x:c r="G279" s="192" t="str">
        <x:v>Termination task</x:v>
      </x:c>
      <x:c r="H279" s="192" t="str">
        <x:v>Moderate</x:v>
      </x:c>
      <x:c r="I279" s="192" t="str">
        <x:v>Knowledge &amp; Recall</x:v>
      </x:c>
      <x:c r="J279" s="192" t="str">
        <x:v>D</x:v>
      </x:c>
      <x:c r="K279" s="192" t="n">
        <x:v>1</x:v>
      </x:c>
      <x:c r="L279" s="192" t="str">
        <x:v>LMFT-ALT-111</x:v>
      </x:c>
      <x:c r="M279" s="192" t="str">
        <x:v>Released</x:v>
      </x:c>
      <x:c r="N279" s="194" t="str">
        <x:v>Form A only; paired alternate retained on the other comprehensive form</x:v>
      </x:c>
    </x:row>
    <x:row r="280">
      <x:c r="A280" s="191" t="str">
        <x:v>CTA-LMFT-MQB-0279</x:v>
      </x:c>
      <x:c r="B280" s="192" t="str">
        <x:v>LMFT-MQB-FA-CE-039</x:v>
      </x:c>
      <x:c r="C280" s="192" t="str">
        <x:v>LMFT Comprehensive Simulation Form A</x:v>
      </x:c>
      <x:c r="D280" s="192" t="n">
        <x:v>75</x:v>
      </x:c>
      <x:c r="E280" s="192" t="str">
        <x:v>Scored-Style</x:v>
      </x:c>
      <x:c r="F280" s="192" t="str">
        <x:v>1. Clinical Evaluation</x:v>
      </x:c>
      <x:c r="G280" s="192" t="str">
        <x:v>Trauma, culture, and somatic symptoms</x:v>
      </x:c>
      <x:c r="H280" s="192" t="str">
        <x:v>Difficult</x:v>
      </x:c>
      <x:c r="I280" s="192" t="str">
        <x:v>Integrated Clinical Reasoning</x:v>
      </x:c>
      <x:c r="J280" s="192" t="str">
        <x:v>B</x:v>
      </x:c>
      <x:c r="K280" s="192" t="n">
        <x:v>1</x:v>
      </x:c>
      <x:c r="L280" s="192" t="str">
        <x:v>LMFT-ALT-039</x:v>
      </x:c>
      <x:c r="M280" s="192" t="str">
        <x:v>Released</x:v>
      </x:c>
      <x:c r="N280" s="194" t="str">
        <x:v>Form A only; paired alternate retained on the other comprehensive form</x:v>
      </x:c>
    </x:row>
    <x:row r="281">
      <x:c r="A281" s="191" t="str">
        <x:v>CTA-LMFT-MQB-0280</x:v>
      </x:c>
      <x:c r="B281" s="192" t="str">
        <x:v>LMFT-MQB-FA-CE-036</x:v>
      </x:c>
      <x:c r="C281" s="192" t="str">
        <x:v>LMFT Comprehensive Simulation Form A</x:v>
      </x:c>
      <x:c r="D281" s="192" t="n">
        <x:v>76</x:v>
      </x:c>
      <x:c r="E281" s="192" t="str">
        <x:v>Scored-Style</x:v>
      </x:c>
      <x:c r="F281" s="192" t="str">
        <x:v>1. Clinical Evaluation</x:v>
      </x:c>
      <x:c r="G281" s="192" t="str">
        <x:v>Evaluation under cultural and language constraints</x:v>
      </x:c>
      <x:c r="H281" s="192" t="str">
        <x:v>Difficult</x:v>
      </x:c>
      <x:c r="I281" s="192" t="str">
        <x:v>Scenario-Based</x:v>
      </x:c>
      <x:c r="J281" s="192" t="str">
        <x:v>C</x:v>
      </x:c>
      <x:c r="K281" s="192" t="n">
        <x:v>1</x:v>
      </x:c>
      <x:c r="L281" s="192" t="str">
        <x:v>LMFT-ALT-036</x:v>
      </x:c>
      <x:c r="M281" s="192" t="str">
        <x:v>Released</x:v>
      </x:c>
      <x:c r="N281" s="194" t="str">
        <x:v>Form A only; paired alternate retained on the other comprehensive form</x:v>
      </x:c>
    </x:row>
    <x:row r="282">
      <x:c r="A282" s="191" t="str">
        <x:v>CTA-LMFT-MQB-0281</x:v>
      </x:c>
      <x:c r="B282" s="192" t="str">
        <x:v>LMFT-MQB-FA-DI-017</x:v>
      </x:c>
      <x:c r="C282" s="192" t="str">
        <x:v>LMFT Comprehensive Simulation Form A</x:v>
      </x:c>
      <x:c r="D282" s="192" t="n">
        <x:v>77</x:v>
      </x:c>
      <x:c r="E282" s="192" t="str">
        <x:v>Scored-Style</x:v>
      </x:c>
      <x:c r="F282" s="192" t="str">
        <x:v>2. Developing a Diagnostic Impression</x:v>
      </x:c>
      <x:c r="G282" s="192" t="str">
        <x:v>Diagnostic uncertainty with safety risk</x:v>
      </x:c>
      <x:c r="H282" s="192" t="str">
        <x:v>Difficult</x:v>
      </x:c>
      <x:c r="I282" s="192" t="str">
        <x:v>Integrated Clinical Reasoning</x:v>
      </x:c>
      <x:c r="J282" s="192" t="str">
        <x:v>C</x:v>
      </x:c>
      <x:c r="K282" s="192" t="n">
        <x:v>1</x:v>
      </x:c>
      <x:c r="L282" s="192" t="str">
        <x:v>LMFT-ALT-092</x:v>
      </x:c>
      <x:c r="M282" s="192" t="str">
        <x:v>Released</x:v>
      </x:c>
      <x:c r="N282" s="194" t="str">
        <x:v>Form A only; paired alternate retained on the other comprehensive form</x:v>
      </x:c>
    </x:row>
    <x:row r="283">
      <x:c r="A283" s="191" t="str">
        <x:v>CTA-LMFT-MQB-0282</x:v>
      </x:c>
      <x:c r="B283" s="192" t="str">
        <x:v>LMFT-MQB-FA-DI-004</x:v>
      </x:c>
      <x:c r="C283" s="192" t="str">
        <x:v>LMFT Comprehensive Simulation Form A</x:v>
      </x:c>
      <x:c r="D283" s="192" t="n">
        <x:v>78</x:v>
      </x:c>
      <x:c r="E283" s="192" t="str">
        <x:v>Scored-Style</x:v>
      </x:c>
      <x:c r="F283" s="192" t="str">
        <x:v>2. Developing a Diagnostic Impression</x:v>
      </x:c>
      <x:c r="G283" s="192" t="str">
        <x:v>Chronology in diagnosis</x:v>
      </x:c>
      <x:c r="H283" s="192" t="str">
        <x:v>Moderate</x:v>
      </x:c>
      <x:c r="I283" s="192" t="str">
        <x:v>Knowledge &amp; Recall</x:v>
      </x:c>
      <x:c r="J283" s="192" t="str">
        <x:v>D</x:v>
      </x:c>
      <x:c r="K283" s="192" t="n">
        <x:v>1</x:v>
      </x:c>
      <x:c r="L283" s="192" t="str">
        <x:v>LMFT-ALT-079</x:v>
      </x:c>
      <x:c r="M283" s="192" t="str">
        <x:v>Released</x:v>
      </x:c>
      <x:c r="N283" s="194" t="str">
        <x:v>Form A only; paired alternate retained on the other comprehensive form</x:v>
      </x:c>
    </x:row>
    <x:row r="284">
      <x:c r="A284" s="191" t="str">
        <x:v>CTA-LMFT-MQB-0283</x:v>
      </x:c>
      <x:c r="B284" s="192" t="str">
        <x:v>LMFT-MQB-FA-TX-002</x:v>
      </x:c>
      <x:c r="C284" s="192" t="str">
        <x:v>LMFT Comprehensive Simulation Form A</x:v>
      </x:c>
      <x:c r="D284" s="192" t="n">
        <x:v>79</x:v>
      </x:c>
      <x:c r="E284" s="192" t="str">
        <x:v>Scored-Style</x:v>
      </x:c>
      <x:c r="F284" s="192" t="str">
        <x:v>5. Treatment</x:v>
      </x:c>
      <x:c r="G284" s="192" t="str">
        <x:v>Motivational interviewing</x:v>
      </x:c>
      <x:c r="H284" s="192" t="str">
        <x:v>Easy</x:v>
      </x:c>
      <x:c r="I284" s="192" t="str">
        <x:v>Knowledge &amp; Recall</x:v>
      </x:c>
      <x:c r="J284" s="192" t="str">
        <x:v>C</x:v>
      </x:c>
      <x:c r="K284" s="192" t="n">
        <x:v>1</x:v>
      </x:c>
      <x:c r="L284" s="192" t="str">
        <x:v>LMFT-ALT-109</x:v>
      </x:c>
      <x:c r="M284" s="192" t="str">
        <x:v>Released</x:v>
      </x:c>
      <x:c r="N284" s="194" t="str">
        <x:v>Form A only; paired alternate retained on the other comprehensive form</x:v>
      </x:c>
    </x:row>
    <x:row r="285">
      <x:c r="A285" s="191" t="str">
        <x:v>CTA-LMFT-MQB-0284</x:v>
      </x:c>
      <x:c r="B285" s="192" t="str">
        <x:v>LMFT-MQB-FA-CE-035</x:v>
      </x:c>
      <x:c r="C285" s="192" t="str">
        <x:v>LMFT Comprehensive Simulation Form A</x:v>
      </x:c>
      <x:c r="D285" s="192" t="n">
        <x:v>80</x:v>
      </x:c>
      <x:c r="E285" s="192" t="str">
        <x:v>Scored-Style</x:v>
      </x:c>
      <x:c r="F285" s="192" t="str">
        <x:v>1. Clinical Evaluation</x:v>
      </x:c>
      <x:c r="G285" s="192" t="str">
        <x:v>Family violence and child functioning</x:v>
      </x:c>
      <x:c r="H285" s="192" t="str">
        <x:v>Difficult</x:v>
      </x:c>
      <x:c r="I285" s="192" t="str">
        <x:v>Scenario-Based</x:v>
      </x:c>
      <x:c r="J285" s="192" t="str">
        <x:v>C</x:v>
      </x:c>
      <x:c r="K285" s="192" t="n">
        <x:v>1</x:v>
      </x:c>
      <x:c r="L285" s="192" t="str">
        <x:v>LMFT-ALT-035</x:v>
      </x:c>
      <x:c r="M285" s="192" t="str">
        <x:v>Released</x:v>
      </x:c>
      <x:c r="N285" s="194" t="str">
        <x:v>Form A only; paired alternate retained on the other comprehensive form</x:v>
      </x:c>
    </x:row>
    <x:row r="286">
      <x:c r="A286" s="191" t="str">
        <x:v>CTA-LMFT-MQB-0285</x:v>
      </x:c>
      <x:c r="B286" s="192" t="str">
        <x:v>LMFT-MQB-FA-TX-006</x:v>
      </x:c>
      <x:c r="C286" s="192" t="str">
        <x:v>LMFT Comprehensive Simulation Form A</x:v>
      </x:c>
      <x:c r="D286" s="192" t="n">
        <x:v>81</x:v>
      </x:c>
      <x:c r="E286" s="192" t="str">
        <x:v>Scored-Style</x:v>
      </x:c>
      <x:c r="F286" s="192" t="str">
        <x:v>5. Treatment</x:v>
      </x:c>
      <x:c r="G286" s="192" t="str">
        <x:v>Behavioral activation</x:v>
      </x:c>
      <x:c r="H286" s="192" t="str">
        <x:v>Easy</x:v>
      </x:c>
      <x:c r="I286" s="192" t="str">
        <x:v>Application</x:v>
      </x:c>
      <x:c r="J286" s="192" t="str">
        <x:v>D</x:v>
      </x:c>
      <x:c r="K286" s="192" t="n">
        <x:v>1</x:v>
      </x:c>
      <x:c r="L286" s="192" t="str">
        <x:v>LMFT-ALT-113</x:v>
      </x:c>
      <x:c r="M286" s="192" t="str">
        <x:v>Released</x:v>
      </x:c>
      <x:c r="N286" s="194" t="str">
        <x:v>Form A only; paired alternate retained on the other comprehensive form</x:v>
      </x:c>
    </x:row>
    <x:row r="287">
      <x:c r="A287" s="191" t="str">
        <x:v>CTA-LMFT-MQB-0286</x:v>
      </x:c>
      <x:c r="B287" s="192" t="str">
        <x:v>LMFT-MQB-FA-CP-018</x:v>
      </x:c>
      <x:c r="C287" s="192" t="str">
        <x:v>LMFT Comprehensive Simulation Form A</x:v>
      </x:c>
      <x:c r="D287" s="192" t="n">
        <x:v>82</x:v>
      </x:c>
      <x:c r="E287" s="192" t="str">
        <x:v>Scored-Style</x:v>
      </x:c>
      <x:c r="F287" s="192" t="str">
        <x:v>4. Case Conceptualization and Planning</x:v>
      </x:c>
      <x:c r="G287" s="192" t="str">
        <x:v>Planning with trauma and coercion</x:v>
      </x:c>
      <x:c r="H287" s="192" t="str">
        <x:v>Difficult</x:v>
      </x:c>
      <x:c r="I287" s="192" t="str">
        <x:v>Integrated Clinical Reasoning</x:v>
      </x:c>
      <x:c r="J287" s="192" t="str">
        <x:v>B</x:v>
      </x:c>
      <x:c r="K287" s="192" t="n">
        <x:v>1</x:v>
      </x:c>
      <x:c r="L287" s="192" t="str">
        <x:v>LMFT-ALT-059</x:v>
      </x:c>
      <x:c r="M287" s="192" t="str">
        <x:v>Released</x:v>
      </x:c>
      <x:c r="N287" s="194" t="str">
        <x:v>Form A only; paired alternate retained on the other comprehensive form</x:v>
      </x:c>
    </x:row>
    <x:row r="288">
      <x:c r="A288" s="191" t="str">
        <x:v>CTA-LMFT-MQB-0287</x:v>
      </x:c>
      <x:c r="B288" s="192" t="str">
        <x:v>LMFT-MQB-FA-CE-004</x:v>
      </x:c>
      <x:c r="C288" s="192" t="str">
        <x:v>LMFT Comprehensive Simulation Form A</x:v>
      </x:c>
      <x:c r="D288" s="192" t="n">
        <x:v>83</x:v>
      </x:c>
      <x:c r="E288" s="192" t="str">
        <x:v>Pretest-Style</x:v>
      </x:c>
      <x:c r="F288" s="192" t="str">
        <x:v>1. Clinical Evaluation</x:v>
      </x:c>
      <x:c r="G288" s="192" t="str">
        <x:v>Baseline functioning</x:v>
      </x:c>
      <x:c r="H288" s="192" t="str">
        <x:v>Moderate</x:v>
      </x:c>
      <x:c r="I288" s="192" t="str">
        <x:v>Knowledge &amp; Recall</x:v>
      </x:c>
      <x:c r="J288" s="192" t="str">
        <x:v>C</x:v>
      </x:c>
      <x:c r="K288" s="192" t="n">
        <x:v>1</x:v>
      </x:c>
      <x:c r="L288" s="192" t="str">
        <x:v>LMFT-ALT-004</x:v>
      </x:c>
      <x:c r="M288" s="192" t="str">
        <x:v>Released</x:v>
      </x:c>
      <x:c r="N288" s="194" t="str">
        <x:v>Form A only; paired alternate retained on the other comprehensive form</x:v>
      </x:c>
    </x:row>
    <x:row r="289">
      <x:c r="A289" s="191" t="str">
        <x:v>CTA-LMFT-MQB-0288</x:v>
      </x:c>
      <x:c r="B289" s="192" t="str">
        <x:v>LMFT-MQB-FA-TX-025</x:v>
      </x:c>
      <x:c r="C289" s="192" t="str">
        <x:v>LMFT Comprehensive Simulation Form A</x:v>
      </x:c>
      <x:c r="D289" s="192" t="n">
        <x:v>84</x:v>
      </x:c>
      <x:c r="E289" s="192" t="str">
        <x:v>Pretest-Style</x:v>
      </x:c>
      <x:c r="F289" s="192" t="str">
        <x:v>5. Treatment</x:v>
      </x:c>
      <x:c r="G289" s="192" t="str">
        <x:v>Early trauma stabilization</x:v>
      </x:c>
      <x:c r="H289" s="192" t="str">
        <x:v>Moderate</x:v>
      </x:c>
      <x:c r="I289" s="192" t="str">
        <x:v>Scenario-Based</x:v>
      </x:c>
      <x:c r="J289" s="192" t="str">
        <x:v>B</x:v>
      </x:c>
      <x:c r="K289" s="192" t="n">
        <x:v>1</x:v>
      </x:c>
      <x:c r="L289" s="192" t="str">
        <x:v>LMFT-ALT-132</x:v>
      </x:c>
      <x:c r="M289" s="192" t="str">
        <x:v>Released</x:v>
      </x:c>
      <x:c r="N289" s="194" t="str">
        <x:v>Form A only; paired alternate retained on the other comprehensive form</x:v>
      </x:c>
    </x:row>
    <x:row r="290">
      <x:c r="A290" s="191" t="str">
        <x:v>CTA-LMFT-MQB-0289</x:v>
      </x:c>
      <x:c r="B290" s="192" t="str">
        <x:v>LMFT-MQB-FA-DI-015</x:v>
      </x:c>
      <x:c r="C290" s="192" t="str">
        <x:v>LMFT Comprehensive Simulation Form A</x:v>
      </x:c>
      <x:c r="D290" s="192" t="n">
        <x:v>85</x:v>
      </x:c>
      <x:c r="E290" s="192" t="str">
        <x:v>Scored-Style</x:v>
      </x:c>
      <x:c r="F290" s="192" t="str">
        <x:v>2. Developing a Diagnostic Impression</x:v>
      </x:c>
      <x:c r="G290" s="192" t="str">
        <x:v>Multiple overlapping syndromes</x:v>
      </x:c>
      <x:c r="H290" s="192" t="str">
        <x:v>Difficult</x:v>
      </x:c>
      <x:c r="I290" s="192" t="str">
        <x:v>Scenario-Based</x:v>
      </x:c>
      <x:c r="J290" s="192" t="str">
        <x:v>A</x:v>
      </x:c>
      <x:c r="K290" s="192" t="n">
        <x:v>1</x:v>
      </x:c>
      <x:c r="L290" s="192" t="str">
        <x:v>LMFT-ALT-090</x:v>
      </x:c>
      <x:c r="M290" s="192" t="str">
        <x:v>Released</x:v>
      </x:c>
      <x:c r="N290" s="194" t="str">
        <x:v>Form A only; paired alternate retained on the other comprehensive form</x:v>
      </x:c>
    </x:row>
    <x:row r="291">
      <x:c r="A291" s="191" t="str">
        <x:v>CTA-LMFT-MQB-0290</x:v>
      </x:c>
      <x:c r="B291" s="192" t="str">
        <x:v>LMFT-MQB-FA-CP-014</x:v>
      </x:c>
      <x:c r="C291" s="192" t="str">
        <x:v>LMFT Comprehensive Simulation Form A</x:v>
      </x:c>
      <x:c r="D291" s="192" t="n">
        <x:v>86</x:v>
      </x:c>
      <x:c r="E291" s="192" t="str">
        <x:v>Scored-Style</x:v>
      </x:c>
      <x:c r="F291" s="192" t="str">
        <x:v>4. Case Conceptualization and Planning</x:v>
      </x:c>
      <x:c r="G291" s="192" t="str">
        <x:v>Group planning and fit</x:v>
      </x:c>
      <x:c r="H291" s="192" t="str">
        <x:v>Moderate</x:v>
      </x:c>
      <x:c r="I291" s="192" t="str">
        <x:v>Scenario-Based</x:v>
      </x:c>
      <x:c r="J291" s="192" t="str">
        <x:v>A</x:v>
      </x:c>
      <x:c r="K291" s="192" t="n">
        <x:v>1</x:v>
      </x:c>
      <x:c r="L291" s="192" t="str">
        <x:v>LMFT-ALT-055</x:v>
      </x:c>
      <x:c r="M291" s="192" t="str">
        <x:v>Released</x:v>
      </x:c>
      <x:c r="N291" s="194" t="str">
        <x:v>Form A only; paired alternate retained on the other comprehensive form</x:v>
      </x:c>
    </x:row>
    <x:row r="292">
      <x:c r="A292" s="191" t="str">
        <x:v>CTA-LMFT-MQB-0291</x:v>
      </x:c>
      <x:c r="B292" s="192" t="str">
        <x:v>LMFT-MQB-FA-CP-005</x:v>
      </x:c>
      <x:c r="C292" s="192" t="str">
        <x:v>LMFT Comprehensive Simulation Form A</x:v>
      </x:c>
      <x:c r="D292" s="192" t="n">
        <x:v>87</x:v>
      </x:c>
      <x:c r="E292" s="192" t="str">
        <x:v>Scored-Style</x:v>
      </x:c>
      <x:c r="F292" s="192" t="str">
        <x:v>4. Case Conceptualization and Planning</x:v>
      </x:c>
      <x:c r="G292" s="192" t="str">
        <x:v>Modality selection</x:v>
      </x:c>
      <x:c r="H292" s="192" t="str">
        <x:v>Moderate</x:v>
      </x:c>
      <x:c r="I292" s="192" t="str">
        <x:v>Application</x:v>
      </x:c>
      <x:c r="J292" s="192" t="str">
        <x:v>D</x:v>
      </x:c>
      <x:c r="K292" s="192" t="n">
        <x:v>1</x:v>
      </x:c>
      <x:c r="L292" s="192" t="str">
        <x:v>LMFT-ALT-046</x:v>
      </x:c>
      <x:c r="M292" s="192" t="str">
        <x:v>Released</x:v>
      </x:c>
      <x:c r="N292" s="194" t="str">
        <x:v>Form A only; paired alternate retained on the other comprehensive form</x:v>
      </x:c>
    </x:row>
    <x:row r="293">
      <x:c r="A293" s="191" t="str">
        <x:v>CTA-LMFT-MQB-0292</x:v>
      </x:c>
      <x:c r="B293" s="192" t="str">
        <x:v>LMFT-MQB-FA-CE-018</x:v>
      </x:c>
      <x:c r="C293" s="192" t="str">
        <x:v>LMFT Comprehensive Simulation Form A</x:v>
      </x:c>
      <x:c r="D293" s="192" t="n">
        <x:v>88</x:v>
      </x:c>
      <x:c r="E293" s="192" t="str">
        <x:v>Scored-Style</x:v>
      </x:c>
      <x:c r="F293" s="192" t="str">
        <x:v>1. Clinical Evaluation</x:v>
      </x:c>
      <x:c r="G293" s="192" t="str">
        <x:v>Consultation threshold</x:v>
      </x:c>
      <x:c r="H293" s="192" t="str">
        <x:v>Moderate</x:v>
      </x:c>
      <x:c r="I293" s="192" t="str">
        <x:v>Application</x:v>
      </x:c>
      <x:c r="J293" s="192" t="str">
        <x:v>B</x:v>
      </x:c>
      <x:c r="K293" s="192" t="n">
        <x:v>1</x:v>
      </x:c>
      <x:c r="L293" s="192" t="str">
        <x:v>LMFT-ALT-018</x:v>
      </x:c>
      <x:c r="M293" s="192" t="str">
        <x:v>Released</x:v>
      </x:c>
      <x:c r="N293" s="194" t="str">
        <x:v>Form A only; paired alternate retained on the other comprehensive form</x:v>
      </x:c>
    </x:row>
    <x:row r="294">
      <x:c r="A294" s="191" t="str">
        <x:v>CTA-LMFT-MQB-0293</x:v>
      </x:c>
      <x:c r="B294" s="192" t="str">
        <x:v>LMFT-MQB-FA-TX-023</x:v>
      </x:c>
      <x:c r="C294" s="192" t="str">
        <x:v>LMFT Comprehensive Simulation Form A</x:v>
      </x:c>
      <x:c r="D294" s="192" t="n">
        <x:v>89</x:v>
      </x:c>
      <x:c r="E294" s="192" t="str">
        <x:v>Pretest-Style</x:v>
      </x:c>
      <x:c r="F294" s="192" t="str">
        <x:v>5. Treatment</x:v>
      </x:c>
      <x:c r="G294" s="192" t="str">
        <x:v>Alliance rupture</x:v>
      </x:c>
      <x:c r="H294" s="192" t="str">
        <x:v>Easy</x:v>
      </x:c>
      <x:c r="I294" s="192" t="str">
        <x:v>Scenario-Based</x:v>
      </x:c>
      <x:c r="J294" s="192" t="str">
        <x:v>D</x:v>
      </x:c>
      <x:c r="K294" s="192" t="n">
        <x:v>1</x:v>
      </x:c>
      <x:c r="L294" s="192" t="str">
        <x:v>LMFT-ALT-130</x:v>
      </x:c>
      <x:c r="M294" s="192" t="str">
        <x:v>Released</x:v>
      </x:c>
      <x:c r="N294" s="194" t="str">
        <x:v>Form A only; paired alternate retained on the other comprehensive form</x:v>
      </x:c>
    </x:row>
    <x:row r="295">
      <x:c r="A295" s="191" t="str">
        <x:v>CTA-LMFT-MQB-0294</x:v>
      </x:c>
      <x:c r="B295" s="192" t="str">
        <x:v>LMFT-MQB-FA-CE-033</x:v>
      </x:c>
      <x:c r="C295" s="192" t="str">
        <x:v>LMFT Comprehensive Simulation Form A</x:v>
      </x:c>
      <x:c r="D295" s="192" t="n">
        <x:v>90</x:v>
      </x:c>
      <x:c r="E295" s="192" t="str">
        <x:v>Scored-Style</x:v>
      </x:c>
      <x:c r="F295" s="192" t="str">
        <x:v>1. Clinical Evaluation</x:v>
      </x:c>
      <x:c r="G295" s="192" t="str">
        <x:v>Complex family records and alliances</x:v>
      </x:c>
      <x:c r="H295" s="192" t="str">
        <x:v>Difficult</x:v>
      </x:c>
      <x:c r="I295" s="192" t="str">
        <x:v>Scenario-Based</x:v>
      </x:c>
      <x:c r="J295" s="192" t="str">
        <x:v>B</x:v>
      </x:c>
      <x:c r="K295" s="192" t="n">
        <x:v>1</x:v>
      </x:c>
      <x:c r="L295" s="192" t="str">
        <x:v>LMFT-ALT-033</x:v>
      </x:c>
      <x:c r="M295" s="192" t="str">
        <x:v>Released</x:v>
      </x:c>
      <x:c r="N295" s="194" t="str">
        <x:v>Form A only; paired alternate retained on the other comprehensive form</x:v>
      </x:c>
    </x:row>
    <x:row r="296">
      <x:c r="A296" s="191" t="str">
        <x:v>CTA-LMFT-MQB-0295</x:v>
      </x:c>
      <x:c r="B296" s="192" t="str">
        <x:v>LMFT-MQB-FA-TX-021</x:v>
      </x:c>
      <x:c r="C296" s="192" t="str">
        <x:v>LMFT Comprehensive Simulation Form A</x:v>
      </x:c>
      <x:c r="D296" s="192" t="n">
        <x:v>91</x:v>
      </x:c>
      <x:c r="E296" s="192" t="str">
        <x:v>Pretest-Style</x:v>
      </x:c>
      <x:c r="F296" s="192" t="str">
        <x:v>5. Treatment</x:v>
      </x:c>
      <x:c r="G296" s="192" t="str">
        <x:v>Treatment of severe eating symptoms</x:v>
      </x:c>
      <x:c r="H296" s="192" t="str">
        <x:v>Difficult</x:v>
      </x:c>
      <x:c r="I296" s="192" t="str">
        <x:v>Application</x:v>
      </x:c>
      <x:c r="J296" s="192" t="str">
        <x:v>B</x:v>
      </x:c>
      <x:c r="K296" s="192" t="n">
        <x:v>1</x:v>
      </x:c>
      <x:c r="L296" s="192" t="str">
        <x:v>LMFT-ALT-128</x:v>
      </x:c>
      <x:c r="M296" s="192" t="str">
        <x:v>Released</x:v>
      </x:c>
      <x:c r="N296" s="194" t="str">
        <x:v>Form A only; paired alternate retained on the other comprehensive form</x:v>
      </x:c>
    </x:row>
    <x:row r="297">
      <x:c r="A297" s="191" t="str">
        <x:v>CTA-LMFT-MQB-0296</x:v>
      </x:c>
      <x:c r="B297" s="192" t="str">
        <x:v>LMFT-MQB-FA-DI-003</x:v>
      </x:c>
      <x:c r="C297" s="192" t="str">
        <x:v>LMFT Comprehensive Simulation Form A</x:v>
      </x:c>
      <x:c r="D297" s="192" t="n">
        <x:v>92</x:v>
      </x:c>
      <x:c r="E297" s="192" t="str">
        <x:v>Scored-Style</x:v>
      </x:c>
      <x:c r="F297" s="192" t="str">
        <x:v>2. Developing a Diagnostic Impression</x:v>
      </x:c>
      <x:c r="G297" s="192" t="str">
        <x:v>Other conditions that may be a focus</x:v>
      </x:c>
      <x:c r="H297" s="192" t="str">
        <x:v>Moderate</x:v>
      </x:c>
      <x:c r="I297" s="192" t="str">
        <x:v>Knowledge &amp; Recall</x:v>
      </x:c>
      <x:c r="J297" s="192" t="str">
        <x:v>C</x:v>
      </x:c>
      <x:c r="K297" s="192" t="n">
        <x:v>1</x:v>
      </x:c>
      <x:c r="L297" s="192" t="str">
        <x:v>LMFT-ALT-078</x:v>
      </x:c>
      <x:c r="M297" s="192" t="str">
        <x:v>Released</x:v>
      </x:c>
      <x:c r="N297" s="194" t="str">
        <x:v>Form A only; paired alternate retained on the other comprehensive form</x:v>
      </x:c>
    </x:row>
    <x:row r="298">
      <x:c r="A298" s="191" t="str">
        <x:v>CTA-LMFT-MQB-0297</x:v>
      </x:c>
      <x:c r="B298" s="192" t="str">
        <x:v>LMFT-MQB-FA-CP-010</x:v>
      </x:c>
      <x:c r="C298" s="192" t="str">
        <x:v>LMFT Comprehensive Simulation Form A</x:v>
      </x:c>
      <x:c r="D298" s="192" t="n">
        <x:v>93</x:v>
      </x:c>
      <x:c r="E298" s="192" t="str">
        <x:v>Pretest-Style</x:v>
      </x:c>
      <x:c r="F298" s="192" t="str">
        <x:v>4. Case Conceptualization and Planning</x:v>
      </x:c>
      <x:c r="G298" s="192" t="str">
        <x:v>Initial plan after assessment</x:v>
      </x:c>
      <x:c r="H298" s="192" t="str">
        <x:v>Easy</x:v>
      </x:c>
      <x:c r="I298" s="192" t="str">
        <x:v>Scenario-Based</x:v>
      </x:c>
      <x:c r="J298" s="192" t="str">
        <x:v>B</x:v>
      </x:c>
      <x:c r="K298" s="192" t="n">
        <x:v>1</x:v>
      </x:c>
      <x:c r="L298" s="192" t="str">
        <x:v>LMFT-ALT-051</x:v>
      </x:c>
      <x:c r="M298" s="192" t="str">
        <x:v>Released</x:v>
      </x:c>
      <x:c r="N298" s="194" t="str">
        <x:v>Form A only; paired alternate retained on the other comprehensive form</x:v>
      </x:c>
    </x:row>
    <x:row r="299">
      <x:c r="A299" s="191" t="str">
        <x:v>CTA-LMFT-MQB-0298</x:v>
      </x:c>
      <x:c r="B299" s="192" t="str">
        <x:v>LMFT-MQB-FA-CR-003</x:v>
      </x:c>
      <x:c r="C299" s="192" t="str">
        <x:v>LMFT Comprehensive Simulation Form A</x:v>
      </x:c>
      <x:c r="D299" s="192" t="n">
        <x:v>94</x:v>
      </x:c>
      <x:c r="E299" s="192" t="str">
        <x:v>Scored-Style</x:v>
      </x:c>
      <x:c r="F299" s="192" t="str">
        <x:v>3. Managing Crisis Situations</x:v>
      </x:c>
      <x:c r="G299" s="192" t="str">
        <x:v>Emergency documentation</x:v>
      </x:c>
      <x:c r="H299" s="192" t="str">
        <x:v>Easy</x:v>
      </x:c>
      <x:c r="I299" s="192" t="str">
        <x:v>Application</x:v>
      </x:c>
      <x:c r="J299" s="192" t="str">
        <x:v>A</x:v>
      </x:c>
      <x:c r="K299" s="192" t="n">
        <x:v>1</x:v>
      </x:c>
      <x:c r="L299" s="192" t="str">
        <x:v>LMFT-ALT-062</x:v>
      </x:c>
      <x:c r="M299" s="192" t="str">
        <x:v>Released</x:v>
      </x:c>
      <x:c r="N299" s="194" t="str">
        <x:v>Form A only; paired alternate retained on the other comprehensive form</x:v>
      </x:c>
    </x:row>
    <x:row r="300">
      <x:c r="A300" s="191" t="str">
        <x:v>CTA-LMFT-MQB-0299</x:v>
      </x:c>
      <x:c r="B300" s="192" t="str">
        <x:v>LMFT-MQB-FA-TX-022</x:v>
      </x:c>
      <x:c r="C300" s="192" t="str">
        <x:v>LMFT Comprehensive Simulation Form A</x:v>
      </x:c>
      <x:c r="D300" s="192" t="n">
        <x:v>95</x:v>
      </x:c>
      <x:c r="E300" s="192" t="str">
        <x:v>Scored-Style</x:v>
      </x:c>
      <x:c r="F300" s="192" t="str">
        <x:v>5. Treatment</x:v>
      </x:c>
      <x:c r="G300" s="192" t="str">
        <x:v>Complex couple treatment fit</x:v>
      </x:c>
      <x:c r="H300" s="192" t="str">
        <x:v>Difficult</x:v>
      </x:c>
      <x:c r="I300" s="192" t="str">
        <x:v>Application</x:v>
      </x:c>
      <x:c r="J300" s="192" t="str">
        <x:v>D</x:v>
      </x:c>
      <x:c r="K300" s="192" t="n">
        <x:v>1</x:v>
      </x:c>
      <x:c r="L300" s="192" t="str">
        <x:v>LMFT-ALT-129</x:v>
      </x:c>
      <x:c r="M300" s="192" t="str">
        <x:v>Released</x:v>
      </x:c>
      <x:c r="N300" s="194" t="str">
        <x:v>Form A only; paired alternate retained on the other comprehensive form</x:v>
      </x:c>
    </x:row>
    <x:row r="301">
      <x:c r="A301" s="191" t="str">
        <x:v>CTA-LMFT-MQB-0300</x:v>
      </x:c>
      <x:c r="B301" s="192" t="str">
        <x:v>LMFT-MQB-FA-TX-005</x:v>
      </x:c>
      <x:c r="C301" s="192" t="str">
        <x:v>LMFT Comprehensive Simulation Form A</x:v>
      </x:c>
      <x:c r="D301" s="192" t="n">
        <x:v>96</x:v>
      </x:c>
      <x:c r="E301" s="192" t="str">
        <x:v>Scored-Style</x:v>
      </x:c>
      <x:c r="F301" s="192" t="str">
        <x:v>5. Treatment</x:v>
      </x:c>
      <x:c r="G301" s="192" t="str">
        <x:v>Reflective listening</x:v>
      </x:c>
      <x:c r="H301" s="192" t="str">
        <x:v>Easy</x:v>
      </x:c>
      <x:c r="I301" s="192" t="str">
        <x:v>Application</x:v>
      </x:c>
      <x:c r="J301" s="192" t="str">
        <x:v>C</x:v>
      </x:c>
      <x:c r="K301" s="192" t="n">
        <x:v>1</x:v>
      </x:c>
      <x:c r="L301" s="192" t="str">
        <x:v>LMFT-ALT-112</x:v>
      </x:c>
      <x:c r="M301" s="192" t="str">
        <x:v>Released</x:v>
      </x:c>
      <x:c r="N301" s="194" t="str">
        <x:v>Form A only; paired alternate retained on the other comprehensive form</x:v>
      </x:c>
    </x:row>
    <x:row r="302">
      <x:c r="A302" s="191" t="str">
        <x:v>CTA-LMFT-MQB-0301</x:v>
      </x:c>
      <x:c r="B302" s="192" t="str">
        <x:v>LMFT-MQB-FA-CE-026</x:v>
      </x:c>
      <x:c r="C302" s="192" t="str">
        <x:v>LMFT Comprehensive Simulation Form A</x:v>
      </x:c>
      <x:c r="D302" s="192" t="n">
        <x:v>97</x:v>
      </x:c>
      <x:c r="E302" s="192" t="str">
        <x:v>Scored-Style</x:v>
      </x:c>
      <x:c r="F302" s="192" t="str">
        <x:v>1. Clinical Evaluation</x:v>
      </x:c>
      <x:c r="G302" s="192" t="str">
        <x:v>Grief and risk assessment</x:v>
      </x:c>
      <x:c r="H302" s="192" t="str">
        <x:v>Moderate</x:v>
      </x:c>
      <x:c r="I302" s="192" t="str">
        <x:v>Scenario-Based</x:v>
      </x:c>
      <x:c r="J302" s="192" t="str">
        <x:v>A</x:v>
      </x:c>
      <x:c r="K302" s="192" t="n">
        <x:v>1</x:v>
      </x:c>
      <x:c r="L302" s="192" t="str">
        <x:v>LMFT-ALT-026</x:v>
      </x:c>
      <x:c r="M302" s="192" t="str">
        <x:v>Released</x:v>
      </x:c>
      <x:c r="N302" s="194" t="str">
        <x:v>Form A only; paired alternate retained on the other comprehensive form</x:v>
      </x:c>
    </x:row>
    <x:row r="303">
      <x:c r="A303" s="191" t="str">
        <x:v>CTA-LMFT-MQB-0302</x:v>
      </x:c>
      <x:c r="B303" s="192" t="str">
        <x:v>LMFT-MQB-FA-CR-006</x:v>
      </x:c>
      <x:c r="C303" s="192" t="str">
        <x:v>LMFT Comprehensive Simulation Form A</x:v>
      </x:c>
      <x:c r="D303" s="192" t="n">
        <x:v>98</x:v>
      </x:c>
      <x:c r="E303" s="192" t="str">
        <x:v>Scored-Style</x:v>
      </x:c>
      <x:c r="F303" s="192" t="str">
        <x:v>3. Managing Crisis Situations</x:v>
      </x:c>
      <x:c r="G303" s="192" t="str">
        <x:v>Direct suicide inquiry</x:v>
      </x:c>
      <x:c r="H303" s="192" t="str">
        <x:v>Easy</x:v>
      </x:c>
      <x:c r="I303" s="192" t="str">
        <x:v>Scenario-Based</x:v>
      </x:c>
      <x:c r="J303" s="192" t="str">
        <x:v>B</x:v>
      </x:c>
      <x:c r="K303" s="192" t="n">
        <x:v>1</x:v>
      </x:c>
      <x:c r="L303" s="192" t="str">
        <x:v>LMFT-ALT-065</x:v>
      </x:c>
      <x:c r="M303" s="192" t="str">
        <x:v>Released</x:v>
      </x:c>
      <x:c r="N303" s="194" t="str">
        <x:v>Form A only; paired alternate retained on the other comprehensive form</x:v>
      </x:c>
    </x:row>
    <x:row r="304">
      <x:c r="A304" s="191" t="str">
        <x:v>CTA-LMFT-MQB-0303</x:v>
      </x:c>
      <x:c r="B304" s="192" t="str">
        <x:v>LMFT-MQB-FA-LE-009</x:v>
      </x:c>
      <x:c r="C304" s="192" t="str">
        <x:v>LMFT Comprehensive Simulation Form A</x:v>
      </x:c>
      <x:c r="D304" s="192" t="n">
        <x:v>99</x:v>
      </x:c>
      <x:c r="E304" s="192" t="str">
        <x:v>Pretest-Style</x:v>
      </x:c>
      <x:c r="F304" s="192" t="str">
        <x:v>6. Managing Legal and Ethical Obligations within the Therapeutic Relationship</x:v>
      </x:c>
      <x:c r="G304" s="192" t="str">
        <x:v>Multiple-client disclosure</x:v>
      </x:c>
      <x:c r="H304" s="192" t="str">
        <x:v>Moderate</x:v>
      </x:c>
      <x:c r="I304" s="192" t="str">
        <x:v>Scenario-Based</x:v>
      </x:c>
      <x:c r="J304" s="192" t="str">
        <x:v>D</x:v>
      </x:c>
      <x:c r="K304" s="192" t="n">
        <x:v>1</x:v>
      </x:c>
      <x:c r="L304" s="192" t="str">
        <x:v>LMFT-ALT-101</x:v>
      </x:c>
      <x:c r="M304" s="192" t="str">
        <x:v>Released</x:v>
      </x:c>
      <x:c r="N304" s="194" t="str">
        <x:v>Form A only; paired alternate retained on the other comprehensive form</x:v>
      </x:c>
    </x:row>
    <x:row r="305">
      <x:c r="A305" s="191" t="str">
        <x:v>CTA-LMFT-MQB-0304</x:v>
      </x:c>
      <x:c r="B305" s="192" t="str">
        <x:v>LMFT-MQB-FA-TX-035</x:v>
      </x:c>
      <x:c r="C305" s="192" t="str">
        <x:v>LMFT Comprehensive Simulation Form A</x:v>
      </x:c>
      <x:c r="D305" s="192" t="n">
        <x:v>100</x:v>
      </x:c>
      <x:c r="E305" s="192" t="str">
        <x:v>Scored-Style</x:v>
      </x:c>
      <x:c r="F305" s="192" t="str">
        <x:v>5. Treatment</x:v>
      </x:c>
      <x:c r="G305" s="192" t="str">
        <x:v>Complex grief and family secrecy</x:v>
      </x:c>
      <x:c r="H305" s="192" t="str">
        <x:v>Difficult</x:v>
      </x:c>
      <x:c r="I305" s="192" t="str">
        <x:v>Scenario-Based</x:v>
      </x:c>
      <x:c r="J305" s="192" t="str">
        <x:v>B</x:v>
      </x:c>
      <x:c r="K305" s="192" t="n">
        <x:v>1</x:v>
      </x:c>
      <x:c r="L305" s="192" t="str">
        <x:v>LMFT-ALT-142</x:v>
      </x:c>
      <x:c r="M305" s="192" t="str">
        <x:v>Released</x:v>
      </x:c>
      <x:c r="N305" s="194" t="str">
        <x:v>Form A only; paired alternate retained on the other comprehensive form</x:v>
      </x:c>
    </x:row>
    <x:row r="306">
      <x:c r="A306" s="191" t="str">
        <x:v>CTA-LMFT-MQB-0305</x:v>
      </x:c>
      <x:c r="B306" s="192" t="str">
        <x:v>LMFT-MQB-FA-CE-038</x:v>
      </x:c>
      <x:c r="C306" s="192" t="str">
        <x:v>LMFT Comprehensive Simulation Form A</x:v>
      </x:c>
      <x:c r="D306" s="192" t="n">
        <x:v>101</x:v>
      </x:c>
      <x:c r="E306" s="192" t="str">
        <x:v>Scored-Style</x:v>
      </x:c>
      <x:c r="F306" s="192" t="str">
        <x:v>1. Clinical Evaluation</x:v>
      </x:c>
      <x:c r="G306" s="192" t="str">
        <x:v>Multiple informants and developmental context</x:v>
      </x:c>
      <x:c r="H306" s="192" t="str">
        <x:v>Moderate</x:v>
      </x:c>
      <x:c r="I306" s="192" t="str">
        <x:v>Integrated Clinical Reasoning</x:v>
      </x:c>
      <x:c r="J306" s="192" t="str">
        <x:v>D</x:v>
      </x:c>
      <x:c r="K306" s="192" t="n">
        <x:v>1</x:v>
      </x:c>
      <x:c r="L306" s="192" t="str">
        <x:v>LMFT-ALT-038</x:v>
      </x:c>
      <x:c r="M306" s="192" t="str">
        <x:v>Released</x:v>
      </x:c>
      <x:c r="N306" s="194" t="str">
        <x:v>Form A only; paired alternate retained on the other comprehensive form</x:v>
      </x:c>
    </x:row>
    <x:row r="307">
      <x:c r="A307" s="191" t="str">
        <x:v>CTA-LMFT-MQB-0306</x:v>
      </x:c>
      <x:c r="B307" s="192" t="str">
        <x:v>LMFT-MQB-FA-TX-018</x:v>
      </x:c>
      <x:c r="C307" s="192" t="str">
        <x:v>LMFT Comprehensive Simulation Form A</x:v>
      </x:c>
      <x:c r="D307" s="192" t="n">
        <x:v>102</x:v>
      </x:c>
      <x:c r="E307" s="192" t="str">
        <x:v>Scored-Style</x:v>
      </x:c>
      <x:c r="F307" s="192" t="str">
        <x:v>5. Treatment</x:v>
      </x:c>
      <x:c r="G307" s="192" t="str">
        <x:v>Cultural adaptation</x:v>
      </x:c>
      <x:c r="H307" s="192" t="str">
        <x:v>Moderate</x:v>
      </x:c>
      <x:c r="I307" s="192" t="str">
        <x:v>Application</x:v>
      </x:c>
      <x:c r="J307" s="192" t="str">
        <x:v>B</x:v>
      </x:c>
      <x:c r="K307" s="192" t="n">
        <x:v>1</x:v>
      </x:c>
      <x:c r="L307" s="192" t="str">
        <x:v>LMFT-ALT-125</x:v>
      </x:c>
      <x:c r="M307" s="192" t="str">
        <x:v>Released</x:v>
      </x:c>
      <x:c r="N307" s="194" t="str">
        <x:v>Form A only; paired alternate retained on the other comprehensive form</x:v>
      </x:c>
    </x:row>
    <x:row r="308">
      <x:c r="A308" s="191" t="str">
        <x:v>CTA-LMFT-MQB-0307</x:v>
      </x:c>
      <x:c r="B308" s="192" t="str">
        <x:v>LMFT-MQB-FA-DI-011</x:v>
      </x:c>
      <x:c r="C308" s="192" t="str">
        <x:v>LMFT Comprehensive Simulation Form A</x:v>
      </x:c>
      <x:c r="D308" s="192" t="n">
        <x:v>103</x:v>
      </x:c>
      <x:c r="E308" s="192" t="str">
        <x:v>Pretest-Style</x:v>
      </x:c>
      <x:c r="F308" s="192" t="str">
        <x:v>2. Developing a Diagnostic Impression</x:v>
      </x:c>
      <x:c r="G308" s="192" t="str">
        <x:v>Depression versus grief</x:v>
      </x:c>
      <x:c r="H308" s="192" t="str">
        <x:v>Moderate</x:v>
      </x:c>
      <x:c r="I308" s="192" t="str">
        <x:v>Scenario-Based</x:v>
      </x:c>
      <x:c r="J308" s="192" t="str">
        <x:v>D</x:v>
      </x:c>
      <x:c r="K308" s="192" t="n">
        <x:v>1</x:v>
      </x:c>
      <x:c r="L308" s="192" t="str">
        <x:v>LMFT-ALT-086</x:v>
      </x:c>
      <x:c r="M308" s="192" t="str">
        <x:v>Released</x:v>
      </x:c>
      <x:c r="N308" s="194" t="str">
        <x:v>Form A only; paired alternate retained on the other comprehensive form</x:v>
      </x:c>
    </x:row>
    <x:row r="309">
      <x:c r="A309" s="191" t="str">
        <x:v>CTA-LMFT-MQB-0308</x:v>
      </x:c>
      <x:c r="B309" s="192" t="str">
        <x:v>LMFT-MQB-FA-TX-001</x:v>
      </x:c>
      <x:c r="C309" s="192" t="str">
        <x:v>LMFT Comprehensive Simulation Form A</x:v>
      </x:c>
      <x:c r="D309" s="192" t="n">
        <x:v>104</x:v>
      </x:c>
      <x:c r="E309" s="192" t="str">
        <x:v>Scored-Style</x:v>
      </x:c>
      <x:c r="F309" s="192" t="str">
        <x:v>5. Treatment</x:v>
      </x:c>
      <x:c r="G309" s="192" t="str">
        <x:v>Structural intervention</x:v>
      </x:c>
      <x:c r="H309" s="192" t="str">
        <x:v>Easy</x:v>
      </x:c>
      <x:c r="I309" s="192" t="str">
        <x:v>Knowledge &amp; Recall</x:v>
      </x:c>
      <x:c r="J309" s="192" t="str">
        <x:v>A</x:v>
      </x:c>
      <x:c r="K309" s="192" t="n">
        <x:v>1</x:v>
      </x:c>
      <x:c r="L309" s="192" t="str">
        <x:v>LMFT-ALT-108</x:v>
      </x:c>
      <x:c r="M309" s="192" t="str">
        <x:v>Released</x:v>
      </x:c>
      <x:c r="N309" s="194" t="str">
        <x:v>Form A only; paired alternate retained on the other comprehensive form</x:v>
      </x:c>
    </x:row>
    <x:row r="310">
      <x:c r="A310" s="191" t="str">
        <x:v>CTA-LMFT-MQB-0309</x:v>
      </x:c>
      <x:c r="B310" s="192" t="str">
        <x:v>LMFT-MQB-FA-CE-006</x:v>
      </x:c>
      <x:c r="C310" s="192" t="str">
        <x:v>LMFT Comprehensive Simulation Form A</x:v>
      </x:c>
      <x:c r="D310" s="192" t="n">
        <x:v>105</x:v>
      </x:c>
      <x:c r="E310" s="192" t="str">
        <x:v>Scored-Style</x:v>
      </x:c>
      <x:c r="F310" s="192" t="str">
        <x:v>1. Clinical Evaluation</x:v>
      </x:c>
      <x:c r="G310" s="192" t="str">
        <x:v>Open-ended interviewing</x:v>
      </x:c>
      <x:c r="H310" s="192" t="str">
        <x:v>Easy</x:v>
      </x:c>
      <x:c r="I310" s="192" t="str">
        <x:v>Application</x:v>
      </x:c>
      <x:c r="J310" s="192" t="str">
        <x:v>C</x:v>
      </x:c>
      <x:c r="K310" s="192" t="n">
        <x:v>1</x:v>
      </x:c>
      <x:c r="L310" s="192" t="str">
        <x:v>LMFT-ALT-006</x:v>
      </x:c>
      <x:c r="M310" s="192" t="str">
        <x:v>Released</x:v>
      </x:c>
      <x:c r="N310" s="194" t="str">
        <x:v>Form A only; paired alternate retained on the other comprehensive form</x:v>
      </x:c>
    </x:row>
    <x:row r="311">
      <x:c r="A311" s="191" t="str">
        <x:v>CTA-LMFT-MQB-0310</x:v>
      </x:c>
      <x:c r="B311" s="192" t="str">
        <x:v>LMFT-MQB-FA-CE-030</x:v>
      </x:c>
      <x:c r="C311" s="192" t="str">
        <x:v>LMFT Comprehensive Simulation Form A</x:v>
      </x:c>
      <x:c r="D311" s="192" t="n">
        <x:v>106</x:v>
      </x:c>
      <x:c r="E311" s="192" t="str">
        <x:v>Scored-Style</x:v>
      </x:c>
      <x:c r="F311" s="192" t="str">
        <x:v>1. Clinical Evaluation</x:v>
      </x:c>
      <x:c r="G311" s="192" t="str">
        <x:v>Possible cognitive disorder</x:v>
      </x:c>
      <x:c r="H311" s="192" t="str">
        <x:v>Moderate</x:v>
      </x:c>
      <x:c r="I311" s="192" t="str">
        <x:v>Scenario-Based</x:v>
      </x:c>
      <x:c r="J311" s="192" t="str">
        <x:v>C</x:v>
      </x:c>
      <x:c r="K311" s="192" t="n">
        <x:v>1</x:v>
      </x:c>
      <x:c r="L311" s="192" t="str">
        <x:v>LMFT-ALT-030</x:v>
      </x:c>
      <x:c r="M311" s="192" t="str">
        <x:v>Released</x:v>
      </x:c>
      <x:c r="N311" s="194" t="str">
        <x:v>Form A only; paired alternate retained on the other comprehensive form</x:v>
      </x:c>
    </x:row>
    <x:row r="312">
      <x:c r="A312" s="191" t="str">
        <x:v>CTA-LMFT-MQB-0311</x:v>
      </x:c>
      <x:c r="B312" s="192" t="str">
        <x:v>LMFT-MQB-FA-TX-024</x:v>
      </x:c>
      <x:c r="C312" s="192" t="str">
        <x:v>LMFT Comprehensive Simulation Form A</x:v>
      </x:c>
      <x:c r="D312" s="192" t="n">
        <x:v>107</x:v>
      </x:c>
      <x:c r="E312" s="192" t="str">
        <x:v>Pretest-Style</x:v>
      </x:c>
      <x:c r="F312" s="192" t="str">
        <x:v>5. Treatment</x:v>
      </x:c>
      <x:c r="G312" s="192" t="str">
        <x:v>Parent-child escalation</x:v>
      </x:c>
      <x:c r="H312" s="192" t="str">
        <x:v>Easy</x:v>
      </x:c>
      <x:c r="I312" s="192" t="str">
        <x:v>Scenario-Based</x:v>
      </x:c>
      <x:c r="J312" s="192" t="str">
        <x:v>C</x:v>
      </x:c>
      <x:c r="K312" s="192" t="n">
        <x:v>1</x:v>
      </x:c>
      <x:c r="L312" s="192" t="str">
        <x:v>LMFT-ALT-131</x:v>
      </x:c>
      <x:c r="M312" s="192" t="str">
        <x:v>Released</x:v>
      </x:c>
      <x:c r="N312" s="194" t="str">
        <x:v>Form A only; paired alternate retained on the other comprehensive form</x:v>
      </x:c>
    </x:row>
    <x:row r="313">
      <x:c r="A313" s="191" t="str">
        <x:v>CTA-LMFT-MQB-0312</x:v>
      </x:c>
      <x:c r="B313" s="192" t="str">
        <x:v>LMFT-MQB-FA-CP-008</x:v>
      </x:c>
      <x:c r="C313" s="192" t="str">
        <x:v>LMFT Comprehensive Simulation Form A</x:v>
      </x:c>
      <x:c r="D313" s="192" t="n">
        <x:v>108</x:v>
      </x:c>
      <x:c r="E313" s="192" t="str">
        <x:v>Scored-Style</x:v>
      </x:c>
      <x:c r="F313" s="192" t="str">
        <x:v>4. Case Conceptualization and Planning</x:v>
      </x:c>
      <x:c r="G313" s="192" t="str">
        <x:v>Third-party constraints</x:v>
      </x:c>
      <x:c r="H313" s="192" t="str">
        <x:v>Moderate</x:v>
      </x:c>
      <x:c r="I313" s="192" t="str">
        <x:v>Application</x:v>
      </x:c>
      <x:c r="J313" s="192" t="str">
        <x:v>B</x:v>
      </x:c>
      <x:c r="K313" s="192" t="n">
        <x:v>1</x:v>
      </x:c>
      <x:c r="L313" s="192" t="str">
        <x:v>LMFT-ALT-049</x:v>
      </x:c>
      <x:c r="M313" s="192" t="str">
        <x:v>Released</x:v>
      </x:c>
      <x:c r="N313" s="194" t="str">
        <x:v>Form A only; paired alternate retained on the other comprehensive form</x:v>
      </x:c>
    </x:row>
    <x:row r="314">
      <x:c r="A314" s="191" t="str">
        <x:v>CTA-LMFT-MQB-0313</x:v>
      </x:c>
      <x:c r="B314" s="192" t="str">
        <x:v>LMFT-MQB-FA-CE-015</x:v>
      </x:c>
      <x:c r="C314" s="192" t="str">
        <x:v>LMFT Comprehensive Simulation Form A</x:v>
      </x:c>
      <x:c r="D314" s="192" t="n">
        <x:v>109</x:v>
      </x:c>
      <x:c r="E314" s="192" t="str">
        <x:v>Scored-Style</x:v>
      </x:c>
      <x:c r="F314" s="192" t="str">
        <x:v>1. Clinical Evaluation</x:v>
      </x:c>
      <x:c r="G314" s="192" t="str">
        <x:v>Collateral discrepancy</x:v>
      </x:c>
      <x:c r="H314" s="192" t="str">
        <x:v>Moderate</x:v>
      </x:c>
      <x:c r="I314" s="192" t="str">
        <x:v>Application</x:v>
      </x:c>
      <x:c r="J314" s="192" t="str">
        <x:v>A</x:v>
      </x:c>
      <x:c r="K314" s="192" t="n">
        <x:v>1</x:v>
      </x:c>
      <x:c r="L314" s="192" t="str">
        <x:v>LMFT-ALT-015</x:v>
      </x:c>
      <x:c r="M314" s="192" t="str">
        <x:v>Released</x:v>
      </x:c>
      <x:c r="N314" s="194" t="str">
        <x:v>Form A only; paired alternate retained on the other comprehensive form</x:v>
      </x:c>
    </x:row>
    <x:row r="315">
      <x:c r="A315" s="191" t="str">
        <x:v>CTA-LMFT-MQB-0314</x:v>
      </x:c>
      <x:c r="B315" s="192" t="str">
        <x:v>LMFT-MQB-FA-DI-012</x:v>
      </x:c>
      <x:c r="C315" s="192" t="str">
        <x:v>LMFT Comprehensive Simulation Form A</x:v>
      </x:c>
      <x:c r="D315" s="192" t="n">
        <x:v>110</x:v>
      </x:c>
      <x:c r="E315" s="192" t="str">
        <x:v>Scored-Style</x:v>
      </x:c>
      <x:c r="F315" s="192" t="str">
        <x:v>2. Developing a Diagnostic Impression</x:v>
      </x:c>
      <x:c r="G315" s="192" t="str">
        <x:v>ADHD versus trauma</x:v>
      </x:c>
      <x:c r="H315" s="192" t="str">
        <x:v>Moderate</x:v>
      </x:c>
      <x:c r="I315" s="192" t="str">
        <x:v>Scenario-Based</x:v>
      </x:c>
      <x:c r="J315" s="192" t="str">
        <x:v>D</x:v>
      </x:c>
      <x:c r="K315" s="192" t="n">
        <x:v>1</x:v>
      </x:c>
      <x:c r="L315" s="192" t="str">
        <x:v>LMFT-ALT-087</x:v>
      </x:c>
      <x:c r="M315" s="192" t="str">
        <x:v>Released</x:v>
      </x:c>
      <x:c r="N315" s="194" t="str">
        <x:v>Form A only; paired alternate retained on the other comprehensive form</x:v>
      </x:c>
    </x:row>
    <x:row r="316">
      <x:c r="A316" s="191" t="str">
        <x:v>CTA-LMFT-MQB-0315</x:v>
      </x:c>
      <x:c r="B316" s="192" t="str">
        <x:v>LMFT-MQB-FA-CE-007</x:v>
      </x:c>
      <x:c r="C316" s="192" t="str">
        <x:v>LMFT Comprehensive Simulation Form A</x:v>
      </x:c>
      <x:c r="D316" s="192" t="n">
        <x:v>111</x:v>
      </x:c>
      <x:c r="E316" s="192" t="str">
        <x:v>Scored-Style</x:v>
      </x:c>
      <x:c r="F316" s="192" t="str">
        <x:v>1. Clinical Evaluation</x:v>
      </x:c>
      <x:c r="G316" s="192" t="str">
        <x:v>Clarifying referral expectations</x:v>
      </x:c>
      <x:c r="H316" s="192" t="str">
        <x:v>Easy</x:v>
      </x:c>
      <x:c r="I316" s="192" t="str">
        <x:v>Application</x:v>
      </x:c>
      <x:c r="J316" s="192" t="str">
        <x:v>D</x:v>
      </x:c>
      <x:c r="K316" s="192" t="n">
        <x:v>1</x:v>
      </x:c>
      <x:c r="L316" s="192" t="str">
        <x:v>LMFT-ALT-007</x:v>
      </x:c>
      <x:c r="M316" s="192" t="str">
        <x:v>Released</x:v>
      </x:c>
      <x:c r="N316" s="194" t="str">
        <x:v>Form A only; paired alternate retained on the other comprehensive form</x:v>
      </x:c>
    </x:row>
    <x:row r="317">
      <x:c r="A317" s="191" t="str">
        <x:v>CTA-LMFT-MQB-0316</x:v>
      </x:c>
      <x:c r="B317" s="192" t="str">
        <x:v>LMFT-MQB-FA-TX-007</x:v>
      </x:c>
      <x:c r="C317" s="192" t="str">
        <x:v>LMFT Comprehensive Simulation Form A</x:v>
      </x:c>
      <x:c r="D317" s="192" t="n">
        <x:v>112</x:v>
      </x:c>
      <x:c r="E317" s="192" t="str">
        <x:v>Scored-Style</x:v>
      </x:c>
      <x:c r="F317" s="192" t="str">
        <x:v>5. Treatment</x:v>
      </x:c>
      <x:c r="G317" s="192" t="str">
        <x:v>Emotion regulation</x:v>
      </x:c>
      <x:c r="H317" s="192" t="str">
        <x:v>Easy</x:v>
      </x:c>
      <x:c r="I317" s="192" t="str">
        <x:v>Application</x:v>
      </x:c>
      <x:c r="J317" s="192" t="str">
        <x:v>D</x:v>
      </x:c>
      <x:c r="K317" s="192" t="n">
        <x:v>1</x:v>
      </x:c>
      <x:c r="L317" s="192" t="str">
        <x:v>LMFT-ALT-114</x:v>
      </x:c>
      <x:c r="M317" s="192" t="str">
        <x:v>Released</x:v>
      </x:c>
      <x:c r="N317" s="194" t="str">
        <x:v>Form A only; paired alternate retained on the other comprehensive form</x:v>
      </x:c>
    </x:row>
    <x:row r="318">
      <x:c r="A318" s="191" t="str">
        <x:v>CTA-LMFT-MQB-0317</x:v>
      </x:c>
      <x:c r="B318" s="192" t="str">
        <x:v>LMFT-MQB-FA-CP-002</x:v>
      </x:c>
      <x:c r="C318" s="192" t="str">
        <x:v>LMFT Comprehensive Simulation Form A</x:v>
      </x:c>
      <x:c r="D318" s="192" t="n">
        <x:v>113</x:v>
      </x:c>
      <x:c r="E318" s="192" t="str">
        <x:v>Scored-Style</x:v>
      </x:c>
      <x:c r="F318" s="192" t="str">
        <x:v>4. Case Conceptualization and Planning</x:v>
      </x:c>
      <x:c r="G318" s="192" t="str">
        <x:v>Case conceptualization</x:v>
      </x:c>
      <x:c r="H318" s="192" t="str">
        <x:v>Moderate</x:v>
      </x:c>
      <x:c r="I318" s="192" t="str">
        <x:v>Knowledge &amp; Recall</x:v>
      </x:c>
      <x:c r="J318" s="192" t="str">
        <x:v>A</x:v>
      </x:c>
      <x:c r="K318" s="192" t="n">
        <x:v>1</x:v>
      </x:c>
      <x:c r="L318" s="192" t="str">
        <x:v>LMFT-ALT-043</x:v>
      </x:c>
      <x:c r="M318" s="192" t="str">
        <x:v>Released</x:v>
      </x:c>
      <x:c r="N318" s="194" t="str">
        <x:v>Form A only; paired alternate retained on the other comprehensive form</x:v>
      </x:c>
    </x:row>
    <x:row r="319">
      <x:c r="A319" s="191" t="str">
        <x:v>CTA-LMFT-MQB-0318</x:v>
      </x:c>
      <x:c r="B319" s="192" t="str">
        <x:v>LMFT-MQB-FA-CR-015</x:v>
      </x:c>
      <x:c r="C319" s="192" t="str">
        <x:v>LMFT Comprehensive Simulation Form A</x:v>
      </x:c>
      <x:c r="D319" s="192" t="n">
        <x:v>114</x:v>
      </x:c>
      <x:c r="E319" s="192" t="str">
        <x:v>Scored-Style</x:v>
      </x:c>
      <x:c r="F319" s="192" t="str">
        <x:v>3. Managing Crisis Situations</x:v>
      </x:c>
      <x:c r="G319" s="192" t="str">
        <x:v>Suicide risk and family confidentiality</x:v>
      </x:c>
      <x:c r="H319" s="192" t="str">
        <x:v>Difficult</x:v>
      </x:c>
      <x:c r="I319" s="192" t="str">
        <x:v>Integrated Clinical Reasoning</x:v>
      </x:c>
      <x:c r="J319" s="192" t="str">
        <x:v>B</x:v>
      </x:c>
      <x:c r="K319" s="192" t="n">
        <x:v>1</x:v>
      </x:c>
      <x:c r="L319" s="192" t="str">
        <x:v>LMFT-ALT-074</x:v>
      </x:c>
      <x:c r="M319" s="192" t="str">
        <x:v>Released</x:v>
      </x:c>
      <x:c r="N319" s="194" t="str">
        <x:v>Form A only; paired alternate retained on the other comprehensive form</x:v>
      </x:c>
    </x:row>
    <x:row r="320">
      <x:c r="A320" s="191" t="str">
        <x:v>CTA-LMFT-MQB-0319</x:v>
      </x:c>
      <x:c r="B320" s="192" t="str">
        <x:v>LMFT-MQB-FA-CP-001</x:v>
      </x:c>
      <x:c r="C320" s="192" t="str">
        <x:v>LMFT Comprehensive Simulation Form A</x:v>
      </x:c>
      <x:c r="D320" s="192" t="n">
        <x:v>115</x:v>
      </x:c>
      <x:c r="E320" s="192" t="str">
        <x:v>Scored-Style</x:v>
      </x:c>
      <x:c r="F320" s="192" t="str">
        <x:v>4. Case Conceptualization and Planning</x:v>
      </x:c>
      <x:c r="G320" s="192" t="str">
        <x:v>Measurable goals</x:v>
      </x:c>
      <x:c r="H320" s="192" t="str">
        <x:v>Easy</x:v>
      </x:c>
      <x:c r="I320" s="192" t="str">
        <x:v>Knowledge &amp; Recall</x:v>
      </x:c>
      <x:c r="J320" s="192" t="str">
        <x:v>D</x:v>
      </x:c>
      <x:c r="K320" s="192" t="n">
        <x:v>1</x:v>
      </x:c>
      <x:c r="L320" s="192" t="str">
        <x:v>LMFT-ALT-042</x:v>
      </x:c>
      <x:c r="M320" s="192" t="str">
        <x:v>Released</x:v>
      </x:c>
      <x:c r="N320" s="194" t="str">
        <x:v>Form A only; paired alternate retained on the other comprehensive form</x:v>
      </x:c>
    </x:row>
    <x:row r="321">
      <x:c r="A321" s="191" t="str">
        <x:v>CTA-LMFT-MQB-0320</x:v>
      </x:c>
      <x:c r="B321" s="192" t="str">
        <x:v>LMFT-MQB-FA-TX-026</x:v>
      </x:c>
      <x:c r="C321" s="192" t="str">
        <x:v>LMFT Comprehensive Simulation Form A</x:v>
      </x:c>
      <x:c r="D321" s="192" t="n">
        <x:v>116</x:v>
      </x:c>
      <x:c r="E321" s="192" t="str">
        <x:v>Scored-Style</x:v>
      </x:c>
      <x:c r="F321" s="192" t="str">
        <x:v>5. Treatment</x:v>
      </x:c>
      <x:c r="G321" s="192" t="str">
        <x:v>Couple de-escalation</x:v>
      </x:c>
      <x:c r="H321" s="192" t="str">
        <x:v>Moderate</x:v>
      </x:c>
      <x:c r="I321" s="192" t="str">
        <x:v>Scenario-Based</x:v>
      </x:c>
      <x:c r="J321" s="192" t="str">
        <x:v>B</x:v>
      </x:c>
      <x:c r="K321" s="192" t="n">
        <x:v>1</x:v>
      </x:c>
      <x:c r="L321" s="192" t="str">
        <x:v>LMFT-ALT-133</x:v>
      </x:c>
      <x:c r="M321" s="192" t="str">
        <x:v>Released</x:v>
      </x:c>
      <x:c r="N321" s="194" t="str">
        <x:v>Form A only; paired alternate retained on the other comprehensive form</x:v>
      </x:c>
    </x:row>
    <x:row r="322">
      <x:c r="A322" s="191" t="str">
        <x:v>CTA-LMFT-MQB-0321</x:v>
      </x:c>
      <x:c r="B322" s="192" t="str">
        <x:v>LMFT-MQB-FA-DI-013</x:v>
      </x:c>
      <x:c r="C322" s="192" t="str">
        <x:v>LMFT Comprehensive Simulation Form A</x:v>
      </x:c>
      <x:c r="D322" s="192" t="n">
        <x:v>117</x:v>
      </x:c>
      <x:c r="E322" s="192" t="str">
        <x:v>Scored-Style</x:v>
      </x:c>
      <x:c r="F322" s="192" t="str">
        <x:v>2. Developing a Diagnostic Impression</x:v>
      </x:c>
      <x:c r="G322" s="192" t="str">
        <x:v>Psychosis versus cultural belief</x:v>
      </x:c>
      <x:c r="H322" s="192" t="str">
        <x:v>Moderate</x:v>
      </x:c>
      <x:c r="I322" s="192" t="str">
        <x:v>Scenario-Based</x:v>
      </x:c>
      <x:c r="J322" s="192" t="str">
        <x:v>A</x:v>
      </x:c>
      <x:c r="K322" s="192" t="n">
        <x:v>1</x:v>
      </x:c>
      <x:c r="L322" s="192" t="str">
        <x:v>LMFT-ALT-088</x:v>
      </x:c>
      <x:c r="M322" s="192" t="str">
        <x:v>Released</x:v>
      </x:c>
      <x:c r="N322" s="194" t="str">
        <x:v>Form A only; paired alternate retained on the other comprehensive form</x:v>
      </x:c>
    </x:row>
    <x:row r="323">
      <x:c r="A323" s="191" t="str">
        <x:v>CTA-LMFT-MQB-0322</x:v>
      </x:c>
      <x:c r="B323" s="192" t="str">
        <x:v>LMFT-MQB-FA-CP-003</x:v>
      </x:c>
      <x:c r="C323" s="192" t="str">
        <x:v>LMFT Comprehensive Simulation Form A</x:v>
      </x:c>
      <x:c r="D323" s="192" t="n">
        <x:v>118</x:v>
      </x:c>
      <x:c r="E323" s="192" t="str">
        <x:v>Scored-Style</x:v>
      </x:c>
      <x:c r="F323" s="192" t="str">
        <x:v>4. Case Conceptualization and Planning</x:v>
      </x:c>
      <x:c r="G323" s="192" t="str">
        <x:v>Goal hierarchy</x:v>
      </x:c>
      <x:c r="H323" s="192" t="str">
        <x:v>Easy</x:v>
      </x:c>
      <x:c r="I323" s="192" t="str">
        <x:v>Application</x:v>
      </x:c>
      <x:c r="J323" s="192" t="str">
        <x:v>A</x:v>
      </x:c>
      <x:c r="K323" s="192" t="n">
        <x:v>1</x:v>
      </x:c>
      <x:c r="L323" s="192" t="str">
        <x:v>LMFT-ALT-044</x:v>
      </x:c>
      <x:c r="M323" s="192" t="str">
        <x:v>Released</x:v>
      </x:c>
      <x:c r="N323" s="194" t="str">
        <x:v>Form A only; paired alternate retained on the other comprehensive form</x:v>
      </x:c>
    </x:row>
    <x:row r="324">
      <x:c r="A324" s="191" t="str">
        <x:v>CTA-LMFT-MQB-0323</x:v>
      </x:c>
      <x:c r="B324" s="192" t="str">
        <x:v>LMFT-MQB-FA-LE-008</x:v>
      </x:c>
      <x:c r="C324" s="192" t="str">
        <x:v>LMFT Comprehensive Simulation Form A</x:v>
      </x:c>
      <x:c r="D324" s="192" t="n">
        <x:v>119</x:v>
      </x:c>
      <x:c r="E324" s="192" t="str">
        <x:v>Scored-Style</x:v>
      </x:c>
      <x:c r="F324" s="192" t="str">
        <x:v>6. Managing Legal and Ethical Obligations within the Therapeutic Relationship</x:v>
      </x:c>
      <x:c r="G324" s="192" t="str">
        <x:v>Renewed consent for recording</x:v>
      </x:c>
      <x:c r="H324" s="192" t="str">
        <x:v>Easy</x:v>
      </x:c>
      <x:c r="I324" s="192" t="str">
        <x:v>Scenario-Based</x:v>
      </x:c>
      <x:c r="J324" s="192" t="str">
        <x:v>C</x:v>
      </x:c>
      <x:c r="K324" s="192" t="n">
        <x:v>1</x:v>
      </x:c>
      <x:c r="L324" s="192" t="str">
        <x:v>LMFT-ALT-100</x:v>
      </x:c>
      <x:c r="M324" s="192" t="str">
        <x:v>Released</x:v>
      </x:c>
      <x:c r="N324" s="194" t="str">
        <x:v>Form A only; paired alternate retained on the other comprehensive form</x:v>
      </x:c>
    </x:row>
    <x:row r="325">
      <x:c r="A325" s="191" t="str">
        <x:v>CTA-LMFT-MQB-0324</x:v>
      </x:c>
      <x:c r="B325" s="192" t="str">
        <x:v>LMFT-MQB-FA-CE-023</x:v>
      </x:c>
      <x:c r="C325" s="192" t="str">
        <x:v>LMFT Comprehensive Simulation Form A</x:v>
      </x:c>
      <x:c r="D325" s="192" t="n">
        <x:v>120</x:v>
      </x:c>
      <x:c r="E325" s="192" t="str">
        <x:v>Pretest-Style</x:v>
      </x:c>
      <x:c r="F325" s="192" t="str">
        <x:v>1. Clinical Evaluation</x:v>
      </x:c>
      <x:c r="G325" s="192" t="str">
        <x:v>Referral ambiguity</x:v>
      </x:c>
      <x:c r="H325" s="192" t="str">
        <x:v>Easy</x:v>
      </x:c>
      <x:c r="I325" s="192" t="str">
        <x:v>Scenario-Based</x:v>
      </x:c>
      <x:c r="J325" s="192" t="str">
        <x:v>D</x:v>
      </x:c>
      <x:c r="K325" s="192" t="n">
        <x:v>1</x:v>
      </x:c>
      <x:c r="L325" s="192" t="str">
        <x:v>LMFT-ALT-023</x:v>
      </x:c>
      <x:c r="M325" s="192" t="str">
        <x:v>Released</x:v>
      </x:c>
      <x:c r="N325" s="194" t="str">
        <x:v>Form A only; paired alternate retained on the other comprehensive form</x:v>
      </x:c>
    </x:row>
    <x:row r="326">
      <x:c r="A326" s="191" t="str">
        <x:v>CTA-LMFT-MQB-0325</x:v>
      </x:c>
      <x:c r="B326" s="192" t="str">
        <x:v>LMFT-MQB-FA-DI-010</x:v>
      </x:c>
      <x:c r="C326" s="192" t="str">
        <x:v>LMFT Comprehensive Simulation Form A</x:v>
      </x:c>
      <x:c r="D326" s="192" t="n">
        <x:v>121</x:v>
      </x:c>
      <x:c r="E326" s="192" t="str">
        <x:v>Pretest-Style</x:v>
      </x:c>
      <x:c r="F326" s="192" t="str">
        <x:v>2. Developing a Diagnostic Impression</x:v>
      </x:c>
      <x:c r="G326" s="192" t="str">
        <x:v>Medical mimic</x:v>
      </x:c>
      <x:c r="H326" s="192" t="str">
        <x:v>Difficult</x:v>
      </x:c>
      <x:c r="I326" s="192" t="str">
        <x:v>Application</x:v>
      </x:c>
      <x:c r="J326" s="192" t="str">
        <x:v>B</x:v>
      </x:c>
      <x:c r="K326" s="192" t="n">
        <x:v>1</x:v>
      </x:c>
      <x:c r="L326" s="192" t="str">
        <x:v>LMFT-ALT-085</x:v>
      </x:c>
      <x:c r="M326" s="192" t="str">
        <x:v>Released</x:v>
      </x:c>
      <x:c r="N326" s="194" t="str">
        <x:v>Form A only; paired alternate retained on the other comprehensive form</x:v>
      </x:c>
    </x:row>
    <x:row r="327">
      <x:c r="A327" s="191" t="str">
        <x:v>CTA-LMFT-MQB-0326</x:v>
      </x:c>
      <x:c r="B327" s="192" t="str">
        <x:v>LMFT-MQB-FA-CE-008</x:v>
      </x:c>
      <x:c r="C327" s="192" t="str">
        <x:v>LMFT Comprehensive Simulation Form A</x:v>
      </x:c>
      <x:c r="D327" s="192" t="n">
        <x:v>122</x:v>
      </x:c>
      <x:c r="E327" s="192" t="str">
        <x:v>Scored-Style</x:v>
      </x:c>
      <x:c r="F327" s="192" t="str">
        <x:v>1. Clinical Evaluation</x:v>
      </x:c>
      <x:c r="G327" s="192" t="str">
        <x:v>Affect and mood</x:v>
      </x:c>
      <x:c r="H327" s="192" t="str">
        <x:v>Easy</x:v>
      </x:c>
      <x:c r="I327" s="192" t="str">
        <x:v>Application</x:v>
      </x:c>
      <x:c r="J327" s="192" t="str">
        <x:v>D</x:v>
      </x:c>
      <x:c r="K327" s="192" t="n">
        <x:v>1</x:v>
      </x:c>
      <x:c r="L327" s="192" t="str">
        <x:v>LMFT-ALT-008</x:v>
      </x:c>
      <x:c r="M327" s="192" t="str">
        <x:v>Released</x:v>
      </x:c>
      <x:c r="N327" s="194" t="str">
        <x:v>Form A only; paired alternate retained on the other comprehensive form</x:v>
      </x:c>
    </x:row>
    <x:row r="328">
      <x:c r="A328" s="191" t="str">
        <x:v>CTA-LMFT-MQB-0327</x:v>
      </x:c>
      <x:c r="B328" s="192" t="str">
        <x:v>LMFT-MQB-FA-CE-040</x:v>
      </x:c>
      <x:c r="C328" s="192" t="str">
        <x:v>LMFT Comprehensive Simulation Form A</x:v>
      </x:c>
      <x:c r="D328" s="192" t="n">
        <x:v>123</x:v>
      </x:c>
      <x:c r="E328" s="192" t="str">
        <x:v>Scored-Style</x:v>
      </x:c>
      <x:c r="F328" s="192" t="str">
        <x:v>1. Clinical Evaluation</x:v>
      </x:c>
      <x:c r="G328" s="192" t="str">
        <x:v>Complex older-adult evaluation</x:v>
      </x:c>
      <x:c r="H328" s="192" t="str">
        <x:v>Difficult</x:v>
      </x:c>
      <x:c r="I328" s="192" t="str">
        <x:v>Integrated Clinical Reasoning</x:v>
      </x:c>
      <x:c r="J328" s="192" t="str">
        <x:v>A</x:v>
      </x:c>
      <x:c r="K328" s="192" t="n">
        <x:v>1</x:v>
      </x:c>
      <x:c r="L328" s="192" t="str">
        <x:v>LMFT-ALT-040</x:v>
      </x:c>
      <x:c r="M328" s="192" t="str">
        <x:v>Released</x:v>
      </x:c>
      <x:c r="N328" s="194" t="str">
        <x:v>Form A only; paired alternate retained on the other comprehensive form</x:v>
      </x:c>
    </x:row>
    <x:row r="329">
      <x:c r="A329" s="191" t="str">
        <x:v>CTA-LMFT-MQB-0328</x:v>
      </x:c>
      <x:c r="B329" s="192" t="str">
        <x:v>LMFT-MQB-FA-TX-012</x:v>
      </x:c>
      <x:c r="C329" s="192" t="str">
        <x:v>LMFT Comprehensive Simulation Form A</x:v>
      </x:c>
      <x:c r="D329" s="192" t="n">
        <x:v>124</x:v>
      </x:c>
      <x:c r="E329" s="192" t="str">
        <x:v>Pretest-Style</x:v>
      </x:c>
      <x:c r="F329" s="192" t="str">
        <x:v>5. Treatment</x:v>
      </x:c>
      <x:c r="G329" s="192" t="str">
        <x:v>Attachment intervention</x:v>
      </x:c>
      <x:c r="H329" s="192" t="str">
        <x:v>Moderate</x:v>
      </x:c>
      <x:c r="I329" s="192" t="str">
        <x:v>Application</x:v>
      </x:c>
      <x:c r="J329" s="192" t="str">
        <x:v>A</x:v>
      </x:c>
      <x:c r="K329" s="192" t="n">
        <x:v>1</x:v>
      </x:c>
      <x:c r="L329" s="192" t="str">
        <x:v>LMFT-ALT-119</x:v>
      </x:c>
      <x:c r="M329" s="192" t="str">
        <x:v>Released</x:v>
      </x:c>
      <x:c r="N329" s="194" t="str">
        <x:v>Form A only; paired alternate retained on the other comprehensive form</x:v>
      </x:c>
    </x:row>
    <x:row r="330">
      <x:c r="A330" s="191" t="str">
        <x:v>CTA-LMFT-MQB-0329</x:v>
      </x:c>
      <x:c r="B330" s="192" t="str">
        <x:v>LMFT-MQB-FA-CE-017</x:v>
      </x:c>
      <x:c r="C330" s="192" t="str">
        <x:v>LMFT Comprehensive Simulation Form A</x:v>
      </x:c>
      <x:c r="D330" s="192" t="n">
        <x:v>125</x:v>
      </x:c>
      <x:c r="E330" s="192" t="str">
        <x:v>Scored-Style</x:v>
      </x:c>
      <x:c r="F330" s="192" t="str">
        <x:v>1. Clinical Evaluation</x:v>
      </x:c>
      <x:c r="G330" s="192" t="str">
        <x:v>Sexuality assessment</x:v>
      </x:c>
      <x:c r="H330" s="192" t="str">
        <x:v>Moderate</x:v>
      </x:c>
      <x:c r="I330" s="192" t="str">
        <x:v>Application</x:v>
      </x:c>
      <x:c r="J330" s="192" t="str">
        <x:v>A</x:v>
      </x:c>
      <x:c r="K330" s="192" t="n">
        <x:v>1</x:v>
      </x:c>
      <x:c r="L330" s="192" t="str">
        <x:v>LMFT-ALT-017</x:v>
      </x:c>
      <x:c r="M330" s="192" t="str">
        <x:v>Released</x:v>
      </x:c>
      <x:c r="N330" s="194" t="str">
        <x:v>Form A only; paired alternate retained on the other comprehensive form</x:v>
      </x:c>
    </x:row>
    <x:row r="331">
      <x:c r="A331" s="191" t="str">
        <x:v>CTA-LMFT-MQB-0330</x:v>
      </x:c>
      <x:c r="B331" s="192" t="str">
        <x:v>LMFT-MQB-FA-CE-022</x:v>
      </x:c>
      <x:c r="C331" s="192" t="str">
        <x:v>LMFT Comprehensive Simulation Form A</x:v>
      </x:c>
      <x:c r="D331" s="192" t="n">
        <x:v>126</x:v>
      </x:c>
      <x:c r="E331" s="192" t="str">
        <x:v>Pretest-Style</x:v>
      </x:c>
      <x:c r="F331" s="192" t="str">
        <x:v>1. Clinical Evaluation</x:v>
      </x:c>
      <x:c r="G331" s="192" t="str">
        <x:v>Initial conjoint engagement</x:v>
      </x:c>
      <x:c r="H331" s="192" t="str">
        <x:v>Easy</x:v>
      </x:c>
      <x:c r="I331" s="192" t="str">
        <x:v>Scenario-Based</x:v>
      </x:c>
      <x:c r="J331" s="192" t="str">
        <x:v>C</x:v>
      </x:c>
      <x:c r="K331" s="192" t="n">
        <x:v>1</x:v>
      </x:c>
      <x:c r="L331" s="192" t="str">
        <x:v>LMFT-ALT-022</x:v>
      </x:c>
      <x:c r="M331" s="192" t="str">
        <x:v>Released</x:v>
      </x:c>
      <x:c r="N331" s="194" t="str">
        <x:v>Form A only; paired alternate retained on the other comprehensive form</x:v>
      </x:c>
    </x:row>
    <x:row r="332">
      <x:c r="A332" s="191" t="str">
        <x:v>CTA-LMFT-MQB-0331</x:v>
      </x:c>
      <x:c r="B332" s="192" t="str">
        <x:v>LMFT-MQB-FA-TX-033</x:v>
      </x:c>
      <x:c r="C332" s="192" t="str">
        <x:v>LMFT Comprehensive Simulation Form A</x:v>
      </x:c>
      <x:c r="D332" s="192" t="n">
        <x:v>127</x:v>
      </x:c>
      <x:c r="E332" s="192" t="str">
        <x:v>Scored-Style</x:v>
      </x:c>
      <x:c r="F332" s="192" t="str">
        <x:v>5. Treatment</x:v>
      </x:c>
      <x:c r="G332" s="192" t="str">
        <x:v>Coercive violence and conjoint work</x:v>
      </x:c>
      <x:c r="H332" s="192" t="str">
        <x:v>Difficult</x:v>
      </x:c>
      <x:c r="I332" s="192" t="str">
        <x:v>Scenario-Based</x:v>
      </x:c>
      <x:c r="J332" s="192" t="str">
        <x:v>A</x:v>
      </x:c>
      <x:c r="K332" s="192" t="n">
        <x:v>1</x:v>
      </x:c>
      <x:c r="L332" s="192" t="str">
        <x:v>LMFT-ALT-140</x:v>
      </x:c>
      <x:c r="M332" s="192" t="str">
        <x:v>Released</x:v>
      </x:c>
      <x:c r="N332" s="194" t="str">
        <x:v>Form A only; paired alternate retained on the other comprehensive form</x:v>
      </x:c>
    </x:row>
    <x:row r="333">
      <x:c r="A333" s="191" t="str">
        <x:v>CTA-LMFT-MQB-0332</x:v>
      </x:c>
      <x:c r="B333" s="192" t="str">
        <x:v>LMFT-MQB-FA-CR-009</x:v>
      </x:c>
      <x:c r="C333" s="192" t="str">
        <x:v>LMFT Comprehensive Simulation Form A</x:v>
      </x:c>
      <x:c r="D333" s="192" t="n">
        <x:v>128</x:v>
      </x:c>
      <x:c r="E333" s="192" t="str">
        <x:v>Scored-Style</x:v>
      </x:c>
      <x:c r="F333" s="192" t="str">
        <x:v>3. Managing Crisis Situations</x:v>
      </x:c>
      <x:c r="G333" s="192" t="str">
        <x:v>Child abuse suspicion</x:v>
      </x:c>
      <x:c r="H333" s="192" t="str">
        <x:v>Moderate</x:v>
      </x:c>
      <x:c r="I333" s="192" t="str">
        <x:v>Scenario-Based</x:v>
      </x:c>
      <x:c r="J333" s="192" t="str">
        <x:v>D</x:v>
      </x:c>
      <x:c r="K333" s="192" t="n">
        <x:v>1</x:v>
      </x:c>
      <x:c r="L333" s="192" t="str">
        <x:v>LMFT-ALT-068</x:v>
      </x:c>
      <x:c r="M333" s="192" t="str">
        <x:v>Released</x:v>
      </x:c>
      <x:c r="N333" s="194" t="str">
        <x:v>Form A only; paired alternate retained on the other comprehensive form</x:v>
      </x:c>
    </x:row>
    <x:row r="334">
      <x:c r="A334" s="191" t="str">
        <x:v>CTA-LMFT-MQB-0333</x:v>
      </x:c>
      <x:c r="B334" s="192" t="str">
        <x:v>LMFT-MQB-FA-TX-037</x:v>
      </x:c>
      <x:c r="C334" s="192" t="str">
        <x:v>LMFT Comprehensive Simulation Form A</x:v>
      </x:c>
      <x:c r="D334" s="192" t="n">
        <x:v>129</x:v>
      </x:c>
      <x:c r="E334" s="192" t="str">
        <x:v>Pretest-Style</x:v>
      </x:c>
      <x:c r="F334" s="192" t="str">
        <x:v>5. Treatment</x:v>
      </x:c>
      <x:c r="G334" s="192" t="str">
        <x:v>Integrated family treatment</x:v>
      </x:c>
      <x:c r="H334" s="192" t="str">
        <x:v>Moderate</x:v>
      </x:c>
      <x:c r="I334" s="192" t="str">
        <x:v>Integrated Clinical Reasoning</x:v>
      </x:c>
      <x:c r="J334" s="192" t="str">
        <x:v>A</x:v>
      </x:c>
      <x:c r="K334" s="192" t="n">
        <x:v>1</x:v>
      </x:c>
      <x:c r="L334" s="192" t="str">
        <x:v>LMFT-ALT-144</x:v>
      </x:c>
      <x:c r="M334" s="192" t="str">
        <x:v>Released</x:v>
      </x:c>
      <x:c r="N334" s="194" t="str">
        <x:v>Form A only; paired alternate retained on the other comprehensive form</x:v>
      </x:c>
    </x:row>
    <x:row r="335">
      <x:c r="A335" s="191" t="str">
        <x:v>CTA-LMFT-MQB-0334</x:v>
      </x:c>
      <x:c r="B335" s="192" t="str">
        <x:v>LMFT-MQB-FA-CE-025</x:v>
      </x:c>
      <x:c r="C335" s="192" t="str">
        <x:v>LMFT Comprehensive Simulation Form A</x:v>
      </x:c>
      <x:c r="D335" s="192" t="n">
        <x:v>130</x:v>
      </x:c>
      <x:c r="E335" s="192" t="str">
        <x:v>Scored-Style</x:v>
      </x:c>
      <x:c r="F335" s="192" t="str">
        <x:v>1. Clinical Evaluation</x:v>
      </x:c>
      <x:c r="G335" s="192" t="str">
        <x:v>Child behavior across settings</x:v>
      </x:c>
      <x:c r="H335" s="192" t="str">
        <x:v>Moderate</x:v>
      </x:c>
      <x:c r="I335" s="192" t="str">
        <x:v>Scenario-Based</x:v>
      </x:c>
      <x:c r="J335" s="192" t="str">
        <x:v>B</x:v>
      </x:c>
      <x:c r="K335" s="192" t="n">
        <x:v>1</x:v>
      </x:c>
      <x:c r="L335" s="192" t="str">
        <x:v>LMFT-ALT-025</x:v>
      </x:c>
      <x:c r="M335" s="192" t="str">
        <x:v>Released</x:v>
      </x:c>
      <x:c r="N335" s="194" t="str">
        <x:v>Form A only; paired alternate retained on the other comprehensive form</x:v>
      </x:c>
    </x:row>
    <x:row r="336">
      <x:c r="A336" s="191" t="str">
        <x:v>CTA-LMFT-MQB-0335</x:v>
      </x:c>
      <x:c r="B336" s="192" t="str">
        <x:v>LMFT-MQB-FA-TX-011</x:v>
      </x:c>
      <x:c r="C336" s="192" t="str">
        <x:v>LMFT Comprehensive Simulation Form A</x:v>
      </x:c>
      <x:c r="D336" s="192" t="n">
        <x:v>131</x:v>
      </x:c>
      <x:c r="E336" s="192" t="str">
        <x:v>Scored-Style</x:v>
      </x:c>
      <x:c r="F336" s="192" t="str">
        <x:v>5. Treatment</x:v>
      </x:c>
      <x:c r="G336" s="192" t="str">
        <x:v>Grief support</x:v>
      </x:c>
      <x:c r="H336" s="192" t="str">
        <x:v>Easy</x:v>
      </x:c>
      <x:c r="I336" s="192" t="str">
        <x:v>Application</x:v>
      </x:c>
      <x:c r="J336" s="192" t="str">
        <x:v>B</x:v>
      </x:c>
      <x:c r="K336" s="192" t="n">
        <x:v>1</x:v>
      </x:c>
      <x:c r="L336" s="192" t="str">
        <x:v>LMFT-ALT-118</x:v>
      </x:c>
      <x:c r="M336" s="192" t="str">
        <x:v>Released</x:v>
      </x:c>
      <x:c r="N336" s="194" t="str">
        <x:v>Form A only; paired alternate retained on the other comprehensive form</x:v>
      </x:c>
    </x:row>
    <x:row r="337">
      <x:c r="A337" s="191" t="str">
        <x:v>CTA-LMFT-MQB-0336</x:v>
      </x:c>
      <x:c r="B337" s="192" t="str">
        <x:v>LMFT-MQB-FA-LE-001</x:v>
      </x:c>
      <x:c r="C337" s="192" t="str">
        <x:v>LMFT Comprehensive Simulation Form A</x:v>
      </x:c>
      <x:c r="D337" s="192" t="n">
        <x:v>132</x:v>
      </x:c>
      <x:c r="E337" s="192" t="str">
        <x:v>Scored-Style</x:v>
      </x:c>
      <x:c r="F337" s="192" t="str">
        <x:v>6. Managing Legal and Ethical Obligations within the Therapeutic Relationship</x:v>
      </x:c>
      <x:c r="G337" s="192" t="str">
        <x:v>Ongoing informed consent</x:v>
      </x:c>
      <x:c r="H337" s="192" t="str">
        <x:v>Easy</x:v>
      </x:c>
      <x:c r="I337" s="192" t="str">
        <x:v>Knowledge &amp; Recall</x:v>
      </x:c>
      <x:c r="J337" s="192" t="str">
        <x:v>C</x:v>
      </x:c>
      <x:c r="K337" s="192" t="n">
        <x:v>1</x:v>
      </x:c>
      <x:c r="L337" s="192" t="str">
        <x:v>LMFT-ALT-093</x:v>
      </x:c>
      <x:c r="M337" s="192" t="str">
        <x:v>Released</x:v>
      </x:c>
      <x:c r="N337" s="194" t="str">
        <x:v>Form A only; paired alternate retained on the other comprehensive form</x:v>
      </x:c>
    </x:row>
    <x:row r="338">
      <x:c r="A338" s="191" t="str">
        <x:v>CTA-LMFT-MQB-0337</x:v>
      </x:c>
      <x:c r="B338" s="192" t="str">
        <x:v>LMFT-MQB-FA-CP-004</x:v>
      </x:c>
      <x:c r="C338" s="192" t="str">
        <x:v>LMFT Comprehensive Simulation Form A</x:v>
      </x:c>
      <x:c r="D338" s="192" t="n">
        <x:v>133</x:v>
      </x:c>
      <x:c r="E338" s="192" t="str">
        <x:v>Scored-Style</x:v>
      </x:c>
      <x:c r="F338" s="192" t="str">
        <x:v>4. Case Conceptualization and Planning</x:v>
      </x:c>
      <x:c r="G338" s="192" t="str">
        <x:v>Collaborative planning</x:v>
      </x:c>
      <x:c r="H338" s="192" t="str">
        <x:v>Easy</x:v>
      </x:c>
      <x:c r="I338" s="192" t="str">
        <x:v>Application</x:v>
      </x:c>
      <x:c r="J338" s="192" t="str">
        <x:v>D</x:v>
      </x:c>
      <x:c r="K338" s="192" t="n">
        <x:v>1</x:v>
      </x:c>
      <x:c r="L338" s="192" t="str">
        <x:v>LMFT-ALT-045</x:v>
      </x:c>
      <x:c r="M338" s="192" t="str">
        <x:v>Released</x:v>
      </x:c>
      <x:c r="N338" s="194" t="str">
        <x:v>Form A only; paired alternate retained on the other comprehensive form</x:v>
      </x:c>
    </x:row>
    <x:row r="339">
      <x:c r="A339" s="191" t="str">
        <x:v>CTA-LMFT-MQB-0338</x:v>
      </x:c>
      <x:c r="B339" s="192" t="str">
        <x:v>LMFT-MQB-FA-CR-014</x:v>
      </x:c>
      <x:c r="C339" s="192" t="str">
        <x:v>LMFT Comprehensive Simulation Form A</x:v>
      </x:c>
      <x:c r="D339" s="192" t="n">
        <x:v>134</x:v>
      </x:c>
      <x:c r="E339" s="192" t="str">
        <x:v>Scored-Style</x:v>
      </x:c>
      <x:c r="F339" s="192" t="str">
        <x:v>3. Managing Crisis Situations</x:v>
      </x:c>
      <x:c r="G339" s="192" t="str">
        <x:v>Crisis with child and caregiver</x:v>
      </x:c>
      <x:c r="H339" s="192" t="str">
        <x:v>Moderate</x:v>
      </x:c>
      <x:c r="I339" s="192" t="str">
        <x:v>Integrated Clinical Reasoning</x:v>
      </x:c>
      <x:c r="J339" s="192" t="str">
        <x:v>B</x:v>
      </x:c>
      <x:c r="K339" s="192" t="n">
        <x:v>1</x:v>
      </x:c>
      <x:c r="L339" s="192" t="str">
        <x:v>LMFT-ALT-073</x:v>
      </x:c>
      <x:c r="M339" s="192" t="str">
        <x:v>Released</x:v>
      </x:c>
      <x:c r="N339" s="194" t="str">
        <x:v>Form A only; paired alternate retained on the other comprehensive form</x:v>
      </x:c>
    </x:row>
    <x:row r="340">
      <x:c r="A340" s="191" t="str">
        <x:v>CTA-LMFT-MQB-0339</x:v>
      </x:c>
      <x:c r="B340" s="192" t="str">
        <x:v>LMFT-MQB-FA-LE-005</x:v>
      </x:c>
      <x:c r="C340" s="192" t="str">
        <x:v>LMFT Comprehensive Simulation Form A</x:v>
      </x:c>
      <x:c r="D340" s="192" t="n">
        <x:v>135</x:v>
      </x:c>
      <x:c r="E340" s="192" t="str">
        <x:v>Scored-Style</x:v>
      </x:c>
      <x:c r="F340" s="192" t="str">
        <x:v>6. Managing Legal and Ethical Obligations within the Therapeutic Relationship</x:v>
      </x:c>
      <x:c r="G340" s="192" t="str">
        <x:v>Gift boundaries</x:v>
      </x:c>
      <x:c r="H340" s="192" t="str">
        <x:v>Moderate</x:v>
      </x:c>
      <x:c r="I340" s="192" t="str">
        <x:v>Application</x:v>
      </x:c>
      <x:c r="J340" s="192" t="str">
        <x:v>D</x:v>
      </x:c>
      <x:c r="K340" s="192" t="n">
        <x:v>1</x:v>
      </x:c>
      <x:c r="L340" s="192" t="str">
        <x:v>LMFT-ALT-097</x:v>
      </x:c>
      <x:c r="M340" s="192" t="str">
        <x:v>Released</x:v>
      </x:c>
      <x:c r="N340" s="194" t="str">
        <x:v>Form A only; paired alternate retained on the other comprehensive form</x:v>
      </x:c>
    </x:row>
    <x:row r="341">
      <x:c r="A341" s="191" t="str">
        <x:v>CTA-LMFT-MQB-0340</x:v>
      </x:c>
      <x:c r="B341" s="192" t="str">
        <x:v>LMFT-MQB-FA-DI-008</x:v>
      </x:c>
      <x:c r="C341" s="192" t="str">
        <x:v>LMFT Comprehensive Simulation Form A</x:v>
      </x:c>
      <x:c r="D341" s="192" t="n">
        <x:v>136</x:v>
      </x:c>
      <x:c r="E341" s="192" t="str">
        <x:v>Scored-Style</x:v>
      </x:c>
      <x:c r="F341" s="192" t="str">
        <x:v>2. Developing a Diagnostic Impression</x:v>
      </x:c>
      <x:c r="G341" s="192" t="str">
        <x:v>OCD versus psychosis</x:v>
      </x:c>
      <x:c r="H341" s="192" t="str">
        <x:v>Moderate</x:v>
      </x:c>
      <x:c r="I341" s="192" t="str">
        <x:v>Application</x:v>
      </x:c>
      <x:c r="J341" s="192" t="str">
        <x:v>A</x:v>
      </x:c>
      <x:c r="K341" s="192" t="n">
        <x:v>1</x:v>
      </x:c>
      <x:c r="L341" s="192" t="str">
        <x:v>LMFT-ALT-083</x:v>
      </x:c>
      <x:c r="M341" s="192" t="str">
        <x:v>Released</x:v>
      </x:c>
      <x:c r="N341" s="194" t="str">
        <x:v>Form A only; paired alternate retained on the other comprehensive form</x:v>
      </x:c>
    </x:row>
    <x:row r="342">
      <x:c r="A342" s="191" t="str">
        <x:v>CTA-LMFT-MQB-0341</x:v>
      </x:c>
      <x:c r="B342" s="192" t="str">
        <x:v>LMFT-MQB-FA-CP-017</x:v>
      </x:c>
      <x:c r="C342" s="192" t="str">
        <x:v>LMFT Comprehensive Simulation Form A</x:v>
      </x:c>
      <x:c r="D342" s="192" t="n">
        <x:v>137</x:v>
      </x:c>
      <x:c r="E342" s="192" t="str">
        <x:v>Pretest-Style</x:v>
      </x:c>
      <x:c r="F342" s="192" t="str">
        <x:v>4. Case Conceptualization and Planning</x:v>
      </x:c>
      <x:c r="G342" s="192" t="str">
        <x:v>Systemic plan with measurable outcomes</x:v>
      </x:c>
      <x:c r="H342" s="192" t="str">
        <x:v>Moderate</x:v>
      </x:c>
      <x:c r="I342" s="192" t="str">
        <x:v>Integrated Clinical Reasoning</x:v>
      </x:c>
      <x:c r="J342" s="192" t="str">
        <x:v>A</x:v>
      </x:c>
      <x:c r="K342" s="192" t="n">
        <x:v>1</x:v>
      </x:c>
      <x:c r="L342" s="192" t="str">
        <x:v>LMFT-ALT-058</x:v>
      </x:c>
      <x:c r="M342" s="192" t="str">
        <x:v>Released</x:v>
      </x:c>
      <x:c r="N342" s="194" t="str">
        <x:v>Form A only; paired alternate retained on the other comprehensive form</x:v>
      </x:c>
    </x:row>
    <x:row r="343">
      <x:c r="A343" s="191" t="str">
        <x:v>CTA-LMFT-MQB-0342</x:v>
      </x:c>
      <x:c r="B343" s="192" t="str">
        <x:v>LMFT-MQB-FA-TX-017</x:v>
      </x:c>
      <x:c r="C343" s="192" t="str">
        <x:v>LMFT Comprehensive Simulation Form A</x:v>
      </x:c>
      <x:c r="D343" s="192" t="n">
        <x:v>138</x:v>
      </x:c>
      <x:c r="E343" s="192" t="str">
        <x:v>Scored-Style</x:v>
      </x:c>
      <x:c r="F343" s="192" t="str">
        <x:v>5. Treatment</x:v>
      </x:c>
      <x:c r="G343" s="192" t="str">
        <x:v>Harm reduction</x:v>
      </x:c>
      <x:c r="H343" s="192" t="str">
        <x:v>Moderate</x:v>
      </x:c>
      <x:c r="I343" s="192" t="str">
        <x:v>Application</x:v>
      </x:c>
      <x:c r="J343" s="192" t="str">
        <x:v>B</x:v>
      </x:c>
      <x:c r="K343" s="192" t="n">
        <x:v>1</x:v>
      </x:c>
      <x:c r="L343" s="192" t="str">
        <x:v>LMFT-ALT-124</x:v>
      </x:c>
      <x:c r="M343" s="192" t="str">
        <x:v>Released</x:v>
      </x:c>
      <x:c r="N343" s="194" t="str">
        <x:v>Form A only; paired alternate retained on the other comprehensive form</x:v>
      </x:c>
    </x:row>
    <x:row r="344">
      <x:c r="A344" s="191" t="str">
        <x:v>CTA-LMFT-MQB-0343</x:v>
      </x:c>
      <x:c r="B344" s="192" t="str">
        <x:v>LMFT-MQB-FA-CP-016</x:v>
      </x:c>
      <x:c r="C344" s="192" t="str">
        <x:v>LMFT Comprehensive Simulation Form A</x:v>
      </x:c>
      <x:c r="D344" s="192" t="n">
        <x:v>139</x:v>
      </x:c>
      <x:c r="E344" s="192" t="str">
        <x:v>Scored-Style</x:v>
      </x:c>
      <x:c r="F344" s="192" t="str">
        <x:v>4. Case Conceptualization and Planning</x:v>
      </x:c>
      <x:c r="G344" s="192" t="str">
        <x:v>Competing systems and treatment goals</x:v>
      </x:c>
      <x:c r="H344" s="192" t="str">
        <x:v>Difficult</x:v>
      </x:c>
      <x:c r="I344" s="192" t="str">
        <x:v>Scenario-Based</x:v>
      </x:c>
      <x:c r="J344" s="192" t="str">
        <x:v>B</x:v>
      </x:c>
      <x:c r="K344" s="192" t="n">
        <x:v>1</x:v>
      </x:c>
      <x:c r="L344" s="192" t="str">
        <x:v>LMFT-ALT-057</x:v>
      </x:c>
      <x:c r="M344" s="192" t="str">
        <x:v>Released</x:v>
      </x:c>
      <x:c r="N344" s="194" t="str">
        <x:v>Form A only; paired alternate retained on the other comprehensive form</x:v>
      </x:c>
    </x:row>
    <x:row r="345">
      <x:c r="A345" s="191" t="str">
        <x:v>CTA-LMFT-MQB-0344</x:v>
      </x:c>
      <x:c r="B345" s="192" t="str">
        <x:v>LMFT-MQB-FA-CP-006</x:v>
      </x:c>
      <x:c r="C345" s="192" t="str">
        <x:v>LMFT Comprehensive Simulation Form A</x:v>
      </x:c>
      <x:c r="D345" s="192" t="n">
        <x:v>140</x:v>
      </x:c>
      <x:c r="E345" s="192" t="str">
        <x:v>Scored-Style</x:v>
      </x:c>
      <x:c r="F345" s="192" t="str">
        <x:v>4. Case Conceptualization and Planning</x:v>
      </x:c>
      <x:c r="G345" s="192" t="str">
        <x:v>Outcome monitoring</x:v>
      </x:c>
      <x:c r="H345" s="192" t="str">
        <x:v>Moderate</x:v>
      </x:c>
      <x:c r="I345" s="192" t="str">
        <x:v>Application</x:v>
      </x:c>
      <x:c r="J345" s="192" t="str">
        <x:v>C</x:v>
      </x:c>
      <x:c r="K345" s="192" t="n">
        <x:v>1</x:v>
      </x:c>
      <x:c r="L345" s="192" t="str">
        <x:v>LMFT-ALT-047</x:v>
      </x:c>
      <x:c r="M345" s="192" t="str">
        <x:v>Released</x:v>
      </x:c>
      <x:c r="N345" s="194" t="str">
        <x:v>Form A only; paired alternate retained on the other comprehensive form</x:v>
      </x:c>
    </x:row>
    <x:row r="346">
      <x:c r="A346" s="191" t="str">
        <x:v>CTA-LMFT-MQB-0345</x:v>
      </x:c>
      <x:c r="B346" s="192" t="str">
        <x:v>LMFT-MQB-FA-CE-016</x:v>
      </x:c>
      <x:c r="C346" s="192" t="str">
        <x:v>LMFT Comprehensive Simulation Form A</x:v>
      </x:c>
      <x:c r="D346" s="192" t="n">
        <x:v>141</x:v>
      </x:c>
      <x:c r="E346" s="192" t="str">
        <x:v>Scored-Style</x:v>
      </x:c>
      <x:c r="F346" s="192" t="str">
        <x:v>1. Clinical Evaluation</x:v>
      </x:c>
      <x:c r="G346" s="192" t="str">
        <x:v>Trauma inquiry pacing</x:v>
      </x:c>
      <x:c r="H346" s="192" t="str">
        <x:v>Moderate</x:v>
      </x:c>
      <x:c r="I346" s="192" t="str">
        <x:v>Application</x:v>
      </x:c>
      <x:c r="J346" s="192" t="str">
        <x:v>D</x:v>
      </x:c>
      <x:c r="K346" s="192" t="n">
        <x:v>1</x:v>
      </x:c>
      <x:c r="L346" s="192" t="str">
        <x:v>LMFT-ALT-016</x:v>
      </x:c>
      <x:c r="M346" s="192" t="str">
        <x:v>Released</x:v>
      </x:c>
      <x:c r="N346" s="194" t="str">
        <x:v>Form A only; paired alternate retained on the other comprehensive form</x:v>
      </x:c>
    </x:row>
    <x:row r="347">
      <x:c r="A347" s="191" t="str">
        <x:v>CTA-LMFT-MQB-0346</x:v>
      </x:c>
      <x:c r="B347" s="192" t="str">
        <x:v>LMFT-MQB-FA-TX-019</x:v>
      </x:c>
      <x:c r="C347" s="192" t="str">
        <x:v>LMFT Comprehensive Simulation Form A</x:v>
      </x:c>
      <x:c r="D347" s="192" t="n">
        <x:v>142</x:v>
      </x:c>
      <x:c r="E347" s="192" t="str">
        <x:v>Scored-Style</x:v>
      </x:c>
      <x:c r="F347" s="192" t="str">
        <x:v>5. Treatment</x:v>
      </x:c>
      <x:c r="G347" s="192" t="str">
        <x:v>Neurodiversity adaptation</x:v>
      </x:c>
      <x:c r="H347" s="192" t="str">
        <x:v>Moderate</x:v>
      </x:c>
      <x:c r="I347" s="192" t="str">
        <x:v>Application</x:v>
      </x:c>
      <x:c r="J347" s="192" t="str">
        <x:v>C</x:v>
      </x:c>
      <x:c r="K347" s="192" t="n">
        <x:v>1</x:v>
      </x:c>
      <x:c r="L347" s="192" t="str">
        <x:v>LMFT-ALT-126</x:v>
      </x:c>
      <x:c r="M347" s="192" t="str">
        <x:v>Released</x:v>
      </x:c>
      <x:c r="N347" s="194" t="str">
        <x:v>Form A only; paired alternate retained on the other comprehensive form</x:v>
      </x:c>
    </x:row>
    <x:row r="348">
      <x:c r="A348" s="191" t="str">
        <x:v>CTA-LMFT-MQB-0347</x:v>
      </x:c>
      <x:c r="B348" s="192" t="str">
        <x:v>LMFT-MQB-FA-DI-002</x:v>
      </x:c>
      <x:c r="C348" s="192" t="str">
        <x:v>LMFT Comprehensive Simulation Form A</x:v>
      </x:c>
      <x:c r="D348" s="192" t="n">
        <x:v>143</x:v>
      </x:c>
      <x:c r="E348" s="192" t="str">
        <x:v>Scored-Style</x:v>
      </x:c>
      <x:c r="F348" s="192" t="str">
        <x:v>2. Developing a Diagnostic Impression</x:v>
      </x:c>
      <x:c r="G348" s="192" t="str">
        <x:v>Differential diagnosis</x:v>
      </x:c>
      <x:c r="H348" s="192" t="str">
        <x:v>Easy</x:v>
      </x:c>
      <x:c r="I348" s="192" t="str">
        <x:v>Knowledge &amp; Recall</x:v>
      </x:c>
      <x:c r="J348" s="192" t="str">
        <x:v>A</x:v>
      </x:c>
      <x:c r="K348" s="192" t="n">
        <x:v>1</x:v>
      </x:c>
      <x:c r="L348" s="192" t="str">
        <x:v>LMFT-ALT-077</x:v>
      </x:c>
      <x:c r="M348" s="192" t="str">
        <x:v>Released</x:v>
      </x:c>
      <x:c r="N348" s="194" t="str">
        <x:v>Form A only; paired alternate retained on the other comprehensive form</x:v>
      </x:c>
    </x:row>
    <x:row r="349">
      <x:c r="A349" s="191" t="str">
        <x:v>CTA-LMFT-MQB-0348</x:v>
      </x:c>
      <x:c r="B349" s="192" t="str">
        <x:v>LMFT-MQB-FA-TX-031</x:v>
      </x:c>
      <x:c r="C349" s="192" t="str">
        <x:v>LMFT Comprehensive Simulation Form A</x:v>
      </x:c>
      <x:c r="D349" s="192" t="n">
        <x:v>144</x:v>
      </x:c>
      <x:c r="E349" s="192" t="str">
        <x:v>Scored-Style</x:v>
      </x:c>
      <x:c r="F349" s="192" t="str">
        <x:v>5. Treatment</x:v>
      </x:c>
      <x:c r="G349" s="192" t="str">
        <x:v>Reunification pacing</x:v>
      </x:c>
      <x:c r="H349" s="192" t="str">
        <x:v>Moderate</x:v>
      </x:c>
      <x:c r="I349" s="192" t="str">
        <x:v>Scenario-Based</x:v>
      </x:c>
      <x:c r="J349" s="192" t="str">
        <x:v>A</x:v>
      </x:c>
      <x:c r="K349" s="192" t="n">
        <x:v>1</x:v>
      </x:c>
      <x:c r="L349" s="192" t="str">
        <x:v>LMFT-ALT-138</x:v>
      </x:c>
      <x:c r="M349" s="192" t="str">
        <x:v>Released</x:v>
      </x:c>
      <x:c r="N349" s="194" t="str">
        <x:v>Form A only; paired alternate retained on the other comprehensive form</x:v>
      </x:c>
    </x:row>
    <x:row r="350">
      <x:c r="A350" s="191" t="str">
        <x:v>CTA-LMFT-MQB-0349</x:v>
      </x:c>
      <x:c r="B350" s="192" t="str">
        <x:v>LMFT-MQB-FA-CE-012</x:v>
      </x:c>
      <x:c r="C350" s="192" t="str">
        <x:v>LMFT Comprehensive Simulation Form A</x:v>
      </x:c>
      <x:c r="D350" s="192" t="n">
        <x:v>145</x:v>
      </x:c>
      <x:c r="E350" s="192" t="str">
        <x:v>Scored-Style</x:v>
      </x:c>
      <x:c r="F350" s="192" t="str">
        <x:v>1. Clinical Evaluation</x:v>
      </x:c>
      <x:c r="G350" s="192" t="str">
        <x:v>Cultural humility</x:v>
      </x:c>
      <x:c r="H350" s="192" t="str">
        <x:v>Moderate</x:v>
      </x:c>
      <x:c r="I350" s="192" t="str">
        <x:v>Application</x:v>
      </x:c>
      <x:c r="J350" s="192" t="str">
        <x:v>C</x:v>
      </x:c>
      <x:c r="K350" s="192" t="n">
        <x:v>1</x:v>
      </x:c>
      <x:c r="L350" s="192" t="str">
        <x:v>LMFT-ALT-012</x:v>
      </x:c>
      <x:c r="M350" s="192" t="str">
        <x:v>Released</x:v>
      </x:c>
      <x:c r="N350" s="194" t="str">
        <x:v>Form A only; paired alternate retained on the other comprehensive form</x:v>
      </x:c>
    </x:row>
    <x:row r="351">
      <x:c r="A351" s="191" t="str">
        <x:v>CTA-LMFT-MQB-0350</x:v>
      </x:c>
      <x:c r="B351" s="192" t="str">
        <x:v>LMFT-MQB-FA-TX-042</x:v>
      </x:c>
      <x:c r="C351" s="192" t="str">
        <x:v>LMFT Comprehensive Simulation Form A</x:v>
      </x:c>
      <x:c r="D351" s="192" t="n">
        <x:v>146</x:v>
      </x:c>
      <x:c r="E351" s="192" t="str">
        <x:v>Scored-Style</x:v>
      </x:c>
      <x:c r="F351" s="192" t="str">
        <x:v>5. Treatment</x:v>
      </x:c>
      <x:c r="G351" s="192" t="str">
        <x:v>Integrated multidisciplinary care</x:v>
      </x:c>
      <x:c r="H351" s="192" t="str">
        <x:v>Difficult</x:v>
      </x:c>
      <x:c r="I351" s="192" t="str">
        <x:v>Integrated Clinical Reasoning</x:v>
      </x:c>
      <x:c r="J351" s="192" t="str">
        <x:v>B</x:v>
      </x:c>
      <x:c r="K351" s="192" t="n">
        <x:v>1</x:v>
      </x:c>
      <x:c r="L351" s="192" t="str">
        <x:v>LMFT-ALT-149</x:v>
      </x:c>
      <x:c r="M351" s="192" t="str">
        <x:v>Released</x:v>
      </x:c>
      <x:c r="N351" s="194" t="str">
        <x:v>Form A only; paired alternate retained on the other comprehensive form</x:v>
      </x:c>
    </x:row>
    <x:row r="352">
      <x:c r="A352" s="191" t="str">
        <x:v>CTA-LMFT-MQB-0351</x:v>
      </x:c>
      <x:c r="B352" s="192" t="str">
        <x:v>LMFT-MQB-FA-CE-013</x:v>
      </x:c>
      <x:c r="C352" s="192" t="str">
        <x:v>LMFT Comprehensive Simulation Form A</x:v>
      </x:c>
      <x:c r="D352" s="192" t="n">
        <x:v>147</x:v>
      </x:c>
      <x:c r="E352" s="192" t="str">
        <x:v>Scored-Style</x:v>
      </x:c>
      <x:c r="F352" s="192" t="str">
        <x:v>1. Clinical Evaluation</x:v>
      </x:c>
      <x:c r="G352" s="192" t="str">
        <x:v>Developmental context</x:v>
      </x:c>
      <x:c r="H352" s="192" t="str">
        <x:v>Moderate</x:v>
      </x:c>
      <x:c r="I352" s="192" t="str">
        <x:v>Application</x:v>
      </x:c>
      <x:c r="J352" s="192" t="str">
        <x:v>D</x:v>
      </x:c>
      <x:c r="K352" s="192" t="n">
        <x:v>1</x:v>
      </x:c>
      <x:c r="L352" s="192" t="str">
        <x:v>LMFT-ALT-013</x:v>
      </x:c>
      <x:c r="M352" s="192" t="str">
        <x:v>Released</x:v>
      </x:c>
      <x:c r="N352" s="194" t="str">
        <x:v>Form A only; paired alternate retained on the other comprehensive form</x:v>
      </x:c>
    </x:row>
    <x:row r="353">
      <x:c r="A353" s="191" t="str">
        <x:v>CTA-LMFT-MQB-0352</x:v>
      </x:c>
      <x:c r="B353" s="192" t="str">
        <x:v>LMFT-MQB-FA-TX-028</x:v>
      </x:c>
      <x:c r="C353" s="192" t="str">
        <x:v>LMFT Comprehensive Simulation Form A</x:v>
      </x:c>
      <x:c r="D353" s="192" t="n">
        <x:v>148</x:v>
      </x:c>
      <x:c r="E353" s="192" t="str">
        <x:v>Scored-Style</x:v>
      </x:c>
      <x:c r="F353" s="192" t="str">
        <x:v>5. Treatment</x:v>
      </x:c>
      <x:c r="G353" s="192" t="str">
        <x:v>Stepfamily intervention</x:v>
      </x:c>
      <x:c r="H353" s="192" t="str">
        <x:v>Moderate</x:v>
      </x:c>
      <x:c r="I353" s="192" t="str">
        <x:v>Scenario-Based</x:v>
      </x:c>
      <x:c r="J353" s="192" t="str">
        <x:v>C</x:v>
      </x:c>
      <x:c r="K353" s="192" t="n">
        <x:v>1</x:v>
      </x:c>
      <x:c r="L353" s="192" t="str">
        <x:v>LMFT-ALT-135</x:v>
      </x:c>
      <x:c r="M353" s="192" t="str">
        <x:v>Released</x:v>
      </x:c>
      <x:c r="N353" s="194" t="str">
        <x:v>Form A only; paired alternate retained on the other comprehensive form</x:v>
      </x:c>
    </x:row>
    <x:row r="354">
      <x:c r="A354" s="191" t="str">
        <x:v>CTA-LMFT-MQB-0353</x:v>
      </x:c>
      <x:c r="B354" s="192" t="str">
        <x:v>LMFT-MQB-FA-TX-027</x:v>
      </x:c>
      <x:c r="C354" s="192" t="str">
        <x:v>LMFT Comprehensive Simulation Form A</x:v>
      </x:c>
      <x:c r="D354" s="192" t="n">
        <x:v>149</x:v>
      </x:c>
      <x:c r="E354" s="192" t="str">
        <x:v>Scored-Style</x:v>
      </x:c>
      <x:c r="F354" s="192" t="str">
        <x:v>5. Treatment</x:v>
      </x:c>
      <x:c r="G354" s="192" t="str">
        <x:v>MI with mandated client</x:v>
      </x:c>
      <x:c r="H354" s="192" t="str">
        <x:v>Moderate</x:v>
      </x:c>
      <x:c r="I354" s="192" t="str">
        <x:v>Scenario-Based</x:v>
      </x:c>
      <x:c r="J354" s="192" t="str">
        <x:v>C</x:v>
      </x:c>
      <x:c r="K354" s="192" t="n">
        <x:v>1</x:v>
      </x:c>
      <x:c r="L354" s="192" t="str">
        <x:v>LMFT-ALT-134</x:v>
      </x:c>
      <x:c r="M354" s="192" t="str">
        <x:v>Released</x:v>
      </x:c>
      <x:c r="N354" s="194" t="str">
        <x:v>Form A only; paired alternate retained on the other comprehensive form</x:v>
      </x:c>
    </x:row>
    <x:row r="355">
      <x:c r="A355" s="191" t="str">
        <x:v>CTA-LMFT-MQB-0354</x:v>
      </x:c>
      <x:c r="B355" s="192" t="str">
        <x:v>LMFT-MQB-FA-CP-007</x:v>
      </x:c>
      <x:c r="C355" s="192" t="str">
        <x:v>LMFT Comprehensive Simulation Form A</x:v>
      </x:c>
      <x:c r="D355" s="192" t="n">
        <x:v>150</x:v>
      </x:c>
      <x:c r="E355" s="192" t="str">
        <x:v>Scored-Style</x:v>
      </x:c>
      <x:c r="F355" s="192" t="str">
        <x:v>4. Case Conceptualization and Planning</x:v>
      </x:c>
      <x:c r="G355" s="192" t="str">
        <x:v>Theory-informed planning</x:v>
      </x:c>
      <x:c r="H355" s="192" t="str">
        <x:v>Moderate</x:v>
      </x:c>
      <x:c r="I355" s="192" t="str">
        <x:v>Application</x:v>
      </x:c>
      <x:c r="J355" s="192" t="str">
        <x:v>D</x:v>
      </x:c>
      <x:c r="K355" s="192" t="n">
        <x:v>1</x:v>
      </x:c>
      <x:c r="L355" s="192" t="str">
        <x:v>LMFT-ALT-048</x:v>
      </x:c>
      <x:c r="M355" s="192" t="str">
        <x:v>Released</x:v>
      </x:c>
      <x:c r="N355" s="194" t="str">
        <x:v>Form A only; paired alternate retained on the other comprehensive form</x:v>
      </x:c>
    </x:row>
    <x:row r="356">
      <x:c r="A356" s="191" t="str">
        <x:v>CTA-LMFT-MQB-0355</x:v>
      </x:c>
      <x:c r="B356" s="192" t="str">
        <x:v>LMFT-MQB-FB-CP-010</x:v>
      </x:c>
      <x:c r="C356" s="192" t="str">
        <x:v>LMFT Comprehensive Simulation Form B</x:v>
      </x:c>
      <x:c r="D356" s="192" t="n">
        <x:v>1</x:v>
      </x:c>
      <x:c r="E356" s="192" t="str">
        <x:v>Pretest-Style</x:v>
      </x:c>
      <x:c r="F356" s="192" t="str">
        <x:v>4. Case Conceptualization and Planning</x:v>
      </x:c>
      <x:c r="G356" s="192" t="str">
        <x:v>Initial plan after assessment</x:v>
      </x:c>
      <x:c r="H356" s="192" t="str">
        <x:v>Easy</x:v>
      </x:c>
      <x:c r="I356" s="192" t="str">
        <x:v>Scenario-Based</x:v>
      </x:c>
      <x:c r="J356" s="192" t="str">
        <x:v>D</x:v>
      </x:c>
      <x:c r="K356" s="192" t="n">
        <x:v>1</x:v>
      </x:c>
      <x:c r="L356" s="192" t="str">
        <x:v>LMFT-ALT-051</x:v>
      </x:c>
      <x:c r="M356" s="192" t="str">
        <x:v>Released</x:v>
      </x:c>
      <x:c r="N356" s="194" t="str">
        <x:v>Form B only; paired alternate retained on the other comprehensive form</x:v>
      </x:c>
    </x:row>
    <x:row r="357">
      <x:c r="A357" s="191" t="str">
        <x:v>CTA-LMFT-MQB-0356</x:v>
      </x:c>
      <x:c r="B357" s="192" t="str">
        <x:v>LMFT-MQB-FB-CE-020</x:v>
      </x:c>
      <x:c r="C357" s="192" t="str">
        <x:v>LMFT Comprehensive Simulation Form B</x:v>
      </x:c>
      <x:c r="D357" s="192" t="n">
        <x:v>2</x:v>
      </x:c>
      <x:c r="E357" s="192" t="str">
        <x:v>Pretest-Style</x:v>
      </x:c>
      <x:c r="F357" s="192" t="str">
        <x:v>1. Clinical Evaluation</x:v>
      </x:c>
      <x:c r="G357" s="192" t="str">
        <x:v>Medical rule-out urgency</x:v>
      </x:c>
      <x:c r="H357" s="192" t="str">
        <x:v>Difficult</x:v>
      </x:c>
      <x:c r="I357" s="192" t="str">
        <x:v>Application</x:v>
      </x:c>
      <x:c r="J357" s="192" t="str">
        <x:v>B</x:v>
      </x:c>
      <x:c r="K357" s="192" t="n">
        <x:v>1</x:v>
      </x:c>
      <x:c r="L357" s="192" t="str">
        <x:v>LMFT-ALT-020</x:v>
      </x:c>
      <x:c r="M357" s="192" t="str">
        <x:v>Released</x:v>
      </x:c>
      <x:c r="N357" s="194" t="str">
        <x:v>Form B only; paired alternate retained on the other comprehensive form</x:v>
      </x:c>
    </x:row>
    <x:row r="358">
      <x:c r="A358" s="191" t="str">
        <x:v>CTA-LMFT-MQB-0357</x:v>
      </x:c>
      <x:c r="B358" s="192" t="str">
        <x:v>LMFT-MQB-FB-LE-015</x:v>
      </x:c>
      <x:c r="C358" s="192" t="str">
        <x:v>LMFT Comprehensive Simulation Form B</x:v>
      </x:c>
      <x:c r="D358" s="192" t="n">
        <x:v>3</x:v>
      </x:c>
      <x:c r="E358" s="192" t="str">
        <x:v>Scored-Style</x:v>
      </x:c>
      <x:c r="F358" s="192" t="str">
        <x:v>6. Managing Legal and Ethical Obligations within the Therapeutic Relationship</x:v>
      </x:c>
      <x:c r="G358" s="192" t="str">
        <x:v>Court-involved relational treatment</x:v>
      </x:c>
      <x:c r="H358" s="192" t="str">
        <x:v>Difficult</x:v>
      </x:c>
      <x:c r="I358" s="192" t="str">
        <x:v>Integrated Clinical Reasoning</x:v>
      </x:c>
      <x:c r="J358" s="192" t="str">
        <x:v>C</x:v>
      </x:c>
      <x:c r="K358" s="192" t="n">
        <x:v>1</x:v>
      </x:c>
      <x:c r="L358" s="192" t="str">
        <x:v>LMFT-ALT-107</x:v>
      </x:c>
      <x:c r="M358" s="192" t="str">
        <x:v>Released</x:v>
      </x:c>
      <x:c r="N358" s="194" t="str">
        <x:v>Form B only; paired alternate retained on the other comprehensive form</x:v>
      </x:c>
    </x:row>
    <x:row r="359">
      <x:c r="A359" s="191" t="str">
        <x:v>CTA-LMFT-MQB-0358</x:v>
      </x:c>
      <x:c r="B359" s="192" t="str">
        <x:v>LMFT-MQB-FB-TX-035</x:v>
      </x:c>
      <x:c r="C359" s="192" t="str">
        <x:v>LMFT Comprehensive Simulation Form B</x:v>
      </x:c>
      <x:c r="D359" s="192" t="n">
        <x:v>4</x:v>
      </x:c>
      <x:c r="E359" s="192" t="str">
        <x:v>Scored-Style</x:v>
      </x:c>
      <x:c r="F359" s="192" t="str">
        <x:v>5. Treatment</x:v>
      </x:c>
      <x:c r="G359" s="192" t="str">
        <x:v>Complex grief and family secrecy</x:v>
      </x:c>
      <x:c r="H359" s="192" t="str">
        <x:v>Difficult</x:v>
      </x:c>
      <x:c r="I359" s="192" t="str">
        <x:v>Scenario-Based</x:v>
      </x:c>
      <x:c r="J359" s="192" t="str">
        <x:v>A</x:v>
      </x:c>
      <x:c r="K359" s="192" t="n">
        <x:v>1</x:v>
      </x:c>
      <x:c r="L359" s="192" t="str">
        <x:v>LMFT-ALT-142</x:v>
      </x:c>
      <x:c r="M359" s="192" t="str">
        <x:v>Released</x:v>
      </x:c>
      <x:c r="N359" s="194" t="str">
        <x:v>Form B only; paired alternate retained on the other comprehensive form</x:v>
      </x:c>
    </x:row>
    <x:row r="360">
      <x:c r="A360" s="191" t="str">
        <x:v>CTA-LMFT-MQB-0359</x:v>
      </x:c>
      <x:c r="B360" s="192" t="str">
        <x:v>LMFT-MQB-FB-TX-025</x:v>
      </x:c>
      <x:c r="C360" s="192" t="str">
        <x:v>LMFT Comprehensive Simulation Form B</x:v>
      </x:c>
      <x:c r="D360" s="192" t="n">
        <x:v>5</x:v>
      </x:c>
      <x:c r="E360" s="192" t="str">
        <x:v>Scored-Style</x:v>
      </x:c>
      <x:c r="F360" s="192" t="str">
        <x:v>5. Treatment</x:v>
      </x:c>
      <x:c r="G360" s="192" t="str">
        <x:v>Early trauma stabilization</x:v>
      </x:c>
      <x:c r="H360" s="192" t="str">
        <x:v>Moderate</x:v>
      </x:c>
      <x:c r="I360" s="192" t="str">
        <x:v>Scenario-Based</x:v>
      </x:c>
      <x:c r="J360" s="192" t="str">
        <x:v>B</x:v>
      </x:c>
      <x:c r="K360" s="192" t="n">
        <x:v>1</x:v>
      </x:c>
      <x:c r="L360" s="192" t="str">
        <x:v>LMFT-ALT-132</x:v>
      </x:c>
      <x:c r="M360" s="192" t="str">
        <x:v>Released</x:v>
      </x:c>
      <x:c r="N360" s="194" t="str">
        <x:v>Form B only; paired alternate retained on the other comprehensive form</x:v>
      </x:c>
    </x:row>
    <x:row r="361">
      <x:c r="A361" s="191" t="str">
        <x:v>CTA-LMFT-MQB-0360</x:v>
      </x:c>
      <x:c r="B361" s="192" t="str">
        <x:v>LMFT-MQB-FB-CP-004</x:v>
      </x:c>
      <x:c r="C361" s="192" t="str">
        <x:v>LMFT Comprehensive Simulation Form B</x:v>
      </x:c>
      <x:c r="D361" s="192" t="n">
        <x:v>6</x:v>
      </x:c>
      <x:c r="E361" s="192" t="str">
        <x:v>Scored-Style</x:v>
      </x:c>
      <x:c r="F361" s="192" t="str">
        <x:v>4. Case Conceptualization and Planning</x:v>
      </x:c>
      <x:c r="G361" s="192" t="str">
        <x:v>Collaborative planning</x:v>
      </x:c>
      <x:c r="H361" s="192" t="str">
        <x:v>Easy</x:v>
      </x:c>
      <x:c r="I361" s="192" t="str">
        <x:v>Application</x:v>
      </x:c>
      <x:c r="J361" s="192" t="str">
        <x:v>B</x:v>
      </x:c>
      <x:c r="K361" s="192" t="n">
        <x:v>1</x:v>
      </x:c>
      <x:c r="L361" s="192" t="str">
        <x:v>LMFT-ALT-045</x:v>
      </x:c>
      <x:c r="M361" s="192" t="str">
        <x:v>Released</x:v>
      </x:c>
      <x:c r="N361" s="194" t="str">
        <x:v>Form B only; paired alternate retained on the other comprehensive form</x:v>
      </x:c>
    </x:row>
    <x:row r="362">
      <x:c r="A362" s="191" t="str">
        <x:v>CTA-LMFT-MQB-0361</x:v>
      </x:c>
      <x:c r="B362" s="192" t="str">
        <x:v>LMFT-MQB-FB-CR-008</x:v>
      </x:c>
      <x:c r="C362" s="192" t="str">
        <x:v>LMFT Comprehensive Simulation Form B</x:v>
      </x:c>
      <x:c r="D362" s="192" t="n">
        <x:v>7</x:v>
      </x:c>
      <x:c r="E362" s="192" t="str">
        <x:v>Scored-Style</x:v>
      </x:c>
      <x:c r="F362" s="192" t="str">
        <x:v>3. Managing Crisis Situations</x:v>
      </x:c>
      <x:c r="G362" s="192" t="str">
        <x:v>Threat to identifiable person</x:v>
      </x:c>
      <x:c r="H362" s="192" t="str">
        <x:v>Moderate</x:v>
      </x:c>
      <x:c r="I362" s="192" t="str">
        <x:v>Scenario-Based</x:v>
      </x:c>
      <x:c r="J362" s="192" t="str">
        <x:v>A</x:v>
      </x:c>
      <x:c r="K362" s="192" t="n">
        <x:v>1</x:v>
      </x:c>
      <x:c r="L362" s="192" t="str">
        <x:v>LMFT-ALT-067</x:v>
      </x:c>
      <x:c r="M362" s="192" t="str">
        <x:v>Released</x:v>
      </x:c>
      <x:c r="N362" s="194" t="str">
        <x:v>Form B only; paired alternate retained on the other comprehensive form</x:v>
      </x:c>
    </x:row>
    <x:row r="363">
      <x:c r="A363" s="191" t="str">
        <x:v>CTA-LMFT-MQB-0362</x:v>
      </x:c>
      <x:c r="B363" s="192" t="str">
        <x:v>LMFT-MQB-FB-LE-010</x:v>
      </x:c>
      <x:c r="C363" s="192" t="str">
        <x:v>LMFT Comprehensive Simulation Form B</x:v>
      </x:c>
      <x:c r="D363" s="192" t="n">
        <x:v>8</x:v>
      </x:c>
      <x:c r="E363" s="192" t="str">
        <x:v>Scored-Style</x:v>
      </x:c>
      <x:c r="F363" s="192" t="str">
        <x:v>6. Managing Legal and Ethical Obligations within the Therapeutic Relationship</x:v>
      </x:c>
      <x:c r="G363" s="192" t="str">
        <x:v>Countertransference</x:v>
      </x:c>
      <x:c r="H363" s="192" t="str">
        <x:v>Moderate</x:v>
      </x:c>
      <x:c r="I363" s="192" t="str">
        <x:v>Scenario-Based</x:v>
      </x:c>
      <x:c r="J363" s="192" t="str">
        <x:v>D</x:v>
      </x:c>
      <x:c r="K363" s="192" t="n">
        <x:v>1</x:v>
      </x:c>
      <x:c r="L363" s="192" t="str">
        <x:v>LMFT-ALT-102</x:v>
      </x:c>
      <x:c r="M363" s="192" t="str">
        <x:v>Released</x:v>
      </x:c>
      <x:c r="N363" s="194" t="str">
        <x:v>Form B only; paired alternate retained on the other comprehensive form</x:v>
      </x:c>
    </x:row>
    <x:row r="364">
      <x:c r="A364" s="191" t="str">
        <x:v>CTA-LMFT-MQB-0363</x:v>
      </x:c>
      <x:c r="B364" s="192" t="str">
        <x:v>LMFT-MQB-FB-CR-013</x:v>
      </x:c>
      <x:c r="C364" s="192" t="str">
        <x:v>LMFT Comprehensive Simulation Form B</x:v>
      </x:c>
      <x:c r="D364" s="192" t="n">
        <x:v>9</x:v>
      </x:c>
      <x:c r="E364" s="192" t="str">
        <x:v>Scored-Style</x:v>
      </x:c>
      <x:c r="F364" s="192" t="str">
        <x:v>3. Managing Crisis Situations</x:v>
      </x:c>
      <x:c r="G364" s="192" t="str">
        <x:v>Crisis in conjoint treatment</x:v>
      </x:c>
      <x:c r="H364" s="192" t="str">
        <x:v>Difficult</x:v>
      </x:c>
      <x:c r="I364" s="192" t="str">
        <x:v>Scenario-Based</x:v>
      </x:c>
      <x:c r="J364" s="192" t="str">
        <x:v>C</x:v>
      </x:c>
      <x:c r="K364" s="192" t="n">
        <x:v>1</x:v>
      </x:c>
      <x:c r="L364" s="192" t="str">
        <x:v>LMFT-ALT-072</x:v>
      </x:c>
      <x:c r="M364" s="192" t="str">
        <x:v>Released</x:v>
      </x:c>
      <x:c r="N364" s="194" t="str">
        <x:v>Form B only; paired alternate retained on the other comprehensive form</x:v>
      </x:c>
    </x:row>
    <x:row r="365">
      <x:c r="A365" s="191" t="str">
        <x:v>CTA-LMFT-MQB-0364</x:v>
      </x:c>
      <x:c r="B365" s="192" t="str">
        <x:v>LMFT-MQB-FB-CE-001</x:v>
      </x:c>
      <x:c r="C365" s="192" t="str">
        <x:v>LMFT Comprehensive Simulation Form B</x:v>
      </x:c>
      <x:c r="D365" s="192" t="n">
        <x:v>10</x:v>
      </x:c>
      <x:c r="E365" s="192" t="str">
        <x:v>Scored-Style</x:v>
      </x:c>
      <x:c r="F365" s="192" t="str">
        <x:v>1. Clinical Evaluation</x:v>
      </x:c>
      <x:c r="G365" s="192" t="str">
        <x:v>Unit of treatment</x:v>
      </x:c>
      <x:c r="H365" s="192" t="str">
        <x:v>Easy</x:v>
      </x:c>
      <x:c r="I365" s="192" t="str">
        <x:v>Knowledge &amp; Recall</x:v>
      </x:c>
      <x:c r="J365" s="192" t="str">
        <x:v>C</x:v>
      </x:c>
      <x:c r="K365" s="192" t="n">
        <x:v>1</x:v>
      </x:c>
      <x:c r="L365" s="192" t="str">
        <x:v>LMFT-ALT-001</x:v>
      </x:c>
      <x:c r="M365" s="192" t="str">
        <x:v>Released</x:v>
      </x:c>
      <x:c r="N365" s="194" t="str">
        <x:v>Form B only; paired alternate retained on the other comprehensive form</x:v>
      </x:c>
    </x:row>
    <x:row r="366">
      <x:c r="A366" s="191" t="str">
        <x:v>CTA-LMFT-MQB-0365</x:v>
      </x:c>
      <x:c r="B366" s="192" t="str">
        <x:v>LMFT-MQB-FB-CE-015</x:v>
      </x:c>
      <x:c r="C366" s="192" t="str">
        <x:v>LMFT Comprehensive Simulation Form B</x:v>
      </x:c>
      <x:c r="D366" s="192" t="n">
        <x:v>11</x:v>
      </x:c>
      <x:c r="E366" s="192" t="str">
        <x:v>Scored-Style</x:v>
      </x:c>
      <x:c r="F366" s="192" t="str">
        <x:v>1. Clinical Evaluation</x:v>
      </x:c>
      <x:c r="G366" s="192" t="str">
        <x:v>Collateral discrepancy</x:v>
      </x:c>
      <x:c r="H366" s="192" t="str">
        <x:v>Moderate</x:v>
      </x:c>
      <x:c r="I366" s="192" t="str">
        <x:v>Application</x:v>
      </x:c>
      <x:c r="J366" s="192" t="str">
        <x:v>C</x:v>
      </x:c>
      <x:c r="K366" s="192" t="n">
        <x:v>1</x:v>
      </x:c>
      <x:c r="L366" s="192" t="str">
        <x:v>LMFT-ALT-015</x:v>
      </x:c>
      <x:c r="M366" s="192" t="str">
        <x:v>Released</x:v>
      </x:c>
      <x:c r="N366" s="194" t="str">
        <x:v>Form B only; paired alternate retained on the other comprehensive form</x:v>
      </x:c>
    </x:row>
    <x:row r="367">
      <x:c r="A367" s="191" t="str">
        <x:v>CTA-LMFT-MQB-0366</x:v>
      </x:c>
      <x:c r="B367" s="192" t="str">
        <x:v>LMFT-MQB-FB-CP-017</x:v>
      </x:c>
      <x:c r="C367" s="192" t="str">
        <x:v>LMFT Comprehensive Simulation Form B</x:v>
      </x:c>
      <x:c r="D367" s="192" t="n">
        <x:v>12</x:v>
      </x:c>
      <x:c r="E367" s="192" t="str">
        <x:v>Pretest-Style</x:v>
      </x:c>
      <x:c r="F367" s="192" t="str">
        <x:v>4. Case Conceptualization and Planning</x:v>
      </x:c>
      <x:c r="G367" s="192" t="str">
        <x:v>Systemic plan with measurable outcomes</x:v>
      </x:c>
      <x:c r="H367" s="192" t="str">
        <x:v>Moderate</x:v>
      </x:c>
      <x:c r="I367" s="192" t="str">
        <x:v>Integrated Clinical Reasoning</x:v>
      </x:c>
      <x:c r="J367" s="192" t="str">
        <x:v>A</x:v>
      </x:c>
      <x:c r="K367" s="192" t="n">
        <x:v>1</x:v>
      </x:c>
      <x:c r="L367" s="192" t="str">
        <x:v>LMFT-ALT-058</x:v>
      </x:c>
      <x:c r="M367" s="192" t="str">
        <x:v>Released</x:v>
      </x:c>
      <x:c r="N367" s="194" t="str">
        <x:v>Form B only; paired alternate retained on the other comprehensive form</x:v>
      </x:c>
    </x:row>
    <x:row r="368">
      <x:c r="A368" s="191" t="str">
        <x:v>CTA-LMFT-MQB-0367</x:v>
      </x:c>
      <x:c r="B368" s="192" t="str">
        <x:v>LMFT-MQB-FB-TX-028</x:v>
      </x:c>
      <x:c r="C368" s="192" t="str">
        <x:v>LMFT Comprehensive Simulation Form B</x:v>
      </x:c>
      <x:c r="D368" s="192" t="n">
        <x:v>13</x:v>
      </x:c>
      <x:c r="E368" s="192" t="str">
        <x:v>Scored-Style</x:v>
      </x:c>
      <x:c r="F368" s="192" t="str">
        <x:v>5. Treatment</x:v>
      </x:c>
      <x:c r="G368" s="192" t="str">
        <x:v>Stepfamily intervention</x:v>
      </x:c>
      <x:c r="H368" s="192" t="str">
        <x:v>Moderate</x:v>
      </x:c>
      <x:c r="I368" s="192" t="str">
        <x:v>Scenario-Based</x:v>
      </x:c>
      <x:c r="J368" s="192" t="str">
        <x:v>B</x:v>
      </x:c>
      <x:c r="K368" s="192" t="n">
        <x:v>1</x:v>
      </x:c>
      <x:c r="L368" s="192" t="str">
        <x:v>LMFT-ALT-135</x:v>
      </x:c>
      <x:c r="M368" s="192" t="str">
        <x:v>Released</x:v>
      </x:c>
      <x:c r="N368" s="194" t="str">
        <x:v>Form B only; paired alternate retained on the other comprehensive form</x:v>
      </x:c>
    </x:row>
    <x:row r="369">
      <x:c r="A369" s="191" t="str">
        <x:v>CTA-LMFT-MQB-0368</x:v>
      </x:c>
      <x:c r="B369" s="192" t="str">
        <x:v>LMFT-MQB-FB-CE-012</x:v>
      </x:c>
      <x:c r="C369" s="192" t="str">
        <x:v>LMFT Comprehensive Simulation Form B</x:v>
      </x:c>
      <x:c r="D369" s="192" t="n">
        <x:v>14</x:v>
      </x:c>
      <x:c r="E369" s="192" t="str">
        <x:v>Scored-Style</x:v>
      </x:c>
      <x:c r="F369" s="192" t="str">
        <x:v>1. Clinical Evaluation</x:v>
      </x:c>
      <x:c r="G369" s="192" t="str">
        <x:v>Cultural humility</x:v>
      </x:c>
      <x:c r="H369" s="192" t="str">
        <x:v>Moderate</x:v>
      </x:c>
      <x:c r="I369" s="192" t="str">
        <x:v>Application</x:v>
      </x:c>
      <x:c r="J369" s="192" t="str">
        <x:v>D</x:v>
      </x:c>
      <x:c r="K369" s="192" t="n">
        <x:v>1</x:v>
      </x:c>
      <x:c r="L369" s="192" t="str">
        <x:v>LMFT-ALT-012</x:v>
      </x:c>
      <x:c r="M369" s="192" t="str">
        <x:v>Released</x:v>
      </x:c>
      <x:c r="N369" s="194" t="str">
        <x:v>Form B only; paired alternate retained on the other comprehensive form</x:v>
      </x:c>
    </x:row>
    <x:row r="370">
      <x:c r="A370" s="191" t="str">
        <x:v>CTA-LMFT-MQB-0369</x:v>
      </x:c>
      <x:c r="B370" s="192" t="str">
        <x:v>LMFT-MQB-FB-CE-008</x:v>
      </x:c>
      <x:c r="C370" s="192" t="str">
        <x:v>LMFT Comprehensive Simulation Form B</x:v>
      </x:c>
      <x:c r="D370" s="192" t="n">
        <x:v>15</x:v>
      </x:c>
      <x:c r="E370" s="192" t="str">
        <x:v>Scored-Style</x:v>
      </x:c>
      <x:c r="F370" s="192" t="str">
        <x:v>1. Clinical Evaluation</x:v>
      </x:c>
      <x:c r="G370" s="192" t="str">
        <x:v>Affect and mood</x:v>
      </x:c>
      <x:c r="H370" s="192" t="str">
        <x:v>Easy</x:v>
      </x:c>
      <x:c r="I370" s="192" t="str">
        <x:v>Application</x:v>
      </x:c>
      <x:c r="J370" s="192" t="str">
        <x:v>A</x:v>
      </x:c>
      <x:c r="K370" s="192" t="n">
        <x:v>1</x:v>
      </x:c>
      <x:c r="L370" s="192" t="str">
        <x:v>LMFT-ALT-008</x:v>
      </x:c>
      <x:c r="M370" s="192" t="str">
        <x:v>Released</x:v>
      </x:c>
      <x:c r="N370" s="194" t="str">
        <x:v>Form B only; paired alternate retained on the other comprehensive form</x:v>
      </x:c>
    </x:row>
    <x:row r="371">
      <x:c r="A371" s="191" t="str">
        <x:v>CTA-LMFT-MQB-0370</x:v>
      </x:c>
      <x:c r="B371" s="192" t="str">
        <x:v>LMFT-MQB-FB-DI-009</x:v>
      </x:c>
      <x:c r="C371" s="192" t="str">
        <x:v>LMFT Comprehensive Simulation Form B</x:v>
      </x:c>
      <x:c r="D371" s="192" t="n">
        <x:v>16</x:v>
      </x:c>
      <x:c r="E371" s="192" t="str">
        <x:v>Scored-Style</x:v>
      </x:c>
      <x:c r="F371" s="192" t="str">
        <x:v>2. Developing a Diagnostic Impression</x:v>
      </x:c>
      <x:c r="G371" s="192" t="str">
        <x:v>Trauma versus panic</x:v>
      </x:c>
      <x:c r="H371" s="192" t="str">
        <x:v>Moderate</x:v>
      </x:c>
      <x:c r="I371" s="192" t="str">
        <x:v>Application</x:v>
      </x:c>
      <x:c r="J371" s="192" t="str">
        <x:v>A</x:v>
      </x:c>
      <x:c r="K371" s="192" t="n">
        <x:v>1</x:v>
      </x:c>
      <x:c r="L371" s="192" t="str">
        <x:v>LMFT-ALT-084</x:v>
      </x:c>
      <x:c r="M371" s="192" t="str">
        <x:v>Released</x:v>
      </x:c>
      <x:c r="N371" s="194" t="str">
        <x:v>Form B only; paired alternate retained on the other comprehensive form</x:v>
      </x:c>
    </x:row>
    <x:row r="372">
      <x:c r="A372" s="191" t="str">
        <x:v>CTA-LMFT-MQB-0371</x:v>
      </x:c>
      <x:c r="B372" s="192" t="str">
        <x:v>LMFT-MQB-FB-CE-027</x:v>
      </x:c>
      <x:c r="C372" s="192" t="str">
        <x:v>LMFT Comprehensive Simulation Form B</x:v>
      </x:c>
      <x:c r="D372" s="192" t="n">
        <x:v>17</x:v>
      </x:c>
      <x:c r="E372" s="192" t="str">
        <x:v>Scored-Style</x:v>
      </x:c>
      <x:c r="F372" s="192" t="str">
        <x:v>1. Clinical Evaluation</x:v>
      </x:c>
      <x:c r="G372" s="192" t="str">
        <x:v>Telehealth environmental assessment</x:v>
      </x:c>
      <x:c r="H372" s="192" t="str">
        <x:v>Moderate</x:v>
      </x:c>
      <x:c r="I372" s="192" t="str">
        <x:v>Scenario-Based</x:v>
      </x:c>
      <x:c r="J372" s="192" t="str">
        <x:v>B</x:v>
      </x:c>
      <x:c r="K372" s="192" t="n">
        <x:v>1</x:v>
      </x:c>
      <x:c r="L372" s="192" t="str">
        <x:v>LMFT-ALT-027</x:v>
      </x:c>
      <x:c r="M372" s="192" t="str">
        <x:v>Released</x:v>
      </x:c>
      <x:c r="N372" s="194" t="str">
        <x:v>Form B only; paired alternate retained on the other comprehensive form</x:v>
      </x:c>
    </x:row>
    <x:row r="373">
      <x:c r="A373" s="191" t="str">
        <x:v>CTA-LMFT-MQB-0372</x:v>
      </x:c>
      <x:c r="B373" s="192" t="str">
        <x:v>LMFT-MQB-FB-LE-009</x:v>
      </x:c>
      <x:c r="C373" s="192" t="str">
        <x:v>LMFT Comprehensive Simulation Form B</x:v>
      </x:c>
      <x:c r="D373" s="192" t="n">
        <x:v>18</x:v>
      </x:c>
      <x:c r="E373" s="192" t="str">
        <x:v>Scored-Style</x:v>
      </x:c>
      <x:c r="F373" s="192" t="str">
        <x:v>6. Managing Legal and Ethical Obligations within the Therapeutic Relationship</x:v>
      </x:c>
      <x:c r="G373" s="192" t="str">
        <x:v>Multiple-client disclosure</x:v>
      </x:c>
      <x:c r="H373" s="192" t="str">
        <x:v>Moderate</x:v>
      </x:c>
      <x:c r="I373" s="192" t="str">
        <x:v>Scenario-Based</x:v>
      </x:c>
      <x:c r="J373" s="192" t="str">
        <x:v>A</x:v>
      </x:c>
      <x:c r="K373" s="192" t="n">
        <x:v>1</x:v>
      </x:c>
      <x:c r="L373" s="192" t="str">
        <x:v>LMFT-ALT-101</x:v>
      </x:c>
      <x:c r="M373" s="192" t="str">
        <x:v>Released</x:v>
      </x:c>
      <x:c r="N373" s="194" t="str">
        <x:v>Form B only; paired alternate retained on the other comprehensive form</x:v>
      </x:c>
    </x:row>
    <x:row r="374">
      <x:c r="A374" s="191" t="str">
        <x:v>CTA-LMFT-MQB-0373</x:v>
      </x:c>
      <x:c r="B374" s="192" t="str">
        <x:v>LMFT-MQB-FB-TX-032</x:v>
      </x:c>
      <x:c r="C374" s="192" t="str">
        <x:v>LMFT Comprehensive Simulation Form B</x:v>
      </x:c>
      <x:c r="D374" s="192" t="n">
        <x:v>19</x:v>
      </x:c>
      <x:c r="E374" s="192" t="str">
        <x:v>Scored-Style</x:v>
      </x:c>
      <x:c r="F374" s="192" t="str">
        <x:v>5. Treatment</x:v>
      </x:c>
      <x:c r="G374" s="192" t="str">
        <x:v>Treatment nonresponse and diagnosis</x:v>
      </x:c>
      <x:c r="H374" s="192" t="str">
        <x:v>Difficult</x:v>
      </x:c>
      <x:c r="I374" s="192" t="str">
        <x:v>Scenario-Based</x:v>
      </x:c>
      <x:c r="J374" s="192" t="str">
        <x:v>C</x:v>
      </x:c>
      <x:c r="K374" s="192" t="n">
        <x:v>1</x:v>
      </x:c>
      <x:c r="L374" s="192" t="str">
        <x:v>LMFT-ALT-139</x:v>
      </x:c>
      <x:c r="M374" s="192" t="str">
        <x:v>Released</x:v>
      </x:c>
      <x:c r="N374" s="194" t="str">
        <x:v>Form B only; paired alternate retained on the other comprehensive form</x:v>
      </x:c>
    </x:row>
    <x:row r="375">
      <x:c r="A375" s="191" t="str">
        <x:v>CTA-LMFT-MQB-0374</x:v>
      </x:c>
      <x:c r="B375" s="192" t="str">
        <x:v>LMFT-MQB-FB-CE-026</x:v>
      </x:c>
      <x:c r="C375" s="192" t="str">
        <x:v>LMFT Comprehensive Simulation Form B</x:v>
      </x:c>
      <x:c r="D375" s="192" t="n">
        <x:v>20</x:v>
      </x:c>
      <x:c r="E375" s="192" t="str">
        <x:v>Scored-Style</x:v>
      </x:c>
      <x:c r="F375" s="192" t="str">
        <x:v>1. Clinical Evaluation</x:v>
      </x:c>
      <x:c r="G375" s="192" t="str">
        <x:v>Grief and risk assessment</x:v>
      </x:c>
      <x:c r="H375" s="192" t="str">
        <x:v>Moderate</x:v>
      </x:c>
      <x:c r="I375" s="192" t="str">
        <x:v>Scenario-Based</x:v>
      </x:c>
      <x:c r="J375" s="192" t="str">
        <x:v>B</x:v>
      </x:c>
      <x:c r="K375" s="192" t="n">
        <x:v>1</x:v>
      </x:c>
      <x:c r="L375" s="192" t="str">
        <x:v>LMFT-ALT-026</x:v>
      </x:c>
      <x:c r="M375" s="192" t="str">
        <x:v>Released</x:v>
      </x:c>
      <x:c r="N375" s="194" t="str">
        <x:v>Form B only; paired alternate retained on the other comprehensive form</x:v>
      </x:c>
    </x:row>
    <x:row r="376">
      <x:c r="A376" s="191" t="str">
        <x:v>CTA-LMFT-MQB-0375</x:v>
      </x:c>
      <x:c r="B376" s="192" t="str">
        <x:v>LMFT-MQB-FB-CR-016</x:v>
      </x:c>
      <x:c r="C376" s="192" t="str">
        <x:v>LMFT Comprehensive Simulation Form B</x:v>
      </x:c>
      <x:c r="D376" s="192" t="n">
        <x:v>21</x:v>
      </x:c>
      <x:c r="E376" s="192" t="str">
        <x:v>Scored-Style</x:v>
      </x:c>
      <x:c r="F376" s="192" t="str">
        <x:v>3. Managing Crisis Situations</x:v>
      </x:c>
      <x:c r="G376" s="192" t="str">
        <x:v>Disaster, medication, and family system</x:v>
      </x:c>
      <x:c r="H376" s="192" t="str">
        <x:v>Difficult</x:v>
      </x:c>
      <x:c r="I376" s="192" t="str">
        <x:v>Integrated Clinical Reasoning</x:v>
      </x:c>
      <x:c r="J376" s="192" t="str">
        <x:v>D</x:v>
      </x:c>
      <x:c r="K376" s="192" t="n">
        <x:v>1</x:v>
      </x:c>
      <x:c r="L376" s="192" t="str">
        <x:v>LMFT-ALT-075</x:v>
      </x:c>
      <x:c r="M376" s="192" t="str">
        <x:v>Released</x:v>
      </x:c>
      <x:c r="N376" s="194" t="str">
        <x:v>Form B only; paired alternate retained on the other comprehensive form</x:v>
      </x:c>
    </x:row>
    <x:row r="377">
      <x:c r="A377" s="191" t="str">
        <x:v>CTA-LMFT-MQB-0376</x:v>
      </x:c>
      <x:c r="B377" s="192" t="str">
        <x:v>LMFT-MQB-FB-LE-006</x:v>
      </x:c>
      <x:c r="C377" s="192" t="str">
        <x:v>LMFT Comprehensive Simulation Form B</x:v>
      </x:c>
      <x:c r="D377" s="192" t="n">
        <x:v>22</x:v>
      </x:c>
      <x:c r="E377" s="192" t="str">
        <x:v>Scored-Style</x:v>
      </x:c>
      <x:c r="F377" s="192" t="str">
        <x:v>6. Managing Legal and Ethical Obligations within the Therapeutic Relationship</x:v>
      </x:c>
      <x:c r="G377" s="192" t="str">
        <x:v>Electronic communication</x:v>
      </x:c>
      <x:c r="H377" s="192" t="str">
        <x:v>Moderate</x:v>
      </x:c>
      <x:c r="I377" s="192" t="str">
        <x:v>Application</x:v>
      </x:c>
      <x:c r="J377" s="192" t="str">
        <x:v>B</x:v>
      </x:c>
      <x:c r="K377" s="192" t="n">
        <x:v>1</x:v>
      </x:c>
      <x:c r="L377" s="192" t="str">
        <x:v>LMFT-ALT-098</x:v>
      </x:c>
      <x:c r="M377" s="192" t="str">
        <x:v>Released</x:v>
      </x:c>
      <x:c r="N377" s="194" t="str">
        <x:v>Form B only; paired alternate retained on the other comprehensive form</x:v>
      </x:c>
    </x:row>
    <x:row r="378">
      <x:c r="A378" s="191" t="str">
        <x:v>CTA-LMFT-MQB-0377</x:v>
      </x:c>
      <x:c r="B378" s="192" t="str">
        <x:v>LMFT-MQB-FB-TX-019</x:v>
      </x:c>
      <x:c r="C378" s="192" t="str">
        <x:v>LMFT Comprehensive Simulation Form B</x:v>
      </x:c>
      <x:c r="D378" s="192" t="n">
        <x:v>23</x:v>
      </x:c>
      <x:c r="E378" s="192" t="str">
        <x:v>Scored-Style</x:v>
      </x:c>
      <x:c r="F378" s="192" t="str">
        <x:v>5. Treatment</x:v>
      </x:c>
      <x:c r="G378" s="192" t="str">
        <x:v>Neurodiversity adaptation</x:v>
      </x:c>
      <x:c r="H378" s="192" t="str">
        <x:v>Moderate</x:v>
      </x:c>
      <x:c r="I378" s="192" t="str">
        <x:v>Application</x:v>
      </x:c>
      <x:c r="J378" s="192" t="str">
        <x:v>C</x:v>
      </x:c>
      <x:c r="K378" s="192" t="n">
        <x:v>1</x:v>
      </x:c>
      <x:c r="L378" s="192" t="str">
        <x:v>LMFT-ALT-126</x:v>
      </x:c>
      <x:c r="M378" s="192" t="str">
        <x:v>Released</x:v>
      </x:c>
      <x:c r="N378" s="194" t="str">
        <x:v>Form B only; paired alternate retained on the other comprehensive form</x:v>
      </x:c>
    </x:row>
    <x:row r="379">
      <x:c r="A379" s="191" t="str">
        <x:v>CTA-LMFT-MQB-0378</x:v>
      </x:c>
      <x:c r="B379" s="192" t="str">
        <x:v>LMFT-MQB-FB-CE-003</x:v>
      </x:c>
      <x:c r="C379" s="192" t="str">
        <x:v>LMFT Comprehensive Simulation Form B</x:v>
      </x:c>
      <x:c r="D379" s="192" t="n">
        <x:v>24</x:v>
      </x:c>
      <x:c r="E379" s="192" t="str">
        <x:v>Scored-Style</x:v>
      </x:c>
      <x:c r="F379" s="192" t="str">
        <x:v>1. Clinical Evaluation</x:v>
      </x:c>
      <x:c r="G379" s="192" t="str">
        <x:v>Protective factors</x:v>
      </x:c>
      <x:c r="H379" s="192" t="str">
        <x:v>Easy</x:v>
      </x:c>
      <x:c r="I379" s="192" t="str">
        <x:v>Knowledge &amp; Recall</x:v>
      </x:c>
      <x:c r="J379" s="192" t="str">
        <x:v>D</x:v>
      </x:c>
      <x:c r="K379" s="192" t="n">
        <x:v>1</x:v>
      </x:c>
      <x:c r="L379" s="192" t="str">
        <x:v>LMFT-ALT-003</x:v>
      </x:c>
      <x:c r="M379" s="192" t="str">
        <x:v>Released</x:v>
      </x:c>
      <x:c r="N379" s="194" t="str">
        <x:v>Form B only; paired alternate retained on the other comprehensive form</x:v>
      </x:c>
    </x:row>
    <x:row r="380">
      <x:c r="A380" s="191" t="str">
        <x:v>CTA-LMFT-MQB-0379</x:v>
      </x:c>
      <x:c r="B380" s="192" t="str">
        <x:v>LMFT-MQB-FB-TX-024</x:v>
      </x:c>
      <x:c r="C380" s="192" t="str">
        <x:v>LMFT Comprehensive Simulation Form B</x:v>
      </x:c>
      <x:c r="D380" s="192" t="n">
        <x:v>25</x:v>
      </x:c>
      <x:c r="E380" s="192" t="str">
        <x:v>Pretest-Style</x:v>
      </x:c>
      <x:c r="F380" s="192" t="str">
        <x:v>5. Treatment</x:v>
      </x:c>
      <x:c r="G380" s="192" t="str">
        <x:v>Parent-child escalation</x:v>
      </x:c>
      <x:c r="H380" s="192" t="str">
        <x:v>Easy</x:v>
      </x:c>
      <x:c r="I380" s="192" t="str">
        <x:v>Scenario-Based</x:v>
      </x:c>
      <x:c r="J380" s="192" t="str">
        <x:v>C</x:v>
      </x:c>
      <x:c r="K380" s="192" t="n">
        <x:v>1</x:v>
      </x:c>
      <x:c r="L380" s="192" t="str">
        <x:v>LMFT-ALT-131</x:v>
      </x:c>
      <x:c r="M380" s="192" t="str">
        <x:v>Released</x:v>
      </x:c>
      <x:c r="N380" s="194" t="str">
        <x:v>Form B only; paired alternate retained on the other comprehensive form</x:v>
      </x:c>
    </x:row>
    <x:row r="381">
      <x:c r="A381" s="191" t="str">
        <x:v>CTA-LMFT-MQB-0380</x:v>
      </x:c>
      <x:c r="B381" s="192" t="str">
        <x:v>LMFT-MQB-FB-LE-011</x:v>
      </x:c>
      <x:c r="C381" s="192" t="str">
        <x:v>LMFT Comprehensive Simulation Form B</x:v>
      </x:c>
      <x:c r="D381" s="192" t="n">
        <x:v>26</x:v>
      </x:c>
      <x:c r="E381" s="192" t="str">
        <x:v>Pretest-Style</x:v>
      </x:c>
      <x:c r="F381" s="192" t="str">
        <x:v>6. Managing Legal and Ethical Obligations within the Therapeutic Relationship</x:v>
      </x:c>
      <x:c r="G381" s="192" t="str">
        <x:v>Telehealth jurisdiction</x:v>
      </x:c>
      <x:c r="H381" s="192" t="str">
        <x:v>Moderate</x:v>
      </x:c>
      <x:c r="I381" s="192" t="str">
        <x:v>Scenario-Based</x:v>
      </x:c>
      <x:c r="J381" s="192" t="str">
        <x:v>D</x:v>
      </x:c>
      <x:c r="K381" s="192" t="n">
        <x:v>1</x:v>
      </x:c>
      <x:c r="L381" s="192" t="str">
        <x:v>LMFT-ALT-103</x:v>
      </x:c>
      <x:c r="M381" s="192" t="str">
        <x:v>Released</x:v>
      </x:c>
      <x:c r="N381" s="194" t="str">
        <x:v>Form B only; paired alternate retained on the other comprehensive form</x:v>
      </x:c>
    </x:row>
    <x:row r="382">
      <x:c r="A382" s="191" t="str">
        <x:v>CTA-LMFT-MQB-0381</x:v>
      </x:c>
      <x:c r="B382" s="192" t="str">
        <x:v>LMFT-MQB-FB-CR-014</x:v>
      </x:c>
      <x:c r="C382" s="192" t="str">
        <x:v>LMFT Comprehensive Simulation Form B</x:v>
      </x:c>
      <x:c r="D382" s="192" t="n">
        <x:v>27</x:v>
      </x:c>
      <x:c r="E382" s="192" t="str">
        <x:v>Scored-Style</x:v>
      </x:c>
      <x:c r="F382" s="192" t="str">
        <x:v>3. Managing Crisis Situations</x:v>
      </x:c>
      <x:c r="G382" s="192" t="str">
        <x:v>Crisis with child and caregiver</x:v>
      </x:c>
      <x:c r="H382" s="192" t="str">
        <x:v>Moderate</x:v>
      </x:c>
      <x:c r="I382" s="192" t="str">
        <x:v>Integrated Clinical Reasoning</x:v>
      </x:c>
      <x:c r="J382" s="192" t="str">
        <x:v>D</x:v>
      </x:c>
      <x:c r="K382" s="192" t="n">
        <x:v>1</x:v>
      </x:c>
      <x:c r="L382" s="192" t="str">
        <x:v>LMFT-ALT-073</x:v>
      </x:c>
      <x:c r="M382" s="192" t="str">
        <x:v>Released</x:v>
      </x:c>
      <x:c r="N382" s="194" t="str">
        <x:v>Form B only; paired alternate retained on the other comprehensive form</x:v>
      </x:c>
    </x:row>
    <x:row r="383">
      <x:c r="A383" s="191" t="str">
        <x:v>CTA-LMFT-MQB-0382</x:v>
      </x:c>
      <x:c r="B383" s="192" t="str">
        <x:v>LMFT-MQB-FB-CE-032</x:v>
      </x:c>
      <x:c r="C383" s="192" t="str">
        <x:v>LMFT Comprehensive Simulation Form B</x:v>
      </x:c>
      <x:c r="D383" s="192" t="n">
        <x:v>28</x:v>
      </x:c>
      <x:c r="E383" s="192" t="str">
        <x:v>Scored-Style</x:v>
      </x:c>
      <x:c r="F383" s="192" t="str">
        <x:v>1. Clinical Evaluation</x:v>
      </x:c>
      <x:c r="G383" s="192" t="str">
        <x:v>Dissociation versus inattention</x:v>
      </x:c>
      <x:c r="H383" s="192" t="str">
        <x:v>Difficult</x:v>
      </x:c>
      <x:c r="I383" s="192" t="str">
        <x:v>Scenario-Based</x:v>
      </x:c>
      <x:c r="J383" s="192" t="str">
        <x:v>B</x:v>
      </x:c>
      <x:c r="K383" s="192" t="n">
        <x:v>1</x:v>
      </x:c>
      <x:c r="L383" s="192" t="str">
        <x:v>LMFT-ALT-032</x:v>
      </x:c>
      <x:c r="M383" s="192" t="str">
        <x:v>Released</x:v>
      </x:c>
      <x:c r="N383" s="194" t="str">
        <x:v>Form B only; paired alternate retained on the other comprehensive form</x:v>
      </x:c>
    </x:row>
    <x:row r="384">
      <x:c r="A384" s="191" t="str">
        <x:v>CTA-LMFT-MQB-0383</x:v>
      </x:c>
      <x:c r="B384" s="192" t="str">
        <x:v>LMFT-MQB-FB-CP-001</x:v>
      </x:c>
      <x:c r="C384" s="192" t="str">
        <x:v>LMFT Comprehensive Simulation Form B</x:v>
      </x:c>
      <x:c r="D384" s="192" t="n">
        <x:v>29</x:v>
      </x:c>
      <x:c r="E384" s="192" t="str">
        <x:v>Scored-Style</x:v>
      </x:c>
      <x:c r="F384" s="192" t="str">
        <x:v>4. Case Conceptualization and Planning</x:v>
      </x:c>
      <x:c r="G384" s="192" t="str">
        <x:v>Measurable goals</x:v>
      </x:c>
      <x:c r="H384" s="192" t="str">
        <x:v>Easy</x:v>
      </x:c>
      <x:c r="I384" s="192" t="str">
        <x:v>Knowledge &amp; Recall</x:v>
      </x:c>
      <x:c r="J384" s="192" t="str">
        <x:v>C</x:v>
      </x:c>
      <x:c r="K384" s="192" t="n">
        <x:v>1</x:v>
      </x:c>
      <x:c r="L384" s="192" t="str">
        <x:v>LMFT-ALT-042</x:v>
      </x:c>
      <x:c r="M384" s="192" t="str">
        <x:v>Released</x:v>
      </x:c>
      <x:c r="N384" s="194" t="str">
        <x:v>Form B only; paired alternate retained on the other comprehensive form</x:v>
      </x:c>
    </x:row>
    <x:row r="385">
      <x:c r="A385" s="191" t="str">
        <x:v>CTA-LMFT-MQB-0384</x:v>
      </x:c>
      <x:c r="B385" s="192" t="str">
        <x:v>LMFT-MQB-FB-LE-013</x:v>
      </x:c>
      <x:c r="C385" s="192" t="str">
        <x:v>LMFT Comprehensive Simulation Form B</x:v>
      </x:c>
      <x:c r="D385" s="192" t="n">
        <x:v>30</x:v>
      </x:c>
      <x:c r="E385" s="192" t="str">
        <x:v>Scored-Style</x:v>
      </x:c>
      <x:c r="F385" s="192" t="str">
        <x:v>6. Managing Legal and Ethical Obligations within the Therapeutic Relationship</x:v>
      </x:c>
      <x:c r="G385" s="192" t="str">
        <x:v>Abrupt practice closure</x:v>
      </x:c>
      <x:c r="H385" s="192" t="str">
        <x:v>Difficult</x:v>
      </x:c>
      <x:c r="I385" s="192" t="str">
        <x:v>Scenario-Based</x:v>
      </x:c>
      <x:c r="J385" s="192" t="str">
        <x:v>A</x:v>
      </x:c>
      <x:c r="K385" s="192" t="n">
        <x:v>1</x:v>
      </x:c>
      <x:c r="L385" s="192" t="str">
        <x:v>LMFT-ALT-105</x:v>
      </x:c>
      <x:c r="M385" s="192" t="str">
        <x:v>Released</x:v>
      </x:c>
      <x:c r="N385" s="194" t="str">
        <x:v>Form B only; paired alternate retained on the other comprehensive form</x:v>
      </x:c>
    </x:row>
    <x:row r="386">
      <x:c r="A386" s="191" t="str">
        <x:v>CTA-LMFT-MQB-0385</x:v>
      </x:c>
      <x:c r="B386" s="192" t="str">
        <x:v>LMFT-MQB-FB-CE-006</x:v>
      </x:c>
      <x:c r="C386" s="192" t="str">
        <x:v>LMFT Comprehensive Simulation Form B</x:v>
      </x:c>
      <x:c r="D386" s="192" t="n">
        <x:v>31</x:v>
      </x:c>
      <x:c r="E386" s="192" t="str">
        <x:v>Scored-Style</x:v>
      </x:c>
      <x:c r="F386" s="192" t="str">
        <x:v>1. Clinical Evaluation</x:v>
      </x:c>
      <x:c r="G386" s="192" t="str">
        <x:v>Open-ended interviewing</x:v>
      </x:c>
      <x:c r="H386" s="192" t="str">
        <x:v>Easy</x:v>
      </x:c>
      <x:c r="I386" s="192" t="str">
        <x:v>Application</x:v>
      </x:c>
      <x:c r="J386" s="192" t="str">
        <x:v>D</x:v>
      </x:c>
      <x:c r="K386" s="192" t="n">
        <x:v>1</x:v>
      </x:c>
      <x:c r="L386" s="192" t="str">
        <x:v>LMFT-ALT-006</x:v>
      </x:c>
      <x:c r="M386" s="192" t="str">
        <x:v>Released</x:v>
      </x:c>
      <x:c r="N386" s="194" t="str">
        <x:v>Form B only; paired alternate retained on the other comprehensive form</x:v>
      </x:c>
    </x:row>
    <x:row r="387">
      <x:c r="A387" s="191" t="str">
        <x:v>CTA-LMFT-MQB-0386</x:v>
      </x:c>
      <x:c r="B387" s="192" t="str">
        <x:v>LMFT-MQB-FB-TX-018</x:v>
      </x:c>
      <x:c r="C387" s="192" t="str">
        <x:v>LMFT Comprehensive Simulation Form B</x:v>
      </x:c>
      <x:c r="D387" s="192" t="n">
        <x:v>32</x:v>
      </x:c>
      <x:c r="E387" s="192" t="str">
        <x:v>Scored-Style</x:v>
      </x:c>
      <x:c r="F387" s="192" t="str">
        <x:v>5. Treatment</x:v>
      </x:c>
      <x:c r="G387" s="192" t="str">
        <x:v>Cultural adaptation</x:v>
      </x:c>
      <x:c r="H387" s="192" t="str">
        <x:v>Moderate</x:v>
      </x:c>
      <x:c r="I387" s="192" t="str">
        <x:v>Application</x:v>
      </x:c>
      <x:c r="J387" s="192" t="str">
        <x:v>B</x:v>
      </x:c>
      <x:c r="K387" s="192" t="n">
        <x:v>1</x:v>
      </x:c>
      <x:c r="L387" s="192" t="str">
        <x:v>LMFT-ALT-125</x:v>
      </x:c>
      <x:c r="M387" s="192" t="str">
        <x:v>Released</x:v>
      </x:c>
      <x:c r="N387" s="194" t="str">
        <x:v>Form B only; paired alternate retained on the other comprehensive form</x:v>
      </x:c>
    </x:row>
    <x:row r="388">
      <x:c r="A388" s="191" t="str">
        <x:v>CTA-LMFT-MQB-0387</x:v>
      </x:c>
      <x:c r="B388" s="192" t="str">
        <x:v>LMFT-MQB-FB-CE-041</x:v>
      </x:c>
      <x:c r="C388" s="192" t="str">
        <x:v>LMFT Comprehensive Simulation Form B</x:v>
      </x:c>
      <x:c r="D388" s="192" t="n">
        <x:v>33</x:v>
      </x:c>
      <x:c r="E388" s="192" t="str">
        <x:v>Scored-Style</x:v>
      </x:c>
      <x:c r="F388" s="192" t="str">
        <x:v>1. Clinical Evaluation</x:v>
      </x:c>
      <x:c r="G388" s="192" t="str">
        <x:v>High-conflict separation assessment</x:v>
      </x:c>
      <x:c r="H388" s="192" t="str">
        <x:v>Difficult</x:v>
      </x:c>
      <x:c r="I388" s="192" t="str">
        <x:v>Integrated Clinical Reasoning</x:v>
      </x:c>
      <x:c r="J388" s="192" t="str">
        <x:v>D</x:v>
      </x:c>
      <x:c r="K388" s="192" t="n">
        <x:v>1</x:v>
      </x:c>
      <x:c r="L388" s="192" t="str">
        <x:v>LMFT-ALT-041</x:v>
      </x:c>
      <x:c r="M388" s="192" t="str">
        <x:v>Released</x:v>
      </x:c>
      <x:c r="N388" s="194" t="str">
        <x:v>Form B only; paired alternate retained on the other comprehensive form</x:v>
      </x:c>
    </x:row>
    <x:row r="389">
      <x:c r="A389" s="191" t="str">
        <x:v>CTA-LMFT-MQB-0388</x:v>
      </x:c>
      <x:c r="B389" s="192" t="str">
        <x:v>LMFT-MQB-FB-LE-003</x:v>
      </x:c>
      <x:c r="C389" s="192" t="str">
        <x:v>LMFT Comprehensive Simulation Form B</x:v>
      </x:c>
      <x:c r="D389" s="192" t="n">
        <x:v>34</x:v>
      </x:c>
      <x:c r="E389" s="192" t="str">
        <x:v>Scored-Style</x:v>
      </x:c>
      <x:c r="F389" s="192" t="str">
        <x:v>6. Managing Legal and Ethical Obligations within the Therapeutic Relationship</x:v>
      </x:c>
      <x:c r="G389" s="192" t="str">
        <x:v>Record correction</x:v>
      </x:c>
      <x:c r="H389" s="192" t="str">
        <x:v>Easy</x:v>
      </x:c>
      <x:c r="I389" s="192" t="str">
        <x:v>Application</x:v>
      </x:c>
      <x:c r="J389" s="192" t="str">
        <x:v>C</x:v>
      </x:c>
      <x:c r="K389" s="192" t="n">
        <x:v>1</x:v>
      </x:c>
      <x:c r="L389" s="192" t="str">
        <x:v>LMFT-ALT-095</x:v>
      </x:c>
      <x:c r="M389" s="192" t="str">
        <x:v>Released</x:v>
      </x:c>
      <x:c r="N389" s="194" t="str">
        <x:v>Form B only; paired alternate retained on the other comprehensive form</x:v>
      </x:c>
    </x:row>
    <x:row r="390">
      <x:c r="A390" s="191" t="str">
        <x:v>CTA-LMFT-MQB-0389</x:v>
      </x:c>
      <x:c r="B390" s="192" t="str">
        <x:v>LMFT-MQB-FB-TX-021</x:v>
      </x:c>
      <x:c r="C390" s="192" t="str">
        <x:v>LMFT Comprehensive Simulation Form B</x:v>
      </x:c>
      <x:c r="D390" s="192" t="n">
        <x:v>35</x:v>
      </x:c>
      <x:c r="E390" s="192" t="str">
        <x:v>Scored-Style</x:v>
      </x:c>
      <x:c r="F390" s="192" t="str">
        <x:v>5. Treatment</x:v>
      </x:c>
      <x:c r="G390" s="192" t="str">
        <x:v>Treatment of severe eating symptoms</x:v>
      </x:c>
      <x:c r="H390" s="192" t="str">
        <x:v>Difficult</x:v>
      </x:c>
      <x:c r="I390" s="192" t="str">
        <x:v>Application</x:v>
      </x:c>
      <x:c r="J390" s="192" t="str">
        <x:v>C</x:v>
      </x:c>
      <x:c r="K390" s="192" t="n">
        <x:v>1</x:v>
      </x:c>
      <x:c r="L390" s="192" t="str">
        <x:v>LMFT-ALT-128</x:v>
      </x:c>
      <x:c r="M390" s="192" t="str">
        <x:v>Released</x:v>
      </x:c>
      <x:c r="N390" s="194" t="str">
        <x:v>Form B only; paired alternate retained on the other comprehensive form</x:v>
      </x:c>
    </x:row>
    <x:row r="391">
      <x:c r="A391" s="191" t="str">
        <x:v>CTA-LMFT-MQB-0390</x:v>
      </x:c>
      <x:c r="B391" s="192" t="str">
        <x:v>LMFT-MQB-FB-LE-004</x:v>
      </x:c>
      <x:c r="C391" s="192" t="str">
        <x:v>LMFT Comprehensive Simulation Form B</x:v>
      </x:c>
      <x:c r="D391" s="192" t="n">
        <x:v>36</x:v>
      </x:c>
      <x:c r="E391" s="192" t="str">
        <x:v>Scored-Style</x:v>
      </x:c>
      <x:c r="F391" s="192" t="str">
        <x:v>6. Managing Legal and Ethical Obligations within the Therapeutic Relationship</x:v>
      </x:c>
      <x:c r="G391" s="192" t="str">
        <x:v>Competence and referral</x:v>
      </x:c>
      <x:c r="H391" s="192" t="str">
        <x:v>Easy</x:v>
      </x:c>
      <x:c r="I391" s="192" t="str">
        <x:v>Application</x:v>
      </x:c>
      <x:c r="J391" s="192" t="str">
        <x:v>B</x:v>
      </x:c>
      <x:c r="K391" s="192" t="n">
        <x:v>1</x:v>
      </x:c>
      <x:c r="L391" s="192" t="str">
        <x:v>LMFT-ALT-096</x:v>
      </x:c>
      <x:c r="M391" s="192" t="str">
        <x:v>Released</x:v>
      </x:c>
      <x:c r="N391" s="194" t="str">
        <x:v>Form B only; paired alternate retained on the other comprehensive form</x:v>
      </x:c>
    </x:row>
    <x:row r="392">
      <x:c r="A392" s="191" t="str">
        <x:v>CTA-LMFT-MQB-0391</x:v>
      </x:c>
      <x:c r="B392" s="192" t="str">
        <x:v>LMFT-MQB-FB-TX-004</x:v>
      </x:c>
      <x:c r="C392" s="192" t="str">
        <x:v>LMFT Comprehensive Simulation Form B</x:v>
      </x:c>
      <x:c r="D392" s="192" t="n">
        <x:v>37</x:v>
      </x:c>
      <x:c r="E392" s="192" t="str">
        <x:v>Pretest-Style</x:v>
      </x:c>
      <x:c r="F392" s="192" t="str">
        <x:v>5. Treatment</x:v>
      </x:c>
      <x:c r="G392" s="192" t="str">
        <x:v>Termination task</x:v>
      </x:c>
      <x:c r="H392" s="192" t="str">
        <x:v>Moderate</x:v>
      </x:c>
      <x:c r="I392" s="192" t="str">
        <x:v>Knowledge &amp; Recall</x:v>
      </x:c>
      <x:c r="J392" s="192" t="str">
        <x:v>B</x:v>
      </x:c>
      <x:c r="K392" s="192" t="n">
        <x:v>1</x:v>
      </x:c>
      <x:c r="L392" s="192" t="str">
        <x:v>LMFT-ALT-111</x:v>
      </x:c>
      <x:c r="M392" s="192" t="str">
        <x:v>Released</x:v>
      </x:c>
      <x:c r="N392" s="194" t="str">
        <x:v>Form B only; paired alternate retained on the other comprehensive form</x:v>
      </x:c>
    </x:row>
    <x:row r="393">
      <x:c r="A393" s="191" t="str">
        <x:v>CTA-LMFT-MQB-0392</x:v>
      </x:c>
      <x:c r="B393" s="192" t="str">
        <x:v>LMFT-MQB-FB-TX-009</x:v>
      </x:c>
      <x:c r="C393" s="192" t="str">
        <x:v>LMFT Comprehensive Simulation Form B</x:v>
      </x:c>
      <x:c r="D393" s="192" t="n">
        <x:v>38</x:v>
      </x:c>
      <x:c r="E393" s="192" t="str">
        <x:v>Scored-Style</x:v>
      </x:c>
      <x:c r="F393" s="192" t="str">
        <x:v>5. Treatment</x:v>
      </x:c>
      <x:c r="G393" s="192" t="str">
        <x:v>Narrative externalizing</x:v>
      </x:c>
      <x:c r="H393" s="192" t="str">
        <x:v>Easy</x:v>
      </x:c>
      <x:c r="I393" s="192" t="str">
        <x:v>Application</x:v>
      </x:c>
      <x:c r="J393" s="192" t="str">
        <x:v>D</x:v>
      </x:c>
      <x:c r="K393" s="192" t="n">
        <x:v>1</x:v>
      </x:c>
      <x:c r="L393" s="192" t="str">
        <x:v>LMFT-ALT-116</x:v>
      </x:c>
      <x:c r="M393" s="192" t="str">
        <x:v>Released</x:v>
      </x:c>
      <x:c r="N393" s="194" t="str">
        <x:v>Form B only; paired alternate retained on the other comprehensive form</x:v>
      </x:c>
    </x:row>
    <x:row r="394">
      <x:c r="A394" s="191" t="str">
        <x:v>CTA-LMFT-MQB-0393</x:v>
      </x:c>
      <x:c r="B394" s="192" t="str">
        <x:v>LMFT-MQB-FB-DI-014</x:v>
      </x:c>
      <x:c r="C394" s="192" t="str">
        <x:v>LMFT Comprehensive Simulation Form B</x:v>
      </x:c>
      <x:c r="D394" s="192" t="n">
        <x:v>39</x:v>
      </x:c>
      <x:c r="E394" s="192" t="str">
        <x:v>Scored-Style</x:v>
      </x:c>
      <x:c r="F394" s="192" t="str">
        <x:v>2. Developing a Diagnostic Impression</x:v>
      </x:c>
      <x:c r="G394" s="192" t="str">
        <x:v>Medication-induced mood change</x:v>
      </x:c>
      <x:c r="H394" s="192" t="str">
        <x:v>Difficult</x:v>
      </x:c>
      <x:c r="I394" s="192" t="str">
        <x:v>Scenario-Based</x:v>
      </x:c>
      <x:c r="J394" s="192" t="str">
        <x:v>D</x:v>
      </x:c>
      <x:c r="K394" s="192" t="n">
        <x:v>1</x:v>
      </x:c>
      <x:c r="L394" s="192" t="str">
        <x:v>LMFT-ALT-089</x:v>
      </x:c>
      <x:c r="M394" s="192" t="str">
        <x:v>Released</x:v>
      </x:c>
      <x:c r="N394" s="194" t="str">
        <x:v>Form B only; paired alternate retained on the other comprehensive form</x:v>
      </x:c>
    </x:row>
    <x:row r="395">
      <x:c r="A395" s="191" t="str">
        <x:v>CTA-LMFT-MQB-0394</x:v>
      </x:c>
      <x:c r="B395" s="192" t="str">
        <x:v>LMFT-MQB-FB-TX-003</x:v>
      </x:c>
      <x:c r="C395" s="192" t="str">
        <x:v>LMFT Comprehensive Simulation Form B</x:v>
      </x:c>
      <x:c r="D395" s="192" t="n">
        <x:v>40</x:v>
      </x:c>
      <x:c r="E395" s="192" t="str">
        <x:v>Scored-Style</x:v>
      </x:c>
      <x:c r="F395" s="192" t="str">
        <x:v>5. Treatment</x:v>
      </x:c>
      <x:c r="G395" s="192" t="str">
        <x:v>Group stage</x:v>
      </x:c>
      <x:c r="H395" s="192" t="str">
        <x:v>Moderate</x:v>
      </x:c>
      <x:c r="I395" s="192" t="str">
        <x:v>Knowledge &amp; Recall</x:v>
      </x:c>
      <x:c r="J395" s="192" t="str">
        <x:v>C</x:v>
      </x:c>
      <x:c r="K395" s="192" t="n">
        <x:v>1</x:v>
      </x:c>
      <x:c r="L395" s="192" t="str">
        <x:v>LMFT-ALT-110</x:v>
      </x:c>
      <x:c r="M395" s="192" t="str">
        <x:v>Released</x:v>
      </x:c>
      <x:c r="N395" s="194" t="str">
        <x:v>Form B only; paired alternate retained on the other comprehensive form</x:v>
      </x:c>
    </x:row>
    <x:row r="396">
      <x:c r="A396" s="191" t="str">
        <x:v>CTA-LMFT-MQB-0395</x:v>
      </x:c>
      <x:c r="B396" s="192" t="str">
        <x:v>LMFT-MQB-FB-DI-007</x:v>
      </x:c>
      <x:c r="C396" s="192" t="str">
        <x:v>LMFT Comprehensive Simulation Form B</x:v>
      </x:c>
      <x:c r="D396" s="192" t="n">
        <x:v>41</x:v>
      </x:c>
      <x:c r="E396" s="192" t="str">
        <x:v>Scored-Style</x:v>
      </x:c>
      <x:c r="F396" s="192" t="str">
        <x:v>2. Developing a Diagnostic Impression</x:v>
      </x:c>
      <x:c r="G396" s="192" t="str">
        <x:v>Bipolar versus unipolar depression</x:v>
      </x:c>
      <x:c r="H396" s="192" t="str">
        <x:v>Moderate</x:v>
      </x:c>
      <x:c r="I396" s="192" t="str">
        <x:v>Application</x:v>
      </x:c>
      <x:c r="J396" s="192" t="str">
        <x:v>C</x:v>
      </x:c>
      <x:c r="K396" s="192" t="n">
        <x:v>1</x:v>
      </x:c>
      <x:c r="L396" s="192" t="str">
        <x:v>LMFT-ALT-082</x:v>
      </x:c>
      <x:c r="M396" s="192" t="str">
        <x:v>Released</x:v>
      </x:c>
      <x:c r="N396" s="194" t="str">
        <x:v>Form B only; paired alternate retained on the other comprehensive form</x:v>
      </x:c>
    </x:row>
    <x:row r="397">
      <x:c r="A397" s="191" t="str">
        <x:v>CTA-LMFT-MQB-0396</x:v>
      </x:c>
      <x:c r="B397" s="192" t="str">
        <x:v>LMFT-MQB-FB-DI-013</x:v>
      </x:c>
      <x:c r="C397" s="192" t="str">
        <x:v>LMFT Comprehensive Simulation Form B</x:v>
      </x:c>
      <x:c r="D397" s="192" t="n">
        <x:v>42</x:v>
      </x:c>
      <x:c r="E397" s="192" t="str">
        <x:v>Scored-Style</x:v>
      </x:c>
      <x:c r="F397" s="192" t="str">
        <x:v>2. Developing a Diagnostic Impression</x:v>
      </x:c>
      <x:c r="G397" s="192" t="str">
        <x:v>Psychosis versus cultural belief</x:v>
      </x:c>
      <x:c r="H397" s="192" t="str">
        <x:v>Moderate</x:v>
      </x:c>
      <x:c r="I397" s="192" t="str">
        <x:v>Scenario-Based</x:v>
      </x:c>
      <x:c r="J397" s="192" t="str">
        <x:v>A</x:v>
      </x:c>
      <x:c r="K397" s="192" t="n">
        <x:v>1</x:v>
      </x:c>
      <x:c r="L397" s="192" t="str">
        <x:v>LMFT-ALT-088</x:v>
      </x:c>
      <x:c r="M397" s="192" t="str">
        <x:v>Released</x:v>
      </x:c>
      <x:c r="N397" s="194" t="str">
        <x:v>Form B only; paired alternate retained on the other comprehensive form</x:v>
      </x:c>
    </x:row>
    <x:row r="398">
      <x:c r="A398" s="191" t="str">
        <x:v>CTA-LMFT-MQB-0397</x:v>
      </x:c>
      <x:c r="B398" s="192" t="str">
        <x:v>LMFT-MQB-FB-TX-016</x:v>
      </x:c>
      <x:c r="C398" s="192" t="str">
        <x:v>LMFT Comprehensive Simulation Form B</x:v>
      </x:c>
      <x:c r="D398" s="192" t="n">
        <x:v>43</x:v>
      </x:c>
      <x:c r="E398" s="192" t="str">
        <x:v>Scored-Style</x:v>
      </x:c>
      <x:c r="F398" s="192" t="str">
        <x:v>5. Treatment</x:v>
      </x:c>
      <x:c r="G398" s="192" t="str">
        <x:v>Exposure pacing</x:v>
      </x:c>
      <x:c r="H398" s="192" t="str">
        <x:v>Moderate</x:v>
      </x:c>
      <x:c r="I398" s="192" t="str">
        <x:v>Application</x:v>
      </x:c>
      <x:c r="J398" s="192" t="str">
        <x:v>B</x:v>
      </x:c>
      <x:c r="K398" s="192" t="n">
        <x:v>1</x:v>
      </x:c>
      <x:c r="L398" s="192" t="str">
        <x:v>LMFT-ALT-123</x:v>
      </x:c>
      <x:c r="M398" s="192" t="str">
        <x:v>Released</x:v>
      </x:c>
      <x:c r="N398" s="194" t="str">
        <x:v>Form B only; paired alternate retained on the other comprehensive form</x:v>
      </x:c>
    </x:row>
    <x:row r="399">
      <x:c r="A399" s="191" t="str">
        <x:v>CTA-LMFT-MQB-0398</x:v>
      </x:c>
      <x:c r="B399" s="192" t="str">
        <x:v>LMFT-MQB-FB-DI-008</x:v>
      </x:c>
      <x:c r="C399" s="192" t="str">
        <x:v>LMFT Comprehensive Simulation Form B</x:v>
      </x:c>
      <x:c r="D399" s="192" t="n">
        <x:v>44</x:v>
      </x:c>
      <x:c r="E399" s="192" t="str">
        <x:v>Scored-Style</x:v>
      </x:c>
      <x:c r="F399" s="192" t="str">
        <x:v>2. Developing a Diagnostic Impression</x:v>
      </x:c>
      <x:c r="G399" s="192" t="str">
        <x:v>OCD versus psychosis</x:v>
      </x:c>
      <x:c r="H399" s="192" t="str">
        <x:v>Moderate</x:v>
      </x:c>
      <x:c r="I399" s="192" t="str">
        <x:v>Application</x:v>
      </x:c>
      <x:c r="J399" s="192" t="str">
        <x:v>A</x:v>
      </x:c>
      <x:c r="K399" s="192" t="n">
        <x:v>1</x:v>
      </x:c>
      <x:c r="L399" s="192" t="str">
        <x:v>LMFT-ALT-083</x:v>
      </x:c>
      <x:c r="M399" s="192" t="str">
        <x:v>Released</x:v>
      </x:c>
      <x:c r="N399" s="194" t="str">
        <x:v>Form B only; paired alternate retained on the other comprehensive form</x:v>
      </x:c>
    </x:row>
    <x:row r="400">
      <x:c r="A400" s="191" t="str">
        <x:v>CTA-LMFT-MQB-0399</x:v>
      </x:c>
      <x:c r="B400" s="192" t="str">
        <x:v>LMFT-MQB-FB-CE-033</x:v>
      </x:c>
      <x:c r="C400" s="192" t="str">
        <x:v>LMFT Comprehensive Simulation Form B</x:v>
      </x:c>
      <x:c r="D400" s="192" t="n">
        <x:v>45</x:v>
      </x:c>
      <x:c r="E400" s="192" t="str">
        <x:v>Scored-Style</x:v>
      </x:c>
      <x:c r="F400" s="192" t="str">
        <x:v>1. Clinical Evaluation</x:v>
      </x:c>
      <x:c r="G400" s="192" t="str">
        <x:v>Complex family records and alliances</x:v>
      </x:c>
      <x:c r="H400" s="192" t="str">
        <x:v>Difficult</x:v>
      </x:c>
      <x:c r="I400" s="192" t="str">
        <x:v>Scenario-Based</x:v>
      </x:c>
      <x:c r="J400" s="192" t="str">
        <x:v>D</x:v>
      </x:c>
      <x:c r="K400" s="192" t="n">
        <x:v>1</x:v>
      </x:c>
      <x:c r="L400" s="192" t="str">
        <x:v>LMFT-ALT-033</x:v>
      </x:c>
      <x:c r="M400" s="192" t="str">
        <x:v>Released</x:v>
      </x:c>
      <x:c r="N400" s="194" t="str">
        <x:v>Form B only; paired alternate retained on the other comprehensive form</x:v>
      </x:c>
    </x:row>
    <x:row r="401">
      <x:c r="A401" s="191" t="str">
        <x:v>CTA-LMFT-MQB-0400</x:v>
      </x:c>
      <x:c r="B401" s="192" t="str">
        <x:v>LMFT-MQB-FB-TX-043</x:v>
      </x:c>
      <x:c r="C401" s="192" t="str">
        <x:v>LMFT Comprehensive Simulation Form B</x:v>
      </x:c>
      <x:c r="D401" s="192" t="n">
        <x:v>46</x:v>
      </x:c>
      <x:c r="E401" s="192" t="str">
        <x:v>Scored-Style</x:v>
      </x:c>
      <x:c r="F401" s="192" t="str">
        <x:v>5. Treatment</x:v>
      </x:c>
      <x:c r="G401" s="192" t="str">
        <x:v>Integrated end-of-treatment decision</x:v>
      </x:c>
      <x:c r="H401" s="192" t="str">
        <x:v>Difficult</x:v>
      </x:c>
      <x:c r="I401" s="192" t="str">
        <x:v>Integrated Clinical Reasoning</x:v>
      </x:c>
      <x:c r="J401" s="192" t="str">
        <x:v>A</x:v>
      </x:c>
      <x:c r="K401" s="192" t="n">
        <x:v>1</x:v>
      </x:c>
      <x:c r="L401" s="192" t="str">
        <x:v>LMFT-ALT-150</x:v>
      </x:c>
      <x:c r="M401" s="192" t="str">
        <x:v>Released</x:v>
      </x:c>
      <x:c r="N401" s="194" t="str">
        <x:v>Form B only; paired alternate retained on the other comprehensive form</x:v>
      </x:c>
    </x:row>
    <x:row r="402">
      <x:c r="A402" s="191" t="str">
        <x:v>CTA-LMFT-MQB-0401</x:v>
      </x:c>
      <x:c r="B402" s="192" t="str">
        <x:v>LMFT-MQB-FB-TX-007</x:v>
      </x:c>
      <x:c r="C402" s="192" t="str">
        <x:v>LMFT Comprehensive Simulation Form B</x:v>
      </x:c>
      <x:c r="D402" s="192" t="n">
        <x:v>47</x:v>
      </x:c>
      <x:c r="E402" s="192" t="str">
        <x:v>Scored-Style</x:v>
      </x:c>
      <x:c r="F402" s="192" t="str">
        <x:v>5. Treatment</x:v>
      </x:c>
      <x:c r="G402" s="192" t="str">
        <x:v>Emotion regulation</x:v>
      </x:c>
      <x:c r="H402" s="192" t="str">
        <x:v>Easy</x:v>
      </x:c>
      <x:c r="I402" s="192" t="str">
        <x:v>Application</x:v>
      </x:c>
      <x:c r="J402" s="192" t="str">
        <x:v>D</x:v>
      </x:c>
      <x:c r="K402" s="192" t="n">
        <x:v>1</x:v>
      </x:c>
      <x:c r="L402" s="192" t="str">
        <x:v>LMFT-ALT-114</x:v>
      </x:c>
      <x:c r="M402" s="192" t="str">
        <x:v>Released</x:v>
      </x:c>
      <x:c r="N402" s="194" t="str">
        <x:v>Form B only; paired alternate retained on the other comprehensive form</x:v>
      </x:c>
    </x:row>
    <x:row r="403">
      <x:c r="A403" s="191" t="str">
        <x:v>CTA-LMFT-MQB-0402</x:v>
      </x:c>
      <x:c r="B403" s="192" t="str">
        <x:v>LMFT-MQB-FB-CR-015</x:v>
      </x:c>
      <x:c r="C403" s="192" t="str">
        <x:v>LMFT Comprehensive Simulation Form B</x:v>
      </x:c>
      <x:c r="D403" s="192" t="n">
        <x:v>48</x:v>
      </x:c>
      <x:c r="E403" s="192" t="str">
        <x:v>Scored-Style</x:v>
      </x:c>
      <x:c r="F403" s="192" t="str">
        <x:v>3. Managing Crisis Situations</x:v>
      </x:c>
      <x:c r="G403" s="192" t="str">
        <x:v>Suicide risk and family confidentiality</x:v>
      </x:c>
      <x:c r="H403" s="192" t="str">
        <x:v>Difficult</x:v>
      </x:c>
      <x:c r="I403" s="192" t="str">
        <x:v>Integrated Clinical Reasoning</x:v>
      </x:c>
      <x:c r="J403" s="192" t="str">
        <x:v>A</x:v>
      </x:c>
      <x:c r="K403" s="192" t="n">
        <x:v>1</x:v>
      </x:c>
      <x:c r="L403" s="192" t="str">
        <x:v>LMFT-ALT-074</x:v>
      </x:c>
      <x:c r="M403" s="192" t="str">
        <x:v>Released</x:v>
      </x:c>
      <x:c r="N403" s="194" t="str">
        <x:v>Form B only; paired alternate retained on the other comprehensive form</x:v>
      </x:c>
    </x:row>
    <x:row r="404">
      <x:c r="A404" s="191" t="str">
        <x:v>CTA-LMFT-MQB-0403</x:v>
      </x:c>
      <x:c r="B404" s="192" t="str">
        <x:v>LMFT-MQB-FB-CE-038</x:v>
      </x:c>
      <x:c r="C404" s="192" t="str">
        <x:v>LMFT Comprehensive Simulation Form B</x:v>
      </x:c>
      <x:c r="D404" s="192" t="n">
        <x:v>49</x:v>
      </x:c>
      <x:c r="E404" s="192" t="str">
        <x:v>Pretest-Style</x:v>
      </x:c>
      <x:c r="F404" s="192" t="str">
        <x:v>1. Clinical Evaluation</x:v>
      </x:c>
      <x:c r="G404" s="192" t="str">
        <x:v>Multiple informants and developmental context</x:v>
      </x:c>
      <x:c r="H404" s="192" t="str">
        <x:v>Moderate</x:v>
      </x:c>
      <x:c r="I404" s="192" t="str">
        <x:v>Integrated Clinical Reasoning</x:v>
      </x:c>
      <x:c r="J404" s="192" t="str">
        <x:v>C</x:v>
      </x:c>
      <x:c r="K404" s="192" t="n">
        <x:v>1</x:v>
      </x:c>
      <x:c r="L404" s="192" t="str">
        <x:v>LMFT-ALT-038</x:v>
      </x:c>
      <x:c r="M404" s="192" t="str">
        <x:v>Released</x:v>
      </x:c>
      <x:c r="N404" s="194" t="str">
        <x:v>Form B only; paired alternate retained on the other comprehensive form</x:v>
      </x:c>
    </x:row>
    <x:row r="405">
      <x:c r="A405" s="191" t="str">
        <x:v>CTA-LMFT-MQB-0404</x:v>
      </x:c>
      <x:c r="B405" s="192" t="str">
        <x:v>LMFT-MQB-FB-CE-007</x:v>
      </x:c>
      <x:c r="C405" s="192" t="str">
        <x:v>LMFT Comprehensive Simulation Form B</x:v>
      </x:c>
      <x:c r="D405" s="192" t="n">
        <x:v>50</x:v>
      </x:c>
      <x:c r="E405" s="192" t="str">
        <x:v>Scored-Style</x:v>
      </x:c>
      <x:c r="F405" s="192" t="str">
        <x:v>1. Clinical Evaluation</x:v>
      </x:c>
      <x:c r="G405" s="192" t="str">
        <x:v>Clarifying referral expectations</x:v>
      </x:c>
      <x:c r="H405" s="192" t="str">
        <x:v>Easy</x:v>
      </x:c>
      <x:c r="I405" s="192" t="str">
        <x:v>Application</x:v>
      </x:c>
      <x:c r="J405" s="192" t="str">
        <x:v>C</x:v>
      </x:c>
      <x:c r="K405" s="192" t="n">
        <x:v>1</x:v>
      </x:c>
      <x:c r="L405" s="192" t="str">
        <x:v>LMFT-ALT-007</x:v>
      </x:c>
      <x:c r="M405" s="192" t="str">
        <x:v>Released</x:v>
      </x:c>
      <x:c r="N405" s="194" t="str">
        <x:v>Form B only; paired alternate retained on the other comprehensive form</x:v>
      </x:c>
    </x:row>
    <x:row r="406">
      <x:c r="A406" s="191" t="str">
        <x:v>CTA-LMFT-MQB-0405</x:v>
      </x:c>
      <x:c r="B406" s="192" t="str">
        <x:v>LMFT-MQB-FB-TX-030</x:v>
      </x:c>
      <x:c r="C406" s="192" t="str">
        <x:v>LMFT Comprehensive Simulation Form B</x:v>
      </x:c>
      <x:c r="D406" s="192" t="n">
        <x:v>51</x:v>
      </x:c>
      <x:c r="E406" s="192" t="str">
        <x:v>Scored-Style</x:v>
      </x:c>
      <x:c r="F406" s="192" t="str">
        <x:v>5. Treatment</x:v>
      </x:c>
      <x:c r="G406" s="192" t="str">
        <x:v>Recovery-oriented treatment</x:v>
      </x:c>
      <x:c r="H406" s="192" t="str">
        <x:v>Moderate</x:v>
      </x:c>
      <x:c r="I406" s="192" t="str">
        <x:v>Scenario-Based</x:v>
      </x:c>
      <x:c r="J406" s="192" t="str">
        <x:v>B</x:v>
      </x:c>
      <x:c r="K406" s="192" t="n">
        <x:v>1</x:v>
      </x:c>
      <x:c r="L406" s="192" t="str">
        <x:v>LMFT-ALT-137</x:v>
      </x:c>
      <x:c r="M406" s="192" t="str">
        <x:v>Released</x:v>
      </x:c>
      <x:c r="N406" s="194" t="str">
        <x:v>Form B only; paired alternate retained on the other comprehensive form</x:v>
      </x:c>
    </x:row>
    <x:row r="407">
      <x:c r="A407" s="191" t="str">
        <x:v>CTA-LMFT-MQB-0406</x:v>
      </x:c>
      <x:c r="B407" s="192" t="str">
        <x:v>LMFT-MQB-FB-CE-037</x:v>
      </x:c>
      <x:c r="C407" s="192" t="str">
        <x:v>LMFT Comprehensive Simulation Form B</x:v>
      </x:c>
      <x:c r="D407" s="192" t="n">
        <x:v>52</x:v>
      </x:c>
      <x:c r="E407" s="192" t="str">
        <x:v>Scored-Style</x:v>
      </x:c>
      <x:c r="F407" s="192" t="str">
        <x:v>1. Clinical Evaluation</x:v>
      </x:c>
      <x:c r="G407" s="192" t="str">
        <x:v>Integrated intake prioritization</x:v>
      </x:c>
      <x:c r="H407" s="192" t="str">
        <x:v>Moderate</x:v>
      </x:c>
      <x:c r="I407" s="192" t="str">
        <x:v>Integrated Clinical Reasoning</x:v>
      </x:c>
      <x:c r="J407" s="192" t="str">
        <x:v>B</x:v>
      </x:c>
      <x:c r="K407" s="192" t="n">
        <x:v>1</x:v>
      </x:c>
      <x:c r="L407" s="192" t="str">
        <x:v>LMFT-ALT-037</x:v>
      </x:c>
      <x:c r="M407" s="192" t="str">
        <x:v>Released</x:v>
      </x:c>
      <x:c r="N407" s="194" t="str">
        <x:v>Form B only; paired alternate retained on the other comprehensive form</x:v>
      </x:c>
    </x:row>
    <x:row r="408">
      <x:c r="A408" s="191" t="str">
        <x:v>CTA-LMFT-MQB-0407</x:v>
      </x:c>
      <x:c r="B408" s="192" t="str">
        <x:v>LMFT-MQB-FB-CP-014</x:v>
      </x:c>
      <x:c r="C408" s="192" t="str">
        <x:v>LMFT Comprehensive Simulation Form B</x:v>
      </x:c>
      <x:c r="D408" s="192" t="n">
        <x:v>53</x:v>
      </x:c>
      <x:c r="E408" s="192" t="str">
        <x:v>Scored-Style</x:v>
      </x:c>
      <x:c r="F408" s="192" t="str">
        <x:v>4. Case Conceptualization and Planning</x:v>
      </x:c>
      <x:c r="G408" s="192" t="str">
        <x:v>Group planning and fit</x:v>
      </x:c>
      <x:c r="H408" s="192" t="str">
        <x:v>Moderate</x:v>
      </x:c>
      <x:c r="I408" s="192" t="str">
        <x:v>Scenario-Based</x:v>
      </x:c>
      <x:c r="J408" s="192" t="str">
        <x:v>D</x:v>
      </x:c>
      <x:c r="K408" s="192" t="n">
        <x:v>1</x:v>
      </x:c>
      <x:c r="L408" s="192" t="str">
        <x:v>LMFT-ALT-055</x:v>
      </x:c>
      <x:c r="M408" s="192" t="str">
        <x:v>Released</x:v>
      </x:c>
      <x:c r="N408" s="194" t="str">
        <x:v>Form B only; paired alternate retained on the other comprehensive form</x:v>
      </x:c>
    </x:row>
    <x:row r="409">
      <x:c r="A409" s="191" t="str">
        <x:v>CTA-LMFT-MQB-0408</x:v>
      </x:c>
      <x:c r="B409" s="192" t="str">
        <x:v>LMFT-MQB-FB-TX-012</x:v>
      </x:c>
      <x:c r="C409" s="192" t="str">
        <x:v>LMFT Comprehensive Simulation Form B</x:v>
      </x:c>
      <x:c r="D409" s="192" t="n">
        <x:v>54</x:v>
      </x:c>
      <x:c r="E409" s="192" t="str">
        <x:v>Scored-Style</x:v>
      </x:c>
      <x:c r="F409" s="192" t="str">
        <x:v>5. Treatment</x:v>
      </x:c>
      <x:c r="G409" s="192" t="str">
        <x:v>Attachment intervention</x:v>
      </x:c>
      <x:c r="H409" s="192" t="str">
        <x:v>Moderate</x:v>
      </x:c>
      <x:c r="I409" s="192" t="str">
        <x:v>Application</x:v>
      </x:c>
      <x:c r="J409" s="192" t="str">
        <x:v>C</x:v>
      </x:c>
      <x:c r="K409" s="192" t="n">
        <x:v>1</x:v>
      </x:c>
      <x:c r="L409" s="192" t="str">
        <x:v>LMFT-ALT-119</x:v>
      </x:c>
      <x:c r="M409" s="192" t="str">
        <x:v>Released</x:v>
      </x:c>
      <x:c r="N409" s="194" t="str">
        <x:v>Form B only; paired alternate retained on the other comprehensive form</x:v>
      </x:c>
    </x:row>
    <x:row r="410">
      <x:c r="A410" s="191" t="str">
        <x:v>CTA-LMFT-MQB-0409</x:v>
      </x:c>
      <x:c r="B410" s="192" t="str">
        <x:v>LMFT-MQB-FB-CE-039</x:v>
      </x:c>
      <x:c r="C410" s="192" t="str">
        <x:v>LMFT Comprehensive Simulation Form B</x:v>
      </x:c>
      <x:c r="D410" s="192" t="n">
        <x:v>55</x:v>
      </x:c>
      <x:c r="E410" s="192" t="str">
        <x:v>Scored-Style</x:v>
      </x:c>
      <x:c r="F410" s="192" t="str">
        <x:v>1. Clinical Evaluation</x:v>
      </x:c>
      <x:c r="G410" s="192" t="str">
        <x:v>Trauma, culture, and somatic symptoms</x:v>
      </x:c>
      <x:c r="H410" s="192" t="str">
        <x:v>Difficult</x:v>
      </x:c>
      <x:c r="I410" s="192" t="str">
        <x:v>Integrated Clinical Reasoning</x:v>
      </x:c>
      <x:c r="J410" s="192" t="str">
        <x:v>A</x:v>
      </x:c>
      <x:c r="K410" s="192" t="n">
        <x:v>1</x:v>
      </x:c>
      <x:c r="L410" s="192" t="str">
        <x:v>LMFT-ALT-039</x:v>
      </x:c>
      <x:c r="M410" s="192" t="str">
        <x:v>Released</x:v>
      </x:c>
      <x:c r="N410" s="194" t="str">
        <x:v>Form B only; paired alternate retained on the other comprehensive form</x:v>
      </x:c>
    </x:row>
    <x:row r="411">
      <x:c r="A411" s="191" t="str">
        <x:v>CTA-LMFT-MQB-0410</x:v>
      </x:c>
      <x:c r="B411" s="192" t="str">
        <x:v>LMFT-MQB-FB-LE-005</x:v>
      </x:c>
      <x:c r="C411" s="192" t="str">
        <x:v>LMFT Comprehensive Simulation Form B</x:v>
      </x:c>
      <x:c r="D411" s="192" t="n">
        <x:v>56</x:v>
      </x:c>
      <x:c r="E411" s="192" t="str">
        <x:v>Scored-Style</x:v>
      </x:c>
      <x:c r="F411" s="192" t="str">
        <x:v>6. Managing Legal and Ethical Obligations within the Therapeutic Relationship</x:v>
      </x:c>
      <x:c r="G411" s="192" t="str">
        <x:v>Gift boundaries</x:v>
      </x:c>
      <x:c r="H411" s="192" t="str">
        <x:v>Moderate</x:v>
      </x:c>
      <x:c r="I411" s="192" t="str">
        <x:v>Application</x:v>
      </x:c>
      <x:c r="J411" s="192" t="str">
        <x:v>A</x:v>
      </x:c>
      <x:c r="K411" s="192" t="n">
        <x:v>1</x:v>
      </x:c>
      <x:c r="L411" s="192" t="str">
        <x:v>LMFT-ALT-097</x:v>
      </x:c>
      <x:c r="M411" s="192" t="str">
        <x:v>Released</x:v>
      </x:c>
      <x:c r="N411" s="194" t="str">
        <x:v>Form B only; paired alternate retained on the other comprehensive form</x:v>
      </x:c>
    </x:row>
    <x:row r="412">
      <x:c r="A412" s="191" t="str">
        <x:v>CTA-LMFT-MQB-0411</x:v>
      </x:c>
      <x:c r="B412" s="192" t="str">
        <x:v>LMFT-MQB-FB-CE-023</x:v>
      </x:c>
      <x:c r="C412" s="192" t="str">
        <x:v>LMFT Comprehensive Simulation Form B</x:v>
      </x:c>
      <x:c r="D412" s="192" t="n">
        <x:v>57</x:v>
      </x:c>
      <x:c r="E412" s="192" t="str">
        <x:v>Pretest-Style</x:v>
      </x:c>
      <x:c r="F412" s="192" t="str">
        <x:v>1. Clinical Evaluation</x:v>
      </x:c>
      <x:c r="G412" s="192" t="str">
        <x:v>Referral ambiguity</x:v>
      </x:c>
      <x:c r="H412" s="192" t="str">
        <x:v>Easy</x:v>
      </x:c>
      <x:c r="I412" s="192" t="str">
        <x:v>Scenario-Based</x:v>
      </x:c>
      <x:c r="J412" s="192" t="str">
        <x:v>A</x:v>
      </x:c>
      <x:c r="K412" s="192" t="n">
        <x:v>1</x:v>
      </x:c>
      <x:c r="L412" s="192" t="str">
        <x:v>LMFT-ALT-023</x:v>
      </x:c>
      <x:c r="M412" s="192" t="str">
        <x:v>Released</x:v>
      </x:c>
      <x:c r="N412" s="194" t="str">
        <x:v>Form B only; paired alternate retained on the other comprehensive form</x:v>
      </x:c>
    </x:row>
    <x:row r="413">
      <x:c r="A413" s="191" t="str">
        <x:v>CTA-LMFT-MQB-0412</x:v>
      </x:c>
      <x:c r="B413" s="192" t="str">
        <x:v>LMFT-MQB-FB-CR-006</x:v>
      </x:c>
      <x:c r="C413" s="192" t="str">
        <x:v>LMFT Comprehensive Simulation Form B</x:v>
      </x:c>
      <x:c r="D413" s="192" t="n">
        <x:v>58</x:v>
      </x:c>
      <x:c r="E413" s="192" t="str">
        <x:v>Scored-Style</x:v>
      </x:c>
      <x:c r="F413" s="192" t="str">
        <x:v>3. Managing Crisis Situations</x:v>
      </x:c>
      <x:c r="G413" s="192" t="str">
        <x:v>Direct suicide inquiry</x:v>
      </x:c>
      <x:c r="H413" s="192" t="str">
        <x:v>Easy</x:v>
      </x:c>
      <x:c r="I413" s="192" t="str">
        <x:v>Scenario-Based</x:v>
      </x:c>
      <x:c r="J413" s="192" t="str">
        <x:v>C</x:v>
      </x:c>
      <x:c r="K413" s="192" t="n">
        <x:v>1</x:v>
      </x:c>
      <x:c r="L413" s="192" t="str">
        <x:v>LMFT-ALT-065</x:v>
      </x:c>
      <x:c r="M413" s="192" t="str">
        <x:v>Released</x:v>
      </x:c>
      <x:c r="N413" s="194" t="str">
        <x:v>Form B only; paired alternate retained on the other comprehensive form</x:v>
      </x:c>
    </x:row>
    <x:row r="414">
      <x:c r="A414" s="191" t="str">
        <x:v>CTA-LMFT-MQB-0413</x:v>
      </x:c>
      <x:c r="B414" s="192" t="str">
        <x:v>LMFT-MQB-FB-TX-006</x:v>
      </x:c>
      <x:c r="C414" s="192" t="str">
        <x:v>LMFT Comprehensive Simulation Form B</x:v>
      </x:c>
      <x:c r="D414" s="192" t="n">
        <x:v>59</x:v>
      </x:c>
      <x:c r="E414" s="192" t="str">
        <x:v>Scored-Style</x:v>
      </x:c>
      <x:c r="F414" s="192" t="str">
        <x:v>5. Treatment</x:v>
      </x:c>
      <x:c r="G414" s="192" t="str">
        <x:v>Behavioral activation</x:v>
      </x:c>
      <x:c r="H414" s="192" t="str">
        <x:v>Easy</x:v>
      </x:c>
      <x:c r="I414" s="192" t="str">
        <x:v>Application</x:v>
      </x:c>
      <x:c r="J414" s="192" t="str">
        <x:v>D</x:v>
      </x:c>
      <x:c r="K414" s="192" t="n">
        <x:v>1</x:v>
      </x:c>
      <x:c r="L414" s="192" t="str">
        <x:v>LMFT-ALT-113</x:v>
      </x:c>
      <x:c r="M414" s="192" t="str">
        <x:v>Released</x:v>
      </x:c>
      <x:c r="N414" s="194" t="str">
        <x:v>Form B only; paired alternate retained on the other comprehensive form</x:v>
      </x:c>
    </x:row>
    <x:row r="415">
      <x:c r="A415" s="191" t="str">
        <x:v>CTA-LMFT-MQB-0414</x:v>
      </x:c>
      <x:c r="B415" s="192" t="str">
        <x:v>LMFT-MQB-FB-CE-004</x:v>
      </x:c>
      <x:c r="C415" s="192" t="str">
        <x:v>LMFT Comprehensive Simulation Form B</x:v>
      </x:c>
      <x:c r="D415" s="192" t="n">
        <x:v>60</x:v>
      </x:c>
      <x:c r="E415" s="192" t="str">
        <x:v>Scored-Style</x:v>
      </x:c>
      <x:c r="F415" s="192" t="str">
        <x:v>1. Clinical Evaluation</x:v>
      </x:c>
      <x:c r="G415" s="192" t="str">
        <x:v>Baseline functioning</x:v>
      </x:c>
      <x:c r="H415" s="192" t="str">
        <x:v>Moderate</x:v>
      </x:c>
      <x:c r="I415" s="192" t="str">
        <x:v>Knowledge &amp; Recall</x:v>
      </x:c>
      <x:c r="J415" s="192" t="str">
        <x:v>B</x:v>
      </x:c>
      <x:c r="K415" s="192" t="n">
        <x:v>1</x:v>
      </x:c>
      <x:c r="L415" s="192" t="str">
        <x:v>LMFT-ALT-004</x:v>
      </x:c>
      <x:c r="M415" s="192" t="str">
        <x:v>Released</x:v>
      </x:c>
      <x:c r="N415" s="194" t="str">
        <x:v>Form B only; paired alternate retained on the other comprehensive form</x:v>
      </x:c>
    </x:row>
    <x:row r="416">
      <x:c r="A416" s="191" t="str">
        <x:v>CTA-LMFT-MQB-0415</x:v>
      </x:c>
      <x:c r="B416" s="192" t="str">
        <x:v>LMFT-MQB-FB-CP-003</x:v>
      </x:c>
      <x:c r="C416" s="192" t="str">
        <x:v>LMFT Comprehensive Simulation Form B</x:v>
      </x:c>
      <x:c r="D416" s="192" t="n">
        <x:v>61</x:v>
      </x:c>
      <x:c r="E416" s="192" t="str">
        <x:v>Scored-Style</x:v>
      </x:c>
      <x:c r="F416" s="192" t="str">
        <x:v>4. Case Conceptualization and Planning</x:v>
      </x:c>
      <x:c r="G416" s="192" t="str">
        <x:v>Goal hierarchy</x:v>
      </x:c>
      <x:c r="H416" s="192" t="str">
        <x:v>Easy</x:v>
      </x:c>
      <x:c r="I416" s="192" t="str">
        <x:v>Application</x:v>
      </x:c>
      <x:c r="J416" s="192" t="str">
        <x:v>D</x:v>
      </x:c>
      <x:c r="K416" s="192" t="n">
        <x:v>1</x:v>
      </x:c>
      <x:c r="L416" s="192" t="str">
        <x:v>LMFT-ALT-044</x:v>
      </x:c>
      <x:c r="M416" s="192" t="str">
        <x:v>Released</x:v>
      </x:c>
      <x:c r="N416" s="194" t="str">
        <x:v>Form B only; paired alternate retained on the other comprehensive form</x:v>
      </x:c>
    </x:row>
    <x:row r="417">
      <x:c r="A417" s="191" t="str">
        <x:v>CTA-LMFT-MQB-0416</x:v>
      </x:c>
      <x:c r="B417" s="192" t="str">
        <x:v>LMFT-MQB-FB-TX-013</x:v>
      </x:c>
      <x:c r="C417" s="192" t="str">
        <x:v>LMFT Comprehensive Simulation Form B</x:v>
      </x:c>
      <x:c r="D417" s="192" t="n">
        <x:v>62</x:v>
      </x:c>
      <x:c r="E417" s="192" t="str">
        <x:v>Scored-Style</x:v>
      </x:c>
      <x:c r="F417" s="192" t="str">
        <x:v>5. Treatment</x:v>
      </x:c>
      <x:c r="G417" s="192" t="str">
        <x:v>Structural boundary work</x:v>
      </x:c>
      <x:c r="H417" s="192" t="str">
        <x:v>Moderate</x:v>
      </x:c>
      <x:c r="I417" s="192" t="str">
        <x:v>Application</x:v>
      </x:c>
      <x:c r="J417" s="192" t="str">
        <x:v>A</x:v>
      </x:c>
      <x:c r="K417" s="192" t="n">
        <x:v>1</x:v>
      </x:c>
      <x:c r="L417" s="192" t="str">
        <x:v>LMFT-ALT-120</x:v>
      </x:c>
      <x:c r="M417" s="192" t="str">
        <x:v>Released</x:v>
      </x:c>
      <x:c r="N417" s="194" t="str">
        <x:v>Form B only; paired alternate retained on the other comprehensive form</x:v>
      </x:c>
    </x:row>
    <x:row r="418">
      <x:c r="A418" s="191" t="str">
        <x:v>CTA-LMFT-MQB-0417</x:v>
      </x:c>
      <x:c r="B418" s="192" t="str">
        <x:v>LMFT-MQB-FB-CE-018</x:v>
      </x:c>
      <x:c r="C418" s="192" t="str">
        <x:v>LMFT Comprehensive Simulation Form B</x:v>
      </x:c>
      <x:c r="D418" s="192" t="n">
        <x:v>63</x:v>
      </x:c>
      <x:c r="E418" s="192" t="str">
        <x:v>Scored-Style</x:v>
      </x:c>
      <x:c r="F418" s="192" t="str">
        <x:v>1. Clinical Evaluation</x:v>
      </x:c>
      <x:c r="G418" s="192" t="str">
        <x:v>Consultation threshold</x:v>
      </x:c>
      <x:c r="H418" s="192" t="str">
        <x:v>Moderate</x:v>
      </x:c>
      <x:c r="I418" s="192" t="str">
        <x:v>Application</x:v>
      </x:c>
      <x:c r="J418" s="192" t="str">
        <x:v>B</x:v>
      </x:c>
      <x:c r="K418" s="192" t="n">
        <x:v>1</x:v>
      </x:c>
      <x:c r="L418" s="192" t="str">
        <x:v>LMFT-ALT-018</x:v>
      </x:c>
      <x:c r="M418" s="192" t="str">
        <x:v>Released</x:v>
      </x:c>
      <x:c r="N418" s="194" t="str">
        <x:v>Form B only; paired alternate retained on the other comprehensive form</x:v>
      </x:c>
    </x:row>
    <x:row r="419">
      <x:c r="A419" s="191" t="str">
        <x:v>CTA-LMFT-MQB-0418</x:v>
      </x:c>
      <x:c r="B419" s="192" t="str">
        <x:v>LMFT-MQB-FB-CR-009</x:v>
      </x:c>
      <x:c r="C419" s="192" t="str">
        <x:v>LMFT Comprehensive Simulation Form B</x:v>
      </x:c>
      <x:c r="D419" s="192" t="n">
        <x:v>64</x:v>
      </x:c>
      <x:c r="E419" s="192" t="str">
        <x:v>Scored-Style</x:v>
      </x:c>
      <x:c r="F419" s="192" t="str">
        <x:v>3. Managing Crisis Situations</x:v>
      </x:c>
      <x:c r="G419" s="192" t="str">
        <x:v>Child abuse suspicion</x:v>
      </x:c>
      <x:c r="H419" s="192" t="str">
        <x:v>Moderate</x:v>
      </x:c>
      <x:c r="I419" s="192" t="str">
        <x:v>Scenario-Based</x:v>
      </x:c>
      <x:c r="J419" s="192" t="str">
        <x:v>C</x:v>
      </x:c>
      <x:c r="K419" s="192" t="n">
        <x:v>1</x:v>
      </x:c>
      <x:c r="L419" s="192" t="str">
        <x:v>LMFT-ALT-068</x:v>
      </x:c>
      <x:c r="M419" s="192" t="str">
        <x:v>Released</x:v>
      </x:c>
      <x:c r="N419" s="194" t="str">
        <x:v>Form B only; paired alternate retained on the other comprehensive form</x:v>
      </x:c>
    </x:row>
    <x:row r="420">
      <x:c r="A420" s="191" t="str">
        <x:v>CTA-LMFT-MQB-0419</x:v>
      </x:c>
      <x:c r="B420" s="192" t="str">
        <x:v>LMFT-MQB-FB-LE-001</x:v>
      </x:c>
      <x:c r="C420" s="192" t="str">
        <x:v>LMFT Comprehensive Simulation Form B</x:v>
      </x:c>
      <x:c r="D420" s="192" t="n">
        <x:v>65</x:v>
      </x:c>
      <x:c r="E420" s="192" t="str">
        <x:v>Scored-Style</x:v>
      </x:c>
      <x:c r="F420" s="192" t="str">
        <x:v>6. Managing Legal and Ethical Obligations within the Therapeutic Relationship</x:v>
      </x:c>
      <x:c r="G420" s="192" t="str">
        <x:v>Ongoing informed consent</x:v>
      </x:c>
      <x:c r="H420" s="192" t="str">
        <x:v>Easy</x:v>
      </x:c>
      <x:c r="I420" s="192" t="str">
        <x:v>Knowledge &amp; Recall</x:v>
      </x:c>
      <x:c r="J420" s="192" t="str">
        <x:v>A</x:v>
      </x:c>
      <x:c r="K420" s="192" t="n">
        <x:v>1</x:v>
      </x:c>
      <x:c r="L420" s="192" t="str">
        <x:v>LMFT-ALT-093</x:v>
      </x:c>
      <x:c r="M420" s="192" t="str">
        <x:v>Released</x:v>
      </x:c>
      <x:c r="N420" s="194" t="str">
        <x:v>Form B only; paired alternate retained on the other comprehensive form</x:v>
      </x:c>
    </x:row>
    <x:row r="421">
      <x:c r="A421" s="191" t="str">
        <x:v>CTA-LMFT-MQB-0420</x:v>
      </x:c>
      <x:c r="B421" s="192" t="str">
        <x:v>LMFT-MQB-FB-CP-002</x:v>
      </x:c>
      <x:c r="C421" s="192" t="str">
        <x:v>LMFT Comprehensive Simulation Form B</x:v>
      </x:c>
      <x:c r="D421" s="192" t="n">
        <x:v>66</x:v>
      </x:c>
      <x:c r="E421" s="192" t="str">
        <x:v>Scored-Style</x:v>
      </x:c>
      <x:c r="F421" s="192" t="str">
        <x:v>4. Case Conceptualization and Planning</x:v>
      </x:c>
      <x:c r="G421" s="192" t="str">
        <x:v>Case conceptualization</x:v>
      </x:c>
      <x:c r="H421" s="192" t="str">
        <x:v>Moderate</x:v>
      </x:c>
      <x:c r="I421" s="192" t="str">
        <x:v>Knowledge &amp; Recall</x:v>
      </x:c>
      <x:c r="J421" s="192" t="str">
        <x:v>B</x:v>
      </x:c>
      <x:c r="K421" s="192" t="n">
        <x:v>1</x:v>
      </x:c>
      <x:c r="L421" s="192" t="str">
        <x:v>LMFT-ALT-043</x:v>
      </x:c>
      <x:c r="M421" s="192" t="str">
        <x:v>Released</x:v>
      </x:c>
      <x:c r="N421" s="194" t="str">
        <x:v>Form B only; paired alternate retained on the other comprehensive form</x:v>
      </x:c>
    </x:row>
    <x:row r="422">
      <x:c r="A422" s="191" t="str">
        <x:v>CTA-LMFT-MQB-0421</x:v>
      </x:c>
      <x:c r="B422" s="192" t="str">
        <x:v>LMFT-MQB-FB-LE-002</x:v>
      </x:c>
      <x:c r="C422" s="192" t="str">
        <x:v>LMFT Comprehensive Simulation Form B</x:v>
      </x:c>
      <x:c r="D422" s="192" t="n">
        <x:v>67</x:v>
      </x:c>
      <x:c r="E422" s="192" t="str">
        <x:v>Scored-Style</x:v>
      </x:c>
      <x:c r="F422" s="192" t="str">
        <x:v>6. Managing Legal and Ethical Obligations within the Therapeutic Relationship</x:v>
      </x:c>
      <x:c r="G422" s="192" t="str">
        <x:v>Minimum necessary disclosure</x:v>
      </x:c>
      <x:c r="H422" s="192" t="str">
        <x:v>Moderate</x:v>
      </x:c>
      <x:c r="I422" s="192" t="str">
        <x:v>Knowledge &amp; Recall</x:v>
      </x:c>
      <x:c r="J422" s="192" t="str">
        <x:v>C</x:v>
      </x:c>
      <x:c r="K422" s="192" t="n">
        <x:v>1</x:v>
      </x:c>
      <x:c r="L422" s="192" t="str">
        <x:v>LMFT-ALT-094</x:v>
      </x:c>
      <x:c r="M422" s="192" t="str">
        <x:v>Released</x:v>
      </x:c>
      <x:c r="N422" s="194" t="str">
        <x:v>Form B only; paired alternate retained on the other comprehensive form</x:v>
      </x:c>
    </x:row>
    <x:row r="423">
      <x:c r="A423" s="191" t="str">
        <x:v>CTA-LMFT-MQB-0422</x:v>
      </x:c>
      <x:c r="B423" s="192" t="str">
        <x:v>LMFT-MQB-FB-CE-024</x:v>
      </x:c>
      <x:c r="C423" s="192" t="str">
        <x:v>LMFT Comprehensive Simulation Form B</x:v>
      </x:c>
      <x:c r="D423" s="192" t="n">
        <x:v>68</x:v>
      </x:c>
      <x:c r="E423" s="192" t="str">
        <x:v>Scored-Style</x:v>
      </x:c>
      <x:c r="F423" s="192" t="str">
        <x:v>1. Clinical Evaluation</x:v>
      </x:c>
      <x:c r="G423" s="192" t="str">
        <x:v>Possible intoxication at intake</x:v>
      </x:c>
      <x:c r="H423" s="192" t="str">
        <x:v>Moderate</x:v>
      </x:c>
      <x:c r="I423" s="192" t="str">
        <x:v>Scenario-Based</x:v>
      </x:c>
      <x:c r="J423" s="192" t="str">
        <x:v>A</x:v>
      </x:c>
      <x:c r="K423" s="192" t="n">
        <x:v>1</x:v>
      </x:c>
      <x:c r="L423" s="192" t="str">
        <x:v>LMFT-ALT-024</x:v>
      </x:c>
      <x:c r="M423" s="192" t="str">
        <x:v>Released</x:v>
      </x:c>
      <x:c r="N423" s="194" t="str">
        <x:v>Form B only; paired alternate retained on the other comprehensive form</x:v>
      </x:c>
    </x:row>
    <x:row r="424">
      <x:c r="A424" s="191" t="str">
        <x:v>CTA-LMFT-MQB-0423</x:v>
      </x:c>
      <x:c r="B424" s="192" t="str">
        <x:v>LMFT-MQB-FB-CR-004</x:v>
      </x:c>
      <x:c r="C424" s="192" t="str">
        <x:v>LMFT Comprehensive Simulation Form B</x:v>
      </x:c>
      <x:c r="D424" s="192" t="n">
        <x:v>69</x:v>
      </x:c>
      <x:c r="E424" s="192" t="str">
        <x:v>Scored-Style</x:v>
      </x:c>
      <x:c r="F424" s="192" t="str">
        <x:v>3. Managing Crisis Situations</x:v>
      </x:c>
      <x:c r="G424" s="192" t="str">
        <x:v>Means safety</x:v>
      </x:c>
      <x:c r="H424" s="192" t="str">
        <x:v>Moderate</x:v>
      </x:c>
      <x:c r="I424" s="192" t="str">
        <x:v>Application</x:v>
      </x:c>
      <x:c r="J424" s="192" t="str">
        <x:v>D</x:v>
      </x:c>
      <x:c r="K424" s="192" t="n">
        <x:v>1</x:v>
      </x:c>
      <x:c r="L424" s="192" t="str">
        <x:v>LMFT-ALT-063</x:v>
      </x:c>
      <x:c r="M424" s="192" t="str">
        <x:v>Released</x:v>
      </x:c>
      <x:c r="N424" s="194" t="str">
        <x:v>Form B only; paired alternate retained on the other comprehensive form</x:v>
      </x:c>
    </x:row>
    <x:row r="425">
      <x:c r="A425" s="191" t="str">
        <x:v>CTA-LMFT-MQB-0424</x:v>
      </x:c>
      <x:c r="B425" s="192" t="str">
        <x:v>LMFT-MQB-FB-TX-011</x:v>
      </x:c>
      <x:c r="C425" s="192" t="str">
        <x:v>LMFT Comprehensive Simulation Form B</x:v>
      </x:c>
      <x:c r="D425" s="192" t="n">
        <x:v>70</x:v>
      </x:c>
      <x:c r="E425" s="192" t="str">
        <x:v>Scored-Style</x:v>
      </x:c>
      <x:c r="F425" s="192" t="str">
        <x:v>5. Treatment</x:v>
      </x:c>
      <x:c r="G425" s="192" t="str">
        <x:v>Grief support</x:v>
      </x:c>
      <x:c r="H425" s="192" t="str">
        <x:v>Easy</x:v>
      </x:c>
      <x:c r="I425" s="192" t="str">
        <x:v>Application</x:v>
      </x:c>
      <x:c r="J425" s="192" t="str">
        <x:v>D</x:v>
      </x:c>
      <x:c r="K425" s="192" t="n">
        <x:v>1</x:v>
      </x:c>
      <x:c r="L425" s="192" t="str">
        <x:v>LMFT-ALT-118</x:v>
      </x:c>
      <x:c r="M425" s="192" t="str">
        <x:v>Released</x:v>
      </x:c>
      <x:c r="N425" s="194" t="str">
        <x:v>Form B only; paired alternate retained on the other comprehensive form</x:v>
      </x:c>
    </x:row>
    <x:row r="426">
      <x:c r="A426" s="191" t="str">
        <x:v>CTA-LMFT-MQB-0425</x:v>
      </x:c>
      <x:c r="B426" s="192" t="str">
        <x:v>LMFT-MQB-FB-LE-008</x:v>
      </x:c>
      <x:c r="C426" s="192" t="str">
        <x:v>LMFT Comprehensive Simulation Form B</x:v>
      </x:c>
      <x:c r="D426" s="192" t="n">
        <x:v>71</x:v>
      </x:c>
      <x:c r="E426" s="192" t="str">
        <x:v>Scored-Style</x:v>
      </x:c>
      <x:c r="F426" s="192" t="str">
        <x:v>6. Managing Legal and Ethical Obligations within the Therapeutic Relationship</x:v>
      </x:c>
      <x:c r="G426" s="192" t="str">
        <x:v>Renewed consent for recording</x:v>
      </x:c>
      <x:c r="H426" s="192" t="str">
        <x:v>Easy</x:v>
      </x:c>
      <x:c r="I426" s="192" t="str">
        <x:v>Scenario-Based</x:v>
      </x:c>
      <x:c r="J426" s="192" t="str">
        <x:v>B</x:v>
      </x:c>
      <x:c r="K426" s="192" t="n">
        <x:v>1</x:v>
      </x:c>
      <x:c r="L426" s="192" t="str">
        <x:v>LMFT-ALT-100</x:v>
      </x:c>
      <x:c r="M426" s="192" t="str">
        <x:v>Released</x:v>
      </x:c>
      <x:c r="N426" s="194" t="str">
        <x:v>Form B only; paired alternate retained on the other comprehensive form</x:v>
      </x:c>
    </x:row>
    <x:row r="427">
      <x:c r="A427" s="191" t="str">
        <x:v>CTA-LMFT-MQB-0426</x:v>
      </x:c>
      <x:c r="B427" s="192" t="str">
        <x:v>LMFT-MQB-FB-DI-006</x:v>
      </x:c>
      <x:c r="C427" s="192" t="str">
        <x:v>LMFT Comprehensive Simulation Form B</x:v>
      </x:c>
      <x:c r="D427" s="192" t="n">
        <x:v>72</x:v>
      </x:c>
      <x:c r="E427" s="192" t="str">
        <x:v>Pretest-Style</x:v>
      </x:c>
      <x:c r="F427" s="192" t="str">
        <x:v>2. Developing a Diagnostic Impression</x:v>
      </x:c>
      <x:c r="G427" s="192" t="str">
        <x:v>Substance-induced symptoms</x:v>
      </x:c>
      <x:c r="H427" s="192" t="str">
        <x:v>Easy</x:v>
      </x:c>
      <x:c r="I427" s="192" t="str">
        <x:v>Application</x:v>
      </x:c>
      <x:c r="J427" s="192" t="str">
        <x:v>C</x:v>
      </x:c>
      <x:c r="K427" s="192" t="n">
        <x:v>1</x:v>
      </x:c>
      <x:c r="L427" s="192" t="str">
        <x:v>LMFT-ALT-081</x:v>
      </x:c>
      <x:c r="M427" s="192" t="str">
        <x:v>Released</x:v>
      </x:c>
      <x:c r="N427" s="194" t="str">
        <x:v>Form B only; paired alternate retained on the other comprehensive form</x:v>
      </x:c>
    </x:row>
    <x:row r="428">
      <x:c r="A428" s="191" t="str">
        <x:v>CTA-LMFT-MQB-0427</x:v>
      </x:c>
      <x:c r="B428" s="192" t="str">
        <x:v>LMFT-MQB-FB-CE-030</x:v>
      </x:c>
      <x:c r="C428" s="192" t="str">
        <x:v>LMFT Comprehensive Simulation Form B</x:v>
      </x:c>
      <x:c r="D428" s="192" t="n">
        <x:v>73</x:v>
      </x:c>
      <x:c r="E428" s="192" t="str">
        <x:v>Scored-Style</x:v>
      </x:c>
      <x:c r="F428" s="192" t="str">
        <x:v>1. Clinical Evaluation</x:v>
      </x:c>
      <x:c r="G428" s="192" t="str">
        <x:v>Possible cognitive disorder</x:v>
      </x:c>
      <x:c r="H428" s="192" t="str">
        <x:v>Moderate</x:v>
      </x:c>
      <x:c r="I428" s="192" t="str">
        <x:v>Scenario-Based</x:v>
      </x:c>
      <x:c r="J428" s="192" t="str">
        <x:v>D</x:v>
      </x:c>
      <x:c r="K428" s="192" t="n">
        <x:v>1</x:v>
      </x:c>
      <x:c r="L428" s="192" t="str">
        <x:v>LMFT-ALT-030</x:v>
      </x:c>
      <x:c r="M428" s="192" t="str">
        <x:v>Released</x:v>
      </x:c>
      <x:c r="N428" s="194" t="str">
        <x:v>Form B only; paired alternate retained on the other comprehensive form</x:v>
      </x:c>
    </x:row>
    <x:row r="429">
      <x:c r="A429" s="191" t="str">
        <x:v>CTA-LMFT-MQB-0428</x:v>
      </x:c>
      <x:c r="B429" s="192" t="str">
        <x:v>LMFT-MQB-FB-TX-002</x:v>
      </x:c>
      <x:c r="C429" s="192" t="str">
        <x:v>LMFT Comprehensive Simulation Form B</x:v>
      </x:c>
      <x:c r="D429" s="192" t="n">
        <x:v>74</x:v>
      </x:c>
      <x:c r="E429" s="192" t="str">
        <x:v>Scored-Style</x:v>
      </x:c>
      <x:c r="F429" s="192" t="str">
        <x:v>5. Treatment</x:v>
      </x:c>
      <x:c r="G429" s="192" t="str">
        <x:v>Motivational interviewing</x:v>
      </x:c>
      <x:c r="H429" s="192" t="str">
        <x:v>Easy</x:v>
      </x:c>
      <x:c r="I429" s="192" t="str">
        <x:v>Knowledge &amp; Recall</x:v>
      </x:c>
      <x:c r="J429" s="192" t="str">
        <x:v>B</x:v>
      </x:c>
      <x:c r="K429" s="192" t="n">
        <x:v>1</x:v>
      </x:c>
      <x:c r="L429" s="192" t="str">
        <x:v>LMFT-ALT-109</x:v>
      </x:c>
      <x:c r="M429" s="192" t="str">
        <x:v>Released</x:v>
      </x:c>
      <x:c r="N429" s="194" t="str">
        <x:v>Form B only; paired alternate retained on the other comprehensive form</x:v>
      </x:c>
    </x:row>
    <x:row r="430">
      <x:c r="A430" s="191" t="str">
        <x:v>CTA-LMFT-MQB-0429</x:v>
      </x:c>
      <x:c r="B430" s="192" t="str">
        <x:v>LMFT-MQB-FB-CE-040</x:v>
      </x:c>
      <x:c r="C430" s="192" t="str">
        <x:v>LMFT Comprehensive Simulation Form B</x:v>
      </x:c>
      <x:c r="D430" s="192" t="n">
        <x:v>75</x:v>
      </x:c>
      <x:c r="E430" s="192" t="str">
        <x:v>Scored-Style</x:v>
      </x:c>
      <x:c r="F430" s="192" t="str">
        <x:v>1. Clinical Evaluation</x:v>
      </x:c>
      <x:c r="G430" s="192" t="str">
        <x:v>Complex older-adult evaluation</x:v>
      </x:c>
      <x:c r="H430" s="192" t="str">
        <x:v>Difficult</x:v>
      </x:c>
      <x:c r="I430" s="192" t="str">
        <x:v>Integrated Clinical Reasoning</x:v>
      </x:c>
      <x:c r="J430" s="192" t="str">
        <x:v>C</x:v>
      </x:c>
      <x:c r="K430" s="192" t="n">
        <x:v>1</x:v>
      </x:c>
      <x:c r="L430" s="192" t="str">
        <x:v>LMFT-ALT-040</x:v>
      </x:c>
      <x:c r="M430" s="192" t="str">
        <x:v>Released</x:v>
      </x:c>
      <x:c r="N430" s="194" t="str">
        <x:v>Form B only; paired alternate retained on the other comprehensive form</x:v>
      </x:c>
    </x:row>
    <x:row r="431">
      <x:c r="A431" s="191" t="str">
        <x:v>CTA-LMFT-MQB-0430</x:v>
      </x:c>
      <x:c r="B431" s="192" t="str">
        <x:v>LMFT-MQB-FB-CE-025</x:v>
      </x:c>
      <x:c r="C431" s="192" t="str">
        <x:v>LMFT Comprehensive Simulation Form B</x:v>
      </x:c>
      <x:c r="D431" s="192" t="n">
        <x:v>76</x:v>
      </x:c>
      <x:c r="E431" s="192" t="str">
        <x:v>Scored-Style</x:v>
      </x:c>
      <x:c r="F431" s="192" t="str">
        <x:v>1. Clinical Evaluation</x:v>
      </x:c>
      <x:c r="G431" s="192" t="str">
        <x:v>Child behavior across settings</x:v>
      </x:c>
      <x:c r="H431" s="192" t="str">
        <x:v>Moderate</x:v>
      </x:c>
      <x:c r="I431" s="192" t="str">
        <x:v>Scenario-Based</x:v>
      </x:c>
      <x:c r="J431" s="192" t="str">
        <x:v>D</x:v>
      </x:c>
      <x:c r="K431" s="192" t="n">
        <x:v>1</x:v>
      </x:c>
      <x:c r="L431" s="192" t="str">
        <x:v>LMFT-ALT-025</x:v>
      </x:c>
      <x:c r="M431" s="192" t="str">
        <x:v>Released</x:v>
      </x:c>
      <x:c r="N431" s="194" t="str">
        <x:v>Form B only; paired alternate retained on the other comprehensive form</x:v>
      </x:c>
    </x:row>
    <x:row r="432">
      <x:c r="A432" s="191" t="str">
        <x:v>CTA-LMFT-MQB-0431</x:v>
      </x:c>
      <x:c r="B432" s="192" t="str">
        <x:v>LMFT-MQB-FB-CP-013</x:v>
      </x:c>
      <x:c r="C432" s="192" t="str">
        <x:v>LMFT Comprehensive Simulation Form B</x:v>
      </x:c>
      <x:c r="D432" s="192" t="n">
        <x:v>77</x:v>
      </x:c>
      <x:c r="E432" s="192" t="str">
        <x:v>Scored-Style</x:v>
      </x:c>
      <x:c r="F432" s="192" t="str">
        <x:v>4. Case Conceptualization and Planning</x:v>
      </x:c>
      <x:c r="G432" s="192" t="str">
        <x:v>Termination planning</x:v>
      </x:c>
      <x:c r="H432" s="192" t="str">
        <x:v>Moderate</x:v>
      </x:c>
      <x:c r="I432" s="192" t="str">
        <x:v>Scenario-Based</x:v>
      </x:c>
      <x:c r="J432" s="192" t="str">
        <x:v>C</x:v>
      </x:c>
      <x:c r="K432" s="192" t="n">
        <x:v>1</x:v>
      </x:c>
      <x:c r="L432" s="192" t="str">
        <x:v>LMFT-ALT-054</x:v>
      </x:c>
      <x:c r="M432" s="192" t="str">
        <x:v>Released</x:v>
      </x:c>
      <x:c r="N432" s="194" t="str">
        <x:v>Form B only; paired alternate retained on the other comprehensive form</x:v>
      </x:c>
    </x:row>
    <x:row r="433">
      <x:c r="A433" s="191" t="str">
        <x:v>CTA-LMFT-MQB-0432</x:v>
      </x:c>
      <x:c r="B433" s="192" t="str">
        <x:v>LMFT-MQB-FB-CR-002</x:v>
      </x:c>
      <x:c r="C433" s="192" t="str">
        <x:v>LMFT Comprehensive Simulation Form B</x:v>
      </x:c>
      <x:c r="D433" s="192" t="n">
        <x:v>78</x:v>
      </x:c>
      <x:c r="E433" s="192" t="str">
        <x:v>Scored-Style</x:v>
      </x:c>
      <x:c r="F433" s="192" t="str">
        <x:v>3. Managing Crisis Situations</x:v>
      </x:c>
      <x:c r="G433" s="192" t="str">
        <x:v>Safety planning</x:v>
      </x:c>
      <x:c r="H433" s="192" t="str">
        <x:v>Easy</x:v>
      </x:c>
      <x:c r="I433" s="192" t="str">
        <x:v>Application</x:v>
      </x:c>
      <x:c r="J433" s="192" t="str">
        <x:v>C</x:v>
      </x:c>
      <x:c r="K433" s="192" t="n">
        <x:v>1</x:v>
      </x:c>
      <x:c r="L433" s="192" t="str">
        <x:v>LMFT-ALT-061</x:v>
      </x:c>
      <x:c r="M433" s="192" t="str">
        <x:v>Released</x:v>
      </x:c>
      <x:c r="N433" s="194" t="str">
        <x:v>Form B only; paired alternate retained on the other comprehensive form</x:v>
      </x:c>
    </x:row>
    <x:row r="434">
      <x:c r="A434" s="191" t="str">
        <x:v>CTA-LMFT-MQB-0433</x:v>
      </x:c>
      <x:c r="B434" s="192" t="str">
        <x:v>LMFT-MQB-FB-TX-041</x:v>
      </x:c>
      <x:c r="C434" s="192" t="str">
        <x:v>LMFT Comprehensive Simulation Form B</x:v>
      </x:c>
      <x:c r="D434" s="192" t="n">
        <x:v>79</x:v>
      </x:c>
      <x:c r="E434" s="192" t="str">
        <x:v>Scored-Style</x:v>
      </x:c>
      <x:c r="F434" s="192" t="str">
        <x:v>5. Treatment</x:v>
      </x:c>
      <x:c r="G434" s="192" t="str">
        <x:v>Integrated neurodiversity and couple treatment</x:v>
      </x:c>
      <x:c r="H434" s="192" t="str">
        <x:v>Difficult</x:v>
      </x:c>
      <x:c r="I434" s="192" t="str">
        <x:v>Integrated Clinical Reasoning</x:v>
      </x:c>
      <x:c r="J434" s="192" t="str">
        <x:v>C</x:v>
      </x:c>
      <x:c r="K434" s="192" t="n">
        <x:v>1</x:v>
      </x:c>
      <x:c r="L434" s="192" t="str">
        <x:v>LMFT-ALT-148</x:v>
      </x:c>
      <x:c r="M434" s="192" t="str">
        <x:v>Released</x:v>
      </x:c>
      <x:c r="N434" s="194" t="str">
        <x:v>Form B only; paired alternate retained on the other comprehensive form</x:v>
      </x:c>
    </x:row>
    <x:row r="435">
      <x:c r="A435" s="191" t="str">
        <x:v>CTA-LMFT-MQB-0434</x:v>
      </x:c>
      <x:c r="B435" s="192" t="str">
        <x:v>LMFT-MQB-FB-CP-009</x:v>
      </x:c>
      <x:c r="C435" s="192" t="str">
        <x:v>LMFT Comprehensive Simulation Form B</x:v>
      </x:c>
      <x:c r="D435" s="192" t="n">
        <x:v>80</x:v>
      </x:c>
      <x:c r="E435" s="192" t="str">
        <x:v>Pretest-Style</x:v>
      </x:c>
      <x:c r="F435" s="192" t="str">
        <x:v>4. Case Conceptualization and Planning</x:v>
      </x:c>
      <x:c r="G435" s="192" t="str">
        <x:v>Level of care</x:v>
      </x:c>
      <x:c r="H435" s="192" t="str">
        <x:v>Difficult</x:v>
      </x:c>
      <x:c r="I435" s="192" t="str">
        <x:v>Application</x:v>
      </x:c>
      <x:c r="J435" s="192" t="str">
        <x:v>A</x:v>
      </x:c>
      <x:c r="K435" s="192" t="n">
        <x:v>1</x:v>
      </x:c>
      <x:c r="L435" s="192" t="str">
        <x:v>LMFT-ALT-050</x:v>
      </x:c>
      <x:c r="M435" s="192" t="str">
        <x:v>Released</x:v>
      </x:c>
      <x:c r="N435" s="194" t="str">
        <x:v>Form B only; paired alternate retained on the other comprehensive form</x:v>
      </x:c>
    </x:row>
    <x:row r="436">
      <x:c r="A436" s="191" t="str">
        <x:v>CTA-LMFT-MQB-0435</x:v>
      </x:c>
      <x:c r="B436" s="192" t="str">
        <x:v>LMFT-MQB-FB-TX-033</x:v>
      </x:c>
      <x:c r="C436" s="192" t="str">
        <x:v>LMFT Comprehensive Simulation Form B</x:v>
      </x:c>
      <x:c r="D436" s="192" t="n">
        <x:v>81</x:v>
      </x:c>
      <x:c r="E436" s="192" t="str">
        <x:v>Scored-Style</x:v>
      </x:c>
      <x:c r="F436" s="192" t="str">
        <x:v>5. Treatment</x:v>
      </x:c>
      <x:c r="G436" s="192" t="str">
        <x:v>Coercive violence and conjoint work</x:v>
      </x:c>
      <x:c r="H436" s="192" t="str">
        <x:v>Difficult</x:v>
      </x:c>
      <x:c r="I436" s="192" t="str">
        <x:v>Scenario-Based</x:v>
      </x:c>
      <x:c r="J436" s="192" t="str">
        <x:v>D</x:v>
      </x:c>
      <x:c r="K436" s="192" t="n">
        <x:v>1</x:v>
      </x:c>
      <x:c r="L436" s="192" t="str">
        <x:v>LMFT-ALT-140</x:v>
      </x:c>
      <x:c r="M436" s="192" t="str">
        <x:v>Released</x:v>
      </x:c>
      <x:c r="N436" s="194" t="str">
        <x:v>Form B only; paired alternate retained on the other comprehensive form</x:v>
      </x:c>
    </x:row>
    <x:row r="437">
      <x:c r="A437" s="191" t="str">
        <x:v>CTA-LMFT-MQB-0436</x:v>
      </x:c>
      <x:c r="B437" s="192" t="str">
        <x:v>LMFT-MQB-FB-CE-013</x:v>
      </x:c>
      <x:c r="C437" s="192" t="str">
        <x:v>LMFT Comprehensive Simulation Form B</x:v>
      </x:c>
      <x:c r="D437" s="192" t="n">
        <x:v>82</x:v>
      </x:c>
      <x:c r="E437" s="192" t="str">
        <x:v>Scored-Style</x:v>
      </x:c>
      <x:c r="F437" s="192" t="str">
        <x:v>1. Clinical Evaluation</x:v>
      </x:c>
      <x:c r="G437" s="192" t="str">
        <x:v>Developmental context</x:v>
      </x:c>
      <x:c r="H437" s="192" t="str">
        <x:v>Moderate</x:v>
      </x:c>
      <x:c r="I437" s="192" t="str">
        <x:v>Application</x:v>
      </x:c>
      <x:c r="J437" s="192" t="str">
        <x:v>B</x:v>
      </x:c>
      <x:c r="K437" s="192" t="n">
        <x:v>1</x:v>
      </x:c>
      <x:c r="L437" s="192" t="str">
        <x:v>LMFT-ALT-013</x:v>
      </x:c>
      <x:c r="M437" s="192" t="str">
        <x:v>Released</x:v>
      </x:c>
      <x:c r="N437" s="194" t="str">
        <x:v>Form B only; paired alternate retained on the other comprehensive form</x:v>
      </x:c>
    </x:row>
    <x:row r="438">
      <x:c r="A438" s="191" t="str">
        <x:v>CTA-LMFT-MQB-0437</x:v>
      </x:c>
      <x:c r="B438" s="192" t="str">
        <x:v>LMFT-MQB-FB-TX-037</x:v>
      </x:c>
      <x:c r="C438" s="192" t="str">
        <x:v>LMFT Comprehensive Simulation Form B</x:v>
      </x:c>
      <x:c r="D438" s="192" t="n">
        <x:v>83</x:v>
      </x:c>
      <x:c r="E438" s="192" t="str">
        <x:v>Scored-Style</x:v>
      </x:c>
      <x:c r="F438" s="192" t="str">
        <x:v>5. Treatment</x:v>
      </x:c>
      <x:c r="G438" s="192" t="str">
        <x:v>Integrated family treatment</x:v>
      </x:c>
      <x:c r="H438" s="192" t="str">
        <x:v>Moderate</x:v>
      </x:c>
      <x:c r="I438" s="192" t="str">
        <x:v>Integrated Clinical Reasoning</x:v>
      </x:c>
      <x:c r="J438" s="192" t="str">
        <x:v>B</x:v>
      </x:c>
      <x:c r="K438" s="192" t="n">
        <x:v>1</x:v>
      </x:c>
      <x:c r="L438" s="192" t="str">
        <x:v>LMFT-ALT-144</x:v>
      </x:c>
      <x:c r="M438" s="192" t="str">
        <x:v>Released</x:v>
      </x:c>
      <x:c r="N438" s="194" t="str">
        <x:v>Form B only; paired alternate retained on the other comprehensive form</x:v>
      </x:c>
    </x:row>
    <x:row r="439">
      <x:c r="A439" s="191" t="str">
        <x:v>CTA-LMFT-MQB-0438</x:v>
      </x:c>
      <x:c r="B439" s="192" t="str">
        <x:v>LMFT-MQB-FB-DI-012</x:v>
      </x:c>
      <x:c r="C439" s="192" t="str">
        <x:v>LMFT Comprehensive Simulation Form B</x:v>
      </x:c>
      <x:c r="D439" s="192" t="n">
        <x:v>84</x:v>
      </x:c>
      <x:c r="E439" s="192" t="str">
        <x:v>Scored-Style</x:v>
      </x:c>
      <x:c r="F439" s="192" t="str">
        <x:v>2. Developing a Diagnostic Impression</x:v>
      </x:c>
      <x:c r="G439" s="192" t="str">
        <x:v>ADHD versus trauma</x:v>
      </x:c>
      <x:c r="H439" s="192" t="str">
        <x:v>Moderate</x:v>
      </x:c>
      <x:c r="I439" s="192" t="str">
        <x:v>Scenario-Based</x:v>
      </x:c>
      <x:c r="J439" s="192" t="str">
        <x:v>D</x:v>
      </x:c>
      <x:c r="K439" s="192" t="n">
        <x:v>1</x:v>
      </x:c>
      <x:c r="L439" s="192" t="str">
        <x:v>LMFT-ALT-087</x:v>
      </x:c>
      <x:c r="M439" s="192" t="str">
        <x:v>Released</x:v>
      </x:c>
      <x:c r="N439" s="194" t="str">
        <x:v>Form B only; paired alternate retained on the other comprehensive form</x:v>
      </x:c>
    </x:row>
    <x:row r="440">
      <x:c r="A440" s="191" t="str">
        <x:v>CTA-LMFT-MQB-0439</x:v>
      </x:c>
      <x:c r="B440" s="192" t="str">
        <x:v>LMFT-MQB-FB-CE-019</x:v>
      </x:c>
      <x:c r="C440" s="192" t="str">
        <x:v>LMFT Comprehensive Simulation Form B</x:v>
      </x:c>
      <x:c r="D440" s="192" t="n">
        <x:v>85</x:v>
      </x:c>
      <x:c r="E440" s="192" t="str">
        <x:v>Pretest-Style</x:v>
      </x:c>
      <x:c r="F440" s="192" t="str">
        <x:v>1. Clinical Evaluation</x:v>
      </x:c>
      <x:c r="G440" s="192" t="str">
        <x:v>Family interaction sequence</x:v>
      </x:c>
      <x:c r="H440" s="192" t="str">
        <x:v>Moderate</x:v>
      </x:c>
      <x:c r="I440" s="192" t="str">
        <x:v>Application</x:v>
      </x:c>
      <x:c r="J440" s="192" t="str">
        <x:v>A</x:v>
      </x:c>
      <x:c r="K440" s="192" t="n">
        <x:v>1</x:v>
      </x:c>
      <x:c r="L440" s="192" t="str">
        <x:v>LMFT-ALT-019</x:v>
      </x:c>
      <x:c r="M440" s="192" t="str">
        <x:v>Released</x:v>
      </x:c>
      <x:c r="N440" s="194" t="str">
        <x:v>Form B only; paired alternate retained on the other comprehensive form</x:v>
      </x:c>
    </x:row>
    <x:row r="441">
      <x:c r="A441" s="191" t="str">
        <x:v>CTA-LMFT-MQB-0440</x:v>
      </x:c>
      <x:c r="B441" s="192" t="str">
        <x:v>LMFT-MQB-FB-DI-016</x:v>
      </x:c>
      <x:c r="C441" s="192" t="str">
        <x:v>LMFT Comprehensive Simulation Form B</x:v>
      </x:c>
      <x:c r="D441" s="192" t="n">
        <x:v>86</x:v>
      </x:c>
      <x:c r="E441" s="192" t="str">
        <x:v>Scored-Style</x:v>
      </x:c>
      <x:c r="F441" s="192" t="str">
        <x:v>2. Developing a Diagnostic Impression</x:v>
      </x:c>
      <x:c r="G441" s="192" t="str">
        <x:v>Diagnostic and systemic formulation</x:v>
      </x:c>
      <x:c r="H441" s="192" t="str">
        <x:v>Moderate</x:v>
      </x:c>
      <x:c r="I441" s="192" t="str">
        <x:v>Integrated Clinical Reasoning</x:v>
      </x:c>
      <x:c r="J441" s="192" t="str">
        <x:v>A</x:v>
      </x:c>
      <x:c r="K441" s="192" t="n">
        <x:v>1</x:v>
      </x:c>
      <x:c r="L441" s="192" t="str">
        <x:v>LMFT-ALT-091</x:v>
      </x:c>
      <x:c r="M441" s="192" t="str">
        <x:v>Released</x:v>
      </x:c>
      <x:c r="N441" s="194" t="str">
        <x:v>Form B only; paired alternate retained on the other comprehensive form</x:v>
      </x:c>
    </x:row>
    <x:row r="442">
      <x:c r="A442" s="191" t="str">
        <x:v>CTA-LMFT-MQB-0441</x:v>
      </x:c>
      <x:c r="B442" s="192" t="str">
        <x:v>LMFT-MQB-FB-DI-001</x:v>
      </x:c>
      <x:c r="C442" s="192" t="str">
        <x:v>LMFT Comprehensive Simulation Form B</x:v>
      </x:c>
      <x:c r="D442" s="192" t="n">
        <x:v>87</x:v>
      </x:c>
      <x:c r="E442" s="192" t="str">
        <x:v>Scored-Style</x:v>
      </x:c>
      <x:c r="F442" s="192" t="str">
        <x:v>2. Developing a Diagnostic Impression</x:v>
      </x:c>
      <x:c r="G442" s="192" t="str">
        <x:v>Provisional diagnosis</x:v>
      </x:c>
      <x:c r="H442" s="192" t="str">
        <x:v>Easy</x:v>
      </x:c>
      <x:c r="I442" s="192" t="str">
        <x:v>Knowledge &amp; Recall</x:v>
      </x:c>
      <x:c r="J442" s="192" t="str">
        <x:v>B</x:v>
      </x:c>
      <x:c r="K442" s="192" t="n">
        <x:v>1</x:v>
      </x:c>
      <x:c r="L442" s="192" t="str">
        <x:v>LMFT-ALT-076</x:v>
      </x:c>
      <x:c r="M442" s="192" t="str">
        <x:v>Released</x:v>
      </x:c>
      <x:c r="N442" s="194" t="str">
        <x:v>Form B only; paired alternate retained on the other comprehensive form</x:v>
      </x:c>
    </x:row>
    <x:row r="443">
      <x:c r="A443" s="191" t="str">
        <x:v>CTA-LMFT-MQB-0442</x:v>
      </x:c>
      <x:c r="B443" s="192" t="str">
        <x:v>LMFT-MQB-FB-TX-020</x:v>
      </x:c>
      <x:c r="C443" s="192" t="str">
        <x:v>LMFT Comprehensive Simulation Form B</x:v>
      </x:c>
      <x:c r="D443" s="192" t="n">
        <x:v>88</x:v>
      </x:c>
      <x:c r="E443" s="192" t="str">
        <x:v>Pretest-Style</x:v>
      </x:c>
      <x:c r="F443" s="192" t="str">
        <x:v>5. Treatment</x:v>
      </x:c>
      <x:c r="G443" s="192" t="str">
        <x:v>Caregiver burden</x:v>
      </x:c>
      <x:c r="H443" s="192" t="str">
        <x:v>Moderate</x:v>
      </x:c>
      <x:c r="I443" s="192" t="str">
        <x:v>Application</x:v>
      </x:c>
      <x:c r="J443" s="192" t="str">
        <x:v>A</x:v>
      </x:c>
      <x:c r="K443" s="192" t="n">
        <x:v>1</x:v>
      </x:c>
      <x:c r="L443" s="192" t="str">
        <x:v>LMFT-ALT-127</x:v>
      </x:c>
      <x:c r="M443" s="192" t="str">
        <x:v>Released</x:v>
      </x:c>
      <x:c r="N443" s="194" t="str">
        <x:v>Form B only; paired alternate retained on the other comprehensive form</x:v>
      </x:c>
    </x:row>
    <x:row r="444">
      <x:c r="A444" s="191" t="str">
        <x:v>CTA-LMFT-MQB-0443</x:v>
      </x:c>
      <x:c r="B444" s="192" t="str">
        <x:v>LMFT-MQB-FB-CE-034</x:v>
      </x:c>
      <x:c r="C444" s="192" t="str">
        <x:v>LMFT Comprehensive Simulation Form B</x:v>
      </x:c>
      <x:c r="D444" s="192" t="n">
        <x:v>89</x:v>
      </x:c>
      <x:c r="E444" s="192" t="str">
        <x:v>Scored-Style</x:v>
      </x:c>
      <x:c r="F444" s="192" t="str">
        <x:v>1. Clinical Evaluation</x:v>
      </x:c>
      <x:c r="G444" s="192" t="str">
        <x:v>Medical and trauma overlap</x:v>
      </x:c>
      <x:c r="H444" s="192" t="str">
        <x:v>Difficult</x:v>
      </x:c>
      <x:c r="I444" s="192" t="str">
        <x:v>Scenario-Based</x:v>
      </x:c>
      <x:c r="J444" s="192" t="str">
        <x:v>D</x:v>
      </x:c>
      <x:c r="K444" s="192" t="n">
        <x:v>1</x:v>
      </x:c>
      <x:c r="L444" s="192" t="str">
        <x:v>LMFT-ALT-034</x:v>
      </x:c>
      <x:c r="M444" s="192" t="str">
        <x:v>Released</x:v>
      </x:c>
      <x:c r="N444" s="194" t="str">
        <x:v>Form B only; paired alternate retained on the other comprehensive form</x:v>
      </x:c>
    </x:row>
    <x:row r="445">
      <x:c r="A445" s="191" t="str">
        <x:v>CTA-LMFT-MQB-0444</x:v>
      </x:c>
      <x:c r="B445" s="192" t="str">
        <x:v>LMFT-MQB-FB-TX-010</x:v>
      </x:c>
      <x:c r="C445" s="192" t="str">
        <x:v>LMFT Comprehensive Simulation Form B</x:v>
      </x:c>
      <x:c r="D445" s="192" t="n">
        <x:v>90</x:v>
      </x:c>
      <x:c r="E445" s="192" t="str">
        <x:v>Scored-Style</x:v>
      </x:c>
      <x:c r="F445" s="192" t="str">
        <x:v>5. Treatment</x:v>
      </x:c>
      <x:c r="G445" s="192" t="str">
        <x:v>Parent coaching</x:v>
      </x:c>
      <x:c r="H445" s="192" t="str">
        <x:v>Easy</x:v>
      </x:c>
      <x:c r="I445" s="192" t="str">
        <x:v>Application</x:v>
      </x:c>
      <x:c r="J445" s="192" t="str">
        <x:v>A</x:v>
      </x:c>
      <x:c r="K445" s="192" t="n">
        <x:v>1</x:v>
      </x:c>
      <x:c r="L445" s="192" t="str">
        <x:v>LMFT-ALT-117</x:v>
      </x:c>
      <x:c r="M445" s="192" t="str">
        <x:v>Released</x:v>
      </x:c>
      <x:c r="N445" s="194" t="str">
        <x:v>Form B only; paired alternate retained on the other comprehensive form</x:v>
      </x:c>
    </x:row>
    <x:row r="446">
      <x:c r="A446" s="191" t="str">
        <x:v>CTA-LMFT-MQB-0445</x:v>
      </x:c>
      <x:c r="B446" s="192" t="str">
        <x:v>LMFT-MQB-FB-CE-036</x:v>
      </x:c>
      <x:c r="C446" s="192" t="str">
        <x:v>LMFT Comprehensive Simulation Form B</x:v>
      </x:c>
      <x:c r="D446" s="192" t="n">
        <x:v>91</x:v>
      </x:c>
      <x:c r="E446" s="192" t="str">
        <x:v>Scored-Style</x:v>
      </x:c>
      <x:c r="F446" s="192" t="str">
        <x:v>1. Clinical Evaluation</x:v>
      </x:c>
      <x:c r="G446" s="192" t="str">
        <x:v>Evaluation under cultural and language constraints</x:v>
      </x:c>
      <x:c r="H446" s="192" t="str">
        <x:v>Difficult</x:v>
      </x:c>
      <x:c r="I446" s="192" t="str">
        <x:v>Scenario-Based</x:v>
      </x:c>
      <x:c r="J446" s="192" t="str">
        <x:v>D</x:v>
      </x:c>
      <x:c r="K446" s="192" t="n">
        <x:v>1</x:v>
      </x:c>
      <x:c r="L446" s="192" t="str">
        <x:v>LMFT-ALT-036</x:v>
      </x:c>
      <x:c r="M446" s="192" t="str">
        <x:v>Released</x:v>
      </x:c>
      <x:c r="N446" s="194" t="str">
        <x:v>Form B only; paired alternate retained on the other comprehensive form</x:v>
      </x:c>
    </x:row>
    <x:row r="447">
      <x:c r="A447" s="191" t="str">
        <x:v>CTA-LMFT-MQB-0446</x:v>
      </x:c>
      <x:c r="B447" s="192" t="str">
        <x:v>LMFT-MQB-FB-TX-029</x:v>
      </x:c>
      <x:c r="C447" s="192" t="str">
        <x:v>LMFT Comprehensive Simulation Form B</x:v>
      </x:c>
      <x:c r="D447" s="192" t="n">
        <x:v>92</x:v>
      </x:c>
      <x:c r="E447" s="192" t="str">
        <x:v>Scored-Style</x:v>
      </x:c>
      <x:c r="F447" s="192" t="str">
        <x:v>5. Treatment</x:v>
      </x:c>
      <x:c r="G447" s="192" t="str">
        <x:v>Group conflict</x:v>
      </x:c>
      <x:c r="H447" s="192" t="str">
        <x:v>Moderate</x:v>
      </x:c>
      <x:c r="I447" s="192" t="str">
        <x:v>Scenario-Based</x:v>
      </x:c>
      <x:c r="J447" s="192" t="str">
        <x:v>C</x:v>
      </x:c>
      <x:c r="K447" s="192" t="n">
        <x:v>1</x:v>
      </x:c>
      <x:c r="L447" s="192" t="str">
        <x:v>LMFT-ALT-136</x:v>
      </x:c>
      <x:c r="M447" s="192" t="str">
        <x:v>Released</x:v>
      </x:c>
      <x:c r="N447" s="194" t="str">
        <x:v>Form B only; paired alternate retained on the other comprehensive form</x:v>
      </x:c>
    </x:row>
    <x:row r="448">
      <x:c r="A448" s="191" t="str">
        <x:v>CTA-LMFT-MQB-0447</x:v>
      </x:c>
      <x:c r="B448" s="192" t="str">
        <x:v>LMFT-MQB-FB-TX-001</x:v>
      </x:c>
      <x:c r="C448" s="192" t="str">
        <x:v>LMFT Comprehensive Simulation Form B</x:v>
      </x:c>
      <x:c r="D448" s="192" t="n">
        <x:v>93</x:v>
      </x:c>
      <x:c r="E448" s="192" t="str">
        <x:v>Scored-Style</x:v>
      </x:c>
      <x:c r="F448" s="192" t="str">
        <x:v>5. Treatment</x:v>
      </x:c>
      <x:c r="G448" s="192" t="str">
        <x:v>Structural intervention</x:v>
      </x:c>
      <x:c r="H448" s="192" t="str">
        <x:v>Easy</x:v>
      </x:c>
      <x:c r="I448" s="192" t="str">
        <x:v>Knowledge &amp; Recall</x:v>
      </x:c>
      <x:c r="J448" s="192" t="str">
        <x:v>A</x:v>
      </x:c>
      <x:c r="K448" s="192" t="n">
        <x:v>1</x:v>
      </x:c>
      <x:c r="L448" s="192" t="str">
        <x:v>LMFT-ALT-108</x:v>
      </x:c>
      <x:c r="M448" s="192" t="str">
        <x:v>Released</x:v>
      </x:c>
      <x:c r="N448" s="194" t="str">
        <x:v>Form B only; paired alternate retained on the other comprehensive form</x:v>
      </x:c>
    </x:row>
    <x:row r="449">
      <x:c r="A449" s="191" t="str">
        <x:v>CTA-LMFT-MQB-0448</x:v>
      </x:c>
      <x:c r="B449" s="192" t="str">
        <x:v>LMFT-MQB-FB-CP-015</x:v>
      </x:c>
      <x:c r="C449" s="192" t="str">
        <x:v>LMFT Comprehensive Simulation Form B</x:v>
      </x:c>
      <x:c r="D449" s="192" t="n">
        <x:v>94</x:v>
      </x:c>
      <x:c r="E449" s="192" t="str">
        <x:v>Scored-Style</x:v>
      </x:c>
      <x:c r="F449" s="192" t="str">
        <x:v>4. Case Conceptualization and Planning</x:v>
      </x:c>
      <x:c r="G449" s="192" t="str">
        <x:v>Plan under uncertain diagnosis</x:v>
      </x:c>
      <x:c r="H449" s="192" t="str">
        <x:v>Difficult</x:v>
      </x:c>
      <x:c r="I449" s="192" t="str">
        <x:v>Scenario-Based</x:v>
      </x:c>
      <x:c r="J449" s="192" t="str">
        <x:v>B</x:v>
      </x:c>
      <x:c r="K449" s="192" t="n">
        <x:v>1</x:v>
      </x:c>
      <x:c r="L449" s="192" t="str">
        <x:v>LMFT-ALT-056</x:v>
      </x:c>
      <x:c r="M449" s="192" t="str">
        <x:v>Released</x:v>
      </x:c>
      <x:c r="N449" s="194" t="str">
        <x:v>Form B only; paired alternate retained on the other comprehensive form</x:v>
      </x:c>
    </x:row>
    <x:row r="450">
      <x:c r="A450" s="191" t="str">
        <x:v>CTA-LMFT-MQB-0449</x:v>
      </x:c>
      <x:c r="B450" s="192" t="str">
        <x:v>LMFT-MQB-FB-TX-014</x:v>
      </x:c>
      <x:c r="C450" s="192" t="str">
        <x:v>LMFT Comprehensive Simulation Form B</x:v>
      </x:c>
      <x:c r="D450" s="192" t="n">
        <x:v>95</x:v>
      </x:c>
      <x:c r="E450" s="192" t="str">
        <x:v>Scored-Style</x:v>
      </x:c>
      <x:c r="F450" s="192" t="str">
        <x:v>5. Treatment</x:v>
      </x:c>
      <x:c r="G450" s="192" t="str">
        <x:v>Bowen differentiation</x:v>
      </x:c>
      <x:c r="H450" s="192" t="str">
        <x:v>Moderate</x:v>
      </x:c>
      <x:c r="I450" s="192" t="str">
        <x:v>Application</x:v>
      </x:c>
      <x:c r="J450" s="192" t="str">
        <x:v>A</x:v>
      </x:c>
      <x:c r="K450" s="192" t="n">
        <x:v>1</x:v>
      </x:c>
      <x:c r="L450" s="192" t="str">
        <x:v>LMFT-ALT-121</x:v>
      </x:c>
      <x:c r="M450" s="192" t="str">
        <x:v>Released</x:v>
      </x:c>
      <x:c r="N450" s="194" t="str">
        <x:v>Form B only; paired alternate retained on the other comprehensive form</x:v>
      </x:c>
    </x:row>
    <x:row r="451">
      <x:c r="A451" s="191" t="str">
        <x:v>CTA-LMFT-MQB-0450</x:v>
      </x:c>
      <x:c r="B451" s="192" t="str">
        <x:v>LMFT-MQB-FB-CE-017</x:v>
      </x:c>
      <x:c r="C451" s="192" t="str">
        <x:v>LMFT Comprehensive Simulation Form B</x:v>
      </x:c>
      <x:c r="D451" s="192" t="n">
        <x:v>96</x:v>
      </x:c>
      <x:c r="E451" s="192" t="str">
        <x:v>Scored-Style</x:v>
      </x:c>
      <x:c r="F451" s="192" t="str">
        <x:v>1. Clinical Evaluation</x:v>
      </x:c>
      <x:c r="G451" s="192" t="str">
        <x:v>Sexuality assessment</x:v>
      </x:c>
      <x:c r="H451" s="192" t="str">
        <x:v>Moderate</x:v>
      </x:c>
      <x:c r="I451" s="192" t="str">
        <x:v>Application</x:v>
      </x:c>
      <x:c r="J451" s="192" t="str">
        <x:v>D</x:v>
      </x:c>
      <x:c r="K451" s="192" t="n">
        <x:v>1</x:v>
      </x:c>
      <x:c r="L451" s="192" t="str">
        <x:v>LMFT-ALT-017</x:v>
      </x:c>
      <x:c r="M451" s="192" t="str">
        <x:v>Released</x:v>
      </x:c>
      <x:c r="N451" s="194" t="str">
        <x:v>Form B only; paired alternate retained on the other comprehensive form</x:v>
      </x:c>
    </x:row>
    <x:row r="452">
      <x:c r="A452" s="191" t="str">
        <x:v>CTA-LMFT-MQB-0451</x:v>
      </x:c>
      <x:c r="B452" s="192" t="str">
        <x:v>LMFT-MQB-FB-DI-003</x:v>
      </x:c>
      <x:c r="C452" s="192" t="str">
        <x:v>LMFT Comprehensive Simulation Form B</x:v>
      </x:c>
      <x:c r="D452" s="192" t="n">
        <x:v>97</x:v>
      </x:c>
      <x:c r="E452" s="192" t="str">
        <x:v>Scored-Style</x:v>
      </x:c>
      <x:c r="F452" s="192" t="str">
        <x:v>2. Developing a Diagnostic Impression</x:v>
      </x:c>
      <x:c r="G452" s="192" t="str">
        <x:v>Other conditions that may be a focus</x:v>
      </x:c>
      <x:c r="H452" s="192" t="str">
        <x:v>Moderate</x:v>
      </x:c>
      <x:c r="I452" s="192" t="str">
        <x:v>Knowledge &amp; Recall</x:v>
      </x:c>
      <x:c r="J452" s="192" t="str">
        <x:v>D</x:v>
      </x:c>
      <x:c r="K452" s="192" t="n">
        <x:v>1</x:v>
      </x:c>
      <x:c r="L452" s="192" t="str">
        <x:v>LMFT-ALT-078</x:v>
      </x:c>
      <x:c r="M452" s="192" t="str">
        <x:v>Released</x:v>
      </x:c>
      <x:c r="N452" s="194" t="str">
        <x:v>Form B only; paired alternate retained on the other comprehensive form</x:v>
      </x:c>
    </x:row>
    <x:row r="453">
      <x:c r="A453" s="191" t="str">
        <x:v>CTA-LMFT-MQB-0452</x:v>
      </x:c>
      <x:c r="B453" s="192" t="str">
        <x:v>LMFT-MQB-FB-CE-002</x:v>
      </x:c>
      <x:c r="C453" s="192" t="str">
        <x:v>LMFT Comprehensive Simulation Form B</x:v>
      </x:c>
      <x:c r="D453" s="192" t="n">
        <x:v>98</x:v>
      </x:c>
      <x:c r="E453" s="192" t="str">
        <x:v>Scored-Style</x:v>
      </x:c>
      <x:c r="F453" s="192" t="str">
        <x:v>1. Clinical Evaluation</x:v>
      </x:c>
      <x:c r="G453" s="192" t="str">
        <x:v>Mental status examination</x:v>
      </x:c>
      <x:c r="H453" s="192" t="str">
        <x:v>Easy</x:v>
      </x:c>
      <x:c r="I453" s="192" t="str">
        <x:v>Knowledge &amp; Recall</x:v>
      </x:c>
      <x:c r="J453" s="192" t="str">
        <x:v>B</x:v>
      </x:c>
      <x:c r="K453" s="192" t="n">
        <x:v>1</x:v>
      </x:c>
      <x:c r="L453" s="192" t="str">
        <x:v>LMFT-ALT-002</x:v>
      </x:c>
      <x:c r="M453" s="192" t="str">
        <x:v>Released</x:v>
      </x:c>
      <x:c r="N453" s="194" t="str">
        <x:v>Form B only; paired alternate retained on the other comprehensive form</x:v>
      </x:c>
    </x:row>
    <x:row r="454">
      <x:c r="A454" s="191" t="str">
        <x:v>CTA-LMFT-MQB-0453</x:v>
      </x:c>
      <x:c r="B454" s="192" t="str">
        <x:v>LMFT-MQB-FB-DI-015</x:v>
      </x:c>
      <x:c r="C454" s="192" t="str">
        <x:v>LMFT Comprehensive Simulation Form B</x:v>
      </x:c>
      <x:c r="D454" s="192" t="n">
        <x:v>99</x:v>
      </x:c>
      <x:c r="E454" s="192" t="str">
        <x:v>Pretest-Style</x:v>
      </x:c>
      <x:c r="F454" s="192" t="str">
        <x:v>2. Developing a Diagnostic Impression</x:v>
      </x:c>
      <x:c r="G454" s="192" t="str">
        <x:v>Multiple overlapping syndromes</x:v>
      </x:c>
      <x:c r="H454" s="192" t="str">
        <x:v>Difficult</x:v>
      </x:c>
      <x:c r="I454" s="192" t="str">
        <x:v>Scenario-Based</x:v>
      </x:c>
      <x:c r="J454" s="192" t="str">
        <x:v>C</x:v>
      </x:c>
      <x:c r="K454" s="192" t="n">
        <x:v>1</x:v>
      </x:c>
      <x:c r="L454" s="192" t="str">
        <x:v>LMFT-ALT-090</x:v>
      </x:c>
      <x:c r="M454" s="192" t="str">
        <x:v>Released</x:v>
      </x:c>
      <x:c r="N454" s="194" t="str">
        <x:v>Form B only; paired alternate retained on the other comprehensive form</x:v>
      </x:c>
    </x:row>
    <x:row r="455">
      <x:c r="A455" s="191" t="str">
        <x:v>CTA-LMFT-MQB-0454</x:v>
      </x:c>
      <x:c r="B455" s="192" t="str">
        <x:v>LMFT-MQB-FB-CR-001</x:v>
      </x:c>
      <x:c r="C455" s="192" t="str">
        <x:v>LMFT Comprehensive Simulation Form B</x:v>
      </x:c>
      <x:c r="D455" s="192" t="n">
        <x:v>100</x:v>
      </x:c>
      <x:c r="E455" s="192" t="str">
        <x:v>Scored-Style</x:v>
      </x:c>
      <x:c r="F455" s="192" t="str">
        <x:v>3. Managing Crisis Situations</x:v>
      </x:c>
      <x:c r="G455" s="192" t="str">
        <x:v>Crisis priority</x:v>
      </x:c>
      <x:c r="H455" s="192" t="str">
        <x:v>Easy</x:v>
      </x:c>
      <x:c r="I455" s="192" t="str">
        <x:v>Knowledge &amp; Recall</x:v>
      </x:c>
      <x:c r="J455" s="192" t="str">
        <x:v>A</x:v>
      </x:c>
      <x:c r="K455" s="192" t="n">
        <x:v>1</x:v>
      </x:c>
      <x:c r="L455" s="192" t="str">
        <x:v>LMFT-ALT-060</x:v>
      </x:c>
      <x:c r="M455" s="192" t="str">
        <x:v>Released</x:v>
      </x:c>
      <x:c r="N455" s="194" t="str">
        <x:v>Form B only; paired alternate retained on the other comprehensive form</x:v>
      </x:c>
    </x:row>
    <x:row r="456">
      <x:c r="A456" s="191" t="str">
        <x:v>CTA-LMFT-MQB-0455</x:v>
      </x:c>
      <x:c r="B456" s="192" t="str">
        <x:v>LMFT-MQB-FB-TX-005</x:v>
      </x:c>
      <x:c r="C456" s="192" t="str">
        <x:v>LMFT Comprehensive Simulation Form B</x:v>
      </x:c>
      <x:c r="D456" s="192" t="n">
        <x:v>101</x:v>
      </x:c>
      <x:c r="E456" s="192" t="str">
        <x:v>Scored-Style</x:v>
      </x:c>
      <x:c r="F456" s="192" t="str">
        <x:v>5. Treatment</x:v>
      </x:c>
      <x:c r="G456" s="192" t="str">
        <x:v>Reflective listening</x:v>
      </x:c>
      <x:c r="H456" s="192" t="str">
        <x:v>Easy</x:v>
      </x:c>
      <x:c r="I456" s="192" t="str">
        <x:v>Application</x:v>
      </x:c>
      <x:c r="J456" s="192" t="str">
        <x:v>B</x:v>
      </x:c>
      <x:c r="K456" s="192" t="n">
        <x:v>1</x:v>
      </x:c>
      <x:c r="L456" s="192" t="str">
        <x:v>LMFT-ALT-112</x:v>
      </x:c>
      <x:c r="M456" s="192" t="str">
        <x:v>Released</x:v>
      </x:c>
      <x:c r="N456" s="194" t="str">
        <x:v>Form B only; paired alternate retained on the other comprehensive form</x:v>
      </x:c>
    </x:row>
    <x:row r="457">
      <x:c r="A457" s="191" t="str">
        <x:v>CTA-LMFT-MQB-0456</x:v>
      </x:c>
      <x:c r="B457" s="192" t="str">
        <x:v>LMFT-MQB-FB-CE-016</x:v>
      </x:c>
      <x:c r="C457" s="192" t="str">
        <x:v>LMFT Comprehensive Simulation Form B</x:v>
      </x:c>
      <x:c r="D457" s="192" t="n">
        <x:v>102</x:v>
      </x:c>
      <x:c r="E457" s="192" t="str">
        <x:v>Scored-Style</x:v>
      </x:c>
      <x:c r="F457" s="192" t="str">
        <x:v>1. Clinical Evaluation</x:v>
      </x:c>
      <x:c r="G457" s="192" t="str">
        <x:v>Trauma inquiry pacing</x:v>
      </x:c>
      <x:c r="H457" s="192" t="str">
        <x:v>Moderate</x:v>
      </x:c>
      <x:c r="I457" s="192" t="str">
        <x:v>Application</x:v>
      </x:c>
      <x:c r="J457" s="192" t="str">
        <x:v>D</x:v>
      </x:c>
      <x:c r="K457" s="192" t="n">
        <x:v>1</x:v>
      </x:c>
      <x:c r="L457" s="192" t="str">
        <x:v>LMFT-ALT-016</x:v>
      </x:c>
      <x:c r="M457" s="192" t="str">
        <x:v>Released</x:v>
      </x:c>
      <x:c r="N457" s="194" t="str">
        <x:v>Form B only; paired alternate retained on the other comprehensive form</x:v>
      </x:c>
    </x:row>
    <x:row r="458">
      <x:c r="A458" s="191" t="str">
        <x:v>CTA-LMFT-MQB-0457</x:v>
      </x:c>
      <x:c r="B458" s="192" t="str">
        <x:v>LMFT-MQB-FB-CR-003</x:v>
      </x:c>
      <x:c r="C458" s="192" t="str">
        <x:v>LMFT Comprehensive Simulation Form B</x:v>
      </x:c>
      <x:c r="D458" s="192" t="n">
        <x:v>103</x:v>
      </x:c>
      <x:c r="E458" s="192" t="str">
        <x:v>Scored-Style</x:v>
      </x:c>
      <x:c r="F458" s="192" t="str">
        <x:v>3. Managing Crisis Situations</x:v>
      </x:c>
      <x:c r="G458" s="192" t="str">
        <x:v>Emergency documentation</x:v>
      </x:c>
      <x:c r="H458" s="192" t="str">
        <x:v>Easy</x:v>
      </x:c>
      <x:c r="I458" s="192" t="str">
        <x:v>Application</x:v>
      </x:c>
      <x:c r="J458" s="192" t="str">
        <x:v>A</x:v>
      </x:c>
      <x:c r="K458" s="192" t="n">
        <x:v>1</x:v>
      </x:c>
      <x:c r="L458" s="192" t="str">
        <x:v>LMFT-ALT-062</x:v>
      </x:c>
      <x:c r="M458" s="192" t="str">
        <x:v>Released</x:v>
      </x:c>
      <x:c r="N458" s="194" t="str">
        <x:v>Form B only; paired alternate retained on the other comprehensive form</x:v>
      </x:c>
    </x:row>
    <x:row r="459">
      <x:c r="A459" s="191" t="str">
        <x:v>CTA-LMFT-MQB-0458</x:v>
      </x:c>
      <x:c r="B459" s="192" t="str">
        <x:v>LMFT-MQB-FB-CR-012</x:v>
      </x:c>
      <x:c r="C459" s="192" t="str">
        <x:v>LMFT Comprehensive Simulation Form B</x:v>
      </x:c>
      <x:c r="D459" s="192" t="n">
        <x:v>104</x:v>
      </x:c>
      <x:c r="E459" s="192" t="str">
        <x:v>Scored-Style</x:v>
      </x:c>
      <x:c r="F459" s="192" t="str">
        <x:v>3. Managing Crisis Situations</x:v>
      </x:c>
      <x:c r="G459" s="192" t="str">
        <x:v>Sexual assault disclosure</x:v>
      </x:c>
      <x:c r="H459" s="192" t="str">
        <x:v>Difficult</x:v>
      </x:c>
      <x:c r="I459" s="192" t="str">
        <x:v>Scenario-Based</x:v>
      </x:c>
      <x:c r="J459" s="192" t="str">
        <x:v>C</x:v>
      </x:c>
      <x:c r="K459" s="192" t="n">
        <x:v>1</x:v>
      </x:c>
      <x:c r="L459" s="192" t="str">
        <x:v>LMFT-ALT-071</x:v>
      </x:c>
      <x:c r="M459" s="192" t="str">
        <x:v>Released</x:v>
      </x:c>
      <x:c r="N459" s="194" t="str">
        <x:v>Form B only; paired alternate retained on the other comprehensive form</x:v>
      </x:c>
    </x:row>
    <x:row r="460">
      <x:c r="A460" s="191" t="str">
        <x:v>CTA-LMFT-MQB-0459</x:v>
      </x:c>
      <x:c r="B460" s="192" t="str">
        <x:v>LMFT-MQB-FB-DI-011</x:v>
      </x:c>
      <x:c r="C460" s="192" t="str">
        <x:v>LMFT Comprehensive Simulation Form B</x:v>
      </x:c>
      <x:c r="D460" s="192" t="n">
        <x:v>105</x:v>
      </x:c>
      <x:c r="E460" s="192" t="str">
        <x:v>Scored-Style</x:v>
      </x:c>
      <x:c r="F460" s="192" t="str">
        <x:v>2. Developing a Diagnostic Impression</x:v>
      </x:c>
      <x:c r="G460" s="192" t="str">
        <x:v>Depression versus grief</x:v>
      </x:c>
      <x:c r="H460" s="192" t="str">
        <x:v>Moderate</x:v>
      </x:c>
      <x:c r="I460" s="192" t="str">
        <x:v>Scenario-Based</x:v>
      </x:c>
      <x:c r="J460" s="192" t="str">
        <x:v>D</x:v>
      </x:c>
      <x:c r="K460" s="192" t="n">
        <x:v>1</x:v>
      </x:c>
      <x:c r="L460" s="192" t="str">
        <x:v>LMFT-ALT-086</x:v>
      </x:c>
      <x:c r="M460" s="192" t="str">
        <x:v>Released</x:v>
      </x:c>
      <x:c r="N460" s="194" t="str">
        <x:v>Form B only; paired alternate retained on the other comprehensive form</x:v>
      </x:c>
    </x:row>
    <x:row r="461">
      <x:c r="A461" s="191" t="str">
        <x:v>CTA-LMFT-MQB-0460</x:v>
      </x:c>
      <x:c r="B461" s="192" t="str">
        <x:v>LMFT-MQB-FB-CP-006</x:v>
      </x:c>
      <x:c r="C461" s="192" t="str">
        <x:v>LMFT Comprehensive Simulation Form B</x:v>
      </x:c>
      <x:c r="D461" s="192" t="n">
        <x:v>106</x:v>
      </x:c>
      <x:c r="E461" s="192" t="str">
        <x:v>Scored-Style</x:v>
      </x:c>
      <x:c r="F461" s="192" t="str">
        <x:v>4. Case Conceptualization and Planning</x:v>
      </x:c>
      <x:c r="G461" s="192" t="str">
        <x:v>Outcome monitoring</x:v>
      </x:c>
      <x:c r="H461" s="192" t="str">
        <x:v>Moderate</x:v>
      </x:c>
      <x:c r="I461" s="192" t="str">
        <x:v>Application</x:v>
      </x:c>
      <x:c r="J461" s="192" t="str">
        <x:v>D</x:v>
      </x:c>
      <x:c r="K461" s="192" t="n">
        <x:v>1</x:v>
      </x:c>
      <x:c r="L461" s="192" t="str">
        <x:v>LMFT-ALT-047</x:v>
      </x:c>
      <x:c r="M461" s="192" t="str">
        <x:v>Released</x:v>
      </x:c>
      <x:c r="N461" s="194" t="str">
        <x:v>Form B only; paired alternate retained on the other comprehensive form</x:v>
      </x:c>
    </x:row>
    <x:row r="462">
      <x:c r="A462" s="191" t="str">
        <x:v>CTA-LMFT-MQB-0461</x:v>
      </x:c>
      <x:c r="B462" s="192" t="str">
        <x:v>LMFT-MQB-FB-CP-005</x:v>
      </x:c>
      <x:c r="C462" s="192" t="str">
        <x:v>LMFT Comprehensive Simulation Form B</x:v>
      </x:c>
      <x:c r="D462" s="192" t="n">
        <x:v>107</x:v>
      </x:c>
      <x:c r="E462" s="192" t="str">
        <x:v>Scored-Style</x:v>
      </x:c>
      <x:c r="F462" s="192" t="str">
        <x:v>4. Case Conceptualization and Planning</x:v>
      </x:c>
      <x:c r="G462" s="192" t="str">
        <x:v>Modality selection</x:v>
      </x:c>
      <x:c r="H462" s="192" t="str">
        <x:v>Moderate</x:v>
      </x:c>
      <x:c r="I462" s="192" t="str">
        <x:v>Application</x:v>
      </x:c>
      <x:c r="J462" s="192" t="str">
        <x:v>C</x:v>
      </x:c>
      <x:c r="K462" s="192" t="n">
        <x:v>1</x:v>
      </x:c>
      <x:c r="L462" s="192" t="str">
        <x:v>LMFT-ALT-046</x:v>
      </x:c>
      <x:c r="M462" s="192" t="str">
        <x:v>Released</x:v>
      </x:c>
      <x:c r="N462" s="194" t="str">
        <x:v>Form B only; paired alternate retained on the other comprehensive form</x:v>
      </x:c>
    </x:row>
    <x:row r="463">
      <x:c r="A463" s="191" t="str">
        <x:v>CTA-LMFT-MQB-0462</x:v>
      </x:c>
      <x:c r="B463" s="192" t="str">
        <x:v>LMFT-MQB-FB-TX-022</x:v>
      </x:c>
      <x:c r="C463" s="192" t="str">
        <x:v>LMFT Comprehensive Simulation Form B</x:v>
      </x:c>
      <x:c r="D463" s="192" t="n">
        <x:v>108</x:v>
      </x:c>
      <x:c r="E463" s="192" t="str">
        <x:v>Pretest-Style</x:v>
      </x:c>
      <x:c r="F463" s="192" t="str">
        <x:v>5. Treatment</x:v>
      </x:c>
      <x:c r="G463" s="192" t="str">
        <x:v>Complex couple treatment fit</x:v>
      </x:c>
      <x:c r="H463" s="192" t="str">
        <x:v>Difficult</x:v>
      </x:c>
      <x:c r="I463" s="192" t="str">
        <x:v>Application</x:v>
      </x:c>
      <x:c r="J463" s="192" t="str">
        <x:v>C</x:v>
      </x:c>
      <x:c r="K463" s="192" t="n">
        <x:v>1</x:v>
      </x:c>
      <x:c r="L463" s="192" t="str">
        <x:v>LMFT-ALT-129</x:v>
      </x:c>
      <x:c r="M463" s="192" t="str">
        <x:v>Released</x:v>
      </x:c>
      <x:c r="N463" s="194" t="str">
        <x:v>Form B only; paired alternate retained on the other comprehensive form</x:v>
      </x:c>
    </x:row>
    <x:row r="464">
      <x:c r="A464" s="191" t="str">
        <x:v>CTA-LMFT-MQB-0463</x:v>
      </x:c>
      <x:c r="B464" s="192" t="str">
        <x:v>LMFT-MQB-FB-CE-029</x:v>
      </x:c>
      <x:c r="C464" s="192" t="str">
        <x:v>LMFT Comprehensive Simulation Form B</x:v>
      </x:c>
      <x:c r="D464" s="192" t="n">
        <x:v>109</x:v>
      </x:c>
      <x:c r="E464" s="192" t="str">
        <x:v>Scored-Style</x:v>
      </x:c>
      <x:c r="F464" s="192" t="str">
        <x:v>1. Clinical Evaluation</x:v>
      </x:c>
      <x:c r="G464" s="192" t="str">
        <x:v>Intimate partner violence screening</x:v>
      </x:c>
      <x:c r="H464" s="192" t="str">
        <x:v>Moderate</x:v>
      </x:c>
      <x:c r="I464" s="192" t="str">
        <x:v>Scenario-Based</x:v>
      </x:c>
      <x:c r="J464" s="192" t="str">
        <x:v>A</x:v>
      </x:c>
      <x:c r="K464" s="192" t="n">
        <x:v>1</x:v>
      </x:c>
      <x:c r="L464" s="192" t="str">
        <x:v>LMFT-ALT-029</x:v>
      </x:c>
      <x:c r="M464" s="192" t="str">
        <x:v>Released</x:v>
      </x:c>
      <x:c r="N464" s="194" t="str">
        <x:v>Form B only; paired alternate retained on the other comprehensive form</x:v>
      </x:c>
    </x:row>
    <x:row r="465">
      <x:c r="A465" s="191" t="str">
        <x:v>CTA-LMFT-MQB-0464</x:v>
      </x:c>
      <x:c r="B465" s="192" t="str">
        <x:v>LMFT-MQB-FB-TX-026</x:v>
      </x:c>
      <x:c r="C465" s="192" t="str">
        <x:v>LMFT Comprehensive Simulation Form B</x:v>
      </x:c>
      <x:c r="D465" s="192" t="n">
        <x:v>110</x:v>
      </x:c>
      <x:c r="E465" s="192" t="str">
        <x:v>Scored-Style</x:v>
      </x:c>
      <x:c r="F465" s="192" t="str">
        <x:v>5. Treatment</x:v>
      </x:c>
      <x:c r="G465" s="192" t="str">
        <x:v>Couple de-escalation</x:v>
      </x:c>
      <x:c r="H465" s="192" t="str">
        <x:v>Moderate</x:v>
      </x:c>
      <x:c r="I465" s="192" t="str">
        <x:v>Scenario-Based</x:v>
      </x:c>
      <x:c r="J465" s="192" t="str">
        <x:v>A</x:v>
      </x:c>
      <x:c r="K465" s="192" t="n">
        <x:v>1</x:v>
      </x:c>
      <x:c r="L465" s="192" t="str">
        <x:v>LMFT-ALT-133</x:v>
      </x:c>
      <x:c r="M465" s="192" t="str">
        <x:v>Released</x:v>
      </x:c>
      <x:c r="N465" s="194" t="str">
        <x:v>Form B only; paired alternate retained on the other comprehensive form</x:v>
      </x:c>
    </x:row>
    <x:row r="466">
      <x:c r="A466" s="191" t="str">
        <x:v>CTA-LMFT-MQB-0465</x:v>
      </x:c>
      <x:c r="B466" s="192" t="str">
        <x:v>LMFT-MQB-FB-TX-017</x:v>
      </x:c>
      <x:c r="C466" s="192" t="str">
        <x:v>LMFT Comprehensive Simulation Form B</x:v>
      </x:c>
      <x:c r="D466" s="192" t="n">
        <x:v>111</x:v>
      </x:c>
      <x:c r="E466" s="192" t="str">
        <x:v>Scored-Style</x:v>
      </x:c>
      <x:c r="F466" s="192" t="str">
        <x:v>5. Treatment</x:v>
      </x:c>
      <x:c r="G466" s="192" t="str">
        <x:v>Harm reduction</x:v>
      </x:c>
      <x:c r="H466" s="192" t="str">
        <x:v>Moderate</x:v>
      </x:c>
      <x:c r="I466" s="192" t="str">
        <x:v>Application</x:v>
      </x:c>
      <x:c r="J466" s="192" t="str">
        <x:v>B</x:v>
      </x:c>
      <x:c r="K466" s="192" t="n">
        <x:v>1</x:v>
      </x:c>
      <x:c r="L466" s="192" t="str">
        <x:v>LMFT-ALT-124</x:v>
      </x:c>
      <x:c r="M466" s="192" t="str">
        <x:v>Released</x:v>
      </x:c>
      <x:c r="N466" s="194" t="str">
        <x:v>Form B only; paired alternate retained on the other comprehensive form</x:v>
      </x:c>
    </x:row>
    <x:row r="467">
      <x:c r="A467" s="191" t="str">
        <x:v>CTA-LMFT-MQB-0466</x:v>
      </x:c>
      <x:c r="B467" s="192" t="str">
        <x:v>LMFT-MQB-FB-LE-007</x:v>
      </x:c>
      <x:c r="C467" s="192" t="str">
        <x:v>LMFT Comprehensive Simulation Form B</x:v>
      </x:c>
      <x:c r="D467" s="192" t="n">
        <x:v>112</x:v>
      </x:c>
      <x:c r="E467" s="192" t="str">
        <x:v>Pretest-Style</x:v>
      </x:c>
      <x:c r="F467" s="192" t="str">
        <x:v>6. Managing Legal and Ethical Obligations within the Therapeutic Relationship</x:v>
      </x:c>
      <x:c r="G467" s="192" t="str">
        <x:v>Court request</x:v>
      </x:c>
      <x:c r="H467" s="192" t="str">
        <x:v>Difficult</x:v>
      </x:c>
      <x:c r="I467" s="192" t="str">
        <x:v>Application</x:v>
      </x:c>
      <x:c r="J467" s="192" t="str">
        <x:v>C</x:v>
      </x:c>
      <x:c r="K467" s="192" t="n">
        <x:v>1</x:v>
      </x:c>
      <x:c r="L467" s="192" t="str">
        <x:v>LMFT-ALT-099</x:v>
      </x:c>
      <x:c r="M467" s="192" t="str">
        <x:v>Released</x:v>
      </x:c>
      <x:c r="N467" s="194" t="str">
        <x:v>Form B only; paired alternate retained on the other comprehensive form</x:v>
      </x:c>
    </x:row>
    <x:row r="468">
      <x:c r="A468" s="191" t="str">
        <x:v>CTA-LMFT-MQB-0467</x:v>
      </x:c>
      <x:c r="B468" s="192" t="str">
        <x:v>LMFT-MQB-FB-CP-012</x:v>
      </x:c>
      <x:c r="C468" s="192" t="str">
        <x:v>LMFT Comprehensive Simulation Form B</x:v>
      </x:c>
      <x:c r="D468" s="192" t="n">
        <x:v>113</x:v>
      </x:c>
      <x:c r="E468" s="192" t="str">
        <x:v>Scored-Style</x:v>
      </x:c>
      <x:c r="F468" s="192" t="str">
        <x:v>4. Case Conceptualization and Planning</x:v>
      </x:c>
      <x:c r="G468" s="192" t="str">
        <x:v>Parent-child goal conflict</x:v>
      </x:c>
      <x:c r="H468" s="192" t="str">
        <x:v>Moderate</x:v>
      </x:c>
      <x:c r="I468" s="192" t="str">
        <x:v>Scenario-Based</x:v>
      </x:c>
      <x:c r="J468" s="192" t="str">
        <x:v>D</x:v>
      </x:c>
      <x:c r="K468" s="192" t="n">
        <x:v>1</x:v>
      </x:c>
      <x:c r="L468" s="192" t="str">
        <x:v>LMFT-ALT-053</x:v>
      </x:c>
      <x:c r="M468" s="192" t="str">
        <x:v>Released</x:v>
      </x:c>
      <x:c r="N468" s="194" t="str">
        <x:v>Form B only; paired alternate retained on the other comprehensive form</x:v>
      </x:c>
    </x:row>
    <x:row r="469">
      <x:c r="A469" s="191" t="str">
        <x:v>CTA-LMFT-MQB-0468</x:v>
      </x:c>
      <x:c r="B469" s="192" t="str">
        <x:v>LMFT-MQB-FB-CR-007</x:v>
      </x:c>
      <x:c r="C469" s="192" t="str">
        <x:v>LMFT Comprehensive Simulation Form B</x:v>
      </x:c>
      <x:c r="D469" s="192" t="n">
        <x:v>114</x:v>
      </x:c>
      <x:c r="E469" s="192" t="str">
        <x:v>Scored-Style</x:v>
      </x:c>
      <x:c r="F469" s="192" t="str">
        <x:v>3. Managing Crisis Situations</x:v>
      </x:c>
      <x:c r="G469" s="192" t="str">
        <x:v>Telehealth imminent risk</x:v>
      </x:c>
      <x:c r="H469" s="192" t="str">
        <x:v>Moderate</x:v>
      </x:c>
      <x:c r="I469" s="192" t="str">
        <x:v>Scenario-Based</x:v>
      </x:c>
      <x:c r="J469" s="192" t="str">
        <x:v>A</x:v>
      </x:c>
      <x:c r="K469" s="192" t="n">
        <x:v>1</x:v>
      </x:c>
      <x:c r="L469" s="192" t="str">
        <x:v>LMFT-ALT-066</x:v>
      </x:c>
      <x:c r="M469" s="192" t="str">
        <x:v>Released</x:v>
      </x:c>
      <x:c r="N469" s="194" t="str">
        <x:v>Form B only; paired alternate retained on the other comprehensive form</x:v>
      </x:c>
    </x:row>
    <x:row r="470">
      <x:c r="A470" s="191" t="str">
        <x:v>CTA-LMFT-MQB-0469</x:v>
      </x:c>
      <x:c r="B470" s="192" t="str">
        <x:v>LMFT-MQB-FB-CE-031</x:v>
      </x:c>
      <x:c r="C470" s="192" t="str">
        <x:v>LMFT Comprehensive Simulation Form B</x:v>
      </x:c>
      <x:c r="D470" s="192" t="n">
        <x:v>115</x:v>
      </x:c>
      <x:c r="E470" s="192" t="str">
        <x:v>Scored-Style</x:v>
      </x:c>
      <x:c r="F470" s="192" t="str">
        <x:v>1. Clinical Evaluation</x:v>
      </x:c>
      <x:c r="G470" s="192" t="str">
        <x:v>Adolescent identity and family conflict</x:v>
      </x:c>
      <x:c r="H470" s="192" t="str">
        <x:v>Moderate</x:v>
      </x:c>
      <x:c r="I470" s="192" t="str">
        <x:v>Scenario-Based</x:v>
      </x:c>
      <x:c r="J470" s="192" t="str">
        <x:v>A</x:v>
      </x:c>
      <x:c r="K470" s="192" t="n">
        <x:v>1</x:v>
      </x:c>
      <x:c r="L470" s="192" t="str">
        <x:v>LMFT-ALT-031</x:v>
      </x:c>
      <x:c r="M470" s="192" t="str">
        <x:v>Released</x:v>
      </x:c>
      <x:c r="N470" s="194" t="str">
        <x:v>Form B only; paired alternate retained on the other comprehensive form</x:v>
      </x:c>
    </x:row>
    <x:row r="471">
      <x:c r="A471" s="191" t="str">
        <x:v>CTA-LMFT-MQB-0470</x:v>
      </x:c>
      <x:c r="B471" s="192" t="str">
        <x:v>LMFT-MQB-FB-CR-011</x:v>
      </x:c>
      <x:c r="C471" s="192" t="str">
        <x:v>LMFT Comprehensive Simulation Form B</x:v>
      </x:c>
      <x:c r="D471" s="192" t="n">
        <x:v>116</x:v>
      </x:c>
      <x:c r="E471" s="192" t="str">
        <x:v>Pretest-Style</x:v>
      </x:c>
      <x:c r="F471" s="192" t="str">
        <x:v>3. Managing Crisis Situations</x:v>
      </x:c>
      <x:c r="G471" s="192" t="str">
        <x:v>Grave disability and basic needs</x:v>
      </x:c>
      <x:c r="H471" s="192" t="str">
        <x:v>Moderate</x:v>
      </x:c>
      <x:c r="I471" s="192" t="str">
        <x:v>Scenario-Based</x:v>
      </x:c>
      <x:c r="J471" s="192" t="str">
        <x:v>B</x:v>
      </x:c>
      <x:c r="K471" s="192" t="n">
        <x:v>1</x:v>
      </x:c>
      <x:c r="L471" s="192" t="str">
        <x:v>LMFT-ALT-070</x:v>
      </x:c>
      <x:c r="M471" s="192" t="str">
        <x:v>Released</x:v>
      </x:c>
      <x:c r="N471" s="194" t="str">
        <x:v>Form B only; paired alternate retained on the other comprehensive form</x:v>
      </x:c>
    </x:row>
    <x:row r="472">
      <x:c r="A472" s="191" t="str">
        <x:v>CTA-LMFT-MQB-0471</x:v>
      </x:c>
      <x:c r="B472" s="192" t="str">
        <x:v>LMFT-MQB-FB-CE-021</x:v>
      </x:c>
      <x:c r="C472" s="192" t="str">
        <x:v>LMFT Comprehensive Simulation Form B</x:v>
      </x:c>
      <x:c r="D472" s="192" t="n">
        <x:v>117</x:v>
      </x:c>
      <x:c r="E472" s="192" t="str">
        <x:v>Pretest-Style</x:v>
      </x:c>
      <x:c r="F472" s="192" t="str">
        <x:v>1. Clinical Evaluation</x:v>
      </x:c>
      <x:c r="G472" s="192" t="str">
        <x:v>Complex identity formulation</x:v>
      </x:c>
      <x:c r="H472" s="192" t="str">
        <x:v>Difficult</x:v>
      </x:c>
      <x:c r="I472" s="192" t="str">
        <x:v>Application</x:v>
      </x:c>
      <x:c r="J472" s="192" t="str">
        <x:v>D</x:v>
      </x:c>
      <x:c r="K472" s="192" t="n">
        <x:v>1</x:v>
      </x:c>
      <x:c r="L472" s="192" t="str">
        <x:v>LMFT-ALT-021</x:v>
      </x:c>
      <x:c r="M472" s="192" t="str">
        <x:v>Released</x:v>
      </x:c>
      <x:c r="N472" s="194" t="str">
        <x:v>Form B only; paired alternate retained on the other comprehensive form</x:v>
      </x:c>
    </x:row>
    <x:row r="473">
      <x:c r="A473" s="191" t="str">
        <x:v>CTA-LMFT-MQB-0472</x:v>
      </x:c>
      <x:c r="B473" s="192" t="str">
        <x:v>LMFT-MQB-FB-TX-015</x:v>
      </x:c>
      <x:c r="C473" s="192" t="str">
        <x:v>LMFT Comprehensive Simulation Form B</x:v>
      </x:c>
      <x:c r="D473" s="192" t="n">
        <x:v>118</x:v>
      </x:c>
      <x:c r="E473" s="192" t="str">
        <x:v>Scored-Style</x:v>
      </x:c>
      <x:c r="F473" s="192" t="str">
        <x:v>5. Treatment</x:v>
      </x:c>
      <x:c r="G473" s="192" t="str">
        <x:v>Cognitive restructuring</x:v>
      </x:c>
      <x:c r="H473" s="192" t="str">
        <x:v>Moderate</x:v>
      </x:c>
      <x:c r="I473" s="192" t="str">
        <x:v>Application</x:v>
      </x:c>
      <x:c r="J473" s="192" t="str">
        <x:v>B</x:v>
      </x:c>
      <x:c r="K473" s="192" t="n">
        <x:v>1</x:v>
      </x:c>
      <x:c r="L473" s="192" t="str">
        <x:v>LMFT-ALT-122</x:v>
      </x:c>
      <x:c r="M473" s="192" t="str">
        <x:v>Released</x:v>
      </x:c>
      <x:c r="N473" s="194" t="str">
        <x:v>Form B only; paired alternate retained on the other comprehensive form</x:v>
      </x:c>
    </x:row>
    <x:row r="474">
      <x:c r="A474" s="191" t="str">
        <x:v>CTA-LMFT-MQB-0473</x:v>
      </x:c>
      <x:c r="B474" s="192" t="str">
        <x:v>LMFT-MQB-FB-TX-039</x:v>
      </x:c>
      <x:c r="C474" s="192" t="str">
        <x:v>LMFT Comprehensive Simulation Form B</x:v>
      </x:c>
      <x:c r="D474" s="192" t="n">
        <x:v>119</x:v>
      </x:c>
      <x:c r="E474" s="192" t="str">
        <x:v>Pretest-Style</x:v>
      </x:c>
      <x:c r="F474" s="192" t="str">
        <x:v>5. Treatment</x:v>
      </x:c>
      <x:c r="G474" s="192" t="str">
        <x:v>Integrated culturally responsive CBT</x:v>
      </x:c>
      <x:c r="H474" s="192" t="str">
        <x:v>Moderate</x:v>
      </x:c>
      <x:c r="I474" s="192" t="str">
        <x:v>Integrated Clinical Reasoning</x:v>
      </x:c>
      <x:c r="J474" s="192" t="str">
        <x:v>C</x:v>
      </x:c>
      <x:c r="K474" s="192" t="n">
        <x:v>1</x:v>
      </x:c>
      <x:c r="L474" s="192" t="str">
        <x:v>LMFT-ALT-146</x:v>
      </x:c>
      <x:c r="M474" s="192" t="str">
        <x:v>Released</x:v>
      </x:c>
      <x:c r="N474" s="194" t="str">
        <x:v>Form B only; paired alternate retained on the other comprehensive form</x:v>
      </x:c>
    </x:row>
    <x:row r="475">
      <x:c r="A475" s="191" t="str">
        <x:v>CTA-LMFT-MQB-0474</x:v>
      </x:c>
      <x:c r="B475" s="192" t="str">
        <x:v>LMFT-MQB-FB-LE-014</x:v>
      </x:c>
      <x:c r="C475" s="192" t="str">
        <x:v>LMFT Comprehensive Simulation Form B</x:v>
      </x:c>
      <x:c r="D475" s="192" t="n">
        <x:v>120</x:v>
      </x:c>
      <x:c r="E475" s="192" t="str">
        <x:v>Pretest-Style</x:v>
      </x:c>
      <x:c r="F475" s="192" t="str">
        <x:v>6. Managing Legal and Ethical Obligations within the Therapeutic Relationship</x:v>
      </x:c>
      <x:c r="G475" s="192" t="str">
        <x:v>Ethics, safety, and minimum disclosure</x:v>
      </x:c>
      <x:c r="H475" s="192" t="str">
        <x:v>Moderate</x:v>
      </x:c>
      <x:c r="I475" s="192" t="str">
        <x:v>Integrated Clinical Reasoning</x:v>
      </x:c>
      <x:c r="J475" s="192" t="str">
        <x:v>C</x:v>
      </x:c>
      <x:c r="K475" s="192" t="n">
        <x:v>1</x:v>
      </x:c>
      <x:c r="L475" s="192" t="str">
        <x:v>LMFT-ALT-106</x:v>
      </x:c>
      <x:c r="M475" s="192" t="str">
        <x:v>Released</x:v>
      </x:c>
      <x:c r="N475" s="194" t="str">
        <x:v>Form B only; paired alternate retained on the other comprehensive form</x:v>
      </x:c>
    </x:row>
    <x:row r="476">
      <x:c r="A476" s="191" t="str">
        <x:v>CTA-LMFT-MQB-0475</x:v>
      </x:c>
      <x:c r="B476" s="192" t="str">
        <x:v>LMFT-MQB-FB-TX-040</x:v>
      </x:c>
      <x:c r="C476" s="192" t="str">
        <x:v>LMFT Comprehensive Simulation Form B</x:v>
      </x:c>
      <x:c r="D476" s="192" t="n">
        <x:v>121</x:v>
      </x:c>
      <x:c r="E476" s="192" t="str">
        <x:v>Scored-Style</x:v>
      </x:c>
      <x:c r="F476" s="192" t="str">
        <x:v>5. Treatment</x:v>
      </x:c>
      <x:c r="G476" s="192" t="str">
        <x:v>Integrated attachment and trauma pacing</x:v>
      </x:c>
      <x:c r="H476" s="192" t="str">
        <x:v>Difficult</x:v>
      </x:c>
      <x:c r="I476" s="192" t="str">
        <x:v>Integrated Clinical Reasoning</x:v>
      </x:c>
      <x:c r="J476" s="192" t="str">
        <x:v>B</x:v>
      </x:c>
      <x:c r="K476" s="192" t="n">
        <x:v>1</x:v>
      </x:c>
      <x:c r="L476" s="192" t="str">
        <x:v>LMFT-ALT-147</x:v>
      </x:c>
      <x:c r="M476" s="192" t="str">
        <x:v>Released</x:v>
      </x:c>
      <x:c r="N476" s="194" t="str">
        <x:v>Form B only; paired alternate retained on the other comprehensive form</x:v>
      </x:c>
    </x:row>
    <x:row r="477">
      <x:c r="A477" s="191" t="str">
        <x:v>CTA-LMFT-MQB-0476</x:v>
      </x:c>
      <x:c r="B477" s="192" t="str">
        <x:v>LMFT-MQB-FB-CP-018</x:v>
      </x:c>
      <x:c r="C477" s="192" t="str">
        <x:v>LMFT Comprehensive Simulation Form B</x:v>
      </x:c>
      <x:c r="D477" s="192" t="n">
        <x:v>122</x:v>
      </x:c>
      <x:c r="E477" s="192" t="str">
        <x:v>Scored-Style</x:v>
      </x:c>
      <x:c r="F477" s="192" t="str">
        <x:v>4. Case Conceptualization and Planning</x:v>
      </x:c>
      <x:c r="G477" s="192" t="str">
        <x:v>Planning with trauma and coercion</x:v>
      </x:c>
      <x:c r="H477" s="192" t="str">
        <x:v>Difficult</x:v>
      </x:c>
      <x:c r="I477" s="192" t="str">
        <x:v>Integrated Clinical Reasoning</x:v>
      </x:c>
      <x:c r="J477" s="192" t="str">
        <x:v>A</x:v>
      </x:c>
      <x:c r="K477" s="192" t="n">
        <x:v>1</x:v>
      </x:c>
      <x:c r="L477" s="192" t="str">
        <x:v>LMFT-ALT-059</x:v>
      </x:c>
      <x:c r="M477" s="192" t="str">
        <x:v>Released</x:v>
      </x:c>
      <x:c r="N477" s="194" t="str">
        <x:v>Form B only; paired alternate retained on the other comprehensive form</x:v>
      </x:c>
    </x:row>
    <x:row r="478">
      <x:c r="A478" s="191" t="str">
        <x:v>CTA-LMFT-MQB-0477</x:v>
      </x:c>
      <x:c r="B478" s="192" t="str">
        <x:v>LMFT-MQB-FB-CE-022</x:v>
      </x:c>
      <x:c r="C478" s="192" t="str">
        <x:v>LMFT Comprehensive Simulation Form B</x:v>
      </x:c>
      <x:c r="D478" s="192" t="n">
        <x:v>123</x:v>
      </x:c>
      <x:c r="E478" s="192" t="str">
        <x:v>Pretest-Style</x:v>
      </x:c>
      <x:c r="F478" s="192" t="str">
        <x:v>1. Clinical Evaluation</x:v>
      </x:c>
      <x:c r="G478" s="192" t="str">
        <x:v>Initial conjoint engagement</x:v>
      </x:c>
      <x:c r="H478" s="192" t="str">
        <x:v>Easy</x:v>
      </x:c>
      <x:c r="I478" s="192" t="str">
        <x:v>Scenario-Based</x:v>
      </x:c>
      <x:c r="J478" s="192" t="str">
        <x:v>A</x:v>
      </x:c>
      <x:c r="K478" s="192" t="n">
        <x:v>1</x:v>
      </x:c>
      <x:c r="L478" s="192" t="str">
        <x:v>LMFT-ALT-022</x:v>
      </x:c>
      <x:c r="M478" s="192" t="str">
        <x:v>Released</x:v>
      </x:c>
      <x:c r="N478" s="194" t="str">
        <x:v>Form B only; paired alternate retained on the other comprehensive form</x:v>
      </x:c>
    </x:row>
    <x:row r="479">
      <x:c r="A479" s="191" t="str">
        <x:v>CTA-LMFT-MQB-0478</x:v>
      </x:c>
      <x:c r="B479" s="192" t="str">
        <x:v>LMFT-MQB-FB-TX-008</x:v>
      </x:c>
      <x:c r="C479" s="192" t="str">
        <x:v>LMFT Comprehensive Simulation Form B</x:v>
      </x:c>
      <x:c r="D479" s="192" t="n">
        <x:v>124</x:v>
      </x:c>
      <x:c r="E479" s="192" t="str">
        <x:v>Scored-Style</x:v>
      </x:c>
      <x:c r="F479" s="192" t="str">
        <x:v>5. Treatment</x:v>
      </x:c>
      <x:c r="G479" s="192" t="str">
        <x:v>Solution-focused exception</x:v>
      </x:c>
      <x:c r="H479" s="192" t="str">
        <x:v>Easy</x:v>
      </x:c>
      <x:c r="I479" s="192" t="str">
        <x:v>Application</x:v>
      </x:c>
      <x:c r="J479" s="192" t="str">
        <x:v>D</x:v>
      </x:c>
      <x:c r="K479" s="192" t="n">
        <x:v>1</x:v>
      </x:c>
      <x:c r="L479" s="192" t="str">
        <x:v>LMFT-ALT-115</x:v>
      </x:c>
      <x:c r="M479" s="192" t="str">
        <x:v>Released</x:v>
      </x:c>
      <x:c r="N479" s="194" t="str">
        <x:v>Form B only; paired alternate retained on the other comprehensive form</x:v>
      </x:c>
    </x:row>
    <x:row r="480">
      <x:c r="A480" s="191" t="str">
        <x:v>CTA-LMFT-MQB-0479</x:v>
      </x:c>
      <x:c r="B480" s="192" t="str">
        <x:v>LMFT-MQB-FB-TX-038</x:v>
      </x:c>
      <x:c r="C480" s="192" t="str">
        <x:v>LMFT Comprehensive Simulation Form B</x:v>
      </x:c>
      <x:c r="D480" s="192" t="n">
        <x:v>125</x:v>
      </x:c>
      <x:c r="E480" s="192" t="str">
        <x:v>Scored-Style</x:v>
      </x:c>
      <x:c r="F480" s="192" t="str">
        <x:v>5. Treatment</x:v>
      </x:c>
      <x:c r="G480" s="192" t="str">
        <x:v>Integrated addiction and couple work</x:v>
      </x:c>
      <x:c r="H480" s="192" t="str">
        <x:v>Moderate</x:v>
      </x:c>
      <x:c r="I480" s="192" t="str">
        <x:v>Integrated Clinical Reasoning</x:v>
      </x:c>
      <x:c r="J480" s="192" t="str">
        <x:v>D</x:v>
      </x:c>
      <x:c r="K480" s="192" t="n">
        <x:v>1</x:v>
      </x:c>
      <x:c r="L480" s="192" t="str">
        <x:v>LMFT-ALT-145</x:v>
      </x:c>
      <x:c r="M480" s="192" t="str">
        <x:v>Released</x:v>
      </x:c>
      <x:c r="N480" s="194" t="str">
        <x:v>Form B only; paired alternate retained on the other comprehensive form</x:v>
      </x:c>
    </x:row>
    <x:row r="481">
      <x:c r="A481" s="191" t="str">
        <x:v>CTA-LMFT-MQB-0480</x:v>
      </x:c>
      <x:c r="B481" s="192" t="str">
        <x:v>LMFT-MQB-FB-CE-014</x:v>
      </x:c>
      <x:c r="C481" s="192" t="str">
        <x:v>LMFT Comprehensive Simulation Form B</x:v>
      </x:c>
      <x:c r="D481" s="192" t="n">
        <x:v>126</x:v>
      </x:c>
      <x:c r="E481" s="192" t="str">
        <x:v>Scored-Style</x:v>
      </x:c>
      <x:c r="F481" s="192" t="str">
        <x:v>1. Clinical Evaluation</x:v>
      </x:c>
      <x:c r="G481" s="192" t="str">
        <x:v>Standardized measure use</x:v>
      </x:c>
      <x:c r="H481" s="192" t="str">
        <x:v>Moderate</x:v>
      </x:c>
      <x:c r="I481" s="192" t="str">
        <x:v>Application</x:v>
      </x:c>
      <x:c r="J481" s="192" t="str">
        <x:v>D</x:v>
      </x:c>
      <x:c r="K481" s="192" t="n">
        <x:v>1</x:v>
      </x:c>
      <x:c r="L481" s="192" t="str">
        <x:v>LMFT-ALT-014</x:v>
      </x:c>
      <x:c r="M481" s="192" t="str">
        <x:v>Released</x:v>
      </x:c>
      <x:c r="N481" s="194" t="str">
        <x:v>Form B only; paired alternate retained on the other comprehensive form</x:v>
      </x:c>
    </x:row>
    <x:row r="482">
      <x:c r="A482" s="191" t="str">
        <x:v>CTA-LMFT-MQB-0481</x:v>
      </x:c>
      <x:c r="B482" s="192" t="str">
        <x:v>LMFT-MQB-FB-CR-005</x:v>
      </x:c>
      <x:c r="C482" s="192" t="str">
        <x:v>LMFT Comprehensive Simulation Form B</x:v>
      </x:c>
      <x:c r="D482" s="192" t="n">
        <x:v>127</x:v>
      </x:c>
      <x:c r="E482" s="192" t="str">
        <x:v>Pretest-Style</x:v>
      </x:c>
      <x:c r="F482" s="192" t="str">
        <x:v>3. Managing Crisis Situations</x:v>
      </x:c>
      <x:c r="G482" s="192" t="str">
        <x:v>Domestic violence response</x:v>
      </x:c>
      <x:c r="H482" s="192" t="str">
        <x:v>Moderate</x:v>
      </x:c>
      <x:c r="I482" s="192" t="str">
        <x:v>Application</x:v>
      </x:c>
      <x:c r="J482" s="192" t="str">
        <x:v>B</x:v>
      </x:c>
      <x:c r="K482" s="192" t="n">
        <x:v>1</x:v>
      </x:c>
      <x:c r="L482" s="192" t="str">
        <x:v>LMFT-ALT-064</x:v>
      </x:c>
      <x:c r="M482" s="192" t="str">
        <x:v>Released</x:v>
      </x:c>
      <x:c r="N482" s="194" t="str">
        <x:v>Form B only; paired alternate retained on the other comprehensive form</x:v>
      </x:c>
    </x:row>
    <x:row r="483">
      <x:c r="A483" s="191" t="str">
        <x:v>CTA-LMFT-MQB-0482</x:v>
      </x:c>
      <x:c r="B483" s="192" t="str">
        <x:v>LMFT-MQB-FB-TX-036</x:v>
      </x:c>
      <x:c r="C483" s="192" t="str">
        <x:v>LMFT Comprehensive Simulation Form B</x:v>
      </x:c>
      <x:c r="D483" s="192" t="n">
        <x:v>128</x:v>
      </x:c>
      <x:c r="E483" s="192" t="str">
        <x:v>Scored-Style</x:v>
      </x:c>
      <x:c r="F483" s="192" t="str">
        <x:v>5. Treatment</x:v>
      </x:c>
      <x:c r="G483" s="192" t="str">
        <x:v>Transfer of care</x:v>
      </x:c>
      <x:c r="H483" s="192" t="str">
        <x:v>Difficult</x:v>
      </x:c>
      <x:c r="I483" s="192" t="str">
        <x:v>Scenario-Based</x:v>
      </x:c>
      <x:c r="J483" s="192" t="str">
        <x:v>B</x:v>
      </x:c>
      <x:c r="K483" s="192" t="n">
        <x:v>1</x:v>
      </x:c>
      <x:c r="L483" s="192" t="str">
        <x:v>LMFT-ALT-143</x:v>
      </x:c>
      <x:c r="M483" s="192" t="str">
        <x:v>Released</x:v>
      </x:c>
      <x:c r="N483" s="194" t="str">
        <x:v>Form B only; paired alternate retained on the other comprehensive form</x:v>
      </x:c>
    </x:row>
    <x:row r="484">
      <x:c r="A484" s="191" t="str">
        <x:v>CTA-LMFT-MQB-0483</x:v>
      </x:c>
      <x:c r="B484" s="192" t="str">
        <x:v>LMFT-MQB-FB-CE-035</x:v>
      </x:c>
      <x:c r="C484" s="192" t="str">
        <x:v>LMFT Comprehensive Simulation Form B</x:v>
      </x:c>
      <x:c r="D484" s="192" t="n">
        <x:v>129</x:v>
      </x:c>
      <x:c r="E484" s="192" t="str">
        <x:v>Scored-Style</x:v>
      </x:c>
      <x:c r="F484" s="192" t="str">
        <x:v>1. Clinical Evaluation</x:v>
      </x:c>
      <x:c r="G484" s="192" t="str">
        <x:v>Family violence and child functioning</x:v>
      </x:c>
      <x:c r="H484" s="192" t="str">
        <x:v>Difficult</x:v>
      </x:c>
      <x:c r="I484" s="192" t="str">
        <x:v>Scenario-Based</x:v>
      </x:c>
      <x:c r="J484" s="192" t="str">
        <x:v>B</x:v>
      </x:c>
      <x:c r="K484" s="192" t="n">
        <x:v>1</x:v>
      </x:c>
      <x:c r="L484" s="192" t="str">
        <x:v>LMFT-ALT-035</x:v>
      </x:c>
      <x:c r="M484" s="192" t="str">
        <x:v>Released</x:v>
      </x:c>
      <x:c r="N484" s="194" t="str">
        <x:v>Form B only; paired alternate retained on the other comprehensive form</x:v>
      </x:c>
    </x:row>
    <x:row r="485">
      <x:c r="A485" s="191" t="str">
        <x:v>CTA-LMFT-MQB-0484</x:v>
      </x:c>
      <x:c r="B485" s="192" t="str">
        <x:v>LMFT-MQB-FB-DI-004</x:v>
      </x:c>
      <x:c r="C485" s="192" t="str">
        <x:v>LMFT Comprehensive Simulation Form B</x:v>
      </x:c>
      <x:c r="D485" s="192" t="n">
        <x:v>130</x:v>
      </x:c>
      <x:c r="E485" s="192" t="str">
        <x:v>Pretest-Style</x:v>
      </x:c>
      <x:c r="F485" s="192" t="str">
        <x:v>2. Developing a Diagnostic Impression</x:v>
      </x:c>
      <x:c r="G485" s="192" t="str">
        <x:v>Chronology in diagnosis</x:v>
      </x:c>
      <x:c r="H485" s="192" t="str">
        <x:v>Moderate</x:v>
      </x:c>
      <x:c r="I485" s="192" t="str">
        <x:v>Knowledge &amp; Recall</x:v>
      </x:c>
      <x:c r="J485" s="192" t="str">
        <x:v>D</x:v>
      </x:c>
      <x:c r="K485" s="192" t="n">
        <x:v>1</x:v>
      </x:c>
      <x:c r="L485" s="192" t="str">
        <x:v>LMFT-ALT-079</x:v>
      </x:c>
      <x:c r="M485" s="192" t="str">
        <x:v>Released</x:v>
      </x:c>
      <x:c r="N485" s="194" t="str">
        <x:v>Form B only; paired alternate retained on the other comprehensive form</x:v>
      </x:c>
    </x:row>
    <x:row r="486">
      <x:c r="A486" s="191" t="str">
        <x:v>CTA-LMFT-MQB-0485</x:v>
      </x:c>
      <x:c r="B486" s="192" t="str">
        <x:v>LMFT-MQB-FB-TX-031</x:v>
      </x:c>
      <x:c r="C486" s="192" t="str">
        <x:v>LMFT Comprehensive Simulation Form B</x:v>
      </x:c>
      <x:c r="D486" s="192" t="n">
        <x:v>131</x:v>
      </x:c>
      <x:c r="E486" s="192" t="str">
        <x:v>Pretest-Style</x:v>
      </x:c>
      <x:c r="F486" s="192" t="str">
        <x:v>5. Treatment</x:v>
      </x:c>
      <x:c r="G486" s="192" t="str">
        <x:v>Reunification pacing</x:v>
      </x:c>
      <x:c r="H486" s="192" t="str">
        <x:v>Moderate</x:v>
      </x:c>
      <x:c r="I486" s="192" t="str">
        <x:v>Scenario-Based</x:v>
      </x:c>
      <x:c r="J486" s="192" t="str">
        <x:v>A</x:v>
      </x:c>
      <x:c r="K486" s="192" t="n">
        <x:v>1</x:v>
      </x:c>
      <x:c r="L486" s="192" t="str">
        <x:v>LMFT-ALT-138</x:v>
      </x:c>
      <x:c r="M486" s="192" t="str">
        <x:v>Released</x:v>
      </x:c>
      <x:c r="N486" s="194" t="str">
        <x:v>Form B only; paired alternate retained on the other comprehensive form</x:v>
      </x:c>
    </x:row>
    <x:row r="487">
      <x:c r="A487" s="191" t="str">
        <x:v>CTA-LMFT-MQB-0486</x:v>
      </x:c>
      <x:c r="B487" s="192" t="str">
        <x:v>LMFT-MQB-FB-CE-010</x:v>
      </x:c>
      <x:c r="C487" s="192" t="str">
        <x:v>LMFT Comprehensive Simulation Form B</x:v>
      </x:c>
      <x:c r="D487" s="192" t="n">
        <x:v>132</x:v>
      </x:c>
      <x:c r="E487" s="192" t="str">
        <x:v>Scored-Style</x:v>
      </x:c>
      <x:c r="F487" s="192" t="str">
        <x:v>1. Clinical Evaluation</x:v>
      </x:c>
      <x:c r="G487" s="192" t="str">
        <x:v>Strengths assessment</x:v>
      </x:c>
      <x:c r="H487" s="192" t="str">
        <x:v>Easy</x:v>
      </x:c>
      <x:c r="I487" s="192" t="str">
        <x:v>Application</x:v>
      </x:c>
      <x:c r="J487" s="192" t="str">
        <x:v>B</x:v>
      </x:c>
      <x:c r="K487" s="192" t="n">
        <x:v>1</x:v>
      </x:c>
      <x:c r="L487" s="192" t="str">
        <x:v>LMFT-ALT-010</x:v>
      </x:c>
      <x:c r="M487" s="192" t="str">
        <x:v>Released</x:v>
      </x:c>
      <x:c r="N487" s="194" t="str">
        <x:v>Form B only; paired alternate retained on the other comprehensive form</x:v>
      </x:c>
    </x:row>
    <x:row r="488">
      <x:c r="A488" s="191" t="str">
        <x:v>CTA-LMFT-MQB-0487</x:v>
      </x:c>
      <x:c r="B488" s="192" t="str">
        <x:v>LMFT-MQB-FB-CP-008</x:v>
      </x:c>
      <x:c r="C488" s="192" t="str">
        <x:v>LMFT Comprehensive Simulation Form B</x:v>
      </x:c>
      <x:c r="D488" s="192" t="n">
        <x:v>133</x:v>
      </x:c>
      <x:c r="E488" s="192" t="str">
        <x:v>Scored-Style</x:v>
      </x:c>
      <x:c r="F488" s="192" t="str">
        <x:v>4. Case Conceptualization and Planning</x:v>
      </x:c>
      <x:c r="G488" s="192" t="str">
        <x:v>Third-party constraints</x:v>
      </x:c>
      <x:c r="H488" s="192" t="str">
        <x:v>Moderate</x:v>
      </x:c>
      <x:c r="I488" s="192" t="str">
        <x:v>Application</x:v>
      </x:c>
      <x:c r="J488" s="192" t="str">
        <x:v>D</x:v>
      </x:c>
      <x:c r="K488" s="192" t="n">
        <x:v>1</x:v>
      </x:c>
      <x:c r="L488" s="192" t="str">
        <x:v>LMFT-ALT-049</x:v>
      </x:c>
      <x:c r="M488" s="192" t="str">
        <x:v>Released</x:v>
      </x:c>
      <x:c r="N488" s="194" t="str">
        <x:v>Form B only; paired alternate retained on the other comprehensive form</x:v>
      </x:c>
    </x:row>
    <x:row r="489">
      <x:c r="A489" s="191" t="str">
        <x:v>CTA-LMFT-MQB-0488</x:v>
      </x:c>
      <x:c r="B489" s="192" t="str">
        <x:v>LMFT-MQB-FB-CR-010</x:v>
      </x:c>
      <x:c r="C489" s="192" t="str">
        <x:v>LMFT Comprehensive Simulation Form B</x:v>
      </x:c>
      <x:c r="D489" s="192" t="n">
        <x:v>134</x:v>
      </x:c>
      <x:c r="E489" s="192" t="str">
        <x:v>Scored-Style</x:v>
      </x:c>
      <x:c r="F489" s="192" t="str">
        <x:v>3. Managing Crisis Situations</x:v>
      </x:c>
      <x:c r="G489" s="192" t="str">
        <x:v>Withdrawal emergency</x:v>
      </x:c>
      <x:c r="H489" s="192" t="str">
        <x:v>Moderate</x:v>
      </x:c>
      <x:c r="I489" s="192" t="str">
        <x:v>Scenario-Based</x:v>
      </x:c>
      <x:c r="J489" s="192" t="str">
        <x:v>C</x:v>
      </x:c>
      <x:c r="K489" s="192" t="n">
        <x:v>1</x:v>
      </x:c>
      <x:c r="L489" s="192" t="str">
        <x:v>LMFT-ALT-069</x:v>
      </x:c>
      <x:c r="M489" s="192" t="str">
        <x:v>Released</x:v>
      </x:c>
      <x:c r="N489" s="194" t="str">
        <x:v>Form B only; paired alternate retained on the other comprehensive form</x:v>
      </x:c>
    </x:row>
    <x:row r="490">
      <x:c r="A490" s="191" t="str">
        <x:v>CTA-LMFT-MQB-0489</x:v>
      </x:c>
      <x:c r="B490" s="192" t="str">
        <x:v>LMFT-MQB-FB-TX-034</x:v>
      </x:c>
      <x:c r="C490" s="192" t="str">
        <x:v>LMFT Comprehensive Simulation Form B</x:v>
      </x:c>
      <x:c r="D490" s="192" t="n">
        <x:v>135</x:v>
      </x:c>
      <x:c r="E490" s="192" t="str">
        <x:v>Scored-Style</x:v>
      </x:c>
      <x:c r="F490" s="192" t="str">
        <x:v>5. Treatment</x:v>
      </x:c>
      <x:c r="G490" s="192" t="str">
        <x:v>High-risk group member</x:v>
      </x:c>
      <x:c r="H490" s="192" t="str">
        <x:v>Difficult</x:v>
      </x:c>
      <x:c r="I490" s="192" t="str">
        <x:v>Scenario-Based</x:v>
      </x:c>
      <x:c r="J490" s="192" t="str">
        <x:v>A</x:v>
      </x:c>
      <x:c r="K490" s="192" t="n">
        <x:v>1</x:v>
      </x:c>
      <x:c r="L490" s="192" t="str">
        <x:v>LMFT-ALT-141</x:v>
      </x:c>
      <x:c r="M490" s="192" t="str">
        <x:v>Released</x:v>
      </x:c>
      <x:c r="N490" s="194" t="str">
        <x:v>Form B only; paired alternate retained on the other comprehensive form</x:v>
      </x:c>
    </x:row>
    <x:row r="491">
      <x:c r="A491" s="191" t="str">
        <x:v>CTA-LMFT-MQB-0490</x:v>
      </x:c>
      <x:c r="B491" s="192" t="str">
        <x:v>LMFT-MQB-FB-DI-002</x:v>
      </x:c>
      <x:c r="C491" s="192" t="str">
        <x:v>LMFT Comprehensive Simulation Form B</x:v>
      </x:c>
      <x:c r="D491" s="192" t="n">
        <x:v>136</x:v>
      </x:c>
      <x:c r="E491" s="192" t="str">
        <x:v>Scored-Style</x:v>
      </x:c>
      <x:c r="F491" s="192" t="str">
        <x:v>2. Developing a Diagnostic Impression</x:v>
      </x:c>
      <x:c r="G491" s="192" t="str">
        <x:v>Differential diagnosis</x:v>
      </x:c>
      <x:c r="H491" s="192" t="str">
        <x:v>Easy</x:v>
      </x:c>
      <x:c r="I491" s="192" t="str">
        <x:v>Knowledge &amp; Recall</x:v>
      </x:c>
      <x:c r="J491" s="192" t="str">
        <x:v>B</x:v>
      </x:c>
      <x:c r="K491" s="192" t="n">
        <x:v>1</x:v>
      </x:c>
      <x:c r="L491" s="192" t="str">
        <x:v>LMFT-ALT-077</x:v>
      </x:c>
      <x:c r="M491" s="192" t="str">
        <x:v>Released</x:v>
      </x:c>
      <x:c r="N491" s="194" t="str">
        <x:v>Form B only; paired alternate retained on the other comprehensive form</x:v>
      </x:c>
    </x:row>
    <x:row r="492">
      <x:c r="A492" s="191" t="str">
        <x:v>CTA-LMFT-MQB-0491</x:v>
      </x:c>
      <x:c r="B492" s="192" t="str">
        <x:v>LMFT-MQB-FB-CE-005</x:v>
      </x:c>
      <x:c r="C492" s="192" t="str">
        <x:v>LMFT Comprehensive Simulation Form B</x:v>
      </x:c>
      <x:c r="D492" s="192" t="n">
        <x:v>137</x:v>
      </x:c>
      <x:c r="E492" s="192" t="str">
        <x:v>Pretest-Style</x:v>
      </x:c>
      <x:c r="F492" s="192" t="str">
        <x:v>1. Clinical Evaluation</x:v>
      </x:c>
      <x:c r="G492" s="192" t="str">
        <x:v>Collateral information</x:v>
      </x:c>
      <x:c r="H492" s="192" t="str">
        <x:v>Moderate</x:v>
      </x:c>
      <x:c r="I492" s="192" t="str">
        <x:v>Knowledge &amp; Recall</x:v>
      </x:c>
      <x:c r="J492" s="192" t="str">
        <x:v>C</x:v>
      </x:c>
      <x:c r="K492" s="192" t="n">
        <x:v>1</x:v>
      </x:c>
      <x:c r="L492" s="192" t="str">
        <x:v>LMFT-ALT-005</x:v>
      </x:c>
      <x:c r="M492" s="192" t="str">
        <x:v>Released</x:v>
      </x:c>
      <x:c r="N492" s="194" t="str">
        <x:v>Form B only; paired alternate retained on the other comprehensive form</x:v>
      </x:c>
    </x:row>
    <x:row r="493">
      <x:c r="A493" s="191" t="str">
        <x:v>CTA-LMFT-MQB-0492</x:v>
      </x:c>
      <x:c r="B493" s="192" t="str">
        <x:v>LMFT-MQB-FB-CE-009</x:v>
      </x:c>
      <x:c r="C493" s="192" t="str">
        <x:v>LMFT Comprehensive Simulation Form B</x:v>
      </x:c>
      <x:c r="D493" s="192" t="n">
        <x:v>138</x:v>
      </x:c>
      <x:c r="E493" s="192" t="str">
        <x:v>Scored-Style</x:v>
      </x:c>
      <x:c r="F493" s="192" t="str">
        <x:v>1. Clinical Evaluation</x:v>
      </x:c>
      <x:c r="G493" s="192" t="str">
        <x:v>Medication assessment</x:v>
      </x:c>
      <x:c r="H493" s="192" t="str">
        <x:v>Easy</x:v>
      </x:c>
      <x:c r="I493" s="192" t="str">
        <x:v>Application</x:v>
      </x:c>
      <x:c r="J493" s="192" t="str">
        <x:v>C</x:v>
      </x:c>
      <x:c r="K493" s="192" t="n">
        <x:v>1</x:v>
      </x:c>
      <x:c r="L493" s="192" t="str">
        <x:v>LMFT-ALT-009</x:v>
      </x:c>
      <x:c r="M493" s="192" t="str">
        <x:v>Released</x:v>
      </x:c>
      <x:c r="N493" s="194" t="str">
        <x:v>Form B only; paired alternate retained on the other comprehensive form</x:v>
      </x:c>
    </x:row>
    <x:row r="494">
      <x:c r="A494" s="191" t="str">
        <x:v>CTA-LMFT-MQB-0493</x:v>
      </x:c>
      <x:c r="B494" s="192" t="str">
        <x:v>LMFT-MQB-FB-CP-016</x:v>
      </x:c>
      <x:c r="C494" s="192" t="str">
        <x:v>LMFT Comprehensive Simulation Form B</x:v>
      </x:c>
      <x:c r="D494" s="192" t="n">
        <x:v>139</x:v>
      </x:c>
      <x:c r="E494" s="192" t="str">
        <x:v>Scored-Style</x:v>
      </x:c>
      <x:c r="F494" s="192" t="str">
        <x:v>4. Case Conceptualization and Planning</x:v>
      </x:c>
      <x:c r="G494" s="192" t="str">
        <x:v>Competing systems and treatment goals</x:v>
      </x:c>
      <x:c r="H494" s="192" t="str">
        <x:v>Difficult</x:v>
      </x:c>
      <x:c r="I494" s="192" t="str">
        <x:v>Scenario-Based</x:v>
      </x:c>
      <x:c r="J494" s="192" t="str">
        <x:v>A</x:v>
      </x:c>
      <x:c r="K494" s="192" t="n">
        <x:v>1</x:v>
      </x:c>
      <x:c r="L494" s="192" t="str">
        <x:v>LMFT-ALT-057</x:v>
      </x:c>
      <x:c r="M494" s="192" t="str">
        <x:v>Released</x:v>
      </x:c>
      <x:c r="N494" s="194" t="str">
        <x:v>Form B only; paired alternate retained on the other comprehensive form</x:v>
      </x:c>
    </x:row>
    <x:row r="495">
      <x:c r="A495" s="191" t="str">
        <x:v>CTA-LMFT-MQB-0494</x:v>
      </x:c>
      <x:c r="B495" s="192" t="str">
        <x:v>LMFT-MQB-FB-CP-011</x:v>
      </x:c>
      <x:c r="C495" s="192" t="str">
        <x:v>LMFT Comprehensive Simulation Form B</x:v>
      </x:c>
      <x:c r="D495" s="192" t="n">
        <x:v>140</x:v>
      </x:c>
      <x:c r="E495" s="192" t="str">
        <x:v>Scored-Style</x:v>
      </x:c>
      <x:c r="F495" s="192" t="str">
        <x:v>4. Case Conceptualization and Planning</x:v>
      </x:c>
      <x:c r="G495" s="192" t="str">
        <x:v>No progress after initial treatment</x:v>
      </x:c>
      <x:c r="H495" s="192" t="str">
        <x:v>Moderate</x:v>
      </x:c>
      <x:c r="I495" s="192" t="str">
        <x:v>Scenario-Based</x:v>
      </x:c>
      <x:c r="J495" s="192" t="str">
        <x:v>B</x:v>
      </x:c>
      <x:c r="K495" s="192" t="n">
        <x:v>1</x:v>
      </x:c>
      <x:c r="L495" s="192" t="str">
        <x:v>LMFT-ALT-052</x:v>
      </x:c>
      <x:c r="M495" s="192" t="str">
        <x:v>Released</x:v>
      </x:c>
      <x:c r="N495" s="194" t="str">
        <x:v>Form B only; paired alternate retained on the other comprehensive form</x:v>
      </x:c>
    </x:row>
    <x:row r="496">
      <x:c r="A496" s="191" t="str">
        <x:v>CTA-LMFT-MQB-0495</x:v>
      </x:c>
      <x:c r="B496" s="192" t="str">
        <x:v>LMFT-MQB-FB-LE-012</x:v>
      </x:c>
      <x:c r="C496" s="192" t="str">
        <x:v>LMFT Comprehensive Simulation Form B</x:v>
      </x:c>
      <x:c r="D496" s="192" t="n">
        <x:v>141</x:v>
      </x:c>
      <x:c r="E496" s="192" t="str">
        <x:v>Scored-Style</x:v>
      </x:c>
      <x:c r="F496" s="192" t="str">
        <x:v>6. Managing Legal and Ethical Obligations within the Therapeutic Relationship</x:v>
      </x:c>
      <x:c r="G496" s="192" t="str">
        <x:v>Third-party payer request</x:v>
      </x:c>
      <x:c r="H496" s="192" t="str">
        <x:v>Difficult</x:v>
      </x:c>
      <x:c r="I496" s="192" t="str">
        <x:v>Scenario-Based</x:v>
      </x:c>
      <x:c r="J496" s="192" t="str">
        <x:v>C</x:v>
      </x:c>
      <x:c r="K496" s="192" t="n">
        <x:v>1</x:v>
      </x:c>
      <x:c r="L496" s="192" t="str">
        <x:v>LMFT-ALT-104</x:v>
      </x:c>
      <x:c r="M496" s="192" t="str">
        <x:v>Released</x:v>
      </x:c>
      <x:c r="N496" s="194" t="str">
        <x:v>Form B only; paired alternate retained on the other comprehensive form</x:v>
      </x:c>
    </x:row>
    <x:row r="497">
      <x:c r="A497" s="191" t="str">
        <x:v>CTA-LMFT-MQB-0496</x:v>
      </x:c>
      <x:c r="B497" s="192" t="str">
        <x:v>LMFT-MQB-FB-TX-027</x:v>
      </x:c>
      <x:c r="C497" s="192" t="str">
        <x:v>LMFT Comprehensive Simulation Form B</x:v>
      </x:c>
      <x:c r="D497" s="192" t="n">
        <x:v>142</x:v>
      </x:c>
      <x:c r="E497" s="192" t="str">
        <x:v>Scored-Style</x:v>
      </x:c>
      <x:c r="F497" s="192" t="str">
        <x:v>5. Treatment</x:v>
      </x:c>
      <x:c r="G497" s="192" t="str">
        <x:v>MI with mandated client</x:v>
      </x:c>
      <x:c r="H497" s="192" t="str">
        <x:v>Moderate</x:v>
      </x:c>
      <x:c r="I497" s="192" t="str">
        <x:v>Scenario-Based</x:v>
      </x:c>
      <x:c r="J497" s="192" t="str">
        <x:v>B</x:v>
      </x:c>
      <x:c r="K497" s="192" t="n">
        <x:v>1</x:v>
      </x:c>
      <x:c r="L497" s="192" t="str">
        <x:v>LMFT-ALT-134</x:v>
      </x:c>
      <x:c r="M497" s="192" t="str">
        <x:v>Released</x:v>
      </x:c>
      <x:c r="N497" s="194" t="str">
        <x:v>Form B only; paired alternate retained on the other comprehensive form</x:v>
      </x:c>
    </x:row>
    <x:row r="498">
      <x:c r="A498" s="191" t="str">
        <x:v>CTA-LMFT-MQB-0497</x:v>
      </x:c>
      <x:c r="B498" s="192" t="str">
        <x:v>LMFT-MQB-FB-DI-017</x:v>
      </x:c>
      <x:c r="C498" s="192" t="str">
        <x:v>LMFT Comprehensive Simulation Form B</x:v>
      </x:c>
      <x:c r="D498" s="192" t="n">
        <x:v>143</x:v>
      </x:c>
      <x:c r="E498" s="192" t="str">
        <x:v>Scored-Style</x:v>
      </x:c>
      <x:c r="F498" s="192" t="str">
        <x:v>2. Developing a Diagnostic Impression</x:v>
      </x:c>
      <x:c r="G498" s="192" t="str">
        <x:v>Diagnostic uncertainty with safety risk</x:v>
      </x:c>
      <x:c r="H498" s="192" t="str">
        <x:v>Difficult</x:v>
      </x:c>
      <x:c r="I498" s="192" t="str">
        <x:v>Integrated Clinical Reasoning</x:v>
      </x:c>
      <x:c r="J498" s="192" t="str">
        <x:v>C</x:v>
      </x:c>
      <x:c r="K498" s="192" t="n">
        <x:v>1</x:v>
      </x:c>
      <x:c r="L498" s="192" t="str">
        <x:v>LMFT-ALT-092</x:v>
      </x:c>
      <x:c r="M498" s="192" t="str">
        <x:v>Released</x:v>
      </x:c>
      <x:c r="N498" s="194" t="str">
        <x:v>Form B only; paired alternate retained on the other comprehensive form</x:v>
      </x:c>
    </x:row>
    <x:row r="499">
      <x:c r="A499" s="191" t="str">
        <x:v>CTA-LMFT-MQB-0498</x:v>
      </x:c>
      <x:c r="B499" s="192" t="str">
        <x:v>LMFT-MQB-FB-CP-007</x:v>
      </x:c>
      <x:c r="C499" s="192" t="str">
        <x:v>LMFT Comprehensive Simulation Form B</x:v>
      </x:c>
      <x:c r="D499" s="192" t="n">
        <x:v>144</x:v>
      </x:c>
      <x:c r="E499" s="192" t="str">
        <x:v>Scored-Style</x:v>
      </x:c>
      <x:c r="F499" s="192" t="str">
        <x:v>4. Case Conceptualization and Planning</x:v>
      </x:c>
      <x:c r="G499" s="192" t="str">
        <x:v>Theory-informed planning</x:v>
      </x:c>
      <x:c r="H499" s="192" t="str">
        <x:v>Moderate</x:v>
      </x:c>
      <x:c r="I499" s="192" t="str">
        <x:v>Application</x:v>
      </x:c>
      <x:c r="J499" s="192" t="str">
        <x:v>A</x:v>
      </x:c>
      <x:c r="K499" s="192" t="n">
        <x:v>1</x:v>
      </x:c>
      <x:c r="L499" s="192" t="str">
        <x:v>LMFT-ALT-048</x:v>
      </x:c>
      <x:c r="M499" s="192" t="str">
        <x:v>Released</x:v>
      </x:c>
      <x:c r="N499" s="194" t="str">
        <x:v>Form B only; paired alternate retained on the other comprehensive form</x:v>
      </x:c>
    </x:row>
    <x:row r="500">
      <x:c r="A500" s="191" t="str">
        <x:v>CTA-LMFT-MQB-0499</x:v>
      </x:c>
      <x:c r="B500" s="192" t="str">
        <x:v>LMFT-MQB-FB-DI-005</x:v>
      </x:c>
      <x:c r="C500" s="192" t="str">
        <x:v>LMFT Comprehensive Simulation Form B</x:v>
      </x:c>
      <x:c r="D500" s="192" t="n">
        <x:v>145</x:v>
      </x:c>
      <x:c r="E500" s="192" t="str">
        <x:v>Scored-Style</x:v>
      </x:c>
      <x:c r="F500" s="192" t="str">
        <x:v>2. Developing a Diagnostic Impression</x:v>
      </x:c>
      <x:c r="G500" s="192" t="str">
        <x:v>Adjustment-related presentation</x:v>
      </x:c>
      <x:c r="H500" s="192" t="str">
        <x:v>Easy</x:v>
      </x:c>
      <x:c r="I500" s="192" t="str">
        <x:v>Application</x:v>
      </x:c>
      <x:c r="J500" s="192" t="str">
        <x:v>A</x:v>
      </x:c>
      <x:c r="K500" s="192" t="n">
        <x:v>1</x:v>
      </x:c>
      <x:c r="L500" s="192" t="str">
        <x:v>LMFT-ALT-080</x:v>
      </x:c>
      <x:c r="M500" s="192" t="str">
        <x:v>Released</x:v>
      </x:c>
      <x:c r="N500" s="194" t="str">
        <x:v>Form B only; paired alternate retained on the other comprehensive form</x:v>
      </x:c>
    </x:row>
    <x:row r="501">
      <x:c r="A501" s="191" t="str">
        <x:v>CTA-LMFT-MQB-0500</x:v>
      </x:c>
      <x:c r="B501" s="192" t="str">
        <x:v>LMFT-MQB-FB-CE-011</x:v>
      </x:c>
      <x:c r="C501" s="192" t="str">
        <x:v>LMFT Comprehensive Simulation Form B</x:v>
      </x:c>
      <x:c r="D501" s="192" t="n">
        <x:v>146</x:v>
      </x:c>
      <x:c r="E501" s="192" t="str">
        <x:v>Scored-Style</x:v>
      </x:c>
      <x:c r="F501" s="192" t="str">
        <x:v>1. Clinical Evaluation</x:v>
      </x:c>
      <x:c r="G501" s="192" t="str">
        <x:v>Substance-use screening</x:v>
      </x:c>
      <x:c r="H501" s="192" t="str">
        <x:v>Moderate</x:v>
      </x:c>
      <x:c r="I501" s="192" t="str">
        <x:v>Application</x:v>
      </x:c>
      <x:c r="J501" s="192" t="str">
        <x:v>D</x:v>
      </x:c>
      <x:c r="K501" s="192" t="n">
        <x:v>1</x:v>
      </x:c>
      <x:c r="L501" s="192" t="str">
        <x:v>LMFT-ALT-011</x:v>
      </x:c>
      <x:c r="M501" s="192" t="str">
        <x:v>Released</x:v>
      </x:c>
      <x:c r="N501" s="194" t="str">
        <x:v>Form B only; paired alternate retained on the other comprehensive form</x:v>
      </x:c>
    </x:row>
    <x:row r="502">
      <x:c r="A502" s="191" t="str">
        <x:v>CTA-LMFT-MQB-0501</x:v>
      </x:c>
      <x:c r="B502" s="192" t="str">
        <x:v>LMFT-MQB-FB-CE-028</x:v>
      </x:c>
      <x:c r="C502" s="192" t="str">
        <x:v>LMFT Comprehensive Simulation Form B</x:v>
      </x:c>
      <x:c r="D502" s="192" t="n">
        <x:v>147</x:v>
      </x:c>
      <x:c r="E502" s="192" t="str">
        <x:v>Scored-Style</x:v>
      </x:c>
      <x:c r="F502" s="192" t="str">
        <x:v>1. Clinical Evaluation</x:v>
      </x:c>
      <x:c r="G502" s="192" t="str">
        <x:v>Possible mania or stimulant effect</x:v>
      </x:c>
      <x:c r="H502" s="192" t="str">
        <x:v>Moderate</x:v>
      </x:c>
      <x:c r="I502" s="192" t="str">
        <x:v>Scenario-Based</x:v>
      </x:c>
      <x:c r="J502" s="192" t="str">
        <x:v>C</x:v>
      </x:c>
      <x:c r="K502" s="192" t="n">
        <x:v>1</x:v>
      </x:c>
      <x:c r="L502" s="192" t="str">
        <x:v>LMFT-ALT-028</x:v>
      </x:c>
      <x:c r="M502" s="192" t="str">
        <x:v>Released</x:v>
      </x:c>
      <x:c r="N502" s="194" t="str">
        <x:v>Form B only; paired alternate retained on the other comprehensive form</x:v>
      </x:c>
    </x:row>
    <x:row r="503">
      <x:c r="A503" s="191" t="str">
        <x:v>CTA-LMFT-MQB-0502</x:v>
      </x:c>
      <x:c r="B503" s="192" t="str">
        <x:v>LMFT-MQB-FB-DI-010</x:v>
      </x:c>
      <x:c r="C503" s="192" t="str">
        <x:v>LMFT Comprehensive Simulation Form B</x:v>
      </x:c>
      <x:c r="D503" s="192" t="n">
        <x:v>148</x:v>
      </x:c>
      <x:c r="E503" s="192" t="str">
        <x:v>Scored-Style</x:v>
      </x:c>
      <x:c r="F503" s="192" t="str">
        <x:v>2. Developing a Diagnostic Impression</x:v>
      </x:c>
      <x:c r="G503" s="192" t="str">
        <x:v>Medical mimic</x:v>
      </x:c>
      <x:c r="H503" s="192" t="str">
        <x:v>Difficult</x:v>
      </x:c>
      <x:c r="I503" s="192" t="str">
        <x:v>Application</x:v>
      </x:c>
      <x:c r="J503" s="192" t="str">
        <x:v>D</x:v>
      </x:c>
      <x:c r="K503" s="192" t="n">
        <x:v>1</x:v>
      </x:c>
      <x:c r="L503" s="192" t="str">
        <x:v>LMFT-ALT-085</x:v>
      </x:c>
      <x:c r="M503" s="192" t="str">
        <x:v>Released</x:v>
      </x:c>
      <x:c r="N503" s="194" t="str">
        <x:v>Form B only; paired alternate retained on the other comprehensive form</x:v>
      </x:c>
    </x:row>
    <x:row r="504">
      <x:c r="A504" s="191" t="str">
        <x:v>CTA-LMFT-MQB-0503</x:v>
      </x:c>
      <x:c r="B504" s="192" t="str">
        <x:v>LMFT-MQB-FB-TX-042</x:v>
      </x:c>
      <x:c r="C504" s="192" t="str">
        <x:v>LMFT Comprehensive Simulation Form B</x:v>
      </x:c>
      <x:c r="D504" s="192" t="n">
        <x:v>149</x:v>
      </x:c>
      <x:c r="E504" s="192" t="str">
        <x:v>Scored-Style</x:v>
      </x:c>
      <x:c r="F504" s="192" t="str">
        <x:v>5. Treatment</x:v>
      </x:c>
      <x:c r="G504" s="192" t="str">
        <x:v>Integrated multidisciplinary care</x:v>
      </x:c>
      <x:c r="H504" s="192" t="str">
        <x:v>Difficult</x:v>
      </x:c>
      <x:c r="I504" s="192" t="str">
        <x:v>Integrated Clinical Reasoning</x:v>
      </x:c>
      <x:c r="J504" s="192" t="str">
        <x:v>B</x:v>
      </x:c>
      <x:c r="K504" s="192" t="n">
        <x:v>1</x:v>
      </x:c>
      <x:c r="L504" s="192" t="str">
        <x:v>LMFT-ALT-149</x:v>
      </x:c>
      <x:c r="M504" s="192" t="str">
        <x:v>Released</x:v>
      </x:c>
      <x:c r="N504" s="194" t="str">
        <x:v>Form B only; paired alternate retained on the other comprehensive form</x:v>
      </x:c>
    </x:row>
    <x:row r="505">
      <x:c r="A505" s="195" t="str">
        <x:v>CTA-LMFT-MQB-0504</x:v>
      </x:c>
      <x:c r="B505" s="196" t="str">
        <x:v>LMFT-MQB-FB-TX-023</x:v>
      </x:c>
      <x:c r="C505" s="196" t="str">
        <x:v>LMFT Comprehensive Simulation Form B</x:v>
      </x:c>
      <x:c r="D505" s="196" t="n">
        <x:v>150</x:v>
      </x:c>
      <x:c r="E505" s="196" t="str">
        <x:v>Pretest-Style</x:v>
      </x:c>
      <x:c r="F505" s="196" t="str">
        <x:v>5. Treatment</x:v>
      </x:c>
      <x:c r="G505" s="196" t="str">
        <x:v>Alliance rupture</x:v>
      </x:c>
      <x:c r="H505" s="196" t="str">
        <x:v>Easy</x:v>
      </x:c>
      <x:c r="I505" s="196" t="str">
        <x:v>Scenario-Based</x:v>
      </x:c>
      <x:c r="J505" s="196" t="str">
        <x:v>A</x:v>
      </x:c>
      <x:c r="K505" s="196" t="n">
        <x:v>1</x:v>
      </x:c>
      <x:c r="L505" s="196" t="str">
        <x:v>LMFT-ALT-130</x:v>
      </x:c>
      <x:c r="M505" s="196" t="str">
        <x:v>Released</x:v>
      </x:c>
      <x:c r="N505" s="198" t="str">
        <x:v>Form B only; paired alternate retained on the other comprehensive form</x:v>
      </x:c>
    </x:row>
  </x:sheetData>
  <x:pageMargins left="0.7" right="0.7" top="0.75" bottom="0.75" header="0.3" footer="0.3"/>
  <x:tableParts count="1">
    <x:tablePart xmlns:r="http://schemas.openxmlformats.org/officeDocument/2006/relationships" r:id="R07768f721ebd4c2b"/>
  </x:tableParts>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40" hidden="0" customWidth="1"/>
    <x:col min="4" max="4" width="11" hidden="0" customWidth="1"/>
    <x:col min="5" max="5" width="10" hidden="0" customWidth="1"/>
    <x:col min="6" max="6" width="11" hidden="0" customWidth="1"/>
    <x:col min="7" max="7" width="11" hidden="0" customWidth="1"/>
    <x:col min="8" max="8" width="8" hidden="0" customWidth="1"/>
    <x:col min="9" max="9" width="8" hidden="0" customWidth="1"/>
    <x:col min="10" max="10" width="8" hidden="0" customWidth="1"/>
    <x:col min="11" max="11" width="8" hidden="0" customWidth="1"/>
    <x:col min="12" max="12" width="16" hidden="0" customWidth="1"/>
    <x:col min="13" max="13" width="13" hidden="0" customWidth="1"/>
    <x:col min="14" max="14" width="15" hidden="0" customWidth="1"/>
    <x:col min="15" max="15" width="18" hidden="0" customWidth="1"/>
    <x:col min="16" max="16" width="18" hidden="0" customWidth="1"/>
    <x:col min="17" max="17" width="14" hidden="0" customWidth="1"/>
  </x:cols>
  <x:sheetData>
    <x:row r="1">
      <x:c r="A1" s="5" t="str">
        <x:v>LMFT Workbook Question-Bank Summary</x:v>
      </x:c>
      <x:c r="B1" s="5"/>
      <x:c r="C1" s="5"/>
      <x:c r="D1" s="5"/>
      <x:c r="E1" s="5"/>
      <x:c r="F1" s="5"/>
      <x:c r="G1" s="5"/>
      <x:c r="H1" s="5"/>
      <x:c r="I1" s="5"/>
      <x:c r="J1" s="5"/>
      <x:c r="K1" s="5"/>
      <x:c r="L1" s="5"/>
      <x:c r="M1" s="5"/>
      <x:c r="N1" s="5"/>
      <x:c r="O1" s="5"/>
      <x:c r="P1" s="5"/>
      <x:c r="Q1" s="5"/>
    </x:row>
    <x:row r="2">
      <x:c r="A2" s="135"/>
      <x:c r="B2" s="135"/>
      <x:c r="C2" s="135"/>
      <x:c r="D2" s="135"/>
      <x:c r="E2" s="135"/>
      <x:c r="F2" s="135"/>
      <x:c r="G2" s="135"/>
      <x:c r="H2" s="135"/>
      <x:c r="I2" s="135"/>
      <x:c r="J2" s="135"/>
      <x:c r="K2" s="135"/>
      <x:c r="L2" s="135"/>
      <x:c r="M2" s="135"/>
      <x:c r="N2" s="135"/>
      <x:c r="O2" s="135"/>
      <x:c r="P2" s="135"/>
      <x:c r="Q2" s="135"/>
    </x:row>
    <x:row r="3">
      <x:c r="A3" s="138" t="str">
        <x:v>Workbook</x:v>
      </x:c>
      <x:c r="B3" s="138" t="str">
        <x:v>Workbook Title</x:v>
      </x:c>
      <x:c r="C3" s="138" t="str">
        <x:v>Official Area</x:v>
      </x:c>
      <x:c r="D3" s="138" t="str">
        <x:v>Questions</x:v>
      </x:c>
      <x:c r="E3" s="138" t="str">
        <x:v>Easy</x:v>
      </x:c>
      <x:c r="F3" s="138" t="str">
        <x:v>Moderate</x:v>
      </x:c>
      <x:c r="G3" s="138" t="str">
        <x:v>Difficult</x:v>
      </x:c>
      <x:c r="H3" s="138" t="str">
        <x:v>A</x:v>
      </x:c>
      <x:c r="I3" s="138" t="str">
        <x:v>B</x:v>
      </x:c>
      <x:c r="J3" s="138" t="str">
        <x:v>C</x:v>
      </x:c>
      <x:c r="K3" s="138" t="str">
        <x:v>D</x:v>
      </x:c>
      <x:c r="L3" s="138" t="str">
        <x:v>Knowledge &amp; Recall</x:v>
      </x:c>
      <x:c r="M3" s="138" t="str">
        <x:v>Application</x:v>
      </x:c>
      <x:c r="N3" s="138" t="str">
        <x:v>Scenario-Based</x:v>
      </x:c>
      <x:c r="O3" s="138" t="str">
        <x:v>Integrated Reasoning</x:v>
      </x:c>
      <x:c r="P3" s="138" t="str">
        <x:v>Difficulty Standard</x:v>
      </x:c>
      <x:c r="Q3" s="138" t="str">
        <x:v>QA Result</x:v>
      </x:c>
    </x:row>
    <x:row r="4">
      <x:c r="A4" s="140" t="n">
        <x:v>1</x:v>
      </x:c>
      <x:c r="B4" s="141" t="str">
        <x:v>Exam Strategy and Clinical Reasoning</x:v>
      </x:c>
      <x:c r="C4" s="141" t="str">
        <x:v>Exam Strategy / Cross-Domain</x:v>
      </x:c>
      <x:c r="D4" s="141" t="n">
        <x:f>COUNTIF('Master Inventory'!$E$2:$E$505,A4)</x:f>
        <x:v>17</x:v>
      </x:c>
      <x:c r="E4" s="141" t="n">
        <x:f>COUNTIFS('Master Inventory'!$E$2:$E$505,A4,'Master Inventory'!$N$2:$N$505,"Easy")</x:f>
        <x:v>5</x:v>
      </x:c>
      <x:c r="F4" s="141" t="n">
        <x:f>COUNTIFS('Master Inventory'!$E$2:$E$505,A4,'Master Inventory'!$N$2:$N$505,"Moderate")</x:f>
        <x:v>7</x:v>
      </x:c>
      <x:c r="G4" s="141" t="n">
        <x:f>COUNTIFS('Master Inventory'!$E$2:$E$505,A4,'Master Inventory'!$N$2:$N$505,"Difficult")</x:f>
        <x:v>5</x:v>
      </x:c>
      <x:c r="H4" s="141" t="n">
        <x:f>COUNTIFS('Master Inventory'!$E$2:$E$505,A4,'Master Inventory'!$R$2:$R$505,"A")</x:f>
        <x:v>5</x:v>
      </x:c>
      <x:c r="I4" s="141" t="n">
        <x:f>COUNTIFS('Master Inventory'!$E$2:$E$505,A4,'Master Inventory'!$R$2:$R$505,"B")</x:f>
        <x:v>4</x:v>
      </x:c>
      <x:c r="J4" s="141" t="n">
        <x:f>COUNTIFS('Master Inventory'!$E$2:$E$505,A4,'Master Inventory'!$R$2:$R$505,"C")</x:f>
        <x:v>4</x:v>
      </x:c>
      <x:c r="K4" s="141" t="n">
        <x:f>COUNTIFS('Master Inventory'!$E$2:$E$505,A4,'Master Inventory'!$R$2:$R$505,"D")</x:f>
        <x:v>4</x:v>
      </x:c>
      <x:c r="L4" s="141" t="n">
        <x:f>COUNTIFS('Master Inventory'!$E$2:$E$505,A4,'Master Inventory'!$P$2:$P$505,"Knowledge &amp; Recall")</x:f>
        <x:v>3</x:v>
      </x:c>
      <x:c r="M4" s="141" t="n">
        <x:f>COUNTIFS('Master Inventory'!$E$2:$E$505,A4,'Master Inventory'!$P$2:$P$505,"Application")</x:f>
        <x:v>7</x:v>
      </x:c>
      <x:c r="N4" s="141" t="n">
        <x:f>COUNTIFS('Master Inventory'!$E$2:$E$505,A4,'Master Inventory'!$P$2:$P$505,"Scenario-Based")</x:f>
        <x:v>5</x:v>
      </x:c>
      <x:c r="O4" s="141" t="n">
        <x:f>COUNTIFS('Master Inventory'!$E$2:$E$505,A4,'Master Inventory'!$P$2:$P$505,"Integrated Clinical Reasoning")</x:f>
        <x:v>2</x:v>
      </x:c>
      <x:c r="P4" s="141" t="str">
        <x:f>IF(AND(E4=5,F4=7,G4=5),"Pass","Review")</x:f>
        <x:v>Pass</x:v>
      </x:c>
      <x:c r="Q4" s="142" t="str">
        <x:v>Pass</x:v>
      </x:c>
    </x:row>
    <x:row r="5">
      <x:c r="A5" s="143" t="n">
        <x:v>2</x:v>
      </x:c>
      <x:c r="B5" s="144" t="str">
        <x:v>Clinical Engagement, Intake, and Mental Status Assessment</x:v>
      </x:c>
      <x:c r="C5" s="144" t="str">
        <x:v>1. Clinical Evaluation</x:v>
      </x:c>
      <x:c r="D5" s="144" t="n">
        <x:f>COUNTIF('Master Inventory'!$E$2:$E$505,A5)</x:f>
        <x:v>17</x:v>
      </x:c>
      <x:c r="E5" s="144" t="n">
        <x:f>COUNTIFS('Master Inventory'!$E$2:$E$505,A5,'Master Inventory'!$N$2:$N$505,"Easy")</x:f>
        <x:v>5</x:v>
      </x:c>
      <x:c r="F5" s="144" t="n">
        <x:f>COUNTIFS('Master Inventory'!$E$2:$E$505,A5,'Master Inventory'!$N$2:$N$505,"Moderate")</x:f>
        <x:v>7</x:v>
      </x:c>
      <x:c r="G5" s="144" t="n">
        <x:f>COUNTIFS('Master Inventory'!$E$2:$E$505,A5,'Master Inventory'!$N$2:$N$505,"Difficult")</x:f>
        <x:v>5</x:v>
      </x:c>
      <x:c r="H5" s="144" t="n">
        <x:f>COUNTIFS('Master Inventory'!$E$2:$E$505,A5,'Master Inventory'!$R$2:$R$505,"A")</x:f>
        <x:v>5</x:v>
      </x:c>
      <x:c r="I5" s="144" t="n">
        <x:f>COUNTIFS('Master Inventory'!$E$2:$E$505,A5,'Master Inventory'!$R$2:$R$505,"B")</x:f>
        <x:v>4</x:v>
      </x:c>
      <x:c r="J5" s="144" t="n">
        <x:f>COUNTIFS('Master Inventory'!$E$2:$E$505,A5,'Master Inventory'!$R$2:$R$505,"C")</x:f>
        <x:v>4</x:v>
      </x:c>
      <x:c r="K5" s="144" t="n">
        <x:f>COUNTIFS('Master Inventory'!$E$2:$E$505,A5,'Master Inventory'!$R$2:$R$505,"D")</x:f>
        <x:v>4</x:v>
      </x:c>
      <x:c r="L5" s="144" t="n">
        <x:f>COUNTIFS('Master Inventory'!$E$2:$E$505,A5,'Master Inventory'!$P$2:$P$505,"Knowledge &amp; Recall")</x:f>
        <x:v>3</x:v>
      </x:c>
      <x:c r="M5" s="144" t="n">
        <x:f>COUNTIFS('Master Inventory'!$E$2:$E$505,A5,'Master Inventory'!$P$2:$P$505,"Application")</x:f>
        <x:v>6</x:v>
      </x:c>
      <x:c r="N5" s="144" t="n">
        <x:f>COUNTIFS('Master Inventory'!$E$2:$E$505,A5,'Master Inventory'!$P$2:$P$505,"Scenario-Based")</x:f>
        <x:v>5</x:v>
      </x:c>
      <x:c r="O5" s="144" t="n">
        <x:f>COUNTIFS('Master Inventory'!$E$2:$E$505,A5,'Master Inventory'!$P$2:$P$505,"Integrated Clinical Reasoning")</x:f>
        <x:v>3</x:v>
      </x:c>
      <x:c r="P5" s="144" t="str">
        <x:f>IF(AND(E5=5,F5=7,G5=5),"Pass","Review")</x:f>
        <x:v>Pass</x:v>
      </x:c>
      <x:c r="Q5" s="145" t="str">
        <x:v>Pass</x:v>
      </x:c>
    </x:row>
    <x:row r="6">
      <x:c r="A6" s="143" t="n">
        <x:v>3</x:v>
      </x:c>
      <x:c r="B6" s="144" t="str">
        <x:v>Developmental, Psychosocial, and Diversity Assessment</x:v>
      </x:c>
      <x:c r="C6" s="144" t="str">
        <x:v>1. Clinical Evaluation</x:v>
      </x:c>
      <x:c r="D6" s="144" t="n">
        <x:f>COUNTIF('Master Inventory'!$E$2:$E$505,A6)</x:f>
        <x:v>17</x:v>
      </x:c>
      <x:c r="E6" s="144" t="n">
        <x:f>COUNTIFS('Master Inventory'!$E$2:$E$505,A6,'Master Inventory'!$N$2:$N$505,"Easy")</x:f>
        <x:v>5</x:v>
      </x:c>
      <x:c r="F6" s="144" t="n">
        <x:f>COUNTIFS('Master Inventory'!$E$2:$E$505,A6,'Master Inventory'!$N$2:$N$505,"Moderate")</x:f>
        <x:v>7</x:v>
      </x:c>
      <x:c r="G6" s="144" t="n">
        <x:f>COUNTIFS('Master Inventory'!$E$2:$E$505,A6,'Master Inventory'!$N$2:$N$505,"Difficult")</x:f>
        <x:v>5</x:v>
      </x:c>
      <x:c r="H6" s="144" t="n">
        <x:f>COUNTIFS('Master Inventory'!$E$2:$E$505,A6,'Master Inventory'!$R$2:$R$505,"A")</x:f>
        <x:v>5</x:v>
      </x:c>
      <x:c r="I6" s="144" t="n">
        <x:f>COUNTIFS('Master Inventory'!$E$2:$E$505,A6,'Master Inventory'!$R$2:$R$505,"B")</x:f>
        <x:v>4</x:v>
      </x:c>
      <x:c r="J6" s="144" t="n">
        <x:f>COUNTIFS('Master Inventory'!$E$2:$E$505,A6,'Master Inventory'!$R$2:$R$505,"C")</x:f>
        <x:v>4</x:v>
      </x:c>
      <x:c r="K6" s="144" t="n">
        <x:f>COUNTIFS('Master Inventory'!$E$2:$E$505,A6,'Master Inventory'!$R$2:$R$505,"D")</x:f>
        <x:v>4</x:v>
      </x:c>
      <x:c r="L6" s="144" t="n">
        <x:f>COUNTIFS('Master Inventory'!$E$2:$E$505,A6,'Master Inventory'!$P$2:$P$505,"Knowledge &amp; Recall")</x:f>
        <x:v>4</x:v>
      </x:c>
      <x:c r="M6" s="144" t="n">
        <x:f>COUNTIFS('Master Inventory'!$E$2:$E$505,A6,'Master Inventory'!$P$2:$P$505,"Application")</x:f>
        <x:v>5</x:v>
      </x:c>
      <x:c r="N6" s="144" t="n">
        <x:f>COUNTIFS('Master Inventory'!$E$2:$E$505,A6,'Master Inventory'!$P$2:$P$505,"Scenario-Based")</x:f>
        <x:v>5</x:v>
      </x:c>
      <x:c r="O6" s="144" t="n">
        <x:f>COUNTIFS('Master Inventory'!$E$2:$E$505,A6,'Master Inventory'!$P$2:$P$505,"Integrated Clinical Reasoning")</x:f>
        <x:v>3</x:v>
      </x:c>
      <x:c r="P6" s="144" t="str">
        <x:f>IF(AND(E6=5,F6=7,G6=5),"Pass","Review")</x:f>
        <x:v>Pass</x:v>
      </x:c>
      <x:c r="Q6" s="145" t="str">
        <x:v>Pass</x:v>
      </x:c>
    </x:row>
    <x:row r="7">
      <x:c r="A7" s="143" t="n">
        <x:v>4</x:v>
      </x:c>
      <x:c r="B7" s="144" t="str">
        <x:v>Relational, Family-System, Trauma, and Strengths Assessment</x:v>
      </x:c>
      <x:c r="C7" s="144" t="str">
        <x:v>1. Clinical Evaluation</x:v>
      </x:c>
      <x:c r="D7" s="144" t="n">
        <x:f>COUNTIF('Master Inventory'!$E$2:$E$505,A7)</x:f>
        <x:v>17</x:v>
      </x:c>
      <x:c r="E7" s="144" t="n">
        <x:f>COUNTIFS('Master Inventory'!$E$2:$E$505,A7,'Master Inventory'!$N$2:$N$505,"Easy")</x:f>
        <x:v>5</x:v>
      </x:c>
      <x:c r="F7" s="144" t="n">
        <x:f>COUNTIFS('Master Inventory'!$E$2:$E$505,A7,'Master Inventory'!$N$2:$N$505,"Moderate")</x:f>
        <x:v>7</x:v>
      </x:c>
      <x:c r="G7" s="144" t="n">
        <x:f>COUNTIFS('Master Inventory'!$E$2:$E$505,A7,'Master Inventory'!$N$2:$N$505,"Difficult")</x:f>
        <x:v>5</x:v>
      </x:c>
      <x:c r="H7" s="144" t="n">
        <x:f>COUNTIFS('Master Inventory'!$E$2:$E$505,A7,'Master Inventory'!$R$2:$R$505,"A")</x:f>
        <x:v>5</x:v>
      </x:c>
      <x:c r="I7" s="144" t="n">
        <x:f>COUNTIFS('Master Inventory'!$E$2:$E$505,A7,'Master Inventory'!$R$2:$R$505,"B")</x:f>
        <x:v>4</x:v>
      </x:c>
      <x:c r="J7" s="144" t="n">
        <x:f>COUNTIFS('Master Inventory'!$E$2:$E$505,A7,'Master Inventory'!$R$2:$R$505,"C")</x:f>
        <x:v>4</x:v>
      </x:c>
      <x:c r="K7" s="144" t="n">
        <x:f>COUNTIFS('Master Inventory'!$E$2:$E$505,A7,'Master Inventory'!$R$2:$R$505,"D")</x:f>
        <x:v>4</x:v>
      </x:c>
      <x:c r="L7" s="144" t="n">
        <x:f>COUNTIFS('Master Inventory'!$E$2:$E$505,A7,'Master Inventory'!$P$2:$P$505,"Knowledge &amp; Recall")</x:f>
        <x:v>5</x:v>
      </x:c>
      <x:c r="M7" s="144" t="n">
        <x:f>COUNTIFS('Master Inventory'!$E$2:$E$505,A7,'Master Inventory'!$P$2:$P$505,"Application")</x:f>
        <x:v>5</x:v>
      </x:c>
      <x:c r="N7" s="144" t="n">
        <x:f>COUNTIFS('Master Inventory'!$E$2:$E$505,A7,'Master Inventory'!$P$2:$P$505,"Scenario-Based")</x:f>
        <x:v>4</x:v>
      </x:c>
      <x:c r="O7" s="144" t="n">
        <x:f>COUNTIFS('Master Inventory'!$E$2:$E$505,A7,'Master Inventory'!$P$2:$P$505,"Integrated Clinical Reasoning")</x:f>
        <x:v>3</x:v>
      </x:c>
      <x:c r="P7" s="144" t="str">
        <x:f>IF(AND(E7=5,F7=7,G7=5),"Pass","Review")</x:f>
        <x:v>Pass</x:v>
      </x:c>
      <x:c r="Q7" s="145" t="str">
        <x:v>Pass</x:v>
      </x:c>
    </x:row>
    <x:row r="8">
      <x:c r="A8" s="143" t="n">
        <x:v>5</x:v>
      </x:c>
      <x:c r="B8" s="144" t="str">
        <x:v>Diagnosis and Differential Diagnosis</x:v>
      </x:c>
      <x:c r="C8" s="144" t="str">
        <x:v>2. Developing a Diagnostic Impression</x:v>
      </x:c>
      <x:c r="D8" s="144" t="n">
        <x:f>COUNTIF('Master Inventory'!$E$2:$E$505,A8)</x:f>
        <x:v>17</x:v>
      </x:c>
      <x:c r="E8" s="144" t="n">
        <x:f>COUNTIFS('Master Inventory'!$E$2:$E$505,A8,'Master Inventory'!$N$2:$N$505,"Easy")</x:f>
        <x:v>5</x:v>
      </x:c>
      <x:c r="F8" s="144" t="n">
        <x:f>COUNTIFS('Master Inventory'!$E$2:$E$505,A8,'Master Inventory'!$N$2:$N$505,"Moderate")</x:f>
        <x:v>7</x:v>
      </x:c>
      <x:c r="G8" s="144" t="n">
        <x:f>COUNTIFS('Master Inventory'!$E$2:$E$505,A8,'Master Inventory'!$N$2:$N$505,"Difficult")</x:f>
        <x:v>5</x:v>
      </x:c>
      <x:c r="H8" s="144" t="n">
        <x:f>COUNTIFS('Master Inventory'!$E$2:$E$505,A8,'Master Inventory'!$R$2:$R$505,"A")</x:f>
        <x:v>5</x:v>
      </x:c>
      <x:c r="I8" s="144" t="n">
        <x:f>COUNTIFS('Master Inventory'!$E$2:$E$505,A8,'Master Inventory'!$R$2:$R$505,"B")</x:f>
        <x:v>4</x:v>
      </x:c>
      <x:c r="J8" s="144" t="n">
        <x:f>COUNTIFS('Master Inventory'!$E$2:$E$505,A8,'Master Inventory'!$R$2:$R$505,"C")</x:f>
        <x:v>4</x:v>
      </x:c>
      <x:c r="K8" s="144" t="n">
        <x:f>COUNTIFS('Master Inventory'!$E$2:$E$505,A8,'Master Inventory'!$R$2:$R$505,"D")</x:f>
        <x:v>4</x:v>
      </x:c>
      <x:c r="L8" s="144" t="n">
        <x:f>COUNTIFS('Master Inventory'!$E$2:$E$505,A8,'Master Inventory'!$P$2:$P$505,"Knowledge &amp; Recall")</x:f>
        <x:v>5</x:v>
      </x:c>
      <x:c r="M8" s="144" t="n">
        <x:f>COUNTIFS('Master Inventory'!$E$2:$E$505,A8,'Master Inventory'!$P$2:$P$505,"Application")</x:f>
        <x:v>5</x:v>
      </x:c>
      <x:c r="N8" s="144" t="n">
        <x:f>COUNTIFS('Master Inventory'!$E$2:$E$505,A8,'Master Inventory'!$P$2:$P$505,"Scenario-Based")</x:f>
        <x:v>2</x:v>
      </x:c>
      <x:c r="O8" s="144" t="n">
        <x:f>COUNTIFS('Master Inventory'!$E$2:$E$505,A8,'Master Inventory'!$P$2:$P$505,"Integrated Clinical Reasoning")</x:f>
        <x:v>5</x:v>
      </x:c>
      <x:c r="P8" s="144" t="str">
        <x:f>IF(AND(E8=5,F8=7,G8=5),"Pass","Review")</x:f>
        <x:v>Pass</x:v>
      </x:c>
      <x:c r="Q8" s="145" t="str">
        <x:v>Pass</x:v>
      </x:c>
    </x:row>
    <x:row r="9">
      <x:c r="A9" s="143" t="n">
        <x:v>6</x:v>
      </x:c>
      <x:c r="B9" s="144" t="str">
        <x:v>Crisis, Abuse, and Safety</x:v>
      </x:c>
      <x:c r="C9" s="144" t="str">
        <x:v>3. Managing Crisis Situations</x:v>
      </x:c>
      <x:c r="D9" s="144" t="n">
        <x:f>COUNTIF('Master Inventory'!$E$2:$E$505,A9)</x:f>
        <x:v>17</x:v>
      </x:c>
      <x:c r="E9" s="144" t="n">
        <x:f>COUNTIFS('Master Inventory'!$E$2:$E$505,A9,'Master Inventory'!$N$2:$N$505,"Easy")</x:f>
        <x:v>5</x:v>
      </x:c>
      <x:c r="F9" s="144" t="n">
        <x:f>COUNTIFS('Master Inventory'!$E$2:$E$505,A9,'Master Inventory'!$N$2:$N$505,"Moderate")</x:f>
        <x:v>7</x:v>
      </x:c>
      <x:c r="G9" s="144" t="n">
        <x:f>COUNTIFS('Master Inventory'!$E$2:$E$505,A9,'Master Inventory'!$N$2:$N$505,"Difficult")</x:f>
        <x:v>5</x:v>
      </x:c>
      <x:c r="H9" s="144" t="n">
        <x:f>COUNTIFS('Master Inventory'!$E$2:$E$505,A9,'Master Inventory'!$R$2:$R$505,"A")</x:f>
        <x:v>5</x:v>
      </x:c>
      <x:c r="I9" s="144" t="n">
        <x:f>COUNTIFS('Master Inventory'!$E$2:$E$505,A9,'Master Inventory'!$R$2:$R$505,"B")</x:f>
        <x:v>4</x:v>
      </x:c>
      <x:c r="J9" s="144" t="n">
        <x:f>COUNTIFS('Master Inventory'!$E$2:$E$505,A9,'Master Inventory'!$R$2:$R$505,"C")</x:f>
        <x:v>4</x:v>
      </x:c>
      <x:c r="K9" s="144" t="n">
        <x:f>COUNTIFS('Master Inventory'!$E$2:$E$505,A9,'Master Inventory'!$R$2:$R$505,"D")</x:f>
        <x:v>4</x:v>
      </x:c>
      <x:c r="L9" s="144" t="n">
        <x:f>COUNTIFS('Master Inventory'!$E$2:$E$505,A9,'Master Inventory'!$P$2:$P$505,"Knowledge &amp; Recall")</x:f>
        <x:v>3</x:v>
      </x:c>
      <x:c r="M9" s="144" t="n">
        <x:f>COUNTIFS('Master Inventory'!$E$2:$E$505,A9,'Master Inventory'!$P$2:$P$505,"Application")</x:f>
        <x:v>4</x:v>
      </x:c>
      <x:c r="N9" s="144" t="n">
        <x:f>COUNTIFS('Master Inventory'!$E$2:$E$505,A9,'Master Inventory'!$P$2:$P$505,"Scenario-Based")</x:f>
        <x:v>5</x:v>
      </x:c>
      <x:c r="O9" s="144" t="n">
        <x:f>COUNTIFS('Master Inventory'!$E$2:$E$505,A9,'Master Inventory'!$P$2:$P$505,"Integrated Clinical Reasoning")</x:f>
        <x:v>5</x:v>
      </x:c>
      <x:c r="P9" s="144" t="str">
        <x:f>IF(AND(E9=5,F9=7,G9=5),"Pass","Review")</x:f>
        <x:v>Pass</x:v>
      </x:c>
      <x:c r="Q9" s="145" t="str">
        <x:v>Pass</x:v>
      </x:c>
    </x:row>
    <x:row r="10">
      <x:c r="A10" s="143" t="n">
        <x:v>7</x:v>
      </x:c>
      <x:c r="B10" s="144" t="str">
        <x:v>Planning, Progress, and Termination</x:v>
      </x:c>
      <x:c r="C10" s="144" t="str">
        <x:v>4. Case Conceptualization and Planning</x:v>
      </x:c>
      <x:c r="D10" s="144" t="n">
        <x:f>COUNTIF('Master Inventory'!$E$2:$E$505,A10)</x:f>
        <x:v>17</x:v>
      </x:c>
      <x:c r="E10" s="144" t="n">
        <x:f>COUNTIFS('Master Inventory'!$E$2:$E$505,A10,'Master Inventory'!$N$2:$N$505,"Easy")</x:f>
        <x:v>5</x:v>
      </x:c>
      <x:c r="F10" s="144" t="n">
        <x:f>COUNTIFS('Master Inventory'!$E$2:$E$505,A10,'Master Inventory'!$N$2:$N$505,"Moderate")</x:f>
        <x:v>7</x:v>
      </x:c>
      <x:c r="G10" s="144" t="n">
        <x:f>COUNTIFS('Master Inventory'!$E$2:$E$505,A10,'Master Inventory'!$N$2:$N$505,"Difficult")</x:f>
        <x:v>5</x:v>
      </x:c>
      <x:c r="H10" s="144" t="n">
        <x:f>COUNTIFS('Master Inventory'!$E$2:$E$505,A10,'Master Inventory'!$R$2:$R$505,"A")</x:f>
        <x:v>5</x:v>
      </x:c>
      <x:c r="I10" s="144" t="n">
        <x:f>COUNTIFS('Master Inventory'!$E$2:$E$505,A10,'Master Inventory'!$R$2:$R$505,"B")</x:f>
        <x:v>4</x:v>
      </x:c>
      <x:c r="J10" s="144" t="n">
        <x:f>COUNTIFS('Master Inventory'!$E$2:$E$505,A10,'Master Inventory'!$R$2:$R$505,"C")</x:f>
        <x:v>4</x:v>
      </x:c>
      <x:c r="K10" s="144" t="n">
        <x:f>COUNTIFS('Master Inventory'!$E$2:$E$505,A10,'Master Inventory'!$R$2:$R$505,"D")</x:f>
        <x:v>4</x:v>
      </x:c>
      <x:c r="L10" s="144" t="n">
        <x:f>COUNTIFS('Master Inventory'!$E$2:$E$505,A10,'Master Inventory'!$P$2:$P$505,"Knowledge &amp; Recall")</x:f>
        <x:v>3</x:v>
      </x:c>
      <x:c r="M10" s="144" t="n">
        <x:f>COUNTIFS('Master Inventory'!$E$2:$E$505,A10,'Master Inventory'!$P$2:$P$505,"Application")</x:f>
        <x:v>4</x:v>
      </x:c>
      <x:c r="N10" s="144" t="n">
        <x:f>COUNTIFS('Master Inventory'!$E$2:$E$505,A10,'Master Inventory'!$P$2:$P$505,"Scenario-Based")</x:f>
        <x:v>5</x:v>
      </x:c>
      <x:c r="O10" s="144" t="n">
        <x:f>COUNTIFS('Master Inventory'!$E$2:$E$505,A10,'Master Inventory'!$P$2:$P$505,"Integrated Clinical Reasoning")</x:f>
        <x:v>5</x:v>
      </x:c>
      <x:c r="P10" s="144" t="str">
        <x:f>IF(AND(E10=5,F10=7,G10=5),"Pass","Review")</x:f>
        <x:v>Pass</x:v>
      </x:c>
      <x:c r="Q10" s="145" t="str">
        <x:v>Pass</x:v>
      </x:c>
    </x:row>
    <x:row r="11">
      <x:c r="A11" s="143" t="n">
        <x:v>8</x:v>
      </x:c>
      <x:c r="B11" s="144" t="str">
        <x:v>Family, Couple, Attachment, and Relational Interventions</x:v>
      </x:c>
      <x:c r="C11" s="144" t="str">
        <x:v>5. Treatment</x:v>
      </x:c>
      <x:c r="D11" s="144" t="n">
        <x:f>COUNTIF('Master Inventory'!$E$2:$E$505,A11)</x:f>
        <x:v>17</x:v>
      </x:c>
      <x:c r="E11" s="144" t="n">
        <x:f>COUNTIFS('Master Inventory'!$E$2:$E$505,A11,'Master Inventory'!$N$2:$N$505,"Easy")</x:f>
        <x:v>5</x:v>
      </x:c>
      <x:c r="F11" s="144" t="n">
        <x:f>COUNTIFS('Master Inventory'!$E$2:$E$505,A11,'Master Inventory'!$N$2:$N$505,"Moderate")</x:f>
        <x:v>7</x:v>
      </x:c>
      <x:c r="G11" s="144" t="n">
        <x:f>COUNTIFS('Master Inventory'!$E$2:$E$505,A11,'Master Inventory'!$N$2:$N$505,"Difficult")</x:f>
        <x:v>5</x:v>
      </x:c>
      <x:c r="H11" s="144" t="n">
        <x:f>COUNTIFS('Master Inventory'!$E$2:$E$505,A11,'Master Inventory'!$R$2:$R$505,"A")</x:f>
        <x:v>5</x:v>
      </x:c>
      <x:c r="I11" s="144" t="n">
        <x:f>COUNTIFS('Master Inventory'!$E$2:$E$505,A11,'Master Inventory'!$R$2:$R$505,"B")</x:f>
        <x:v>4</x:v>
      </x:c>
      <x:c r="J11" s="144" t="n">
        <x:f>COUNTIFS('Master Inventory'!$E$2:$E$505,A11,'Master Inventory'!$R$2:$R$505,"C")</x:f>
        <x:v>4</x:v>
      </x:c>
      <x:c r="K11" s="144" t="n">
        <x:f>COUNTIFS('Master Inventory'!$E$2:$E$505,A11,'Master Inventory'!$R$2:$R$505,"D")</x:f>
        <x:v>4</x:v>
      </x:c>
      <x:c r="L11" s="144" t="n">
        <x:f>COUNTIFS('Master Inventory'!$E$2:$E$505,A11,'Master Inventory'!$P$2:$P$505,"Knowledge &amp; Recall")</x:f>
        <x:v>3</x:v>
      </x:c>
      <x:c r="M11" s="144" t="n">
        <x:f>COUNTIFS('Master Inventory'!$E$2:$E$505,A11,'Master Inventory'!$P$2:$P$505,"Application")</x:f>
        <x:v>4</x:v>
      </x:c>
      <x:c r="N11" s="144" t="n">
        <x:f>COUNTIFS('Master Inventory'!$E$2:$E$505,A11,'Master Inventory'!$P$2:$P$505,"Scenario-Based")</x:f>
        <x:v>5</x:v>
      </x:c>
      <x:c r="O11" s="144" t="n">
        <x:f>COUNTIFS('Master Inventory'!$E$2:$E$505,A11,'Master Inventory'!$P$2:$P$505,"Integrated Clinical Reasoning")</x:f>
        <x:v>5</x:v>
      </x:c>
      <x:c r="P11" s="144" t="str">
        <x:f>IF(AND(E11=5,F11=7,G11=5),"Pass","Review")</x:f>
        <x:v>Pass</x:v>
      </x:c>
      <x:c r="Q11" s="145" t="str">
        <x:v>Pass</x:v>
      </x:c>
    </x:row>
    <x:row r="12">
      <x:c r="A12" s="143" t="n">
        <x:v>9</x:v>
      </x:c>
      <x:c r="B12" s="144" t="str">
        <x:v>Trauma, Psychological, Behavioral, and Recovery Interventions</x:v>
      </x:c>
      <x:c r="C12" s="144" t="str">
        <x:v>5. Treatment</x:v>
      </x:c>
      <x:c r="D12" s="144" t="n">
        <x:f>COUNTIF('Master Inventory'!$E$2:$E$505,A12)</x:f>
        <x:v>17</x:v>
      </x:c>
      <x:c r="E12" s="144" t="n">
        <x:f>COUNTIFS('Master Inventory'!$E$2:$E$505,A12,'Master Inventory'!$N$2:$N$505,"Easy")</x:f>
        <x:v>5</x:v>
      </x:c>
      <x:c r="F12" s="144" t="n">
        <x:f>COUNTIFS('Master Inventory'!$E$2:$E$505,A12,'Master Inventory'!$N$2:$N$505,"Moderate")</x:f>
        <x:v>7</x:v>
      </x:c>
      <x:c r="G12" s="144" t="n">
        <x:f>COUNTIFS('Master Inventory'!$E$2:$E$505,A12,'Master Inventory'!$N$2:$N$505,"Difficult")</x:f>
        <x:v>5</x:v>
      </x:c>
      <x:c r="H12" s="144" t="n">
        <x:f>COUNTIFS('Master Inventory'!$E$2:$E$505,A12,'Master Inventory'!$R$2:$R$505,"A")</x:f>
        <x:v>5</x:v>
      </x:c>
      <x:c r="I12" s="144" t="n">
        <x:f>COUNTIFS('Master Inventory'!$E$2:$E$505,A12,'Master Inventory'!$R$2:$R$505,"B")</x:f>
        <x:v>4</x:v>
      </x:c>
      <x:c r="J12" s="144" t="n">
        <x:f>COUNTIFS('Master Inventory'!$E$2:$E$505,A12,'Master Inventory'!$R$2:$R$505,"C")</x:f>
        <x:v>4</x:v>
      </x:c>
      <x:c r="K12" s="144" t="n">
        <x:f>COUNTIFS('Master Inventory'!$E$2:$E$505,A12,'Master Inventory'!$R$2:$R$505,"D")</x:f>
        <x:v>4</x:v>
      </x:c>
      <x:c r="L12" s="144" t="n">
        <x:f>COUNTIFS('Master Inventory'!$E$2:$E$505,A12,'Master Inventory'!$P$2:$P$505,"Knowledge &amp; Recall")</x:f>
        <x:v>3</x:v>
      </x:c>
      <x:c r="M12" s="144" t="n">
        <x:f>COUNTIFS('Master Inventory'!$E$2:$E$505,A12,'Master Inventory'!$P$2:$P$505,"Application")</x:f>
        <x:v>4</x:v>
      </x:c>
      <x:c r="N12" s="144" t="n">
        <x:f>COUNTIFS('Master Inventory'!$E$2:$E$505,A12,'Master Inventory'!$P$2:$P$505,"Scenario-Based")</x:f>
        <x:v>5</x:v>
      </x:c>
      <x:c r="O12" s="144" t="n">
        <x:f>COUNTIFS('Master Inventory'!$E$2:$E$505,A12,'Master Inventory'!$P$2:$P$505,"Integrated Clinical Reasoning")</x:f>
        <x:v>5</x:v>
      </x:c>
      <x:c r="P12" s="144" t="str">
        <x:f>IF(AND(E12=5,F12=7,G12=5),"Pass","Review")</x:f>
        <x:v>Pass</x:v>
      </x:c>
      <x:c r="Q12" s="145" t="str">
        <x:v>Pass</x:v>
      </x:c>
    </x:row>
    <x:row r="13">
      <x:c r="A13" s="143" t="n">
        <x:v>10</x:v>
      </x:c>
      <x:c r="B13" s="144" t="str">
        <x:v>Developmental, Cultural, and Contextual Interventions</x:v>
      </x:c>
      <x:c r="C13" s="144" t="str">
        <x:v>5. Treatment</x:v>
      </x:c>
      <x:c r="D13" s="144" t="n">
        <x:f>COUNTIF('Master Inventory'!$E$2:$E$505,A13)</x:f>
        <x:v>17</x:v>
      </x:c>
      <x:c r="E13" s="144" t="n">
        <x:f>COUNTIFS('Master Inventory'!$E$2:$E$505,A13,'Master Inventory'!$N$2:$N$505,"Easy")</x:f>
        <x:v>5</x:v>
      </x:c>
      <x:c r="F13" s="144" t="n">
        <x:f>COUNTIFS('Master Inventory'!$E$2:$E$505,A13,'Master Inventory'!$N$2:$N$505,"Moderate")</x:f>
        <x:v>7</x:v>
      </x:c>
      <x:c r="G13" s="144" t="n">
        <x:f>COUNTIFS('Master Inventory'!$E$2:$E$505,A13,'Master Inventory'!$N$2:$N$505,"Difficult")</x:f>
        <x:v>5</x:v>
      </x:c>
      <x:c r="H13" s="144" t="n">
        <x:f>COUNTIFS('Master Inventory'!$E$2:$E$505,A13,'Master Inventory'!$R$2:$R$505,"A")</x:f>
        <x:v>5</x:v>
      </x:c>
      <x:c r="I13" s="144" t="n">
        <x:f>COUNTIFS('Master Inventory'!$E$2:$E$505,A13,'Master Inventory'!$R$2:$R$505,"B")</x:f>
        <x:v>4</x:v>
      </x:c>
      <x:c r="J13" s="144" t="n">
        <x:f>COUNTIFS('Master Inventory'!$E$2:$E$505,A13,'Master Inventory'!$R$2:$R$505,"C")</x:f>
        <x:v>4</x:v>
      </x:c>
      <x:c r="K13" s="144" t="n">
        <x:f>COUNTIFS('Master Inventory'!$E$2:$E$505,A13,'Master Inventory'!$R$2:$R$505,"D")</x:f>
        <x:v>4</x:v>
      </x:c>
      <x:c r="L13" s="144" t="n">
        <x:f>COUNTIFS('Master Inventory'!$E$2:$E$505,A13,'Master Inventory'!$P$2:$P$505,"Knowledge &amp; Recall")</x:f>
        <x:v>3</x:v>
      </x:c>
      <x:c r="M13" s="144" t="n">
        <x:f>COUNTIFS('Master Inventory'!$E$2:$E$505,A13,'Master Inventory'!$P$2:$P$505,"Application")</x:f>
        <x:v>4</x:v>
      </x:c>
      <x:c r="N13" s="144" t="n">
        <x:f>COUNTIFS('Master Inventory'!$E$2:$E$505,A13,'Master Inventory'!$P$2:$P$505,"Scenario-Based")</x:f>
        <x:v>5</x:v>
      </x:c>
      <x:c r="O13" s="144" t="n">
        <x:f>COUNTIFS('Master Inventory'!$E$2:$E$505,A13,'Master Inventory'!$P$2:$P$505,"Integrated Clinical Reasoning")</x:f>
        <x:v>5</x:v>
      </x:c>
      <x:c r="P13" s="144" t="str">
        <x:f>IF(AND(E13=5,F13=7,G13=5),"Pass","Review")</x:f>
        <x:v>Pass</x:v>
      </x:c>
      <x:c r="Q13" s="145" t="str">
        <x:v>Pass</x:v>
      </x:c>
    </x:row>
    <x:row r="14">
      <x:c r="A14" s="143" t="n">
        <x:v>11</x:v>
      </x:c>
      <x:c r="B14" s="144" t="str">
        <x:v>Theory, Groups, Referral, and Interdisciplinary Collaboration</x:v>
      </x:c>
      <x:c r="C14" s="144" t="str">
        <x:v>5. Treatment</x:v>
      </x:c>
      <x:c r="D14" s="144" t="n">
        <x:f>COUNTIF('Master Inventory'!$E$2:$E$505,A14)</x:f>
        <x:v>17</x:v>
      </x:c>
      <x:c r="E14" s="144" t="n">
        <x:f>COUNTIFS('Master Inventory'!$E$2:$E$505,A14,'Master Inventory'!$N$2:$N$505,"Easy")</x:f>
        <x:v>5</x:v>
      </x:c>
      <x:c r="F14" s="144" t="n">
        <x:f>COUNTIFS('Master Inventory'!$E$2:$E$505,A14,'Master Inventory'!$N$2:$N$505,"Moderate")</x:f>
        <x:v>7</x:v>
      </x:c>
      <x:c r="G14" s="144" t="n">
        <x:f>COUNTIFS('Master Inventory'!$E$2:$E$505,A14,'Master Inventory'!$N$2:$N$505,"Difficult")</x:f>
        <x:v>5</x:v>
      </x:c>
      <x:c r="H14" s="144" t="n">
        <x:f>COUNTIFS('Master Inventory'!$E$2:$E$505,A14,'Master Inventory'!$R$2:$R$505,"A")</x:f>
        <x:v>5</x:v>
      </x:c>
      <x:c r="I14" s="144" t="n">
        <x:f>COUNTIFS('Master Inventory'!$E$2:$E$505,A14,'Master Inventory'!$R$2:$R$505,"B")</x:f>
        <x:v>4</x:v>
      </x:c>
      <x:c r="J14" s="144" t="n">
        <x:f>COUNTIFS('Master Inventory'!$E$2:$E$505,A14,'Master Inventory'!$R$2:$R$505,"C")</x:f>
        <x:v>4</x:v>
      </x:c>
      <x:c r="K14" s="144" t="n">
        <x:f>COUNTIFS('Master Inventory'!$E$2:$E$505,A14,'Master Inventory'!$R$2:$R$505,"D")</x:f>
        <x:v>4</x:v>
      </x:c>
      <x:c r="L14" s="144" t="n">
        <x:f>COUNTIFS('Master Inventory'!$E$2:$E$505,A14,'Master Inventory'!$P$2:$P$505,"Knowledge &amp; Recall")</x:f>
        <x:v>3</x:v>
      </x:c>
      <x:c r="M14" s="144" t="n">
        <x:f>COUNTIFS('Master Inventory'!$E$2:$E$505,A14,'Master Inventory'!$P$2:$P$505,"Application")</x:f>
        <x:v>4</x:v>
      </x:c>
      <x:c r="N14" s="144" t="n">
        <x:f>COUNTIFS('Master Inventory'!$E$2:$E$505,A14,'Master Inventory'!$P$2:$P$505,"Scenario-Based")</x:f>
        <x:v>5</x:v>
      </x:c>
      <x:c r="O14" s="144" t="n">
        <x:f>COUNTIFS('Master Inventory'!$E$2:$E$505,A14,'Master Inventory'!$P$2:$P$505,"Integrated Clinical Reasoning")</x:f>
        <x:v>5</x:v>
      </x:c>
      <x:c r="P14" s="144" t="str">
        <x:f>IF(AND(E14=5,F14=7,G14=5),"Pass","Review")</x:f>
        <x:v>Pass</x:v>
      </x:c>
      <x:c r="Q14" s="145" t="str">
        <x:v>Pass</x:v>
      </x:c>
    </x:row>
    <x:row r="15">
      <x:c r="A15" s="153" t="n">
        <x:v>12</x:v>
      </x:c>
      <x:c r="B15" s="154" t="str">
        <x:v>California Legal, Ethical, and Professional Practice</x:v>
      </x:c>
      <x:c r="C15" s="154" t="str">
        <x:v>6. Managing Legal and Ethical Obligations within the Therapeutic Relationship</x:v>
      </x:c>
      <x:c r="D15" s="154" t="n">
        <x:f>COUNTIF('Master Inventory'!$E$2:$E$505,A15)</x:f>
        <x:v>17</x:v>
      </x:c>
      <x:c r="E15" s="154" t="n">
        <x:f>COUNTIFS('Master Inventory'!$E$2:$E$505,A15,'Master Inventory'!$N$2:$N$505,"Easy")</x:f>
        <x:v>5</x:v>
      </x:c>
      <x:c r="F15" s="154" t="n">
        <x:f>COUNTIFS('Master Inventory'!$E$2:$E$505,A15,'Master Inventory'!$N$2:$N$505,"Moderate")</x:f>
        <x:v>7</x:v>
      </x:c>
      <x:c r="G15" s="154" t="n">
        <x:f>COUNTIFS('Master Inventory'!$E$2:$E$505,A15,'Master Inventory'!$N$2:$N$505,"Difficult")</x:f>
        <x:v>5</x:v>
      </x:c>
      <x:c r="H15" s="154" t="n">
        <x:f>COUNTIFS('Master Inventory'!$E$2:$E$505,A15,'Master Inventory'!$R$2:$R$505,"A")</x:f>
        <x:v>5</x:v>
      </x:c>
      <x:c r="I15" s="154" t="n">
        <x:f>COUNTIFS('Master Inventory'!$E$2:$E$505,A15,'Master Inventory'!$R$2:$R$505,"B")</x:f>
        <x:v>4</x:v>
      </x:c>
      <x:c r="J15" s="154" t="n">
        <x:f>COUNTIFS('Master Inventory'!$E$2:$E$505,A15,'Master Inventory'!$R$2:$R$505,"C")</x:f>
        <x:v>4</x:v>
      </x:c>
      <x:c r="K15" s="154" t="n">
        <x:f>COUNTIFS('Master Inventory'!$E$2:$E$505,A15,'Master Inventory'!$R$2:$R$505,"D")</x:f>
        <x:v>4</x:v>
      </x:c>
      <x:c r="L15" s="154" t="n">
        <x:f>COUNTIFS('Master Inventory'!$E$2:$E$505,A15,'Master Inventory'!$P$2:$P$505,"Knowledge &amp; Recall")</x:f>
        <x:v>3</x:v>
      </x:c>
      <x:c r="M15" s="154" t="n">
        <x:f>COUNTIFS('Master Inventory'!$E$2:$E$505,A15,'Master Inventory'!$P$2:$P$505,"Application")</x:f>
        <x:v>4</x:v>
      </x:c>
      <x:c r="N15" s="154" t="n">
        <x:f>COUNTIFS('Master Inventory'!$E$2:$E$505,A15,'Master Inventory'!$P$2:$P$505,"Scenario-Based")</x:f>
        <x:v>5</x:v>
      </x:c>
      <x:c r="O15" s="154" t="n">
        <x:f>COUNTIFS('Master Inventory'!$E$2:$E$505,A15,'Master Inventory'!$P$2:$P$505,"Integrated Clinical Reasoning")</x:f>
        <x:v>5</x:v>
      </x:c>
      <x:c r="P15" s="154" t="str">
        <x:f>IF(AND(E15=5,F15=7,G15=5),"Pass","Review")</x:f>
        <x:v>Pass</x:v>
      </x:c>
      <x:c r="Q15" s="155" t="str">
        <x:v>Pass</x:v>
      </x:c>
    </x:row>
  </x:sheetData>
  <x:mergeCells>
    <x:mergeCell ref="A1:Q1"/>
  </x:mergeCell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16" hidden="0" customWidth="1"/>
    <x:col min="3" max="3" width="28" hidden="0" customWidth="1"/>
    <x:col min="4" max="4" width="28" hidden="0" customWidth="1"/>
    <x:col min="5" max="5" width="62" hidden="0" customWidth="1"/>
    <x:col min="6" max="6" width="54" hidden="0" customWidth="1"/>
  </x:cols>
  <x:sheetData>
    <x:row r="1">
      <x:c r="A1" s="138" t="str">
        <x:v>Category</x:v>
      </x:c>
      <x:c r="B1" s="138" t="str">
        <x:v>Severity</x:v>
      </x:c>
      <x:c r="C1" s="138" t="str">
        <x:v>Scope</x:v>
      </x:c>
      <x:c r="D1" s="138" t="str">
        <x:v>Item / Metric</x:v>
      </x:c>
      <x:c r="E1" s="138" t="str">
        <x:v>Finding</x:v>
      </x:c>
      <x:c r="F1" s="138" t="str">
        <x:v>Recommended Action</x:v>
      </x:c>
    </x:row>
    <x:row r="2">
      <x:c r="A2" s="187" t="str">
        <x:v>ID Integrity</x:v>
      </x:c>
      <x:c r="B2" s="188" t="str">
        <x:v>Pass</x:v>
      </x:c>
      <x:c r="C2" s="188" t="str">
        <x:v>All LMFT sources</x:v>
      </x:c>
      <x:c r="D2" s="188" t="str">
        <x:v>Master item count</x:v>
      </x:c>
      <x:c r="E2" s="188" t="str">
        <x:v>504 unique items imported: 204 workbook-bank items, 150 Form A items, and 150 Form B items.</x:v>
      </x:c>
      <x:c r="F2" s="190" t="str">
        <x:v>None.</x:v>
      </x:c>
    </x:row>
    <x:row r="3">
      <x:c r="A3" s="191" t="str">
        <x:v>ID Integrity</x:v>
      </x:c>
      <x:c r="B3" s="192" t="str">
        <x:v>Pass</x:v>
      </x:c>
      <x:c r="C3" s="192" t="str">
        <x:v>All LMFT sources</x:v>
      </x:c>
      <x:c r="D3" s="192" t="str">
        <x:v>Duplicate original IDs</x:v>
      </x:c>
      <x:c r="E3" s="192" t="str">
        <x:v>No duplicate original question IDs detected.</x:v>
      </x:c>
      <x:c r="F3" s="194" t="str">
        <x:v>None.</x:v>
      </x:c>
    </x:row>
    <x:row r="4">
      <x:c r="A4" s="191" t="str">
        <x:v>Question Structure</x:v>
      </x:c>
      <x:c r="B4" s="192" t="str">
        <x:v>Pass</x:v>
      </x:c>
      <x:c r="C4" s="192" t="str">
        <x:v>All 504 items</x:v>
      </x:c>
      <x:c r="D4" s="192" t="str">
        <x:v>Required content</x:v>
      </x:c>
      <x:c r="E4" s="192" t="str">
        <x:v>Every item contains one stem, four options, a keyed answer, four option-level rationales, and a CTA Exam Strategy.</x:v>
      </x:c>
      <x:c r="F4" s="194" t="str">
        <x:v>None.</x:v>
      </x:c>
    </x:row>
    <x:row r="5">
      <x:c r="A5" s="191" t="str">
        <x:v>Difficulty</x:v>
      </x:c>
      <x:c r="B5" s="192" t="str">
        <x:v>Pass</x:v>
      </x:c>
      <x:c r="C5" s="192" t="str">
        <x:v>All 504 items</x:v>
      </x:c>
      <x:c r="D5" s="192" t="str">
        <x:v>Difficulty distribution</x:v>
      </x:c>
      <x:c r="E5" s="192" t="str">
        <x:v>134 Easy, 236 Moderate, and 134 Difficult.</x:v>
      </x:c>
      <x:c r="F5" s="194" t="str">
        <x:v>Retain source difficulty labels and controlled dropdown values.</x:v>
      </x:c>
    </x:row>
    <x:row r="6">
      <x:c r="A6" s="191" t="str">
        <x:v>Answer Distribution</x:v>
      </x:c>
      <x:c r="B6" s="192" t="str">
        <x:v>Pass</x:v>
      </x:c>
      <x:c r="C6" s="192" t="str">
        <x:v>All 504 items</x:v>
      </x:c>
      <x:c r="D6" s="192" t="str">
        <x:v>Correct-answer positions</x:v>
      </x:c>
      <x:c r="E6" s="192" t="str">
        <x:v>A=136, B=122, C=122, D=124.</x:v>
      </x:c>
      <x:c r="F6" s="194" t="str">
        <x:v>Review answer placement again when constructing any future form.</x:v>
      </x:c>
    </x:row>
    <x:row r="7">
      <x:c r="A7" s="191" t="str">
        <x:v>Usage Status</x:v>
      </x:c>
      <x:c r="B7" s="192" t="str">
        <x:v>Pass</x:v>
      </x:c>
      <x:c r="C7" s="192" t="str">
        <x:v>Comprehensive forms</x:v>
      </x:c>
      <x:c r="D7" s="192" t="str">
        <x:v>Scored/pretest designations</x:v>
      </x:c>
      <x:c r="E7" s="192" t="str">
        <x:v>250 scored-style and 50 pretest-style items are tracked across Forms A and B.</x:v>
      </x:c>
      <x:c r="F7" s="194" t="str">
        <x:v>Do not expose pretest-style designations in student exam files.</x:v>
      </x:c>
    </x:row>
    <x:row r="8">
      <x:c r="A8" s="191" t="str">
        <x:v>Overlap</x:v>
      </x:c>
      <x:c r="B8" s="192" t="str">
        <x:v>Controlled</x:v>
      </x:c>
      <x:c r="C8" s="192" t="str">
        <x:v>Forms A and B</x:v>
      </x:c>
      <x:c r="D8" s="192" t="str">
        <x:v>Alternate-form pairs</x:v>
      </x:c>
      <x:c r="E8" s="192" t="str">
        <x:v>150 Form A/Form B alternate pairs are explicitly linked.</x:v>
      </x:c>
      <x:c r="F8" s="194" t="str">
        <x:v>Keep paired items on separate forms and revise them together when either item changes.</x:v>
      </x:c>
    </x:row>
    <x:row r="9">
      <x:c r="A9" s="191" t="str">
        <x:v>Overlap</x:v>
      </x:c>
      <x:c r="B9" s="192" t="str">
        <x:v>Review</x:v>
      </x:c>
      <x:c r="C9" s="192" t="str">
        <x:v>Workbook banks vs. comprehensive forms</x:v>
      </x:c>
      <x:c r="D9" s="192" t="str">
        <x:v>Similarity candidates</x:v>
      </x:c>
      <x:c r="E9" s="192" t="str">
        <x:v>20 workbook-to-form pairs met the administrative similarity threshold; 32 unique items are flagged for review.</x:v>
      </x:c>
      <x:c r="F9" s="194" t="str">
        <x:v>Compare each pair for independent reasoning and substantive redevelopment before future reuse.</x:v>
      </x:c>
    </x:row>
    <x:row r="10">
      <x:c r="A10" s="191" t="str">
        <x:v>Originality</x:v>
      </x:c>
      <x:c r="B10" s="192" t="str">
        <x:v>Pass</x:v>
      </x:c>
      <x:c r="C10" s="192" t="str">
        <x:v>All 504 stems</x:v>
      </x:c>
      <x:c r="D10" s="192" t="str">
        <x:v>Exact normalized duplicate stems</x:v>
      </x:c>
      <x:c r="E10" s="192" t="str">
        <x:v>0 exact normalized duplicate-stem groups detected.</x:v>
      </x:c>
      <x:c r="F10" s="194" t="str">
        <x:v>None.</x:v>
      </x:c>
    </x:row>
    <x:row r="11">
      <x:c r="A11" s="191" t="str">
        <x:v>Blueprint</x:v>
      </x:c>
      <x:c r="B11" s="192" t="str">
        <x:v>Administrative Note</x:v>
      </x:c>
      <x:c r="C11" s="192" t="str">
        <x:v>Workbook 1</x:v>
      </x:c>
      <x:c r="D11" s="192" t="str">
        <x:v>Cross-domain classification</x:v>
      </x:c>
      <x:c r="E11" s="192" t="str">
        <x:v>Workbook 1 teaches examination strategy and clinical reasoning and is therefore retained in an administrative cross-domain category rather than forced into one scored LMFT area.</x:v>
      </x:c>
      <x:c r="F11" s="194" t="str">
        <x:v>Preserve the cross-domain label unless an item-level blueprint review assigns a more specific area.</x:v>
      </x:c>
    </x:row>
    <x:row r="12">
      <x:c r="A12" s="191" t="str">
        <x:v>Bias Review</x:v>
      </x:c>
      <x:c r="B12" s="192" t="str">
        <x:v>Pending</x:v>
      </x:c>
      <x:c r="C12" s="192" t="str">
        <x:v>All 504 items</x:v>
      </x:c>
      <x:c r="D12" s="192" t="str">
        <x:v>Dedicated bias/cultural review</x:v>
      </x:c>
      <x:c r="E12" s="192" t="str">
        <x:v>The inventory preserves prior source QA but does not represent a new independent bias review of every item.</x:v>
      </x:c>
      <x:c r="F12" s="194" t="str">
        <x:v>Complete the Bias / Cultural Review field during the next master-level content review.</x:v>
      </x:c>
    </x:row>
    <x:row r="13">
      <x:c r="A13" s="195" t="str">
        <x:v>Accuracy Review</x:v>
      </x:c>
      <x:c r="B13" s="196" t="str">
        <x:v>Scope Note</x:v>
      </x:c>
      <x:c r="C13" s="196" t="str">
        <x:v>All 504 items</x:v>
      </x:c>
      <x:c r="D13" s="196" t="str">
        <x:v>Current-content verification</x:v>
      </x:c>
      <x:c r="E13" s="196" t="str">
        <x:v>This build is a structural inventory of the approved source files. It does not silently revise or independently re-verify every clinical, diagnostic, or legal statement.</x:v>
      </x:c>
      <x:c r="F13" s="198" t="str">
        <x:v>Use the Source Accuracy Date and Last Master Review Date fields for controlled future updates.</x:v>
      </x:c>
    </x:row>
  </x:sheetData>
  <x:conditionalFormatting sqref="B2:B13">
    <x:cfRule type="expression" dxfId="6" priority="1">
      <x:formula>$B2="Pass"</x:formula>
    </x:cfRule>
    <x:cfRule type="expression" dxfId="7" priority="2">
      <x:formula>OR($B2="Review",$B2="Pending")</x:formula>
    </x:cfRule>
  </x:conditionalFormatting>
  <x:pageMargins left="0.7" right="0.7" top="0.75" bottom="0.75" header="0.3" footer="0.3"/>
  <x:tableParts count="1">
    <x:tablePart xmlns:r="http://schemas.openxmlformats.org/officeDocument/2006/relationships" r:id="Rdf23ee07b7624b0a"/>
  </x:tableParts>
</x:worksheet>
</file>

<file path=xl/worksheets/sheet8.xml><?xml version="1.0" encoding="utf-8"?>
<x:worksheet xmlns:x="http://schemas.openxmlformats.org/spreadsheetml/2006/main">
  <x:sheetFormatPr defaultRowHeight="15"/>
  <x:cols>
    <x:col min="1" max="1" width="15" hidden="0" customWidth="1"/>
    <x:col min="2" max="2" width="13" hidden="0" customWidth="1"/>
    <x:col min="3" max="3" width="24" hidden="0" customWidth="1"/>
    <x:col min="4" max="4" width="20" hidden="0" customWidth="1"/>
    <x:col min="5" max="5" width="14" hidden="0" customWidth="1"/>
    <x:col min="6" max="6" width="28" hidden="0" customWidth="1"/>
    <x:col min="7" max="7" width="50" hidden="0" customWidth="1"/>
    <x:col min="8" max="8" width="24" hidden="0" customWidth="1"/>
    <x:col min="9" max="9" width="20" hidden="0" customWidth="1"/>
    <x:col min="10" max="10" width="14" hidden="0" customWidth="1"/>
    <x:col min="11" max="11" width="28" hidden="0" customWidth="1"/>
    <x:col min="12" max="12" width="50" hidden="0" customWidth="1"/>
    <x:col min="13" max="13" width="18" hidden="0" customWidth="1"/>
    <x:col min="14" max="14" width="48" hidden="0" customWidth="1"/>
  </x:cols>
  <x:sheetData>
    <x:row r="1">
      <x:c r="A1" s="138" t="str">
        <x:v>Pair ID</x:v>
      </x:c>
      <x:c r="B1" s="138" t="str">
        <x:v>Similarity Score</x:v>
      </x:c>
      <x:c r="C1" s="138" t="str">
        <x:v>Question ID 1</x:v>
      </x:c>
      <x:c r="D1" s="138" t="str">
        <x:v>Master ID 1</x:v>
      </x:c>
      <x:c r="E1" s="138" t="str">
        <x:v>Source 1</x:v>
      </x:c>
      <x:c r="F1" s="138" t="str">
        <x:v>Primary Concept 1</x:v>
      </x:c>
      <x:c r="G1" s="138" t="str">
        <x:v>Stem 1</x:v>
      </x:c>
      <x:c r="H1" s="138" t="str">
        <x:v>Question ID 2</x:v>
      </x:c>
      <x:c r="I1" s="138" t="str">
        <x:v>Master ID 2</x:v>
      </x:c>
      <x:c r="J1" s="138" t="str">
        <x:v>Source 2</x:v>
      </x:c>
      <x:c r="K1" s="138" t="str">
        <x:v>Primary Concept 2</x:v>
      </x:c>
      <x:c r="L1" s="138" t="str">
        <x:v>Stem 2</x:v>
      </x:c>
      <x:c r="M1" s="138" t="str">
        <x:v>Classification</x:v>
      </x:c>
      <x:c r="N1" s="138" t="str">
        <x:v>Recommended Review</x:v>
      </x:c>
    </x:row>
    <x:row r="2">
      <x:c r="A2" s="187" t="str">
        <x:v>LMFT-ALT-001</x:v>
      </x:c>
      <x:c r="B2" s="217" t="n">
        <x:v>0.7868356204264936</x:v>
      </x:c>
      <x:c r="C2" s="188" t="str">
        <x:v>LMFT-MQB-FA-CE-001</x:v>
      </x:c>
      <x:c r="D2" s="188" t="str">
        <x:v>CTA-LMFT-MQB-0268</x:v>
      </x:c>
      <x:c r="E2" s="188" t="str">
        <x:v>Form A</x:v>
      </x:c>
      <x:c r="F2" s="188" t="str">
        <x:v>Unit of treatment</x:v>
      </x:c>
      <x:c r="G2" s="188" t="str">
        <x:v>In relational practice, what does the unit of treatment identify?</x:v>
      </x:c>
      <x:c r="H2" s="188" t="str">
        <x:v>LMFT-MQB-FB-CE-001</x:v>
      </x:c>
      <x:c r="I2" s="188" t="str">
        <x:v>CTA-LMFT-MQB-0364</x:v>
      </x:c>
      <x:c r="J2" s="188" t="str">
        <x:v>Form B</x:v>
      </x:c>
      <x:c r="K2" s="188" t="str">
        <x:v>Unit of treatment</x:v>
      </x:c>
      <x:c r="L2" s="188" t="str">
        <x:v>A therapist begins seeing a parent and adult child together, while a sibling occasionally joins for support. Before setting goals, what does identifying the unit of treatment clarify?</x:v>
      </x:c>
      <x:c r="M2" s="188" t="str">
        <x:v>Alternate Form</x:v>
      </x:c>
      <x:c r="N2" s="190" t="str">
        <x:v>Keep on separate forms; review both items together before any future revision, option movement, or reuse.</x:v>
      </x:c>
    </x:row>
    <x:row r="3">
      <x:c r="A3" s="191" t="str">
        <x:v>LMFT-ALT-002</x:v>
      </x:c>
      <x:c r="B3" s="218" t="n">
        <x:v>0.5873284502310416</x:v>
      </x:c>
      <x:c r="C3" s="192" t="str">
        <x:v>LMFT-MQB-FA-CE-002</x:v>
      </x:c>
      <x:c r="D3" s="192" t="str">
        <x:v>CTA-LMFT-MQB-0212</x:v>
      </x:c>
      <x:c r="E3" s="192" t="str">
        <x:v>Form A</x:v>
      </x:c>
      <x:c r="F3" s="192" t="str">
        <x:v>Mental status examination</x:v>
      </x:c>
      <x:c r="G3" s="192" t="str">
        <x:v>Which mental-status domain is MOST directly assessed by asking a client to state the current date, location, and identity?</x:v>
      </x:c>
      <x:c r="H3" s="192" t="str">
        <x:v>LMFT-MQB-FB-CE-002</x:v>
      </x:c>
      <x:c r="I3" s="192" t="str">
        <x:v>CTA-LMFT-MQB-0452</x:v>
      </x:c>
      <x:c r="J3" s="192" t="str">
        <x:v>Form B</x:v>
      </x:c>
      <x:c r="K3" s="192" t="str">
        <x:v>Mental status examination</x:v>
      </x:c>
      <x:c r="L3" s="192" t="str">
        <x:v>During an intake, an LMFT asks an older client to name the month, the clinic, and the reason for the appointment. Which mental-status function is being checked most directly?</x:v>
      </x:c>
      <x:c r="M3" s="192" t="str">
        <x:v>Alternate Form</x:v>
      </x:c>
      <x:c r="N3" s="194" t="str">
        <x:v>Keep on separate forms; review both items together before any future revision, option movement, or reuse.</x:v>
      </x:c>
    </x:row>
    <x:row r="4">
      <x:c r="A4" s="191" t="str">
        <x:v>LMFT-ALT-003</x:v>
      </x:c>
      <x:c r="B4" s="218" t="n">
        <x:v>0.6838145535636349</x:v>
      </x:c>
      <x:c r="C4" s="192" t="str">
        <x:v>LMFT-MQB-FA-CE-003</x:v>
      </x:c>
      <x:c r="D4" s="192" t="str">
        <x:v>CTA-LMFT-MQB-0264</x:v>
      </x:c>
      <x:c r="E4" s="192" t="str">
        <x:v>Form A</x:v>
      </x:c>
      <x:c r="F4" s="192" t="str">
        <x:v>Protective factors</x:v>
      </x:c>
      <x:c r="G4" s="192" t="str">
        <x:v>Which finding is a protective factor rather than a risk factor?</x:v>
      </x:c>
      <x:c r="H4" s="192" t="str">
        <x:v>LMFT-MQB-FB-CE-003</x:v>
      </x:c>
      <x:c r="I4" s="192" t="str">
        <x:v>CTA-LMFT-MQB-0378</x:v>
      </x:c>
      <x:c r="J4" s="192" t="str">
        <x:v>Form B</x:v>
      </x:c>
      <x:c r="K4" s="192" t="str">
        <x:v>Protective factors</x:v>
      </x:c>
      <x:c r="L4" s="192" t="str">
        <x:v>A client has recent suicidal thoughts. Which additional finding would most clearly strengthen the client’s immediate safety resources?</x:v>
      </x:c>
      <x:c r="M4" s="192" t="str">
        <x:v>Alternate Form</x:v>
      </x:c>
      <x:c r="N4" s="194" t="str">
        <x:v>Keep on separate forms; review both items together before any future revision, option movement, or reuse.</x:v>
      </x:c>
    </x:row>
    <x:row r="5">
      <x:c r="A5" s="191" t="str">
        <x:v>LMFT-ALT-004</x:v>
      </x:c>
      <x:c r="B5" s="218" t="n">
        <x:v>0.705616852736247</x:v>
      </x:c>
      <x:c r="C5" s="192" t="str">
        <x:v>LMFT-MQB-FA-CE-004</x:v>
      </x:c>
      <x:c r="D5" s="192" t="str">
        <x:v>CTA-LMFT-MQB-0287</x:v>
      </x:c>
      <x:c r="E5" s="192" t="str">
        <x:v>Form A</x:v>
      </x:c>
      <x:c r="F5" s="192" t="str">
        <x:v>Baseline functioning</x:v>
      </x:c>
      <x:c r="G5" s="192" t="str">
        <x:v>Why is baseline functioning clinically important during evaluation?</x:v>
      </x:c>
      <x:c r="H5" s="192" t="str">
        <x:v>LMFT-MQB-FB-CE-004</x:v>
      </x:c>
      <x:c r="I5" s="192" t="str">
        <x:v>CTA-LMFT-MQB-0414</x:v>
      </x:c>
      <x:c r="J5" s="192" t="str">
        <x:v>Form B</x:v>
      </x:c>
      <x:c r="K5" s="192" t="str">
        <x:v>Baseline functioning</x:v>
      </x:c>
      <x:c r="L5" s="192" t="str">
        <x:v>A family says an adolescent has “always been quiet,” but the adolescent has stopped attending school only during the past month. Why should the LMFT establish the adolescent’s prior level of functioning?</x:v>
      </x:c>
      <x:c r="M5" s="192" t="str">
        <x:v>Alternate Form</x:v>
      </x:c>
      <x:c r="N5" s="194" t="str">
        <x:v>Keep on separate forms; review both items together before any future revision, option movement, or reuse.</x:v>
      </x:c>
    </x:row>
    <x:row r="6">
      <x:c r="A6" s="191" t="str">
        <x:v>LMFT-ALT-005</x:v>
      </x:c>
      <x:c r="B6" s="218" t="n">
        <x:v>0.8170395688900475</x:v>
      </x:c>
      <x:c r="C6" s="192" t="str">
        <x:v>LMFT-MQB-FA-CE-005</x:v>
      </x:c>
      <x:c r="D6" s="192" t="str">
        <x:v>CTA-LMFT-MQB-0266</x:v>
      </x:c>
      <x:c r="E6" s="192" t="str">
        <x:v>Form A</x:v>
      </x:c>
      <x:c r="F6" s="192" t="str">
        <x:v>Collateral information</x:v>
      </x:c>
      <x:c r="G6" s="192" t="str">
        <x:v>What is the primary purpose of collateral information in an LMFT evaluation?</x:v>
      </x:c>
      <x:c r="H6" s="192" t="str">
        <x:v>LMFT-MQB-FB-CE-005</x:v>
      </x:c>
      <x:c r="I6" s="192" t="str">
        <x:v>CTA-LMFT-MQB-0491</x:v>
      </x:c>
      <x:c r="J6" s="192" t="str">
        <x:v>Form B</x:v>
      </x:c>
      <x:c r="K6" s="192" t="str">
        <x:v>Collateral information</x:v>
      </x:c>
      <x:c r="L6" s="192" t="str">
        <x:v>With appropriate authorization, an LMFT speaks with a client’s physician and school counselor during an evaluation. What is the best use of the information obtained from these sources?</x:v>
      </x:c>
      <x:c r="M6" s="192" t="str">
        <x:v>Alternate Form</x:v>
      </x:c>
      <x:c r="N6" s="194" t="str">
        <x:v>Keep on separate forms; review both items together before any future revision, option movement, or reuse.</x:v>
      </x:c>
    </x:row>
    <x:row r="7">
      <x:c r="A7" s="191" t="str">
        <x:v>LMFT-ALT-006</x:v>
      </x:c>
      <x:c r="B7" s="218" t="n">
        <x:v>0.7336640881161539</x:v>
      </x:c>
      <x:c r="C7" s="192" t="str">
        <x:v>LMFT-MQB-FA-CE-006</x:v>
      </x:c>
      <x:c r="D7" s="192" t="str">
        <x:v>CTA-LMFT-MQB-0309</x:v>
      </x:c>
      <x:c r="E7" s="192" t="str">
        <x:v>Form A</x:v>
      </x:c>
      <x:c r="F7" s="192" t="str">
        <x:v>Open-ended interviewing</x:v>
      </x:c>
      <x:c r="G7" s="192" t="str">
        <x:v>A client answers intake questions with brief one-word responses. Which intervention is MOST likely to improve the quality of the initial narrative?</x:v>
      </x:c>
      <x:c r="H7" s="192" t="str">
        <x:v>LMFT-MQB-FB-CE-006</x:v>
      </x:c>
      <x:c r="I7" s="192" t="str">
        <x:v>CTA-LMFT-MQB-0385</x:v>
      </x:c>
      <x:c r="J7" s="192" t="str">
        <x:v>Form B</x:v>
      </x:c>
      <x:c r="K7" s="192" t="str">
        <x:v>Open-ended interviewing</x:v>
      </x:c>
      <x:c r="L7" s="192" t="str">
        <x:v>At a first appointment, a highly anxious client gives short factual answers and waits for the therapist to lead. Which interviewing approach is most likely to elicit the client’s own account of the problem?</x:v>
      </x:c>
      <x:c r="M7" s="192" t="str">
        <x:v>Alternate Form</x:v>
      </x:c>
      <x:c r="N7" s="194" t="str">
        <x:v>Keep on separate forms; review both items together before any future revision, option movement, or reuse.</x:v>
      </x:c>
    </x:row>
    <x:row r="8">
      <x:c r="A8" s="191" t="str">
        <x:v>LMFT-ALT-007</x:v>
      </x:c>
      <x:c r="B8" s="218" t="n">
        <x:v>0.7684109941712427</x:v>
      </x:c>
      <x:c r="C8" s="192" t="str">
        <x:v>LMFT-MQB-FA-CE-007</x:v>
      </x:c>
      <x:c r="D8" s="192" t="str">
        <x:v>CTA-LMFT-MQB-0315</x:v>
      </x:c>
      <x:c r="E8" s="192" t="str">
        <x:v>Form A</x:v>
      </x:c>
      <x:c r="F8" s="192" t="str">
        <x:v>Clarifying referral expectations</x:v>
      </x:c>
      <x:c r="G8" s="192" t="str">
        <x:v>Parents bring a teenager for therapy and say the school expects weekly attendance reports. What should the LMFT clarify at intake?</x:v>
      </x:c>
      <x:c r="H8" s="192" t="str">
        <x:v>LMFT-MQB-FB-CE-007</x:v>
      </x:c>
      <x:c r="I8" s="192" t="str">
        <x:v>CTA-LMFT-MQB-0404</x:v>
      </x:c>
      <x:c r="J8" s="192" t="str">
        <x:v>Form B</x:v>
      </x:c>
      <x:c r="K8" s="192" t="str">
        <x:v>Clarifying referral expectations</x:v>
      </x:c>
      <x:c r="L8" s="192" t="str">
        <x:v>A probation officer refers an adolescent and asks the therapist to confirm attendance and treatment progress. What should the LMFT establish before agreeing to provide services?</x:v>
      </x:c>
      <x:c r="M8" s="192" t="str">
        <x:v>Alternate Form</x:v>
      </x:c>
      <x:c r="N8" s="194" t="str">
        <x:v>Keep on separate forms; review both items together before any future revision, option movement, or reuse.</x:v>
      </x:c>
    </x:row>
    <x:row r="9">
      <x:c r="A9" s="191" t="str">
        <x:v>LMFT-ALT-008</x:v>
      </x:c>
      <x:c r="B9" s="218" t="n">
        <x:v>0.6939239923798931</x:v>
      </x:c>
      <x:c r="C9" s="192" t="str">
        <x:v>LMFT-MQB-FA-CE-008</x:v>
      </x:c>
      <x:c r="D9" s="192" t="str">
        <x:v>CTA-LMFT-MQB-0326</x:v>
      </x:c>
      <x:c r="E9" s="192" t="str">
        <x:v>Form A</x:v>
      </x:c>
      <x:c r="F9" s="192" t="str">
        <x:v>Affect and mood</x:v>
      </x:c>
      <x:c r="G9" s="192" t="str">
        <x:v>A client says, “I feel fine,” while speaking softly, moving slowly, and appearing tearful. Which documentation is MOST accurate?</x:v>
      </x:c>
      <x:c r="H9" s="192" t="str">
        <x:v>LMFT-MQB-FB-CE-008</x:v>
      </x:c>
      <x:c r="I9" s="192" t="str">
        <x:v>CTA-LMFT-MQB-0369</x:v>
      </x:c>
      <x:c r="J9" s="192" t="str">
        <x:v>Form B</x:v>
      </x:c>
      <x:c r="K9" s="192" t="str">
        <x:v>Affect and mood</x:v>
      </x:c>
      <x:c r="L9" s="192" t="str">
        <x:v>A client describes feeling “calm,” yet wrings both hands, avoids eye contact, and cries intermittently. Which entry best separates the client’s report from the therapist’s observation?</x:v>
      </x:c>
      <x:c r="M9" s="192" t="str">
        <x:v>Alternate Form</x:v>
      </x:c>
      <x:c r="N9" s="194" t="str">
        <x:v>Keep on separate forms; review both items together before any future revision, option movement, or reuse.</x:v>
      </x:c>
    </x:row>
    <x:row r="10">
      <x:c r="A10" s="191" t="str">
        <x:v>LMFT-ALT-009</x:v>
      </x:c>
      <x:c r="B10" s="218" t="n">
        <x:v>0.7222006927271275</x:v>
      </x:c>
      <x:c r="C10" s="192" t="str">
        <x:v>LMFT-MQB-FA-CE-009</x:v>
      </x:c>
      <x:c r="D10" s="192" t="str">
        <x:v>CTA-LMFT-MQB-0227</x:v>
      </x:c>
      <x:c r="E10" s="192" t="str">
        <x:v>Form A</x:v>
      </x:c>
      <x:c r="F10" s="192" t="str">
        <x:v>Medication assessment</x:v>
      </x:c>
      <x:c r="G10" s="192" t="str">
        <x:v>A client reports new restlessness and insomnia two days after a medication dose was increased. What is the BEST evaluation response?</x:v>
      </x:c>
      <x:c r="H10" s="192" t="str">
        <x:v>LMFT-MQB-FB-CE-009</x:v>
      </x:c>
      <x:c r="I10" s="192" t="str">
        <x:v>CTA-LMFT-MQB-0492</x:v>
      </x:c>
      <x:c r="J10" s="192" t="str">
        <x:v>Form B</x:v>
      </x:c>
      <x:c r="K10" s="192" t="str">
        <x:v>Medication assessment</x:v>
      </x:c>
      <x:c r="L10" s="192" t="str">
        <x:v>Soon after a prescriber changes a medication, a client develops severe agitation, reduced sleep, and difficulty concentrating. Before attributing the symptoms to anxiety, what should the LMFT do?</x:v>
      </x:c>
      <x:c r="M10" s="192" t="str">
        <x:v>Alternate Form</x:v>
      </x:c>
      <x:c r="N10" s="194" t="str">
        <x:v>Keep on separate forms; review both items together before any future revision, option movement, or reuse.</x:v>
      </x:c>
    </x:row>
    <x:row r="11">
      <x:c r="A11" s="191" t="str">
        <x:v>LMFT-ALT-010</x:v>
      </x:c>
      <x:c r="B11" s="218" t="n">
        <x:v>0.7506411861344383</x:v>
      </x:c>
      <x:c r="C11" s="192" t="str">
        <x:v>LMFT-MQB-FA-CE-010</x:v>
      </x:c>
      <x:c r="D11" s="192" t="str">
        <x:v>CTA-LMFT-MQB-0270</x:v>
      </x:c>
      <x:c r="E11" s="192" t="str">
        <x:v>Form A</x:v>
      </x:c>
      <x:c r="F11" s="192" t="str">
        <x:v>Strengths assessment</x:v>
      </x:c>
      <x:c r="G11" s="192" t="str">
        <x:v>A couple describes frequent conflict but also reports that they can cooperate effectively during medical emergencies. How should the LMFT use this information?</x:v>
      </x:c>
      <x:c r="H11" s="192" t="str">
        <x:v>LMFT-MQB-FB-CE-010</x:v>
      </x:c>
      <x:c r="I11" s="192" t="str">
        <x:v>CTA-LMFT-MQB-0486</x:v>
      </x:c>
      <x:c r="J11" s="192" t="str">
        <x:v>Form B</x:v>
      </x:c>
      <x:c r="K11" s="192" t="str">
        <x:v>Strengths assessment</x:v>
      </x:c>
      <x:c r="L11" s="192" t="str">
        <x:v>Although a family struggles during homework time, members report working together successfully when planning trips. How should the therapist incorporate this exception into the assessment?</x:v>
      </x:c>
      <x:c r="M11" s="192" t="str">
        <x:v>Alternate Form</x:v>
      </x:c>
      <x:c r="N11" s="194" t="str">
        <x:v>Keep on separate forms; review both items together before any future revision, option movement, or reuse.</x:v>
      </x:c>
    </x:row>
    <x:row r="12">
      <x:c r="A12" s="191" t="str">
        <x:v>LMFT-ALT-011</x:v>
      </x:c>
      <x:c r="B12" s="218" t="n">
        <x:v>0.7653179569298407</x:v>
      </x:c>
      <x:c r="C12" s="192" t="str">
        <x:v>LMFT-MQB-FA-CE-011</x:v>
      </x:c>
      <x:c r="D12" s="192" t="str">
        <x:v>CTA-LMFT-MQB-0257</x:v>
      </x:c>
      <x:c r="E12" s="192" t="str">
        <x:v>Form A</x:v>
      </x:c>
      <x:c r="F12" s="192" t="str">
        <x:v>Substance-use screening</x:v>
      </x:c>
      <x:c r="G12" s="192" t="str">
        <x:v>A client reports drinking “only socially,” but has several unexplained work absences and a recent impaired-driving charge. What should the LMFT do?</x:v>
      </x:c>
      <x:c r="H12" s="192" t="str">
        <x:v>LMFT-MQB-FB-CE-011</x:v>
      </x:c>
      <x:c r="I12" s="192" t="str">
        <x:v>CTA-LMFT-MQB-0500</x:v>
      </x:c>
      <x:c r="J12" s="192" t="str">
        <x:v>Form B</x:v>
      </x:c>
      <x:c r="K12" s="192" t="str">
        <x:v>Substance-use screening</x:v>
      </x:c>
      <x:c r="L12" s="192" t="str">
        <x:v>A client minimizes cannabis use but reports repeated lateness, memory problems, and conflict with a partner about use. Which assessment approach is most appropriate?</x:v>
      </x:c>
      <x:c r="M12" s="192" t="str">
        <x:v>Alternate Form</x:v>
      </x:c>
      <x:c r="N12" s="194" t="str">
        <x:v>Keep on separate forms; review both items together before any future revision, option movement, or reuse.</x:v>
      </x:c>
    </x:row>
    <x:row r="13">
      <x:c r="A13" s="191" t="str">
        <x:v>LMFT-ALT-012</x:v>
      </x:c>
      <x:c r="B13" s="218" t="n">
        <x:v>0.7706255947924189</x:v>
      </x:c>
      <x:c r="C13" s="192" t="str">
        <x:v>LMFT-MQB-FA-CE-012</x:v>
      </x:c>
      <x:c r="D13" s="192" t="str">
        <x:v>CTA-LMFT-MQB-0349</x:v>
      </x:c>
      <x:c r="E13" s="192" t="str">
        <x:v>Form A</x:v>
      </x:c>
      <x:c r="F13" s="192" t="str">
        <x:v>Cultural humility</x:v>
      </x:c>
      <x:c r="G13" s="192" t="str">
        <x:v>A client says a prior therapist interpreted strong family involvement as unhealthy dependence. What is the BEST response during evaluation?</x:v>
      </x:c>
      <x:c r="H13" s="192" t="str">
        <x:v>LMFT-MQB-FB-CE-012</x:v>
      </x:c>
      <x:c r="I13" s="192" t="str">
        <x:v>CTA-LMFT-MQB-0368</x:v>
      </x:c>
      <x:c r="J13" s="192" t="str">
        <x:v>Form B</x:v>
      </x:c>
      <x:c r="K13" s="192" t="str">
        <x:v>Cultural humility</x:v>
      </x:c>
      <x:c r="L13" s="192" t="str">
        <x:v>A client explains that major decisions are routinely made with extended family and feels judged by providers who call this “enmeshment.” How should the LMFT proceed?</x:v>
      </x:c>
      <x:c r="M13" s="192" t="str">
        <x:v>Alternate Form</x:v>
      </x:c>
      <x:c r="N13" s="194" t="str">
        <x:v>Keep on separate forms; review both items together before any future revision, option movement, or reuse.</x:v>
      </x:c>
    </x:row>
    <x:row r="14">
      <x:c r="A14" s="191" t="str">
        <x:v>LMFT-ALT-013</x:v>
      </x:c>
      <x:c r="B14" s="218" t="n">
        <x:v>0.7154128724587485</x:v>
      </x:c>
      <x:c r="C14" s="192" t="str">
        <x:v>LMFT-MQB-FA-CE-013</x:v>
      </x:c>
      <x:c r="D14" s="192" t="str">
        <x:v>CTA-LMFT-MQB-0351</x:v>
      </x:c>
      <x:c r="E14" s="192" t="str">
        <x:v>Form A</x:v>
      </x:c>
      <x:c r="F14" s="192" t="str">
        <x:v>Developmental context</x:v>
      </x:c>
      <x:c r="G14" s="192" t="str">
        <x:v>An 8-year-old becomes clingy and has sleep difficulty after the family moves and a new sibling is born. What should the LMFT evaluate FIRST?</x:v>
      </x:c>
      <x:c r="H14" s="192" t="str">
        <x:v>LMFT-MQB-FB-CE-013</x:v>
      </x:c>
      <x:c r="I14" s="192" t="str">
        <x:v>CTA-LMFT-MQB-0436</x:v>
      </x:c>
      <x:c r="J14" s="192" t="str">
        <x:v>Form B</x:v>
      </x:c>
      <x:c r="K14" s="192" t="str">
        <x:v>Developmental context</x:v>
      </x:c>
      <x:c r="L14" s="192" t="str">
        <x:v>A 6-year-old begins bed-wetting and refusing preschool after a caregiver is hospitalized. Which information is most important before deciding whether the behavior is developmentally concerning?</x:v>
      </x:c>
      <x:c r="M14" s="192" t="str">
        <x:v>Alternate Form</x:v>
      </x:c>
      <x:c r="N14" s="194" t="str">
        <x:v>Keep on separate forms; review both items together before any future revision, option movement, or reuse.</x:v>
      </x:c>
    </x:row>
    <x:row r="15">
      <x:c r="A15" s="191" t="str">
        <x:v>LMFT-ALT-014</x:v>
      </x:c>
      <x:c r="B15" s="218" t="n">
        <x:v>0.8636087867065813</x:v>
      </x:c>
      <x:c r="C15" s="192" t="str">
        <x:v>LMFT-MQB-FA-CE-014</x:v>
      </x:c>
      <x:c r="D15" s="192" t="str">
        <x:v>CTA-LMFT-MQB-0209</x:v>
      </x:c>
      <x:c r="E15" s="192" t="str">
        <x:v>Form A</x:v>
      </x:c>
      <x:c r="F15" s="192" t="str">
        <x:v>Standardized measure use</x:v>
      </x:c>
      <x:c r="G15" s="192" t="str">
        <x:v>An anxiety scale score is high, but the client reports that several items were misunderstood because of language differences. What should the LMFT do?</x:v>
      </x:c>
      <x:c r="H15" s="192" t="str">
        <x:v>LMFT-MQB-FB-CE-014</x:v>
      </x:c>
      <x:c r="I15" s="192" t="str">
        <x:v>CTA-LMFT-MQB-0480</x:v>
      </x:c>
      <x:c r="J15" s="192" t="str">
        <x:v>Form B</x:v>
      </x:c>
      <x:c r="K15" s="192" t="str">
        <x:v>Standardized measure use</x:v>
      </x:c>
      <x:c r="L15" s="192" t="str">
        <x:v>A translated depression questionnaire yields a severe score, but the client says several phrases did not make sense. What is the best way to use the result?</x:v>
      </x:c>
      <x:c r="M15" s="192" t="str">
        <x:v>Alternate Form</x:v>
      </x:c>
      <x:c r="N15" s="194" t="str">
        <x:v>Keep on separate forms; review both items together before any future revision, option movement, or reuse.</x:v>
      </x:c>
    </x:row>
    <x:row r="16">
      <x:c r="A16" s="191" t="str">
        <x:v>LMFT-ALT-015</x:v>
      </x:c>
      <x:c r="B16" s="218" t="n">
        <x:v>0.7427165336259642</x:v>
      </x:c>
      <x:c r="C16" s="192" t="str">
        <x:v>LMFT-MQB-FA-CE-015</x:v>
      </x:c>
      <x:c r="D16" s="192" t="str">
        <x:v>CTA-LMFT-MQB-0313</x:v>
      </x:c>
      <x:c r="E16" s="192" t="str">
        <x:v>Form A</x:v>
      </x:c>
      <x:c r="F16" s="192" t="str">
        <x:v>Collateral discrepancy</x:v>
      </x:c>
      <x:c r="G16" s="192" t="str">
        <x:v>A spouse reports frequent explosive outbursts, while the client denies any anger problem. What is the BEST evaluation approach?</x:v>
      </x:c>
      <x:c r="H16" s="192" t="str">
        <x:v>LMFT-MQB-FB-CE-015</x:v>
      </x:c>
      <x:c r="I16" s="192" t="str">
        <x:v>CTA-LMFT-MQB-0365</x:v>
      </x:c>
      <x:c r="J16" s="192" t="str">
        <x:v>Form B</x:v>
      </x:c>
      <x:c r="K16" s="192" t="str">
        <x:v>Collateral discrepancy</x:v>
      </x:c>
      <x:c r="L16" s="192" t="str">
        <x:v>A parent says a teenager destroys property during arguments, while the teenager says the parent is exaggerating. What should the therapist do before drawing a conclusion?</x:v>
      </x:c>
      <x:c r="M16" s="192" t="str">
        <x:v>Alternate Form</x:v>
      </x:c>
      <x:c r="N16" s="194" t="str">
        <x:v>Keep on separate forms; review both items together before any future revision, option movement, or reuse.</x:v>
      </x:c>
    </x:row>
    <x:row r="17">
      <x:c r="A17" s="191" t="str">
        <x:v>LMFT-ALT-016</x:v>
      </x:c>
      <x:c r="B17" s="218" t="n">
        <x:v>0.8213952468662744</x:v>
      </x:c>
      <x:c r="C17" s="192" t="str">
        <x:v>LMFT-MQB-FA-CE-016</x:v>
      </x:c>
      <x:c r="D17" s="192" t="str">
        <x:v>CTA-LMFT-MQB-0345</x:v>
      </x:c>
      <x:c r="E17" s="192" t="str">
        <x:v>Form A</x:v>
      </x:c>
      <x:c r="F17" s="192" t="str">
        <x:v>Trauma inquiry pacing</x:v>
      </x:c>
      <x:c r="G17" s="192" t="str">
        <x:v>A client becomes visibly tense when asked for detailed trauma information during the first session. What should the LMFT do?</x:v>
      </x:c>
      <x:c r="H17" s="192" t="str">
        <x:v>LMFT-MQB-FB-CE-016</x:v>
      </x:c>
      <x:c r="I17" s="192" t="str">
        <x:v>CTA-LMFT-MQB-0456</x:v>
      </x:c>
      <x:c r="J17" s="192" t="str">
        <x:v>Form B</x:v>
      </x:c>
      <x:c r="K17" s="192" t="str">
        <x:v>Trauma inquiry pacing</x:v>
      </x:c>
      <x:c r="L17" s="192" t="str">
        <x:v>During intake, a survivor becomes detached and asks to stop when the therapist requests details of an assault. What is the best immediate assessment response?</x:v>
      </x:c>
      <x:c r="M17" s="192" t="str">
        <x:v>Alternate Form</x:v>
      </x:c>
      <x:c r="N17" s="194" t="str">
        <x:v>Keep on separate forms; review both items together before any future revision, option movement, or reuse.</x:v>
      </x:c>
    </x:row>
    <x:row r="18">
      <x:c r="A18" s="191" t="str">
        <x:v>LMFT-ALT-017</x:v>
      </x:c>
      <x:c r="B18" s="218" t="n">
        <x:v>0.7850947949789993</x:v>
      </x:c>
      <x:c r="C18" s="192" t="str">
        <x:v>LMFT-MQB-FA-CE-017</x:v>
      </x:c>
      <x:c r="D18" s="192" t="str">
        <x:v>CTA-LMFT-MQB-0329</x:v>
      </x:c>
      <x:c r="E18" s="192" t="str">
        <x:v>Form A</x:v>
      </x:c>
      <x:c r="F18" s="192" t="str">
        <x:v>Sexuality assessment</x:v>
      </x:c>
      <x:c r="G18" s="192" t="str">
        <x:v>A couple presents with reduced sexual contact. Which opening question is MOST clinically useful?</x:v>
      </x:c>
      <x:c r="H18" s="192" t="str">
        <x:v>LMFT-MQB-FB-CE-017</x:v>
      </x:c>
      <x:c r="I18" s="192" t="str">
        <x:v>CTA-LMFT-MQB-0450</x:v>
      </x:c>
      <x:c r="J18" s="192" t="str">
        <x:v>Form B</x:v>
      </x:c>
      <x:c r="K18" s="192" t="str">
        <x:v>Sexuality assessment</x:v>
      </x:c>
      <x:c r="L18" s="192" t="str">
        <x:v>Partners seek help because intimacy has decreased since one partner developed a chronic illness. Which opening question would support the broadest, least assumptive assessment?</x:v>
      </x:c>
      <x:c r="M18" s="192" t="str">
        <x:v>Alternate Form</x:v>
      </x:c>
      <x:c r="N18" s="194" t="str">
        <x:v>Keep on separate forms; review both items together before any future revision, option movement, or reuse.</x:v>
      </x:c>
    </x:row>
    <x:row r="19">
      <x:c r="A19" s="191" t="str">
        <x:v>LMFT-ALT-018</x:v>
      </x:c>
      <x:c r="B19" s="218" t="n">
        <x:v>0.7464490985257108</x:v>
      </x:c>
      <x:c r="C19" s="192" t="str">
        <x:v>LMFT-MQB-FA-CE-018</x:v>
      </x:c>
      <x:c r="D19" s="192" t="str">
        <x:v>CTA-LMFT-MQB-0292</x:v>
      </x:c>
      <x:c r="E19" s="192" t="str">
        <x:v>Form A</x:v>
      </x:c>
      <x:c r="F19" s="192" t="str">
        <x:v>Consultation threshold</x:v>
      </x:c>
      <x:c r="G19" s="192" t="str">
        <x:v>An LMFT recognizes that a client’s sudden cognitive changes may reflect a neurological condition outside the therapist’s competence. What is the BEST response?</x:v>
      </x:c>
      <x:c r="H19" s="192" t="str">
        <x:v>LMFT-MQB-FB-CE-018</x:v>
      </x:c>
      <x:c r="I19" s="192" t="str">
        <x:v>CTA-LMFT-MQB-0417</x:v>
      </x:c>
      <x:c r="J19" s="192" t="str">
        <x:v>Form B</x:v>
      </x:c>
      <x:c r="K19" s="192" t="str">
        <x:v>Consultation threshold</x:v>
      </x:c>
      <x:c r="L19" s="192" t="str">
        <x:v>A client has new episodes of losing balance and forgetting familiar routes. The LMFT suspects a condition requiring expertise beyond psychotherapy. What should the therapist do?</x:v>
      </x:c>
      <x:c r="M19" s="192" t="str">
        <x:v>Alternate Form</x:v>
      </x:c>
      <x:c r="N19" s="194" t="str">
        <x:v>Keep on separate forms; review both items together before any future revision, option movement, or reuse.</x:v>
      </x:c>
    </x:row>
    <x:row r="20">
      <x:c r="A20" s="191" t="str">
        <x:v>LMFT-ALT-019</x:v>
      </x:c>
      <x:c r="B20" s="218" t="n">
        <x:v>0.6866133970950417</x:v>
      </x:c>
      <x:c r="C20" s="192" t="str">
        <x:v>LMFT-MQB-FA-CE-019</x:v>
      </x:c>
      <x:c r="D20" s="192" t="str">
        <x:v>CTA-LMFT-MQB-0247</x:v>
      </x:c>
      <x:c r="E20" s="192" t="str">
        <x:v>Form A</x:v>
      </x:c>
      <x:c r="F20" s="192" t="str">
        <x:v>Family interaction sequence</x:v>
      </x:c>
      <x:c r="G20" s="192" t="str">
        <x:v>During assessment, one parent criticizes the child, the other parent rescues the child, and the first parent then becomes more critical. What should the LMFT document?</x:v>
      </x:c>
      <x:c r="H20" s="192" t="str">
        <x:v>LMFT-MQB-FB-CE-019</x:v>
      </x:c>
      <x:c r="I20" s="192" t="str">
        <x:v>CTA-LMFT-MQB-0439</x:v>
      </x:c>
      <x:c r="J20" s="192" t="str">
        <x:v>Form B</x:v>
      </x:c>
      <x:c r="K20" s="192" t="str">
        <x:v>Family interaction sequence</x:v>
      </x:c>
      <x:c r="L20" s="192" t="str">
        <x:v>In session, a child complains, one caregiver immediately comforts the child, and the other caregiver responds by becoming harsher. How should the LMFT conceptualize this observation?</x:v>
      </x:c>
      <x:c r="M20" s="192" t="str">
        <x:v>Alternate Form</x:v>
      </x:c>
      <x:c r="N20" s="194" t="str">
        <x:v>Keep on separate forms; review both items together before any future revision, option movement, or reuse.</x:v>
      </x:c>
    </x:row>
    <x:row r="21">
      <x:c r="A21" s="191" t="str">
        <x:v>LMFT-ALT-020</x:v>
      </x:c>
      <x:c r="B21" s="218" t="n">
        <x:v>0.7361698195359059</x:v>
      </x:c>
      <x:c r="C21" s="192" t="str">
        <x:v>LMFT-MQB-FA-CE-020</x:v>
      </x:c>
      <x:c r="D21" s="192" t="str">
        <x:v>CTA-LMFT-MQB-0213</x:v>
      </x:c>
      <x:c r="E21" s="192" t="str">
        <x:v>Form A</x:v>
      </x:c>
      <x:c r="F21" s="192" t="str">
        <x:v>Medical rule-out urgency</x:v>
      </x:c>
      <x:c r="G21" s="192" t="str">
        <x:v>A client with no psychiatric history develops abrupt confusion, visual hallucinations, and fluctuating alertness after a recent infection. What is the BEST evaluation priority?</x:v>
      </x:c>
      <x:c r="H21" s="192" t="str">
        <x:v>LMFT-MQB-FB-CE-020</x:v>
      </x:c>
      <x:c r="I21" s="192" t="str">
        <x:v>CTA-LMFT-MQB-0356</x:v>
      </x:c>
      <x:c r="J21" s="192" t="str">
        <x:v>Form B</x:v>
      </x:c>
      <x:c r="K21" s="192" t="str">
        <x:v>Medical rule-out urgency</x:v>
      </x:c>
      <x:c r="L21" s="192" t="str">
        <x:v>A previously healthy adult becomes disoriented and alternates between agitation and drowsiness after starting treatment for an infection. What is the most urgent evaluation step?</x:v>
      </x:c>
      <x:c r="M21" s="192" t="str">
        <x:v>Alternate Form</x:v>
      </x:c>
      <x:c r="N21" s="194" t="str">
        <x:v>Keep on separate forms; review both items together before any future revision, option movement, or reuse.</x:v>
      </x:c>
    </x:row>
    <x:row r="22">
      <x:c r="A22" s="191" t="str">
        <x:v>LMFT-ALT-021</x:v>
      </x:c>
      <x:c r="B22" s="218" t="n">
        <x:v>0.75570724384982</x:v>
      </x:c>
      <x:c r="C22" s="192" t="str">
        <x:v>LMFT-MQB-FA-CE-021</x:v>
      </x:c>
      <x:c r="D22" s="192" t="str">
        <x:v>CTA-LMFT-MQB-0252</x:v>
      </x:c>
      <x:c r="E22" s="192" t="str">
        <x:v>Form A</x:v>
      </x:c>
      <x:c r="F22" s="192" t="str">
        <x:v>Complex identity formulation</x:v>
      </x:c>
      <x:c r="G22" s="192" t="str">
        <x:v>A transgender client reports anxiety that is strongest at work after repeated misgendering, but minimal in affirming settings. What is the BEST evaluation formulation?</x:v>
      </x:c>
      <x:c r="H22" s="192" t="str">
        <x:v>LMFT-MQB-FB-CE-021</x:v>
      </x:c>
      <x:c r="I22" s="192" t="str">
        <x:v>CTA-LMFT-MQB-0471</x:v>
      </x:c>
      <x:c r="J22" s="192" t="str">
        <x:v>Form B</x:v>
      </x:c>
      <x:c r="K22" s="192" t="str">
        <x:v>Complex identity formulation</x:v>
      </x:c>
      <x:c r="L22" s="192" t="str">
        <x:v>A lesbian client reports panic almost exclusively in a workplace where coworkers make hostile comments, while symptoms decrease around supportive friends. What formulation is most complete?</x:v>
      </x:c>
      <x:c r="M22" s="192" t="str">
        <x:v>Alternate Form</x:v>
      </x:c>
      <x:c r="N22" s="194" t="str">
        <x:v>Keep on separate forms; review both items together before any future revision, option movement, or reuse.</x:v>
      </x:c>
    </x:row>
    <x:row r="23">
      <x:c r="A23" s="191" t="str">
        <x:v>LMFT-ALT-022</x:v>
      </x:c>
      <x:c r="B23" s="218" t="n">
        <x:v>0.8209182753296386</x:v>
      </x:c>
      <x:c r="C23" s="192" t="str">
        <x:v>LMFT-MQB-FA-CE-022</x:v>
      </x:c>
      <x:c r="D23" s="192" t="str">
        <x:v>CTA-LMFT-MQB-0330</x:v>
      </x:c>
      <x:c r="E23" s="192" t="str">
        <x:v>Form A</x:v>
      </x:c>
      <x:c r="F23" s="192" t="str">
        <x:v>Initial conjoint engagement</x:v>
      </x:c>
      <x:c r="G23" s="192" t="str">
        <x:v>In the first couple session, one partner speaks for both and the other remains silent. What should the LMFT do FIRST?</x:v>
      </x:c>
      <x:c r="H23" s="192" t="str">
        <x:v>LMFT-MQB-FB-CE-022</x:v>
      </x:c>
      <x:c r="I23" s="192" t="str">
        <x:v>CTA-LMFT-MQB-0477</x:v>
      </x:c>
      <x:c r="J23" s="192" t="str">
        <x:v>Form B</x:v>
      </x:c>
      <x:c r="K23" s="192" t="str">
        <x:v>Initial conjoint engagement</x:v>
      </x:c>
      <x:c r="L23" s="192" t="str">
        <x:v>At the start of conjoint therapy, one spouse answers every question while the other looks down and says little. What should the LMFT do first?</x:v>
      </x:c>
      <x:c r="M23" s="192" t="str">
        <x:v>Alternate Form</x:v>
      </x:c>
      <x:c r="N23" s="194" t="str">
        <x:v>Keep on separate forms; review both items together before any future revision, option movement, or reuse.</x:v>
      </x:c>
    </x:row>
    <x:row r="24">
      <x:c r="A24" s="191" t="str">
        <x:v>LMFT-ALT-023</x:v>
      </x:c>
      <x:c r="B24" s="218" t="n">
        <x:v>0.7500329453456548</x:v>
      </x:c>
      <x:c r="C24" s="192" t="str">
        <x:v>LMFT-MQB-FA-CE-023</x:v>
      </x:c>
      <x:c r="D24" s="192" t="str">
        <x:v>CTA-LMFT-MQB-0324</x:v>
      </x:c>
      <x:c r="E24" s="192" t="str">
        <x:v>Form A</x:v>
      </x:c>
      <x:c r="F24" s="192" t="str">
        <x:v>Referral ambiguity</x:v>
      </x:c>
      <x:c r="G24" s="192" t="str">
        <x:v>An employer refers a worker for “anger management,” but the worker says the main problem is grief after a death. What should the LMFT do FIRST?</x:v>
      </x:c>
      <x:c r="H24" s="192" t="str">
        <x:v>LMFT-MQB-FB-CE-023</x:v>
      </x:c>
      <x:c r="I24" s="192" t="str">
        <x:v>CTA-LMFT-MQB-0411</x:v>
      </x:c>
      <x:c r="J24" s="192" t="str">
        <x:v>Form B</x:v>
      </x:c>
      <x:c r="K24" s="192" t="str">
        <x:v>Referral ambiguity</x:v>
      </x:c>
      <x:c r="L24" s="192" t="str">
        <x:v>A court referral lists “parenting deficiencies,” but the client wants help coping with a recent separation. What should the therapist address before choosing treatment goals?</x:v>
      </x:c>
      <x:c r="M24" s="192" t="str">
        <x:v>Alternate Form</x:v>
      </x:c>
      <x:c r="N24" s="194" t="str">
        <x:v>Keep on separate forms; review both items together before any future revision, option movement, or reuse.</x:v>
      </x:c>
    </x:row>
    <x:row r="25">
      <x:c r="A25" s="191" t="str">
        <x:v>LMFT-ALT-024</x:v>
      </x:c>
      <x:c r="B25" s="218" t="n">
        <x:v>0.7273813126229778</x:v>
      </x:c>
      <x:c r="C25" s="192" t="str">
        <x:v>LMFT-MQB-FA-CE-024</x:v>
      </x:c>
      <x:c r="D25" s="192" t="str">
        <x:v>CTA-LMFT-MQB-0222</x:v>
      </x:c>
      <x:c r="E25" s="192" t="str">
        <x:v>Form A</x:v>
      </x:c>
      <x:c r="F25" s="192" t="str">
        <x:v>Possible intoxication at intake</x:v>
      </x:c>
      <x:c r="G25" s="192" t="str">
        <x:v>A new client arrives smelling of alcohol, speaks slowly, and has difficulty following questions. What should the LMFT do FIRST?</x:v>
      </x:c>
      <x:c r="H25" s="192" t="str">
        <x:v>LMFT-MQB-FB-CE-024</x:v>
      </x:c>
      <x:c r="I25" s="192" t="str">
        <x:v>CTA-LMFT-MQB-0422</x:v>
      </x:c>
      <x:c r="J25" s="192" t="str">
        <x:v>Form B</x:v>
      </x:c>
      <x:c r="K25" s="192" t="str">
        <x:v>Possible intoxication at intake</x:v>
      </x:c>
      <x:c r="L25" s="192" t="str">
        <x:v>A client arrives for an intake appearing sedated, unsteady, and unable to repeat basic instructions. What should the therapist address before completing routine paperwork?</x:v>
      </x:c>
      <x:c r="M25" s="192" t="str">
        <x:v>Alternate Form</x:v>
      </x:c>
      <x:c r="N25" s="194" t="str">
        <x:v>Keep on separate forms; review both items together before any future revision, option movement, or reuse.</x:v>
      </x:c>
    </x:row>
    <x:row r="26">
      <x:c r="A26" s="191" t="str">
        <x:v>LMFT-ALT-025</x:v>
      </x:c>
      <x:c r="B26" s="218" t="n">
        <x:v>0.8305545702434921</x:v>
      </x:c>
      <x:c r="C26" s="192" t="str">
        <x:v>LMFT-MQB-FA-CE-025</x:v>
      </x:c>
      <x:c r="D26" s="192" t="str">
        <x:v>CTA-LMFT-MQB-0334</x:v>
      </x:c>
      <x:c r="E26" s="192" t="str">
        <x:v>Form A</x:v>
      </x:c>
      <x:c r="F26" s="192" t="str">
        <x:v>Child behavior across settings</x:v>
      </x:c>
      <x:c r="G26" s="192" t="str">
        <x:v>Parents report severe tantrums at home, while the teacher reports age-appropriate behavior at school. What should the LMFT do NEXT?</x:v>
      </x:c>
      <x:c r="H26" s="192" t="str">
        <x:v>LMFT-MQB-FB-CE-025</x:v>
      </x:c>
      <x:c r="I26" s="192" t="str">
        <x:v>CTA-LMFT-MQB-0430</x:v>
      </x:c>
      <x:c r="J26" s="192" t="str">
        <x:v>Form B</x:v>
      </x:c>
      <x:c r="K26" s="192" t="str">
        <x:v>Child behavior across settings</x:v>
      </x:c>
      <x:c r="L26" s="192" t="str">
        <x:v>A child has intense outbursts with one caregiver but functions well with another caregiver and at school. What should the LMFT examine next?</x:v>
      </x:c>
      <x:c r="M26" s="192" t="str">
        <x:v>Alternate Form</x:v>
      </x:c>
      <x:c r="N26" s="194" t="str">
        <x:v>Keep on separate forms; review both items together before any future revision, option movement, or reuse.</x:v>
      </x:c>
    </x:row>
    <x:row r="27">
      <x:c r="A27" s="191" t="str">
        <x:v>LMFT-ALT-026</x:v>
      </x:c>
      <x:c r="B27" s="218" t="n">
        <x:v>0.7478185081052486</x:v>
      </x:c>
      <x:c r="C27" s="192" t="str">
        <x:v>LMFT-MQB-FA-CE-026</x:v>
      </x:c>
      <x:c r="D27" s="192" t="str">
        <x:v>CTA-LMFT-MQB-0301</x:v>
      </x:c>
      <x:c r="E27" s="192" t="str">
        <x:v>Form A</x:v>
      </x:c>
      <x:c r="F27" s="192" t="str">
        <x:v>Grief and risk assessment</x:v>
      </x:c>
      <x:c r="G27" s="192" t="str">
        <x:v>A widowed client reports insomnia, guilt, and wishing to “join” the deceased spouse but denies a plan. What should the LMFT do FIRST?</x:v>
      </x:c>
      <x:c r="H27" s="192" t="str">
        <x:v>LMFT-MQB-FB-CE-026</x:v>
      </x:c>
      <x:c r="I27" s="192" t="str">
        <x:v>CTA-LMFT-MQB-0374</x:v>
      </x:c>
      <x:c r="J27" s="192" t="str">
        <x:v>Form B</x:v>
      </x:c>
      <x:c r="K27" s="192" t="str">
        <x:v>Grief and risk assessment</x:v>
      </x:c>
      <x:c r="L27" s="192" t="str">
        <x:v>Six weeks after a partner’s death, a client says life no longer feels worth living and sometimes imagines not waking up. What should the LMFT do first?</x:v>
      </x:c>
      <x:c r="M27" s="192" t="str">
        <x:v>Alternate Form</x:v>
      </x:c>
      <x:c r="N27" s="194" t="str">
        <x:v>Keep on separate forms; review both items together before any future revision, option movement, or reuse.</x:v>
      </x:c>
    </x:row>
    <x:row r="28">
      <x:c r="A28" s="191" t="str">
        <x:v>LMFT-ALT-027</x:v>
      </x:c>
      <x:c r="B28" s="218" t="n">
        <x:v>0.7521351362021854</x:v>
      </x:c>
      <x:c r="C28" s="192" t="str">
        <x:v>LMFT-MQB-FA-CE-027</x:v>
      </x:c>
      <x:c r="D28" s="192" t="str">
        <x:v>CTA-LMFT-MQB-0246</x:v>
      </x:c>
      <x:c r="E28" s="192" t="str">
        <x:v>Form A</x:v>
      </x:c>
      <x:c r="F28" s="192" t="str">
        <x:v>Telehealth environmental assessment</x:v>
      </x:c>
      <x:c r="G28" s="192" t="str">
        <x:v>During telehealth, an adolescent repeatedly looks offscreen before answering and whispers that a parent is listening nearby. What should the LMFT do NEXT?</x:v>
      </x:c>
      <x:c r="H28" s="192" t="str">
        <x:v>LMFT-MQB-FB-CE-027</x:v>
      </x:c>
      <x:c r="I28" s="192" t="str">
        <x:v>CTA-LMFT-MQB-0371</x:v>
      </x:c>
      <x:c r="J28" s="192" t="str">
        <x:v>Form B</x:v>
      </x:c>
      <x:c r="K28" s="192" t="str">
        <x:v>Telehealth environmental assessment</x:v>
      </x:c>
      <x:c r="L28" s="192" t="str">
        <x:v>During a video session, a client repeatedly changes answers after glancing toward someone outside the camera view. What should the LMFT determine before continuing sensitive questions?</x:v>
      </x:c>
      <x:c r="M28" s="192" t="str">
        <x:v>Alternate Form</x:v>
      </x:c>
      <x:c r="N28" s="194" t="str">
        <x:v>Keep on separate forms; review both items together before any future revision, option movement, or reuse.</x:v>
      </x:c>
    </x:row>
    <x:row r="29">
      <x:c r="A29" s="191" t="str">
        <x:v>LMFT-ALT-028</x:v>
      </x:c>
      <x:c r="B29" s="218" t="n">
        <x:v>0.7431295592412189</x:v>
      </x:c>
      <x:c r="C29" s="192" t="str">
        <x:v>LMFT-MQB-FA-CE-028</x:v>
      </x:c>
      <x:c r="D29" s="192" t="str">
        <x:v>CTA-LMFT-MQB-0208</x:v>
      </x:c>
      <x:c r="E29" s="192" t="str">
        <x:v>Form A</x:v>
      </x:c>
      <x:c r="F29" s="192" t="str">
        <x:v>Possible mania or stimulant effect</x:v>
      </x:c>
      <x:c r="G29" s="192" t="str">
        <x:v>A client who recently began using a prescribed stimulant reports sleeping two hours nightly, rapid speech, impulsive spending, and unusual confidence. What should the LMFT do NEXT?</x:v>
      </x:c>
      <x:c r="H29" s="192" t="str">
        <x:v>LMFT-MQB-FB-CE-028</x:v>
      </x:c>
      <x:c r="I29" s="192" t="str">
        <x:v>CTA-LMFT-MQB-0501</x:v>
      </x:c>
      <x:c r="J29" s="192" t="str">
        <x:v>Form B</x:v>
      </x:c>
      <x:c r="K29" s="192" t="str">
        <x:v>Possible mania or stimulant effect</x:v>
      </x:c>
      <x:c r="L29" s="192" t="str">
        <x:v>After beginning a new stimulant, a client becomes unusually talkative, starts several businesses, and sleeps very little. What should the therapist assess next?</x:v>
      </x:c>
      <x:c r="M29" s="192" t="str">
        <x:v>Alternate Form</x:v>
      </x:c>
      <x:c r="N29" s="194" t="str">
        <x:v>Keep on separate forms; review both items together before any future revision, option movement, or reuse.</x:v>
      </x:c>
    </x:row>
    <x:row r="30">
      <x:c r="A30" s="191" t="str">
        <x:v>LMFT-ALT-029</x:v>
      </x:c>
      <x:c r="B30" s="218" t="n">
        <x:v>0.8046593765712446</x:v>
      </x:c>
      <x:c r="C30" s="192" t="str">
        <x:v>LMFT-MQB-FA-CE-029</x:v>
      </x:c>
      <x:c r="D30" s="192" t="str">
        <x:v>CTA-LMFT-MQB-0241</x:v>
      </x:c>
      <x:c r="E30" s="192" t="str">
        <x:v>Form A</x:v>
      </x:c>
      <x:c r="F30" s="192" t="str">
        <x:v>Intimate partner violence screening</x:v>
      </x:c>
      <x:c r="G30" s="192" t="str">
        <x:v>A couple reports “mutual fighting,” and one partner becomes visibly fearful when the other describes what happens at home. What should the LMFT do NEXT?</x:v>
      </x:c>
      <x:c r="H30" s="192" t="str">
        <x:v>LMFT-MQB-FB-CE-029</x:v>
      </x:c>
      <x:c r="I30" s="192" t="str">
        <x:v>CTA-LMFT-MQB-0463</x:v>
      </x:c>
      <x:c r="J30" s="192" t="str">
        <x:v>Form B</x:v>
      </x:c>
      <x:c r="K30" s="192" t="str">
        <x:v>Intimate partner violence screening</x:v>
      </x:c>
      <x:c r="L30" s="192" t="str">
        <x:v>In a conjoint intake, one partner jokes about “keeping the other in line,” while the other becomes silent and visibly tense. What should the LMFT do before continuing couple assessment?</x:v>
      </x:c>
      <x:c r="M30" s="192" t="str">
        <x:v>Alternate Form</x:v>
      </x:c>
      <x:c r="N30" s="194" t="str">
        <x:v>Keep on separate forms; review both items together before any future revision, option movement, or reuse.</x:v>
      </x:c>
    </x:row>
    <x:row r="31">
      <x:c r="A31" s="191" t="str">
        <x:v>LMFT-ALT-030</x:v>
      </x:c>
      <x:c r="B31" s="218" t="n">
        <x:v>0.7465059389065509</x:v>
      </x:c>
      <x:c r="C31" s="192" t="str">
        <x:v>LMFT-MQB-FA-CE-030</x:v>
      </x:c>
      <x:c r="D31" s="192" t="str">
        <x:v>CTA-LMFT-MQB-0310</x:v>
      </x:c>
      <x:c r="E31" s="192" t="str">
        <x:v>Form A</x:v>
      </x:c>
      <x:c r="F31" s="192" t="str">
        <x:v>Possible cognitive disorder</x:v>
      </x:c>
      <x:c r="G31" s="192" t="str">
        <x:v>An older adult is brought by family for “depression,” but the therapist observes repeated questions, getting lost in familiar places, and missed medications. What should the LMFT do NEXT?</x:v>
      </x:c>
      <x:c r="H31" s="192" t="str">
        <x:v>LMFT-MQB-FB-CE-030</x:v>
      </x:c>
      <x:c r="I31" s="192" t="str">
        <x:v>CTA-LMFT-MQB-0427</x:v>
      </x:c>
      <x:c r="J31" s="192" t="str">
        <x:v>Form B</x:v>
      </x:c>
      <x:c r="K31" s="192" t="str">
        <x:v>Possible cognitive disorder</x:v>
      </x:c>
      <x:c r="L31" s="192" t="str">
        <x:v>Family members report that an older client has left the stove on, missed bills, and repeated the same stories. The client describes only loneliness. What should the therapist do next?</x:v>
      </x:c>
      <x:c r="M31" s="192" t="str">
        <x:v>Alternate Form</x:v>
      </x:c>
      <x:c r="N31" s="194" t="str">
        <x:v>Keep on separate forms; review both items together before any future revision, option movement, or reuse.</x:v>
      </x:c>
    </x:row>
    <x:row r="32">
      <x:c r="A32" s="191" t="str">
        <x:v>LMFT-ALT-031</x:v>
      </x:c>
      <x:c r="B32" s="218" t="n">
        <x:v>0.7502519372046947</x:v>
      </x:c>
      <x:c r="C32" s="192" t="str">
        <x:v>LMFT-MQB-FA-CE-031</x:v>
      </x:c>
      <x:c r="D32" s="192" t="str">
        <x:v>CTA-LMFT-MQB-0254</x:v>
      </x:c>
      <x:c r="E32" s="192" t="str">
        <x:v>Form A</x:v>
      </x:c>
      <x:c r="F32" s="192" t="str">
        <x:v>Adolescent identity and family conflict</x:v>
      </x:c>
      <x:c r="G32" s="192" t="str">
        <x:v>Parents request treatment to make their adolescent “stop identifying as nonbinary.” The adolescent reports anxiety only when family members criticize the identity. What should the LMFT do FIRST?</x:v>
      </x:c>
      <x:c r="H32" s="192" t="str">
        <x:v>LMFT-MQB-FB-CE-031</x:v>
      </x:c>
      <x:c r="I32" s="192" t="str">
        <x:v>CTA-LMFT-MQB-0469</x:v>
      </x:c>
      <x:c r="J32" s="192" t="str">
        <x:v>Form B</x:v>
      </x:c>
      <x:c r="K32" s="192" t="str">
        <x:v>Adolescent identity and family conflict</x:v>
      </x:c>
      <x:c r="L32" s="192" t="str">
        <x:v>Caregivers ask an LMFT to eliminate a teenager’s same-gender attraction, while the teenager reports fear of rejection at home. What is the therapist’s first responsibility?</x:v>
      </x:c>
      <x:c r="M32" s="192" t="str">
        <x:v>Alternate Form</x:v>
      </x:c>
      <x:c r="N32" s="194" t="str">
        <x:v>Keep on separate forms; review both items together before any future revision, option movement, or reuse.</x:v>
      </x:c>
    </x:row>
    <x:row r="33">
      <x:c r="A33" s="191" t="str">
        <x:v>LMFT-ALT-032</x:v>
      </x:c>
      <x:c r="B33" s="218" t="n">
        <x:v>0.738816998652098</x:v>
      </x:c>
      <x:c r="C33" s="192" t="str">
        <x:v>LMFT-MQB-FA-CE-032</x:v>
      </x:c>
      <x:c r="D33" s="192" t="str">
        <x:v>CTA-LMFT-MQB-0261</x:v>
      </x:c>
      <x:c r="E33" s="192" t="str">
        <x:v>Form A</x:v>
      </x:c>
      <x:c r="F33" s="192" t="str">
        <x:v>Dissociation versus inattention</x:v>
      </x:c>
      <x:c r="G33" s="192" t="str">
        <x:v>A trauma survivor appears to “space out” during conflict discussions and later cannot recall parts of the conversation. What should the LMFT do NEXT?</x:v>
      </x:c>
      <x:c r="H33" s="192" t="str">
        <x:v>LMFT-MQB-FB-CE-032</x:v>
      </x:c>
      <x:c r="I33" s="192" t="str">
        <x:v>CTA-LMFT-MQB-0382</x:v>
      </x:c>
      <x:c r="J33" s="192" t="str">
        <x:v>Form B</x:v>
      </x:c>
      <x:c r="K33" s="192" t="str">
        <x:v>Dissociation versus inattention</x:v>
      </x:c>
      <x:c r="L33" s="192" t="str">
        <x:v>During arguments, a client becomes blank, loses track of time, and later remembers only fragments of what occurred. What should the therapist assess before labeling the behavior?</x:v>
      </x:c>
      <x:c r="M33" s="192" t="str">
        <x:v>Alternate Form</x:v>
      </x:c>
      <x:c r="N33" s="194" t="str">
        <x:v>Keep on separate forms; review both items together before any future revision, option movement, or reuse.</x:v>
      </x:c>
    </x:row>
    <x:row r="34">
      <x:c r="A34" s="191" t="str">
        <x:v>LMFT-ALT-033</x:v>
      </x:c>
      <x:c r="B34" s="218" t="n">
        <x:v>0.8464890259138758</x:v>
      </x:c>
      <x:c r="C34" s="192" t="str">
        <x:v>LMFT-MQB-FA-CE-033</x:v>
      </x:c>
      <x:c r="D34" s="192" t="str">
        <x:v>CTA-LMFT-MQB-0294</x:v>
      </x:c>
      <x:c r="E34" s="192" t="str">
        <x:v>Form A</x:v>
      </x:c>
      <x:c r="F34" s="192" t="str">
        <x:v>Complex family records and alliances</x:v>
      </x:c>
      <x:c r="G34" s="192" t="str">
        <x:v>In a family evaluation, a parent privately emails allegations about the other parent and demands that the message be kept secret from the family. What should the LMFT do NEXT?</x:v>
      </x:c>
      <x:c r="H34" s="192" t="str">
        <x:v>LMFT-MQB-FB-CE-033</x:v>
      </x:c>
      <x:c r="I34" s="192" t="str">
        <x:v>CTA-LMFT-MQB-0399</x:v>
      </x:c>
      <x:c r="J34" s="192" t="str">
        <x:v>Form B</x:v>
      </x:c>
      <x:c r="K34" s="192" t="str">
        <x:v>Complex family records and alliances</x:v>
      </x:c>
      <x:c r="L34" s="192" t="str">
        <x:v>One family member sends the therapist a private message containing accusations and demands that no one else be told. What should the LMFT do before using the information?</x:v>
      </x:c>
      <x:c r="M34" s="192" t="str">
        <x:v>Alternate Form</x:v>
      </x:c>
      <x:c r="N34" s="194" t="str">
        <x:v>Keep on separate forms; review both items together before any future revision, option movement, or reuse.</x:v>
      </x:c>
    </x:row>
    <x:row r="35">
      <x:c r="A35" s="191" t="str">
        <x:v>LMFT-ALT-034</x:v>
      </x:c>
      <x:c r="B35" s="218" t="n">
        <x:v>0.7456621084047304</x:v>
      </x:c>
      <x:c r="C35" s="192" t="str">
        <x:v>LMFT-MQB-FA-CE-034</x:v>
      </x:c>
      <x:c r="D35" s="192" t="str">
        <x:v>CTA-LMFT-MQB-0230</x:v>
      </x:c>
      <x:c r="E35" s="192" t="str">
        <x:v>Form A</x:v>
      </x:c>
      <x:c r="F35" s="192" t="str">
        <x:v>Medical and trauma overlap</x:v>
      </x:c>
      <x:c r="G35" s="192" t="str">
        <x:v>A client develops panic-like episodes after a recent cardiac procedure and avoids activity for fear of another episode. What should the LMFT do NEXT?</x:v>
      </x:c>
      <x:c r="H35" s="192" t="str">
        <x:v>LMFT-MQB-FB-CE-034</x:v>
      </x:c>
      <x:c r="I35" s="192" t="str">
        <x:v>CTA-LMFT-MQB-0443</x:v>
      </x:c>
      <x:c r="J35" s="192" t="str">
        <x:v>Form B</x:v>
      </x:c>
      <x:c r="K35" s="192" t="str">
        <x:v>Medical and trauma overlap</x:v>
      </x:c>
      <x:c r="L35" s="192" t="str">
        <x:v>Following a frightening emergency-room visit, a client experiences racing heart and avoids exertion. Medical restrictions remain unclear. What should the LMFT do before using panic-focused exposure?</x:v>
      </x:c>
      <x:c r="M35" s="192" t="str">
        <x:v>Alternate Form</x:v>
      </x:c>
      <x:c r="N35" s="194" t="str">
        <x:v>Keep on separate forms; review both items together before any future revision, option movement, or reuse.</x:v>
      </x:c>
    </x:row>
    <x:row r="36">
      <x:c r="A36" s="191" t="str">
        <x:v>LMFT-ALT-035</x:v>
      </x:c>
      <x:c r="B36" s="218" t="n">
        <x:v>0.8691492463483556</x:v>
      </x:c>
      <x:c r="C36" s="192" t="str">
        <x:v>LMFT-MQB-FA-CE-035</x:v>
      </x:c>
      <x:c r="D36" s="192" t="str">
        <x:v>CTA-LMFT-MQB-0284</x:v>
      </x:c>
      <x:c r="E36" s="192" t="str">
        <x:v>Form A</x:v>
      </x:c>
      <x:c r="F36" s="192" t="str">
        <x:v>Family violence and child functioning</x:v>
      </x:c>
      <x:c r="G36" s="192" t="str">
        <x:v>A child’s school refusal began after witnessing escalating parental violence. The parents request individual behavior treatment for the child and deny that family safety is relevant. What should the LMFT do NEXT?</x:v>
      </x:c>
      <x:c r="H36" s="192" t="str">
        <x:v>LMFT-MQB-FB-CE-035</x:v>
      </x:c>
      <x:c r="I36" s="192" t="str">
        <x:v>CTA-LMFT-MQB-0483</x:v>
      </x:c>
      <x:c r="J36" s="192" t="str">
        <x:v>Form B</x:v>
      </x:c>
      <x:c r="K36" s="192" t="str">
        <x:v>Family violence and child functioning</x:v>
      </x:c>
      <x:c r="L36" s="192" t="str">
        <x:v>A child’s nightmares and school refusal began while violence between caregivers was escalating. The adults insist the child alone needs behavior therapy. What should the therapist address first?</x:v>
      </x:c>
      <x:c r="M36" s="192" t="str">
        <x:v>Alternate Form</x:v>
      </x:c>
      <x:c r="N36" s="194" t="str">
        <x:v>Keep on separate forms; review both items together before any future revision, option movement, or reuse.</x:v>
      </x:c>
    </x:row>
    <x:row r="37">
      <x:c r="A37" s="191" t="str">
        <x:v>LMFT-ALT-036</x:v>
      </x:c>
      <x:c r="B37" s="218" t="n">
        <x:v>0.822690213562836</x:v>
      </x:c>
      <x:c r="C37" s="192" t="str">
        <x:v>LMFT-MQB-FA-CE-036</x:v>
      </x:c>
      <x:c r="D37" s="192" t="str">
        <x:v>CTA-LMFT-MQB-0280</x:v>
      </x:c>
      <x:c r="E37" s="192" t="str">
        <x:v>Form A</x:v>
      </x:c>
      <x:c r="F37" s="192" t="str">
        <x:v>Evaluation under cultural and language constraints</x:v>
      </x:c>
      <x:c r="G37" s="192" t="str">
        <x:v>A refugee family uses a child to interpret during intake because the adults speak limited English. The history includes possible trauma and family conflict. What should the LMFT do NEXT?</x:v>
      </x:c>
      <x:c r="H37" s="192" t="str">
        <x:v>LMFT-MQB-FB-CE-036</x:v>
      </x:c>
      <x:c r="I37" s="192" t="str">
        <x:v>CTA-LMFT-MQB-0445</x:v>
      </x:c>
      <x:c r="J37" s="192" t="str">
        <x:v>Form B</x:v>
      </x:c>
      <x:c r="K37" s="192" t="str">
        <x:v>Evaluation under cultural and language constraints</x:v>
      </x:c>
      <x:c r="L37" s="192" t="str">
        <x:v>At intake, a family asks a teenage daughter to interpret sensitive questions for adults who have limited English proficiency. What should the LMFT do next?</x:v>
      </x:c>
      <x:c r="M37" s="192" t="str">
        <x:v>Alternate Form</x:v>
      </x:c>
      <x:c r="N37" s="194" t="str">
        <x:v>Keep on separate forms; review both items together before any future revision, option movement, or reuse.</x:v>
      </x:c>
    </x:row>
    <x:row r="38">
      <x:c r="A38" s="191" t="str">
        <x:v>LMFT-ALT-037</x:v>
      </x:c>
      <x:c r="B38" s="218" t="n">
        <x:v>0.7663120313729475</x:v>
      </x:c>
      <x:c r="C38" s="192" t="str">
        <x:v>LMFT-MQB-FA-CE-037</x:v>
      </x:c>
      <x:c r="D38" s="192" t="str">
        <x:v>CTA-LMFT-MQB-0219</x:v>
      </x:c>
      <x:c r="E38" s="192" t="str">
        <x:v>Form A</x:v>
      </x:c>
      <x:c r="F38" s="192" t="str">
        <x:v>Integrated intake prioritization</x:v>
      </x:c>
      <x:c r="G38" s="192" t="str">
        <x:v>A couple seeks treatment for communication problems. During intake, one partner reports recent medication changes, minimal sleep, and impulsive gambling; the other reports feeling unsafe during arguments. What should the LMFT do FIRST?</x:v>
      </x:c>
      <x:c r="H38" s="192" t="str">
        <x:v>LMFT-MQB-FB-CE-037</x:v>
      </x:c>
      <x:c r="I38" s="192" t="str">
        <x:v>CTA-LMFT-MQB-0406</x:v>
      </x:c>
      <x:c r="J38" s="192" t="str">
        <x:v>Form B</x:v>
      </x:c>
      <x:c r="K38" s="192" t="str">
        <x:v>Integrated intake prioritization</x:v>
      </x:c>
      <x:c r="L38" s="192" t="str">
        <x:v>A couple requests help with arguing. One partner also reports almost no sleep and impulsive spending after a medication change, while the other expresses fear at home. What is the first clinical priority?</x:v>
      </x:c>
      <x:c r="M38" s="192" t="str">
        <x:v>Alternate Form</x:v>
      </x:c>
      <x:c r="N38" s="194" t="str">
        <x:v>Keep on separate forms; review both items together before any future revision, option movement, or reuse.</x:v>
      </x:c>
    </x:row>
    <x:row r="39">
      <x:c r="A39" s="191" t="str">
        <x:v>LMFT-ALT-038</x:v>
      </x:c>
      <x:c r="B39" s="218" t="n">
        <x:v>0.7964462215427436</x:v>
      </x:c>
      <x:c r="C39" s="192" t="str">
        <x:v>LMFT-MQB-FA-CE-038</x:v>
      </x:c>
      <x:c r="D39" s="192" t="str">
        <x:v>CTA-LMFT-MQB-0305</x:v>
      </x:c>
      <x:c r="E39" s="192" t="str">
        <x:v>Form A</x:v>
      </x:c>
      <x:c r="F39" s="192" t="str">
        <x:v>Multiple informants and developmental context</x:v>
      </x:c>
      <x:c r="G39" s="192" t="str">
        <x:v>A 13-year-old reports no problem, parents report severe withdrawal, and the school reports sudden grade decline after bullying. What is the BEST evaluation plan?</x:v>
      </x:c>
      <x:c r="H39" s="192" t="str">
        <x:v>LMFT-MQB-FB-CE-038</x:v>
      </x:c>
      <x:c r="I39" s="192" t="str">
        <x:v>CTA-LMFT-MQB-0403</x:v>
      </x:c>
      <x:c r="J39" s="192" t="str">
        <x:v>Form B</x:v>
      </x:c>
      <x:c r="K39" s="192" t="str">
        <x:v>Multiple informants and developmental context</x:v>
      </x:c>
      <x:c r="L39" s="192" t="str">
        <x:v>A middle-school student denies distress, caregivers describe marked isolation, and staff report a sudden decline after online harassment. What evaluation plan is most appropriate?</x:v>
      </x:c>
      <x:c r="M39" s="192" t="str">
        <x:v>Alternate Form</x:v>
      </x:c>
      <x:c r="N39" s="194" t="str">
        <x:v>Keep on separate forms; review both items together before any future revision, option movement, or reuse.</x:v>
      </x:c>
    </x:row>
    <x:row r="40">
      <x:c r="A40" s="191" t="str">
        <x:v>LMFT-ALT-039</x:v>
      </x:c>
      <x:c r="B40" s="218" t="n">
        <x:v>0.7748863139089449</x:v>
      </x:c>
      <x:c r="C40" s="192" t="str">
        <x:v>LMFT-MQB-FA-CE-039</x:v>
      </x:c>
      <x:c r="D40" s="192" t="str">
        <x:v>CTA-LMFT-MQB-0279</x:v>
      </x:c>
      <x:c r="E40" s="192" t="str">
        <x:v>Form A</x:v>
      </x:c>
      <x:c r="F40" s="192" t="str">
        <x:v>Trauma, culture, and somatic symptoms</x:v>
      </x:c>
      <x:c r="G40" s="192" t="str">
        <x:v>A client from a culture that emphasizes physical expressions of distress reports headaches, fatigue, and family conflict after a violent event. Medical evaluation has not identified an acute cause. What should the LMFT do?</x:v>
      </x:c>
      <x:c r="H40" s="192" t="str">
        <x:v>LMFT-MQB-FB-CE-039</x:v>
      </x:c>
      <x:c r="I40" s="192" t="str">
        <x:v>CTA-LMFT-MQB-0409</x:v>
      </x:c>
      <x:c r="J40" s="192" t="str">
        <x:v>Form B</x:v>
      </x:c>
      <x:c r="K40" s="192" t="str">
        <x:v>Trauma, culture, and somatic symptoms</x:v>
      </x:c>
      <x:c r="L40" s="192" t="str">
        <x:v>After displacement and violence, a client reports stomach pain and exhaustion and describes distress mainly through bodily symptoms. Medical care has ruled out an immediate emergency. How should the LMFT evaluate the presentation?</x:v>
      </x:c>
      <x:c r="M40" s="192" t="str">
        <x:v>Alternate Form</x:v>
      </x:c>
      <x:c r="N40" s="194" t="str">
        <x:v>Keep on separate forms; review both items together before any future revision, option movement, or reuse.</x:v>
      </x:c>
    </x:row>
    <x:row r="41">
      <x:c r="A41" s="191" t="str">
        <x:v>LMFT-ALT-040</x:v>
      </x:c>
      <x:c r="B41" s="218" t="n">
        <x:v>0.8390658472954504</x:v>
      </x:c>
      <x:c r="C41" s="192" t="str">
        <x:v>LMFT-MQB-FA-CE-040</x:v>
      </x:c>
      <x:c r="D41" s="192" t="str">
        <x:v>CTA-LMFT-MQB-0327</x:v>
      </x:c>
      <x:c r="E41" s="192" t="str">
        <x:v>Form A</x:v>
      </x:c>
      <x:c r="F41" s="192" t="str">
        <x:v>Complex older-adult evaluation</x:v>
      </x:c>
      <x:c r="G41" s="192" t="str">
        <x:v>An older adult reports depression after a spouse’s death. Family notes medication errors, weight loss, and recent financial exploitation by a new acquaintance. What should the LMFT do FIRST?</x:v>
      </x:c>
      <x:c r="H41" s="192" t="str">
        <x:v>LMFT-MQB-FB-CE-040</x:v>
      </x:c>
      <x:c r="I41" s="192" t="str">
        <x:v>CTA-LMFT-MQB-0429</x:v>
      </x:c>
      <x:c r="J41" s="192" t="str">
        <x:v>Form B</x:v>
      </x:c>
      <x:c r="K41" s="192" t="str">
        <x:v>Complex older-adult evaluation</x:v>
      </x:c>
      <x:c r="L41" s="192" t="str">
        <x:v>An older client grieving a sibling’s death has lost weight, missed medications, and recently transferred money to a new acquaintance. Which assessment approach should come first?</x:v>
      </x:c>
      <x:c r="M41" s="192" t="str">
        <x:v>Alternate Form</x:v>
      </x:c>
      <x:c r="N41" s="194" t="str">
        <x:v>Keep on separate forms; review both items together before any future revision, option movement, or reuse.</x:v>
      </x:c>
    </x:row>
    <x:row r="42">
      <x:c r="A42" s="191" t="str">
        <x:v>LMFT-ALT-041</x:v>
      </x:c>
      <x:c r="B42" s="218" t="n">
        <x:v>0.8487575136469386</x:v>
      </x:c>
      <x:c r="C42" s="192" t="str">
        <x:v>LMFT-MQB-FA-CE-041</x:v>
      </x:c>
      <x:c r="D42" s="192" t="str">
        <x:v>CTA-LMFT-MQB-0250</x:v>
      </x:c>
      <x:c r="E42" s="192" t="str">
        <x:v>Form A</x:v>
      </x:c>
      <x:c r="F42" s="192" t="str">
        <x:v>High-conflict separation assessment</x:v>
      </x:c>
      <x:c r="G42" s="192" t="str">
        <x:v>Separated parents request therapy for a child’s anxiety. Each demands private updates, accuses the other of abuse, and provides conflicting court documents. What is the BEST initial response?</x:v>
      </x:c>
      <x:c r="H42" s="192" t="str">
        <x:v>LMFT-MQB-FB-CE-041</x:v>
      </x:c>
      <x:c r="I42" s="192" t="str">
        <x:v>CTA-LMFT-MQB-0387</x:v>
      </x:c>
      <x:c r="J42" s="192" t="str">
        <x:v>Form B</x:v>
      </x:c>
      <x:c r="K42" s="192" t="str">
        <x:v>High-conflict separation assessment</x:v>
      </x:c>
      <x:c r="L42" s="192" t="str">
        <x:v>Divorcing parents seek therapy for their child, present conflicting orders, request separate confidential reports, and accuse each other of dangerous behavior. What is the best initial response?</x:v>
      </x:c>
      <x:c r="M42" s="192" t="str">
        <x:v>Alternate Form</x:v>
      </x:c>
      <x:c r="N42" s="194" t="str">
        <x:v>Keep on separate forms; review both items together before any future revision, option movement, or reuse.</x:v>
      </x:c>
    </x:row>
    <x:row r="43">
      <x:c r="A43" s="191" t="str">
        <x:v>LMFT-ALT-042</x:v>
      </x:c>
      <x:c r="B43" s="218" t="n">
        <x:v>0.8407181136463031</x:v>
      </x:c>
      <x:c r="C43" s="192" t="str">
        <x:v>LMFT-MQB-FA-CP-001</x:v>
      </x:c>
      <x:c r="D43" s="192" t="str">
        <x:v>CTA-LMFT-MQB-0319</x:v>
      </x:c>
      <x:c r="E43" s="192" t="str">
        <x:v>Form A</x:v>
      </x:c>
      <x:c r="F43" s="192" t="str">
        <x:v>Measurable goals</x:v>
      </x:c>
      <x:c r="G43" s="192" t="str">
        <x:v>Which treatment goal is MOST measurable?</x:v>
      </x:c>
      <x:c r="H43" s="192" t="str">
        <x:v>LMFT-MQB-FB-CP-001</x:v>
      </x:c>
      <x:c r="I43" s="192" t="str">
        <x:v>CTA-LMFT-MQB-0383</x:v>
      </x:c>
      <x:c r="J43" s="192" t="str">
        <x:v>Form B</x:v>
      </x:c>
      <x:c r="K43" s="192" t="str">
        <x:v>Measurable goals</x:v>
      </x:c>
      <x:c r="L43" s="192" t="str">
        <x:v>Which proposed objective would allow an LMFT and couple to determine clearly whether the targeted interaction has changed?</x:v>
      </x:c>
      <x:c r="M43" s="192" t="str">
        <x:v>Alternate Form</x:v>
      </x:c>
      <x:c r="N43" s="194" t="str">
        <x:v>Keep on separate forms; review both items together before any future revision, option movement, or reuse.</x:v>
      </x:c>
    </x:row>
    <x:row r="44">
      <x:c r="A44" s="191" t="str">
        <x:v>LMFT-ALT-043</x:v>
      </x:c>
      <x:c r="B44" s="218" t="n">
        <x:v>0.7205792275764936</x:v>
      </x:c>
      <x:c r="C44" s="192" t="str">
        <x:v>LMFT-MQB-FA-CP-002</x:v>
      </x:c>
      <x:c r="D44" s="192" t="str">
        <x:v>CTA-LMFT-MQB-0317</x:v>
      </x:c>
      <x:c r="E44" s="192" t="str">
        <x:v>Form A</x:v>
      </x:c>
      <x:c r="F44" s="192" t="str">
        <x:v>Case conceptualization</x:v>
      </x:c>
      <x:c r="G44" s="192" t="str">
        <x:v>What is the main function of a case conceptualization?</x:v>
      </x:c>
      <x:c r="H44" s="192" t="str">
        <x:v>LMFT-MQB-FB-CP-002</x:v>
      </x:c>
      <x:c r="I44" s="192" t="str">
        <x:v>CTA-LMFT-MQB-0420</x:v>
      </x:c>
      <x:c r="J44" s="192" t="str">
        <x:v>Form B</x:v>
      </x:c>
      <x:c r="K44" s="192" t="str">
        <x:v>Case conceptualization</x:v>
      </x:c>
      <x:c r="L44" s="192" t="str">
        <x:v>A supervisor asks an associate to explain how vulnerabilities, recent events, relationship patterns, and strengths fit together in a case. What is the associate being asked to develop?</x:v>
      </x:c>
      <x:c r="M44" s="192" t="str">
        <x:v>Alternate Form</x:v>
      </x:c>
      <x:c r="N44" s="194" t="str">
        <x:v>Keep on separate forms; review both items together before any future revision, option movement, or reuse.</x:v>
      </x:c>
    </x:row>
    <x:row r="45">
      <x:c r="A45" s="191" t="str">
        <x:v>LMFT-ALT-044</x:v>
      </x:c>
      <x:c r="B45" s="218" t="n">
        <x:v>0.664672517943012</x:v>
      </x:c>
      <x:c r="C45" s="192" t="str">
        <x:v>LMFT-MQB-FA-CP-003</x:v>
      </x:c>
      <x:c r="D45" s="192" t="str">
        <x:v>CTA-LMFT-MQB-0322</x:v>
      </x:c>
      <x:c r="E45" s="192" t="str">
        <x:v>Form A</x:v>
      </x:c>
      <x:c r="F45" s="192" t="str">
        <x:v>Goal hierarchy</x:v>
      </x:c>
      <x:c r="G45" s="192" t="str">
        <x:v>A client has mild relationship dissatisfaction and an untreated severe substance-withdrawal risk. Which planning principle applies?</x:v>
      </x:c>
      <x:c r="H45" s="192" t="str">
        <x:v>LMFT-MQB-FB-CP-003</x:v>
      </x:c>
      <x:c r="I45" s="192" t="str">
        <x:v>CTA-LMFT-MQB-0415</x:v>
      </x:c>
      <x:c r="J45" s="192" t="str">
        <x:v>Form B</x:v>
      </x:c>
      <x:c r="K45" s="192" t="str">
        <x:v>Goal hierarchy</x:v>
      </x:c>
      <x:c r="L45" s="192" t="str">
        <x:v>A client wants to begin communication work but is showing signs of potentially dangerous withdrawal. How should the therapist order the treatment priorities?</x:v>
      </x:c>
      <x:c r="M45" s="192" t="str">
        <x:v>Alternate Form</x:v>
      </x:c>
      <x:c r="N45" s="194" t="str">
        <x:v>Keep on separate forms; review both items together before any future revision, option movement, or reuse.</x:v>
      </x:c>
    </x:row>
    <x:row r="46">
      <x:c r="A46" s="191" t="str">
        <x:v>LMFT-ALT-045</x:v>
      </x:c>
      <x:c r="B46" s="218" t="n">
        <x:v>0.778039558408572</x:v>
      </x:c>
      <x:c r="C46" s="192" t="str">
        <x:v>LMFT-MQB-FA-CP-004</x:v>
      </x:c>
      <x:c r="D46" s="192" t="str">
        <x:v>CTA-LMFT-MQB-0337</x:v>
      </x:c>
      <x:c r="E46" s="192" t="str">
        <x:v>Form A</x:v>
      </x:c>
      <x:c r="F46" s="192" t="str">
        <x:v>Collaborative planning</x:v>
      </x:c>
      <x:c r="G46" s="192" t="str">
        <x:v>A client says the therapist’s proposed goal is not important to them. What should the LMFT do?</x:v>
      </x:c>
      <x:c r="H46" s="192" t="str">
        <x:v>LMFT-MQB-FB-CP-004</x:v>
      </x:c>
      <x:c r="I46" s="192" t="str">
        <x:v>CTA-LMFT-MQB-0360</x:v>
      </x:c>
      <x:c r="J46" s="192" t="str">
        <x:v>Form B</x:v>
      </x:c>
      <x:c r="K46" s="192" t="str">
        <x:v>Collaborative planning</x:v>
      </x:c>
      <x:c r="L46" s="192" t="str">
        <x:v>An LMFT recommends reducing family conflict, but the client wants to focus first on returning to work. What is the best planning response?</x:v>
      </x:c>
      <x:c r="M46" s="192" t="str">
        <x:v>Alternate Form</x:v>
      </x:c>
      <x:c r="N46" s="194" t="str">
        <x:v>Keep on separate forms; review both items together before any future revision, option movement, or reuse.</x:v>
      </x:c>
    </x:row>
    <x:row r="47">
      <x:c r="A47" s="191" t="str">
        <x:v>LMFT-ALT-046</x:v>
      </x:c>
      <x:c r="B47" s="218" t="n">
        <x:v>0.8202625230703513</x:v>
      </x:c>
      <x:c r="C47" s="192" t="str">
        <x:v>LMFT-MQB-FA-CP-005</x:v>
      </x:c>
      <x:c r="D47" s="192" t="str">
        <x:v>CTA-LMFT-MQB-0291</x:v>
      </x:c>
      <x:c r="E47" s="192" t="str">
        <x:v>Form A</x:v>
      </x:c>
      <x:c r="F47" s="192" t="str">
        <x:v>Modality selection</x:v>
      </x:c>
      <x:c r="G47" s="192" t="str">
        <x:v>A child’s anxiety is maintained by escalating parental conflict and inconsistent reassurance. Which modality is MOST directly matched to the formulation?</x:v>
      </x:c>
      <x:c r="H47" s="192" t="str">
        <x:v>LMFT-MQB-FB-CP-005</x:v>
      </x:c>
      <x:c r="I47" s="192" t="str">
        <x:v>CTA-LMFT-MQB-0461</x:v>
      </x:c>
      <x:c r="J47" s="192" t="str">
        <x:v>Form B</x:v>
      </x:c>
      <x:c r="K47" s="192" t="str">
        <x:v>Modality selection</x:v>
      </x:c>
      <x:c r="L47" s="192" t="str">
        <x:v>A child’s bedtime anxiety intensifies when caregivers disagree and provide inconsistent reassurance. Which treatment format best matches this formulation?</x:v>
      </x:c>
      <x:c r="M47" s="192" t="str">
        <x:v>Alternate Form</x:v>
      </x:c>
      <x:c r="N47" s="194" t="str">
        <x:v>Keep on separate forms; review both items together before any future revision, option movement, or reuse.</x:v>
      </x:c>
    </x:row>
    <x:row r="48">
      <x:c r="A48" s="191" t="str">
        <x:v>LMFT-ALT-047</x:v>
      </x:c>
      <x:c r="B48" s="218" t="n">
        <x:v>0.7288039308602214</x:v>
      </x:c>
      <x:c r="C48" s="192" t="str">
        <x:v>LMFT-MQB-FA-CP-006</x:v>
      </x:c>
      <x:c r="D48" s="192" t="str">
        <x:v>CTA-LMFT-MQB-0344</x:v>
      </x:c>
      <x:c r="E48" s="192" t="str">
        <x:v>Form A</x:v>
      </x:c>
      <x:c r="F48" s="192" t="str">
        <x:v>Outcome monitoring</x:v>
      </x:c>
      <x:c r="G48" s="192" t="str">
        <x:v>A client’s symptom score improves, but work attendance and relationship functioning do not. What should the LMFT conclude?</x:v>
      </x:c>
      <x:c r="H48" s="192" t="str">
        <x:v>LMFT-MQB-FB-CP-006</x:v>
      </x:c>
      <x:c r="I48" s="192" t="str">
        <x:v>CTA-LMFT-MQB-0460</x:v>
      </x:c>
      <x:c r="J48" s="192" t="str">
        <x:v>Form B</x:v>
      </x:c>
      <x:c r="K48" s="192" t="str">
        <x:v>Outcome monitoring</x:v>
      </x:c>
      <x:c r="L48" s="192" t="str">
        <x:v>A client reports fewer panic symptoms, yet continues missing work and avoiding family activities. How should the therapist interpret the outcome data?</x:v>
      </x:c>
      <x:c r="M48" s="192" t="str">
        <x:v>Alternate Form</x:v>
      </x:c>
      <x:c r="N48" s="194" t="str">
        <x:v>Keep on separate forms; review both items together before any future revision, option movement, or reuse.</x:v>
      </x:c>
    </x:row>
    <x:row r="49">
      <x:c r="A49" s="191" t="str">
        <x:v>LMFT-ALT-048</x:v>
      </x:c>
      <x:c r="B49" s="218" t="n">
        <x:v>0.8264936342571721</x:v>
      </x:c>
      <x:c r="C49" s="192" t="str">
        <x:v>LMFT-MQB-FA-CP-007</x:v>
      </x:c>
      <x:c r="D49" s="192" t="str">
        <x:v>CTA-LMFT-MQB-0354</x:v>
      </x:c>
      <x:c r="E49" s="192" t="str">
        <x:v>Form A</x:v>
      </x:c>
      <x:c r="F49" s="192" t="str">
        <x:v>Theory-informed planning</x:v>
      </x:c>
      <x:c r="G49" s="192" t="str">
        <x:v>A therapist conceptualizes a couple’s distress as a pursue-withdraw attachment cycle. Which plan is MOST coherent?</x:v>
      </x:c>
      <x:c r="H49" s="192" t="str">
        <x:v>LMFT-MQB-FB-CP-007</x:v>
      </x:c>
      <x:c r="I49" s="192" t="str">
        <x:v>CTA-LMFT-MQB-0498</x:v>
      </x:c>
      <x:c r="J49" s="192" t="str">
        <x:v>Form B</x:v>
      </x:c>
      <x:c r="K49" s="192" t="str">
        <x:v>Theory-informed planning</x:v>
      </x:c>
      <x:c r="L49" s="192" t="str">
        <x:v>An LMFT understands a couple’s distress as a recurring attachment protest followed by emotional withdrawal. Which plan is most consistent with that formulation?</x:v>
      </x:c>
      <x:c r="M49" s="192" t="str">
        <x:v>Alternate Form</x:v>
      </x:c>
      <x:c r="N49" s="194" t="str">
        <x:v>Keep on separate forms; review both items together before any future revision, option movement, or reuse.</x:v>
      </x:c>
    </x:row>
    <x:row r="50">
      <x:c r="A50" s="191" t="str">
        <x:v>LMFT-ALT-049</x:v>
      </x:c>
      <x:c r="B50" s="218" t="n">
        <x:v>0.8154326564863795</x:v>
      </x:c>
      <x:c r="C50" s="192" t="str">
        <x:v>LMFT-MQB-FA-CP-008</x:v>
      </x:c>
      <x:c r="D50" s="192" t="str">
        <x:v>CTA-LMFT-MQB-0312</x:v>
      </x:c>
      <x:c r="E50" s="192" t="str">
        <x:v>Form A</x:v>
      </x:c>
      <x:c r="F50" s="192" t="str">
        <x:v>Third-party constraints</x:v>
      </x:c>
      <x:c r="G50" s="192" t="str">
        <x:v>A managed-care authorization covers brief treatment, while the client’s needs appear more complex. What should the LMFT do?</x:v>
      </x:c>
      <x:c r="H50" s="192" t="str">
        <x:v>LMFT-MQB-FB-CP-008</x:v>
      </x:c>
      <x:c r="I50" s="192" t="str">
        <x:v>CTA-LMFT-MQB-0487</x:v>
      </x:c>
      <x:c r="J50" s="192" t="str">
        <x:v>Form B</x:v>
      </x:c>
      <x:c r="K50" s="192" t="str">
        <x:v>Third-party constraints</x:v>
      </x:c>
      <x:c r="L50" s="192" t="str">
        <x:v>An insurer authorizes eight sessions, but assessment suggests the client may require longer and more intensive care. What should the LMFT include in the plan?</x:v>
      </x:c>
      <x:c r="M50" s="192" t="str">
        <x:v>Alternate Form</x:v>
      </x:c>
      <x:c r="N50" s="194" t="str">
        <x:v>Keep on separate forms; review both items together before any future revision, option movement, or reuse.</x:v>
      </x:c>
    </x:row>
    <x:row r="51">
      <x:c r="A51" s="191" t="str">
        <x:v>LMFT-ALT-050</x:v>
      </x:c>
      <x:c r="B51" s="218" t="n">
        <x:v>0.8570362361985533</x:v>
      </x:c>
      <x:c r="C51" s="192" t="str">
        <x:v>LMFT-MQB-FA-CP-009</x:v>
      </x:c>
      <x:c r="D51" s="192" t="str">
        <x:v>CTA-LMFT-MQB-0206</x:v>
      </x:c>
      <x:c r="E51" s="192" t="str">
        <x:v>Form A</x:v>
      </x:c>
      <x:c r="F51" s="192" t="str">
        <x:v>Level of care</x:v>
      </x:c>
      <x:c r="G51" s="192" t="str">
        <x:v>A client with repeated self-harm, unstable housing, and inability to use an outpatient safety plan requests weekly therapy only. What is the BEST planning response?</x:v>
      </x:c>
      <x:c r="H51" s="192" t="str">
        <x:v>LMFT-MQB-FB-CP-009</x:v>
      </x:c>
      <x:c r="I51" s="192" t="str">
        <x:v>CTA-LMFT-MQB-0434</x:v>
      </x:c>
      <x:c r="J51" s="192" t="str">
        <x:v>Form B</x:v>
      </x:c>
      <x:c r="K51" s="192" t="str">
        <x:v>Level of care</x:v>
      </x:c>
      <x:c r="L51" s="192" t="str">
        <x:v>A client with repeated suicide attempts, no stable housing, and poor follow-through requests ordinary weekly outpatient therapy. What planning response best addresses the mismatch?</x:v>
      </x:c>
      <x:c r="M51" s="192" t="str">
        <x:v>Alternate Form</x:v>
      </x:c>
      <x:c r="N51" s="194" t="str">
        <x:v>Keep on separate forms; review both items together before any future revision, option movement, or reuse.</x:v>
      </x:c>
    </x:row>
    <x:row r="52">
      <x:c r="A52" s="191" t="str">
        <x:v>LMFT-ALT-051</x:v>
      </x:c>
      <x:c r="B52" s="218" t="n">
        <x:v>0.7876978577164543</x:v>
      </x:c>
      <x:c r="C52" s="192" t="str">
        <x:v>LMFT-MQB-FA-CP-010</x:v>
      </x:c>
      <x:c r="D52" s="192" t="str">
        <x:v>CTA-LMFT-MQB-0297</x:v>
      </x:c>
      <x:c r="E52" s="192" t="str">
        <x:v>Form A</x:v>
      </x:c>
      <x:c r="F52" s="192" t="str">
        <x:v>Initial plan after assessment</x:v>
      </x:c>
      <x:c r="G52" s="192" t="str">
        <x:v>After assessment identifies moderate depression, relationship strain, and no acute risk, what should the LMFT do NEXT?</x:v>
      </x:c>
      <x:c r="H52" s="192" t="str">
        <x:v>LMFT-MQB-FB-CP-010</x:v>
      </x:c>
      <x:c r="I52" s="192" t="str">
        <x:v>CTA-LMFT-MQB-0355</x:v>
      </x:c>
      <x:c r="J52" s="192" t="str">
        <x:v>Form B</x:v>
      </x:c>
      <x:c r="K52" s="192" t="str">
        <x:v>Initial plan after assessment</x:v>
      </x:c>
      <x:c r="L52" s="192" t="str">
        <x:v>Assessment is complete, acute danger is absent, and the client and therapist agree on the main maintaining factors. What should happen next?</x:v>
      </x:c>
      <x:c r="M52" s="192" t="str">
        <x:v>Alternate Form</x:v>
      </x:c>
      <x:c r="N52" s="194" t="str">
        <x:v>Keep on separate forms; review both items together before any future revision, option movement, or reuse.</x:v>
      </x:c>
    </x:row>
    <x:row r="53">
      <x:c r="A53" s="191" t="str">
        <x:v>LMFT-ALT-052</x:v>
      </x:c>
      <x:c r="B53" s="218" t="n">
        <x:v>0.7947959842295399</x:v>
      </x:c>
      <x:c r="C53" s="192" t="str">
        <x:v>LMFT-MQB-FA-CP-011</x:v>
      </x:c>
      <x:c r="D53" s="192" t="str">
        <x:v>CTA-LMFT-MQB-0228</x:v>
      </x:c>
      <x:c r="E53" s="192" t="str">
        <x:v>Form A</x:v>
      </x:c>
      <x:c r="F53" s="192" t="str">
        <x:v>No progress after initial treatment</x:v>
      </x:c>
      <x:c r="G53" s="192" t="str">
        <x:v>A couple attends regularly but reports no improvement after six sessions of skills training. What should the LMFT do NEXT?</x:v>
      </x:c>
      <x:c r="H53" s="192" t="str">
        <x:v>LMFT-MQB-FB-CP-011</x:v>
      </x:c>
      <x:c r="I53" s="192" t="str">
        <x:v>CTA-LMFT-MQB-0494</x:v>
      </x:c>
      <x:c r="J53" s="192" t="str">
        <x:v>Form B</x:v>
      </x:c>
      <x:c r="K53" s="192" t="str">
        <x:v>No progress after initial treatment</x:v>
      </x:c>
      <x:c r="L53" s="192" t="str">
        <x:v>After several weeks of an agreed intervention, measurable goals remain unchanged and the couple says sessions feel repetitive. What should the therapist do next?</x:v>
      </x:c>
      <x:c r="M53" s="192" t="str">
        <x:v>Alternate Form</x:v>
      </x:c>
      <x:c r="N53" s="194" t="str">
        <x:v>Keep on separate forms; review both items together before any future revision, option movement, or reuse.</x:v>
      </x:c>
    </x:row>
    <x:row r="54">
      <x:c r="A54" s="191" t="str">
        <x:v>LMFT-ALT-053</x:v>
      </x:c>
      <x:c r="B54" s="218" t="n">
        <x:v>0.7951067650036826</x:v>
      </x:c>
      <x:c r="C54" s="192" t="str">
        <x:v>LMFT-MQB-FA-CP-012</x:v>
      </x:c>
      <x:c r="D54" s="192" t="str">
        <x:v>CTA-LMFT-MQB-0251</x:v>
      </x:c>
      <x:c r="E54" s="192" t="str">
        <x:v>Form A</x:v>
      </x:c>
      <x:c r="F54" s="192" t="str">
        <x:v>Parent-child goal conflict</x:v>
      </x:c>
      <x:c r="G54" s="192" t="str">
        <x:v>Parents want a teenager to become more obedient, while the teenager wants help with panic at school. What should the LMFT do NEXT?</x:v>
      </x:c>
      <x:c r="H54" s="192" t="str">
        <x:v>LMFT-MQB-FB-CP-012</x:v>
      </x:c>
      <x:c r="I54" s="192" t="str">
        <x:v>CTA-LMFT-MQB-0467</x:v>
      </x:c>
      <x:c r="J54" s="192" t="str">
        <x:v>Form B</x:v>
      </x:c>
      <x:c r="K54" s="192" t="str">
        <x:v>Parent-child goal conflict</x:v>
      </x:c>
      <x:c r="L54" s="192" t="str">
        <x:v>Caregivers seek treatment for “defiance,” while the adolescent asks for help with severe social anxiety. What should the LMFT do before finalizing goals?</x:v>
      </x:c>
      <x:c r="M54" s="192" t="str">
        <x:v>Alternate Form</x:v>
      </x:c>
      <x:c r="N54" s="194" t="str">
        <x:v>Keep on separate forms; review both items together before any future revision, option movement, or reuse.</x:v>
      </x:c>
    </x:row>
    <x:row r="55">
      <x:c r="A55" s="191" t="str">
        <x:v>LMFT-ALT-054</x:v>
      </x:c>
      <x:c r="B55" s="218" t="n">
        <x:v>0.7734052874169609</x:v>
      </x:c>
      <x:c r="C55" s="192" t="str">
        <x:v>LMFT-MQB-FA-CP-013</x:v>
      </x:c>
      <x:c r="D55" s="192" t="str">
        <x:v>CTA-LMFT-MQB-0236</x:v>
      </x:c>
      <x:c r="E55" s="192" t="str">
        <x:v>Form A</x:v>
      </x:c>
      <x:c r="F55" s="192" t="str">
        <x:v>Termination planning</x:v>
      </x:c>
      <x:c r="G55" s="192" t="str">
        <x:v>A client has met goals and maintained gains for several months but becomes anxious when termination is discussed. What should the LMFT do NEXT?</x:v>
      </x:c>
      <x:c r="H55" s="192" t="str">
        <x:v>LMFT-MQB-FB-CP-013</x:v>
      </x:c>
      <x:c r="I55" s="192" t="str">
        <x:v>CTA-LMFT-MQB-0431</x:v>
      </x:c>
      <x:c r="J55" s="192" t="str">
        <x:v>Form B</x:v>
      </x:c>
      <x:c r="K55" s="192" t="str">
        <x:v>Termination planning</x:v>
      </x:c>
      <x:c r="L55" s="192" t="str">
        <x:v>A client has sustained improvement and no longer needs weekly care but becomes distressed when step-down is proposed. What is the next planning task?</x:v>
      </x:c>
      <x:c r="M55" s="192" t="str">
        <x:v>Alternate Form</x:v>
      </x:c>
      <x:c r="N55" s="194" t="str">
        <x:v>Keep on separate forms; review both items together before any future revision, option movement, or reuse.</x:v>
      </x:c>
    </x:row>
    <x:row r="56">
      <x:c r="A56" s="191" t="str">
        <x:v>LMFT-ALT-055</x:v>
      </x:c>
      <x:c r="B56" s="218" t="n">
        <x:v>0.831685051577563</x:v>
      </x:c>
      <x:c r="C56" s="192" t="str">
        <x:v>LMFT-MQB-FA-CP-014</x:v>
      </x:c>
      <x:c r="D56" s="192" t="str">
        <x:v>CTA-LMFT-MQB-0290</x:v>
      </x:c>
      <x:c r="E56" s="192" t="str">
        <x:v>Form A</x:v>
      </x:c>
      <x:c r="F56" s="192" t="str">
        <x:v>Group planning and fit</x:v>
      </x:c>
      <x:c r="G56" s="192" t="str">
        <x:v>A therapist is designing a grief group for adults with recent losses. What should be done BEFORE finalizing membership?</x:v>
      </x:c>
      <x:c r="H56" s="192" t="str">
        <x:v>LMFT-MQB-FB-CP-014</x:v>
      </x:c>
      <x:c r="I56" s="192" t="str">
        <x:v>CTA-LMFT-MQB-0407</x:v>
      </x:c>
      <x:c r="J56" s="192" t="str">
        <x:v>Form B</x:v>
      </x:c>
      <x:c r="K56" s="192" t="str">
        <x:v>Group planning and fit</x:v>
      </x:c>
      <x:c r="L56" s="192" t="str">
        <x:v>Before admitting members to a new trauma-recovery group, what should the therapist establish?</x:v>
      </x:c>
      <x:c r="M56" s="192" t="str">
        <x:v>Alternate Form</x:v>
      </x:c>
      <x:c r="N56" s="194" t="str">
        <x:v>Keep on separate forms; review both items together before any future revision, option movement, or reuse.</x:v>
      </x:c>
    </x:row>
    <x:row r="57">
      <x:c r="A57" s="191" t="str">
        <x:v>LMFT-ALT-056</x:v>
      </x:c>
      <x:c r="B57" s="218" t="n">
        <x:v>0.8199248683008885</x:v>
      </x:c>
      <x:c r="C57" s="192" t="str">
        <x:v>LMFT-MQB-FA-CP-015</x:v>
      </x:c>
      <x:c r="D57" s="192" t="str">
        <x:v>CTA-LMFT-MQB-0248</x:v>
      </x:c>
      <x:c r="E57" s="192" t="str">
        <x:v>Form A</x:v>
      </x:c>
      <x:c r="F57" s="192" t="str">
        <x:v>Plan under uncertain diagnosis</x:v>
      </x:c>
      <x:c r="G57" s="192" t="str">
        <x:v>A client has severe symptoms, but medical and substance rule-outs are still pending. What is the BEST planning approach?</x:v>
      </x:c>
      <x:c r="H57" s="192" t="str">
        <x:v>LMFT-MQB-FB-CP-015</x:v>
      </x:c>
      <x:c r="I57" s="192" t="str">
        <x:v>CTA-LMFT-MQB-0448</x:v>
      </x:c>
      <x:c r="J57" s="192" t="str">
        <x:v>Form B</x:v>
      </x:c>
      <x:c r="K57" s="192" t="str">
        <x:v>Plan under uncertain diagnosis</x:v>
      </x:c>
      <x:c r="L57" s="192" t="str">
        <x:v>A client is significantly impaired, but laboratory results and substance-use information needed for diagnosis are incomplete. What is the safest treatment-planning approach?</x:v>
      </x:c>
      <x:c r="M57" s="192" t="str">
        <x:v>Alternate Form</x:v>
      </x:c>
      <x:c r="N57" s="194" t="str">
        <x:v>Keep on separate forms; review both items together before any future revision, option movement, or reuse.</x:v>
      </x:c>
    </x:row>
    <x:row r="58">
      <x:c r="A58" s="191" t="str">
        <x:v>LMFT-ALT-057</x:v>
      </x:c>
      <x:c r="B58" s="218" t="n">
        <x:v>0.8827707821100693</x:v>
      </x:c>
      <x:c r="C58" s="192" t="str">
        <x:v>LMFT-MQB-FA-CP-016</x:v>
      </x:c>
      <x:c r="D58" s="192" t="str">
        <x:v>CTA-LMFT-MQB-0343</x:v>
      </x:c>
      <x:c r="E58" s="192" t="str">
        <x:v>Form A</x:v>
      </x:c>
      <x:c r="F58" s="192" t="str">
        <x:v>Competing systems and treatment goals</x:v>
      </x:c>
      <x:c r="G58" s="192" t="str">
        <x:v>A child’s school, divorced parents, and pediatrician each request different treatment priorities. What should the LMFT do FIRST?</x:v>
      </x:c>
      <x:c r="H58" s="192" t="str">
        <x:v>LMFT-MQB-FB-CP-016</x:v>
      </x:c>
      <x:c r="I58" s="192" t="str">
        <x:v>CTA-LMFT-MQB-0493</x:v>
      </x:c>
      <x:c r="J58" s="192" t="str">
        <x:v>Form B</x:v>
      </x:c>
      <x:c r="K58" s="192" t="str">
        <x:v>Competing systems and treatment goals</x:v>
      </x:c>
      <x:c r="L58" s="192" t="str">
        <x:v>A school, pediatrician, and two separated caregivers send incompatible requests for a child’s treatment. What should the LMFT clarify first?</x:v>
      </x:c>
      <x:c r="M58" s="192" t="str">
        <x:v>Alternate Form</x:v>
      </x:c>
      <x:c r="N58" s="194" t="str">
        <x:v>Keep on separate forms; review both items together before any future revision, option movement, or reuse.</x:v>
      </x:c>
    </x:row>
    <x:row r="59">
      <x:c r="A59" s="191" t="str">
        <x:v>LMFT-ALT-058</x:v>
      </x:c>
      <x:c r="B59" s="218" t="n">
        <x:v>0.7823841113773596</x:v>
      </x:c>
      <x:c r="C59" s="192" t="str">
        <x:v>LMFT-MQB-FA-CP-017</x:v>
      </x:c>
      <x:c r="D59" s="192" t="str">
        <x:v>CTA-LMFT-MQB-0341</x:v>
      </x:c>
      <x:c r="E59" s="192" t="str">
        <x:v>Form A</x:v>
      </x:c>
      <x:c r="F59" s="192" t="str">
        <x:v>Systemic plan with measurable outcomes</x:v>
      </x:c>
      <x:c r="G59" s="192" t="str">
        <x:v>A family’s adolescent conflict escalates when parents disagree in front of the child, and the child then threatens school refusal. Which plan is BEST?</x:v>
      </x:c>
      <x:c r="H59" s="192" t="str">
        <x:v>LMFT-MQB-FB-CP-017</x:v>
      </x:c>
      <x:c r="I59" s="192" t="str">
        <x:v>CTA-LMFT-MQB-0366</x:v>
      </x:c>
      <x:c r="J59" s="192" t="str">
        <x:v>Form B</x:v>
      </x:c>
      <x:c r="K59" s="192" t="str">
        <x:v>Systemic plan with measurable outcomes</x:v>
      </x:c>
      <x:c r="L59" s="192" t="str">
        <x:v>A teenager threatens to skip school whenever caregivers begin blaming each other. Which plan best links safety, family interaction, and measurable outcomes?</x:v>
      </x:c>
      <x:c r="M59" s="192" t="str">
        <x:v>Alternate Form</x:v>
      </x:c>
      <x:c r="N59" s="194" t="str">
        <x:v>Keep on separate forms; review both items together before any future revision, option movement, or reuse.</x:v>
      </x:c>
    </x:row>
    <x:row r="60">
      <x:c r="A60" s="191" t="str">
        <x:v>LMFT-ALT-059</x:v>
      </x:c>
      <x:c r="B60" s="218" t="n">
        <x:v>0.8532871882412805</x:v>
      </x:c>
      <x:c r="C60" s="192" t="str">
        <x:v>LMFT-MQB-FA-CP-018</x:v>
      </x:c>
      <x:c r="D60" s="192" t="str">
        <x:v>CTA-LMFT-MQB-0286</x:v>
      </x:c>
      <x:c r="E60" s="192" t="str">
        <x:v>Form A</x:v>
      </x:c>
      <x:c r="F60" s="192" t="str">
        <x:v>Planning with trauma and coercion</x:v>
      </x:c>
      <x:c r="G60" s="192" t="str">
        <x:v>A couple requests intimacy treatment, but assessment reveals coercive control, recent sexual violence, and one partner’s fear of retaliation. What is the BEST plan?</x:v>
      </x:c>
      <x:c r="H60" s="192" t="str">
        <x:v>LMFT-MQB-FB-CP-018</x:v>
      </x:c>
      <x:c r="I60" s="192" t="str">
        <x:v>CTA-LMFT-MQB-0476</x:v>
      </x:c>
      <x:c r="J60" s="192" t="str">
        <x:v>Form B</x:v>
      </x:c>
      <x:c r="K60" s="192" t="str">
        <x:v>Planning with trauma and coercion</x:v>
      </x:c>
      <x:c r="L60" s="192" t="str">
        <x:v>Partners request sexual reconnection work, but one partner privately reports coercion and fear of retaliation. What should the therapist’s plan prioritize?</x:v>
      </x:c>
      <x:c r="M60" s="192" t="str">
        <x:v>Alternate Form</x:v>
      </x:c>
      <x:c r="N60" s="194" t="str">
        <x:v>Keep on separate forms; review both items together before any future revision, option movement, or reuse.</x:v>
      </x:c>
    </x:row>
    <x:row r="61">
      <x:c r="A61" s="191" t="str">
        <x:v>LMFT-ALT-060</x:v>
      </x:c>
      <x:c r="B61" s="218" t="n">
        <x:v>0.7818058686153908</x:v>
      </x:c>
      <x:c r="C61" s="192" t="str">
        <x:v>LMFT-MQB-FA-CR-001</x:v>
      </x:c>
      <x:c r="D61" s="192" t="str">
        <x:v>CTA-LMFT-MQB-0265</x:v>
      </x:c>
      <x:c r="E61" s="192" t="str">
        <x:v>Form A</x:v>
      </x:c>
      <x:c r="F61" s="192" t="str">
        <x:v>Crisis priority</x:v>
      </x:c>
      <x:c r="G61" s="192" t="str">
        <x:v>In a crisis vignette, what generally takes priority over routine exploration and interpretation?</x:v>
      </x:c>
      <x:c r="H61" s="192" t="str">
        <x:v>LMFT-MQB-FB-CR-001</x:v>
      </x:c>
      <x:c r="I61" s="192" t="str">
        <x:v>CTA-LMFT-MQB-0454</x:v>
      </x:c>
      <x:c r="J61" s="192" t="str">
        <x:v>Form B</x:v>
      </x:c>
      <x:c r="K61" s="192" t="str">
        <x:v>Crisis priority</x:v>
      </x:c>
      <x:c r="L61" s="192" t="str">
        <x:v>When a client presents with rapidly escalating danger, which clinical objective generally comes before insight work, routine goal review, or interpretation?</x:v>
      </x:c>
      <x:c r="M61" s="192" t="str">
        <x:v>Alternate Form</x:v>
      </x:c>
      <x:c r="N61" s="194" t="str">
        <x:v>Keep on separate forms; review both items together before any future revision, option movement, or reuse.</x:v>
      </x:c>
    </x:row>
    <x:row r="62">
      <x:c r="A62" s="191" t="str">
        <x:v>LMFT-ALT-061</x:v>
      </x:c>
      <x:c r="B62" s="218" t="n">
        <x:v>0.8491479153320826</x:v>
      </x:c>
      <x:c r="C62" s="192" t="str">
        <x:v>LMFT-MQB-FA-CR-002</x:v>
      </x:c>
      <x:c r="D62" s="192" t="str">
        <x:v>CTA-LMFT-MQB-0225</x:v>
      </x:c>
      <x:c r="E62" s="192" t="str">
        <x:v>Form A</x:v>
      </x:c>
      <x:c r="F62" s="192" t="str">
        <x:v>Safety planning</x:v>
      </x:c>
      <x:c r="G62" s="192" t="str">
        <x:v>A client with recurring suicidal thoughts asks what a written safety plan should contain. Which plan is MOST clinically useful?</x:v>
      </x:c>
      <x:c r="H62" s="192" t="str">
        <x:v>LMFT-MQB-FB-CR-002</x:v>
      </x:c>
      <x:c r="I62" s="192" t="str">
        <x:v>CTA-LMFT-MQB-0432</x:v>
      </x:c>
      <x:c r="J62" s="192" t="str">
        <x:v>Form B</x:v>
      </x:c>
      <x:c r="K62" s="192" t="str">
        <x:v>Safety planning</x:v>
      </x:c>
      <x:c r="L62" s="192" t="str">
        <x:v>A client with intermittent suicidal urges agrees to create a written plan for use outside sessions. Which set of elements would make the plan most actionable?</x:v>
      </x:c>
      <x:c r="M62" s="192" t="str">
        <x:v>Alternate Form</x:v>
      </x:c>
      <x:c r="N62" s="194" t="str">
        <x:v>Keep on separate forms; review both items together before any future revision, option movement, or reuse.</x:v>
      </x:c>
    </x:row>
    <x:row r="63">
      <x:c r="A63" s="191" t="str">
        <x:v>LMFT-ALT-062</x:v>
      </x:c>
      <x:c r="B63" s="218" t="n">
        <x:v>0.8496976483997278</x:v>
      </x:c>
      <x:c r="C63" s="192" t="str">
        <x:v>LMFT-MQB-FA-CR-003</x:v>
      </x:c>
      <x:c r="D63" s="192" t="str">
        <x:v>CTA-LMFT-MQB-0298</x:v>
      </x:c>
      <x:c r="E63" s="192" t="str">
        <x:v>Form A</x:v>
      </x:c>
      <x:c r="F63" s="192" t="str">
        <x:v>Emergency documentation</x:v>
      </x:c>
      <x:c r="G63" s="192" t="str">
        <x:v>After arranging an emergency evaluation, what should the LMFT document?</x:v>
      </x:c>
      <x:c r="H63" s="192" t="str">
        <x:v>LMFT-MQB-FB-CR-003</x:v>
      </x:c>
      <x:c r="I63" s="192" t="str">
        <x:v>CTA-LMFT-MQB-0457</x:v>
      </x:c>
      <x:c r="J63" s="192" t="str">
        <x:v>Form B</x:v>
      </x:c>
      <x:c r="K63" s="192" t="str">
        <x:v>Emergency documentation</x:v>
      </x:c>
      <x:c r="L63" s="192" t="str">
        <x:v>An LMFT consults with a supervisor and sends a client for emergency psychiatric evaluation. What information belongs in the clinical record?</x:v>
      </x:c>
      <x:c r="M63" s="192" t="str">
        <x:v>Alternate Form</x:v>
      </x:c>
      <x:c r="N63" s="194" t="str">
        <x:v>Keep on separate forms; review both items together before any future revision, option movement, or reuse.</x:v>
      </x:c>
    </x:row>
    <x:row r="64">
      <x:c r="A64" s="191" t="str">
        <x:v>LMFT-ALT-063</x:v>
      </x:c>
      <x:c r="B64" s="218" t="n">
        <x:v>0.8685596084796591</x:v>
      </x:c>
      <x:c r="C64" s="192" t="str">
        <x:v>LMFT-MQB-FA-CR-004</x:v>
      </x:c>
      <x:c r="D64" s="192" t="str">
        <x:v>CTA-LMFT-MQB-0273</x:v>
      </x:c>
      <x:c r="E64" s="192" t="str">
        <x:v>Form A</x:v>
      </x:c>
      <x:c r="F64" s="192" t="str">
        <x:v>Means safety</x:v>
      </x:c>
      <x:c r="G64" s="192" t="str">
        <x:v>A client with suicidal ideation has access to an unsecured firearm but denies current intent. What should the LMFT do?</x:v>
      </x:c>
      <x:c r="H64" s="192" t="str">
        <x:v>LMFT-MQB-FB-CR-004</x:v>
      </x:c>
      <x:c r="I64" s="192" t="str">
        <x:v>CTA-LMFT-MQB-0423</x:v>
      </x:c>
      <x:c r="J64" s="192" t="str">
        <x:v>Form B</x:v>
      </x:c>
      <x:c r="K64" s="192" t="str">
        <x:v>Means safety</x:v>
      </x:c>
      <x:c r="L64" s="192" t="str">
        <x:v>A depressed client denies a current plan but keeps a loaded firearm beside the bed and has become increasingly isolated. What should the therapist do?</x:v>
      </x:c>
      <x:c r="M64" s="192" t="str">
        <x:v>Alternate Form</x:v>
      </x:c>
      <x:c r="N64" s="194" t="str">
        <x:v>Keep on separate forms; review both items together before any future revision, option movement, or reuse.</x:v>
      </x:c>
    </x:row>
    <x:row r="65">
      <x:c r="A65" s="191" t="str">
        <x:v>LMFT-ALT-064</x:v>
      </x:c>
      <x:c r="B65" s="218" t="n">
        <x:v>0.7864827768126086</x:v>
      </x:c>
      <x:c r="C65" s="192" t="str">
        <x:v>LMFT-MQB-FA-CR-005</x:v>
      </x:c>
      <x:c r="D65" s="192" t="str">
        <x:v>CTA-LMFT-MQB-0205</x:v>
      </x:c>
      <x:c r="E65" s="192" t="str">
        <x:v>Form A</x:v>
      </x:c>
      <x:c r="F65" s="192" t="str">
        <x:v>Domestic violence response</x:v>
      </x:c>
      <x:c r="G65" s="192" t="str">
        <x:v>A client discloses escalating partner violence but is not ready to leave. What is the BEST response?</x:v>
      </x:c>
      <x:c r="H65" s="192" t="str">
        <x:v>LMFT-MQB-FB-CR-005</x:v>
      </x:c>
      <x:c r="I65" s="192" t="str">
        <x:v>CTA-LMFT-MQB-0481</x:v>
      </x:c>
      <x:c r="J65" s="192" t="str">
        <x:v>Form B</x:v>
      </x:c>
      <x:c r="K65" s="192" t="str">
        <x:v>Domestic violence response</x:v>
      </x:c>
      <x:c r="L65" s="192" t="str">
        <x:v>A client says a partner has begun strangling, stalking, and controlling money, but the client is ambivalent about ending the relationship. What is the best therapeutic response?</x:v>
      </x:c>
      <x:c r="M65" s="192" t="str">
        <x:v>Alternate Form</x:v>
      </x:c>
      <x:c r="N65" s="194" t="str">
        <x:v>Keep on separate forms; review both items together before any future revision, option movement, or reuse.</x:v>
      </x:c>
    </x:row>
    <x:row r="66">
      <x:c r="A66" s="191" t="str">
        <x:v>LMFT-ALT-065</x:v>
      </x:c>
      <x:c r="B66" s="218" t="n">
        <x:v>0.81599464123267</x:v>
      </x:c>
      <x:c r="C66" s="192" t="str">
        <x:v>LMFT-MQB-FA-CR-006</x:v>
      </x:c>
      <x:c r="D66" s="192" t="str">
        <x:v>CTA-LMFT-MQB-0302</x:v>
      </x:c>
      <x:c r="E66" s="192" t="str">
        <x:v>Form A</x:v>
      </x:c>
      <x:c r="F66" s="192" t="str">
        <x:v>Direct suicide inquiry</x:v>
      </x:c>
      <x:c r="G66" s="192" t="str">
        <x:v>A client says, “Everyone would be better off without me.” What should the LMFT do FIRST?</x:v>
      </x:c>
      <x:c r="H66" s="192" t="str">
        <x:v>LMFT-MQB-FB-CR-006</x:v>
      </x:c>
      <x:c r="I66" s="192" t="str">
        <x:v>CTA-LMFT-MQB-0412</x:v>
      </x:c>
      <x:c r="J66" s="192" t="str">
        <x:v>Form B</x:v>
      </x:c>
      <x:c r="K66" s="192" t="str">
        <x:v>Direct suicide inquiry</x:v>
      </x:c>
      <x:c r="L66" s="192" t="str">
        <x:v>Near the end of session, a client says, “Soon none of this will be my problem.” What should the therapist ask first?</x:v>
      </x:c>
      <x:c r="M66" s="192" t="str">
        <x:v>Alternate Form</x:v>
      </x:c>
      <x:c r="N66" s="194" t="str">
        <x:v>Keep on separate forms; review both items together before any future revision, option movement, or reuse.</x:v>
      </x:c>
    </x:row>
    <x:row r="67">
      <x:c r="A67" s="191" t="str">
        <x:v>LMFT-ALT-066</x:v>
      </x:c>
      <x:c r="B67" s="218" t="n">
        <x:v>0.7413993485703064</x:v>
      </x:c>
      <x:c r="C67" s="192" t="str">
        <x:v>LMFT-MQB-FA-CR-007</x:v>
      </x:c>
      <x:c r="D67" s="192" t="str">
        <x:v>CTA-LMFT-MQB-0249</x:v>
      </x:c>
      <x:c r="E67" s="192" t="str">
        <x:v>Form A</x:v>
      </x:c>
      <x:c r="F67" s="192" t="str">
        <x:v>Telehealth imminent risk</x:v>
      </x:c>
      <x:c r="G67" s="192" t="str">
        <x:v>During telehealth, a client states an intention to overdose tonight, has pills nearby, and stops responding. What should the LMFT do FIRST?</x:v>
      </x:c>
      <x:c r="H67" s="192" t="str">
        <x:v>LMFT-MQB-FB-CR-007</x:v>
      </x:c>
      <x:c r="I67" s="192" t="str">
        <x:v>CTA-LMFT-MQB-0468</x:v>
      </x:c>
      <x:c r="J67" s="192" t="str">
        <x:v>Form B</x:v>
      </x:c>
      <x:c r="K67" s="192" t="str">
        <x:v>Telehealth imminent risk</x:v>
      </x:c>
      <x:c r="L67" s="192" t="str">
        <x:v>In a video session, a client displays a bottle of pills, states an intention to take them, and abruptly disconnects. What is the LMFT’s first action?</x:v>
      </x:c>
      <x:c r="M67" s="192" t="str">
        <x:v>Alternate Form</x:v>
      </x:c>
      <x:c r="N67" s="194" t="str">
        <x:v>Keep on separate forms; review both items together before any future revision, option movement, or reuse.</x:v>
      </x:c>
    </x:row>
    <x:row r="68">
      <x:c r="A68" s="191" t="str">
        <x:v>LMFT-ALT-067</x:v>
      </x:c>
      <x:c r="B68" s="218" t="n">
        <x:v>0.7464335826592462</x:v>
      </x:c>
      <x:c r="C68" s="192" t="str">
        <x:v>LMFT-MQB-FA-CR-008</x:v>
      </x:c>
      <x:c r="D68" s="192" t="str">
        <x:v>CTA-LMFT-MQB-0211</x:v>
      </x:c>
      <x:c r="E68" s="192" t="str">
        <x:v>Form A</x:v>
      </x:c>
      <x:c r="F68" s="192" t="str">
        <x:v>Threat to identifiable person</x:v>
      </x:c>
      <x:c r="G68" s="192" t="str">
        <x:v>A client describes a specific plan to seriously harm a former supervisor and has obtained the supervisor’s work schedule. What should the LMFT do NEXT?</x:v>
      </x:c>
      <x:c r="H68" s="192" t="str">
        <x:v>LMFT-MQB-FB-CR-008</x:v>
      </x:c>
      <x:c r="I68" s="192" t="str">
        <x:v>CTA-LMFT-MQB-0361</x:v>
      </x:c>
      <x:c r="J68" s="192" t="str">
        <x:v>Form B</x:v>
      </x:c>
      <x:c r="K68" s="192" t="str">
        <x:v>Threat to identifiable person</x:v>
      </x:c>
      <x:c r="L68" s="192" t="str">
        <x:v>A client names a former partner, describes when the person will be alone, and says a weapon has already been obtained. What should the LMFT do next?</x:v>
      </x:c>
      <x:c r="M68" s="192" t="str">
        <x:v>Alternate Form</x:v>
      </x:c>
      <x:c r="N68" s="194" t="str">
        <x:v>Keep on separate forms; review both items together before any future revision, option movement, or reuse.</x:v>
      </x:c>
    </x:row>
    <x:row r="69">
      <x:c r="A69" s="191" t="str">
        <x:v>LMFT-ALT-068</x:v>
      </x:c>
      <x:c r="B69" s="218" t="n">
        <x:v>0.833394222394192</x:v>
      </x:c>
      <x:c r="C69" s="192" t="str">
        <x:v>LMFT-MQB-FA-CR-009</x:v>
      </x:c>
      <x:c r="D69" s="192" t="str">
        <x:v>CTA-LMFT-MQB-0332</x:v>
      </x:c>
      <x:c r="E69" s="192" t="str">
        <x:v>Form A</x:v>
      </x:c>
      <x:c r="F69" s="192" t="str">
        <x:v>Child abuse suspicion</x:v>
      </x:c>
      <x:c r="G69" s="192" t="str">
        <x:v>A child describes being hit with an object and shows patterned bruising. The caregiver says the child is exaggerating. What should the LMFT do NEXT?</x:v>
      </x:c>
      <x:c r="H69" s="192" t="str">
        <x:v>LMFT-MQB-FB-CR-009</x:v>
      </x:c>
      <x:c r="I69" s="192" t="str">
        <x:v>CTA-LMFT-MQB-0418</x:v>
      </x:c>
      <x:c r="J69" s="192" t="str">
        <x:v>Form B</x:v>
      </x:c>
      <x:c r="K69" s="192" t="str">
        <x:v>Child abuse suspicion</x:v>
      </x:c>
      <x:c r="L69" s="192" t="str">
        <x:v>A child reports being struck with a cord, and the therapist observes loop-shaped marks. The caregiver denies wrongdoing. What should the LMFT do next?</x:v>
      </x:c>
      <x:c r="M69" s="192" t="str">
        <x:v>Alternate Form</x:v>
      </x:c>
      <x:c r="N69" s="194" t="str">
        <x:v>Keep on separate forms; review both items together before any future revision, option movement, or reuse.</x:v>
      </x:c>
    </x:row>
    <x:row r="70">
      <x:c r="A70" s="191" t="str">
        <x:v>LMFT-ALT-069</x:v>
      </x:c>
      <x:c r="B70" s="218" t="n">
        <x:v>0.7605350928079523</x:v>
      </x:c>
      <x:c r="C70" s="192" t="str">
        <x:v>LMFT-MQB-FA-CR-010</x:v>
      </x:c>
      <x:c r="D70" s="192" t="str">
        <x:v>CTA-LMFT-MQB-0262</x:v>
      </x:c>
      <x:c r="E70" s="192" t="str">
        <x:v>Form A</x:v>
      </x:c>
      <x:c r="F70" s="192" t="str">
        <x:v>Withdrawal emergency</x:v>
      </x:c>
      <x:c r="G70" s="192" t="str">
        <x:v>A client who abruptly stopped heavy alcohol use reports tremors, sweating, confusion, and seeing insects. What should the LMFT do FIRST?</x:v>
      </x:c>
      <x:c r="H70" s="192" t="str">
        <x:v>LMFT-MQB-FB-CR-010</x:v>
      </x:c>
      <x:c r="I70" s="192" t="str">
        <x:v>CTA-LMFT-MQB-0488</x:v>
      </x:c>
      <x:c r="J70" s="192" t="str">
        <x:v>Form B</x:v>
      </x:c>
      <x:c r="K70" s="192" t="str">
        <x:v>Withdrawal emergency</x:v>
      </x:c>
      <x:c r="L70" s="192" t="str">
        <x:v>After stopping daily alcohol use, a client becomes confused, tremulous, and visually hallucinating during a session. What should the therapist do first?</x:v>
      </x:c>
      <x:c r="M70" s="192" t="str">
        <x:v>Alternate Form</x:v>
      </x:c>
      <x:c r="N70" s="194" t="str">
        <x:v>Keep on separate forms; review both items together before any future revision, option movement, or reuse.</x:v>
      </x:c>
    </x:row>
    <x:row r="71">
      <x:c r="A71" s="191" t="str">
        <x:v>LMFT-ALT-070</x:v>
      </x:c>
      <x:c r="B71" s="218" t="n">
        <x:v>0.8146750438039162</x:v>
      </x:c>
      <x:c r="C71" s="192" t="str">
        <x:v>LMFT-MQB-FA-CR-011</x:v>
      </x:c>
      <x:c r="D71" s="192" t="str">
        <x:v>CTA-LMFT-MQB-0272</x:v>
      </x:c>
      <x:c r="E71" s="192" t="str">
        <x:v>Form A</x:v>
      </x:c>
      <x:c r="F71" s="192" t="str">
        <x:v>Grave disability and basic needs</x:v>
      </x:c>
      <x:c r="G71" s="192" t="str">
        <x:v>A client with severe psychosis has not eaten for several days, cannot identify shelter, and is wandering in traffic. What should the LMFT do NEXT?</x:v>
      </x:c>
      <x:c r="H71" s="192" t="str">
        <x:v>LMFT-MQB-FB-CR-011</x:v>
      </x:c>
      <x:c r="I71" s="192" t="str">
        <x:v>CTA-LMFT-MQB-0470</x:v>
      </x:c>
      <x:c r="J71" s="192" t="str">
        <x:v>Form B</x:v>
      </x:c>
      <x:c r="K71" s="192" t="str">
        <x:v>Grave disability and basic needs</x:v>
      </x:c>
      <x:c r="L71" s="192" t="str">
        <x:v>A psychotic client cannot state where food or shelter will come from and repeatedly walks into traffic. What action is most appropriate next?</x:v>
      </x:c>
      <x:c r="M71" s="192" t="str">
        <x:v>Alternate Form</x:v>
      </x:c>
      <x:c r="N71" s="194" t="str">
        <x:v>Keep on separate forms; review both items together before any future revision, option movement, or reuse.</x:v>
      </x:c>
    </x:row>
    <x:row r="72">
      <x:c r="A72" s="191" t="str">
        <x:v>LMFT-ALT-071</x:v>
      </x:c>
      <x:c r="B72" s="218" t="n">
        <x:v>0.7820191177292647</x:v>
      </x:c>
      <x:c r="C72" s="192" t="str">
        <x:v>LMFT-MQB-FA-CR-012</x:v>
      </x:c>
      <x:c r="D72" s="192" t="str">
        <x:v>CTA-LMFT-MQB-0217</x:v>
      </x:c>
      <x:c r="E72" s="192" t="str">
        <x:v>Form A</x:v>
      </x:c>
      <x:c r="F72" s="192" t="str">
        <x:v>Sexual assault disclosure</x:v>
      </x:c>
      <x:c r="G72" s="192" t="str">
        <x:v>A client discloses a sexual assault that occurred the previous night and appears disoriented and physically injured. What should the LMFT do FIRST?</x:v>
      </x:c>
      <x:c r="H72" s="192" t="str">
        <x:v>LMFT-MQB-FB-CR-012</x:v>
      </x:c>
      <x:c r="I72" s="192" t="str">
        <x:v>CTA-LMFT-MQB-0458</x:v>
      </x:c>
      <x:c r="J72" s="192" t="str">
        <x:v>Form B</x:v>
      </x:c>
      <x:c r="K72" s="192" t="str">
        <x:v>Sexual assault disclosure</x:v>
      </x:c>
      <x:c r="L72" s="192" t="str">
        <x:v>A client arrives hours after an assault with visible injuries, fragmented attention, and uncertainty about what help to seek. What should the LMFT address first?</x:v>
      </x:c>
      <x:c r="M72" s="192" t="str">
        <x:v>Alternate Form</x:v>
      </x:c>
      <x:c r="N72" s="194" t="str">
        <x:v>Keep on separate forms; review both items together before any future revision, option movement, or reuse.</x:v>
      </x:c>
    </x:row>
    <x:row r="73">
      <x:c r="A73" s="191" t="str">
        <x:v>LMFT-ALT-072</x:v>
      </x:c>
      <x:c r="B73" s="218" t="n">
        <x:v>0.8621461194619238</x:v>
      </x:c>
      <x:c r="C73" s="192" t="str">
        <x:v>LMFT-MQB-FA-CR-013</x:v>
      </x:c>
      <x:c r="D73" s="192" t="str">
        <x:v>CTA-LMFT-MQB-0256</x:v>
      </x:c>
      <x:c r="E73" s="192" t="str">
        <x:v>Form A</x:v>
      </x:c>
      <x:c r="F73" s="192" t="str">
        <x:v>Crisis in conjoint treatment</x:v>
      </x:c>
      <x:c r="G73" s="192" t="str">
        <x:v>During a couple session, one partner reveals a hidden weapon and threatens the other. What should the LMFT do FIRST?</x:v>
      </x:c>
      <x:c r="H73" s="192" t="str">
        <x:v>LMFT-MQB-FB-CR-013</x:v>
      </x:c>
      <x:c r="I73" s="192" t="str">
        <x:v>CTA-LMFT-MQB-0363</x:v>
      </x:c>
      <x:c r="J73" s="192" t="str">
        <x:v>Form B</x:v>
      </x:c>
      <x:c r="K73" s="192" t="str">
        <x:v>Crisis in conjoint treatment</x:v>
      </x:c>
      <x:c r="L73" s="192" t="str">
        <x:v>During conjoint treatment, a partner blocks the doorway, displays a knife, and threatens the other participant. What should the therapist do immediately?</x:v>
      </x:c>
      <x:c r="M73" s="192" t="str">
        <x:v>Alternate Form</x:v>
      </x:c>
      <x:c r="N73" s="194" t="str">
        <x:v>Keep on separate forms; review both items together before any future revision, option movement, or reuse.</x:v>
      </x:c>
    </x:row>
    <x:row r="74">
      <x:c r="A74" s="191" t="str">
        <x:v>LMFT-ALT-073</x:v>
      </x:c>
      <x:c r="B74" s="218" t="n">
        <x:v>0.8911988912685119</x:v>
      </x:c>
      <x:c r="C74" s="192" t="str">
        <x:v>LMFT-MQB-FA-CR-014</x:v>
      </x:c>
      <x:c r="D74" s="192" t="str">
        <x:v>CTA-LMFT-MQB-0338</x:v>
      </x:c>
      <x:c r="E74" s="192" t="str">
        <x:v>Form A</x:v>
      </x:c>
      <x:c r="F74" s="192" t="str">
        <x:v>Crisis with child and caregiver</x:v>
      </x:c>
      <x:c r="G74" s="192" t="str">
        <x:v>A parent arrives intoxicated to pick up a young child after a family session and insists on driving. What should the LMFT do?</x:v>
      </x:c>
      <x:c r="H74" s="192" t="str">
        <x:v>LMFT-MQB-FB-CR-014</x:v>
      </x:c>
      <x:c r="I74" s="192" t="str">
        <x:v>CTA-LMFT-MQB-0381</x:v>
      </x:c>
      <x:c r="J74" s="192" t="str">
        <x:v>Form B</x:v>
      </x:c>
      <x:c r="K74" s="192" t="str">
        <x:v>Crisis with child and caregiver</x:v>
      </x:c>
      <x:c r="L74" s="192" t="str">
        <x:v>After a family appointment, a caregiver appears intoxicated and attempts to drive away with two young children. What should the LMFT do?</x:v>
      </x:c>
      <x:c r="M74" s="192" t="str">
        <x:v>Alternate Form</x:v>
      </x:c>
      <x:c r="N74" s="194" t="str">
        <x:v>Keep on separate forms; review both items together before any future revision, option movement, or reuse.</x:v>
      </x:c>
    </x:row>
    <x:row r="75">
      <x:c r="A75" s="191" t="str">
        <x:v>LMFT-ALT-074</x:v>
      </x:c>
      <x:c r="B75" s="218" t="n">
        <x:v>0.819871893206066</x:v>
      </x:c>
      <x:c r="C75" s="192" t="str">
        <x:v>LMFT-MQB-FA-CR-015</x:v>
      </x:c>
      <x:c r="D75" s="192" t="str">
        <x:v>CTA-LMFT-MQB-0318</x:v>
      </x:c>
      <x:c r="E75" s="192" t="str">
        <x:v>Form A</x:v>
      </x:c>
      <x:c r="F75" s="192" t="str">
        <x:v>Suicide risk and family confidentiality</x:v>
      </x:c>
      <x:c r="G75" s="192" t="str">
        <x:v>An adult client in individual treatment has escalating suicidal intent and refuses permission to involve a supportive spouse. The client has a detailed plan and immediate access to means. What should the LMFT do?</x:v>
      </x:c>
      <x:c r="H75" s="192" t="str">
        <x:v>LMFT-MQB-FB-CR-015</x:v>
      </x:c>
      <x:c r="I75" s="192" t="str">
        <x:v>CTA-LMFT-MQB-0402</x:v>
      </x:c>
      <x:c r="J75" s="192" t="str">
        <x:v>Form B</x:v>
      </x:c>
      <x:c r="K75" s="192" t="str">
        <x:v>Suicide risk and family confidentiality</x:v>
      </x:c>
      <x:c r="L75" s="192" t="str">
        <x:v>A client with immediate suicidal intent refuses permission to contact anyone and has access to the planned method. How should the therapist respond to the confidentiality issue?</x:v>
      </x:c>
      <x:c r="M75" s="192" t="str">
        <x:v>Alternate Form</x:v>
      </x:c>
      <x:c r="N75" s="194" t="str">
        <x:v>Keep on separate forms; review both items together before any future revision, option movement, or reuse.</x:v>
      </x:c>
    </x:row>
    <x:row r="76">
      <x:c r="A76" s="191" t="str">
        <x:v>LMFT-ALT-075</x:v>
      </x:c>
      <x:c r="B76" s="218" t="n">
        <x:v>0.7615064340609413</x:v>
      </x:c>
      <x:c r="C76" s="192" t="str">
        <x:v>LMFT-MQB-FA-CR-016</x:v>
      </x:c>
      <x:c r="D76" s="192" t="str">
        <x:v>CTA-LMFT-MQB-0226</x:v>
      </x:c>
      <x:c r="E76" s="192" t="str">
        <x:v>Form A</x:v>
      </x:c>
      <x:c r="F76" s="192" t="str">
        <x:v>Disaster, medication, and family system</x:v>
      </x:c>
      <x:c r="G76" s="192" t="str">
        <x:v>After a wildfire evacuation, a family loses housing. One parent has no access to prescribed medication, a teenager is threatening self-harm, and the younger child is separated from a caregiver. What should the LMFT do FIRST?</x:v>
      </x:c>
      <x:c r="H76" s="192" t="str">
        <x:v>LMFT-MQB-FB-CR-016</x:v>
      </x:c>
      <x:c r="I76" s="192" t="str">
        <x:v>CTA-LMFT-MQB-0375</x:v>
      </x:c>
      <x:c r="J76" s="192" t="str">
        <x:v>Form B</x:v>
      </x:c>
      <x:c r="K76" s="192" t="str">
        <x:v>Disaster, medication, and family system</x:v>
      </x:c>
      <x:c r="L76" s="192" t="str">
        <x:v>Following a major earthquake, one family member has stopped essential medication, another is actively suicidal, and a young child is missing from the evacuation site. What should the LMFT prioritize?</x:v>
      </x:c>
      <x:c r="M76" s="192" t="str">
        <x:v>Alternate Form</x:v>
      </x:c>
      <x:c r="N76" s="194" t="str">
        <x:v>Keep on separate forms; review both items together before any future revision, option movement, or reuse.</x:v>
      </x:c>
    </x:row>
    <x:row r="77">
      <x:c r="A77" s="191" t="str">
        <x:v>LMFT-ALT-076</x:v>
      </x:c>
      <x:c r="B77" s="218" t="n">
        <x:v>0.7933873802647822</x:v>
      </x:c>
      <x:c r="C77" s="192" t="str">
        <x:v>LMFT-MQB-FA-DI-001</x:v>
      </x:c>
      <x:c r="D77" s="192" t="str">
        <x:v>CTA-LMFT-MQB-0207</x:v>
      </x:c>
      <x:c r="E77" s="192" t="str">
        <x:v>Form A</x:v>
      </x:c>
      <x:c r="F77" s="192" t="str">
        <x:v>Provisional diagnosis</x:v>
      </x:c>
      <x:c r="G77" s="192" t="str">
        <x:v>When is a provisional diagnostic impression MOST appropriate?</x:v>
      </x:c>
      <x:c r="H77" s="192" t="str">
        <x:v>LMFT-MQB-FB-DI-001</x:v>
      </x:c>
      <x:c r="I77" s="192" t="str">
        <x:v>CTA-LMFT-MQB-0441</x:v>
      </x:c>
      <x:c r="J77" s="192" t="str">
        <x:v>Form B</x:v>
      </x:c>
      <x:c r="K77" s="192" t="str">
        <x:v>Provisional diagnosis</x:v>
      </x:c>
      <x:c r="L77" s="192" t="str">
        <x:v>An LMFT has substantial evidence for a disorder, but the minimum duration has not yet elapsed and medical test results are pending. Which diagnostic designation best communicates the current level of certainty?</x:v>
      </x:c>
      <x:c r="M77" s="192" t="str">
        <x:v>Alternate Form</x:v>
      </x:c>
      <x:c r="N77" s="194" t="str">
        <x:v>Keep on separate forms; review both items together before any future revision, option movement, or reuse.</x:v>
      </x:c>
    </x:row>
    <x:row r="78">
      <x:c r="A78" s="191" t="str">
        <x:v>LMFT-ALT-077</x:v>
      </x:c>
      <x:c r="B78" s="218" t="n">
        <x:v>0.7616727287954675</x:v>
      </x:c>
      <x:c r="C78" s="192" t="str">
        <x:v>LMFT-MQB-FA-DI-002</x:v>
      </x:c>
      <x:c r="D78" s="192" t="str">
        <x:v>CTA-LMFT-MQB-0347</x:v>
      </x:c>
      <x:c r="E78" s="192" t="str">
        <x:v>Form A</x:v>
      </x:c>
      <x:c r="F78" s="192" t="str">
        <x:v>Differential diagnosis</x:v>
      </x:c>
      <x:c r="G78" s="192" t="str">
        <x:v>What is the main purpose of differential diagnosis?</x:v>
      </x:c>
      <x:c r="H78" s="192" t="str">
        <x:v>LMFT-MQB-FB-DI-002</x:v>
      </x:c>
      <x:c r="I78" s="192" t="str">
        <x:v>CTA-LMFT-MQB-0490</x:v>
      </x:c>
      <x:c r="J78" s="192" t="str">
        <x:v>Form B</x:v>
      </x:c>
      <x:c r="K78" s="192" t="str">
        <x:v>Differential diagnosis</x:v>
      </x:c>
      <x:c r="L78" s="192" t="str">
        <x:v>A client’s concentration problems could reflect depression, trauma, substance effects, or a medical condition. What is the central purpose of comparing these possibilities systematically?</x:v>
      </x:c>
      <x:c r="M78" s="192" t="str">
        <x:v>Alternate Form</x:v>
      </x:c>
      <x:c r="N78" s="194" t="str">
        <x:v>Keep on separate forms; review both items together before any future revision, option movement, or reuse.</x:v>
      </x:c>
    </x:row>
    <x:row r="79">
      <x:c r="A79" s="191" t="str">
        <x:v>LMFT-ALT-078</x:v>
      </x:c>
      <x:c r="B79" s="218" t="n">
        <x:v>0.7579841608379017</x:v>
      </x:c>
      <x:c r="C79" s="192" t="str">
        <x:v>LMFT-MQB-FA-DI-003</x:v>
      </x:c>
      <x:c r="D79" s="192" t="str">
        <x:v>CTA-LMFT-MQB-0296</x:v>
      </x:c>
      <x:c r="E79" s="192" t="str">
        <x:v>Form A</x:v>
      </x:c>
      <x:c r="F79" s="192" t="str">
        <x:v>Other conditions that may be a focus</x:v>
      </x:c>
      <x:c r="G79" s="192" t="str">
        <x:v>A relational problem can be clinically documented even when it is not a mental disorder because it may be what?</x:v>
      </x:c>
      <x:c r="H79" s="192" t="str">
        <x:v>LMFT-MQB-FB-DI-003</x:v>
      </x:c>
      <x:c r="I79" s="192" t="str">
        <x:v>CTA-LMFT-MQB-0451</x:v>
      </x:c>
      <x:c r="J79" s="192" t="str">
        <x:v>Form B</x:v>
      </x:c>
      <x:c r="K79" s="192" t="str">
        <x:v>Other conditions that may be a focus</x:v>
      </x:c>
      <x:c r="L79" s="192" t="str">
        <x:v>A couple seeks treatment for persistent relationship distress, although neither partner currently meets criteria for a mental disorder. How may the relational concern still be represented clinically?</x:v>
      </x:c>
      <x:c r="M79" s="192" t="str">
        <x:v>Alternate Form</x:v>
      </x:c>
      <x:c r="N79" s="194" t="str">
        <x:v>Keep on separate forms; review both items together before any future revision, option movement, or reuse.</x:v>
      </x:c>
    </x:row>
    <x:row r="80">
      <x:c r="A80" s="191" t="str">
        <x:v>LMFT-ALT-079</x:v>
      </x:c>
      <x:c r="B80" s="218" t="n">
        <x:v>0.7890383351653563</x:v>
      </x:c>
      <x:c r="C80" s="192" t="str">
        <x:v>LMFT-MQB-FA-DI-004</x:v>
      </x:c>
      <x:c r="D80" s="192" t="str">
        <x:v>CTA-LMFT-MQB-0282</x:v>
      </x:c>
      <x:c r="E80" s="192" t="str">
        <x:v>Form A</x:v>
      </x:c>
      <x:c r="F80" s="192" t="str">
        <x:v>Chronology in diagnosis</x:v>
      </x:c>
      <x:c r="G80" s="192" t="str">
        <x:v>Why is chronology especially useful in differential diagnosis?</x:v>
      </x:c>
      <x:c r="H80" s="192" t="str">
        <x:v>LMFT-MQB-FB-DI-004</x:v>
      </x:c>
      <x:c r="I80" s="192" t="str">
        <x:v>CTA-LMFT-MQB-0484</x:v>
      </x:c>
      <x:c r="J80" s="192" t="str">
        <x:v>Form B</x:v>
      </x:c>
      <x:c r="K80" s="192" t="str">
        <x:v>Chronology in diagnosis</x:v>
      </x:c>
      <x:c r="L80" s="192" t="str">
        <x:v>A therapist is deciding whether new mood symptoms are primary or related to a medication, substance, or recent stressor. Why is a detailed symptom timeline essential?</x:v>
      </x:c>
      <x:c r="M80" s="192" t="str">
        <x:v>Alternate Form</x:v>
      </x:c>
      <x:c r="N80" s="194" t="str">
        <x:v>Keep on separate forms; review both items together before any future revision, option movement, or reuse.</x:v>
      </x:c>
    </x:row>
    <x:row r="81">
      <x:c r="A81" s="191" t="str">
        <x:v>LMFT-ALT-080</x:v>
      </x:c>
      <x:c r="B81" s="218" t="n">
        <x:v>0.7148554726844969</x:v>
      </x:c>
      <x:c r="C81" s="192" t="str">
        <x:v>LMFT-MQB-FA-DI-005</x:v>
      </x:c>
      <x:c r="D81" s="192" t="str">
        <x:v>CTA-LMFT-MQB-0234</x:v>
      </x:c>
      <x:c r="E81" s="192" t="str">
        <x:v>Form A</x:v>
      </x:c>
      <x:c r="F81" s="192" t="str">
        <x:v>Adjustment-related presentation</x:v>
      </x:c>
      <x:c r="G81" s="192" t="str">
        <x:v>A client develops anxiety and insomnia soon after a job loss and does not report a prior pattern of pervasive anxiety. What information is MOST important before deciding between an adjustment-related condition and a primary anxiety disorder?</x:v>
      </x:c>
      <x:c r="H81" s="192" t="str">
        <x:v>LMFT-MQB-FB-DI-005</x:v>
      </x:c>
      <x:c r="I81" s="192" t="str">
        <x:v>CTA-LMFT-MQB-0499</x:v>
      </x:c>
      <x:c r="J81" s="192" t="str">
        <x:v>Form B</x:v>
      </x:c>
      <x:c r="K81" s="192" t="str">
        <x:v>Adjustment-related presentation</x:v>
      </x:c>
      <x:c r="L81" s="192" t="str">
        <x:v>A client becomes anxious after eviction and reports that worry is limited to housing and finances. Which information is most useful in distinguishing an adjustment-related response from a broader anxiety disorder?</x:v>
      </x:c>
      <x:c r="M81" s="192" t="str">
        <x:v>Alternate Form</x:v>
      </x:c>
      <x:c r="N81" s="194" t="str">
        <x:v>Keep on separate forms; review both items together before any future revision, option movement, or reuse.</x:v>
      </x:c>
    </x:row>
    <x:row r="82">
      <x:c r="A82" s="191" t="str">
        <x:v>LMFT-ALT-081</x:v>
      </x:c>
      <x:c r="B82" s="218" t="n">
        <x:v>0.7915801030323587</x:v>
      </x:c>
      <x:c r="C82" s="192" t="str">
        <x:v>LMFT-MQB-FA-DI-006</x:v>
      </x:c>
      <x:c r="D82" s="192" t="str">
        <x:v>CTA-LMFT-MQB-0244</x:v>
      </x:c>
      <x:c r="E82" s="192" t="str">
        <x:v>Form A</x:v>
      </x:c>
      <x:c r="F82" s="192" t="str">
        <x:v>Substance-induced symptoms</x:v>
      </x:c>
      <x:c r="G82" s="192" t="str">
        <x:v>A client experiences panic only during heavy cannabis use and for a short period afterward. What diagnostic question should the LMFT prioritize?</x:v>
      </x:c>
      <x:c r="H82" s="192" t="str">
        <x:v>LMFT-MQB-FB-DI-006</x:v>
      </x:c>
      <x:c r="I82" s="192" t="str">
        <x:v>CTA-LMFT-MQB-0426</x:v>
      </x:c>
      <x:c r="J82" s="192" t="str">
        <x:v>Form B</x:v>
      </x:c>
      <x:c r="K82" s="192" t="str">
        <x:v>Substance-induced symptoms</x:v>
      </x:c>
      <x:c r="L82" s="192" t="str">
        <x:v>A college student experiences paranoia only after using high-potency cannabis and returns to baseline after several weeks of abstinence. Which diagnostic issue should the LMFT clarify first?</x:v>
      </x:c>
      <x:c r="M82" s="192" t="str">
        <x:v>Alternate Form</x:v>
      </x:c>
      <x:c r="N82" s="194" t="str">
        <x:v>Keep on separate forms; review both items together before any future revision, option movement, or reuse.</x:v>
      </x:c>
    </x:row>
    <x:row r="83">
      <x:c r="A83" s="191" t="str">
        <x:v>LMFT-ALT-082</x:v>
      </x:c>
      <x:c r="B83" s="218" t="n">
        <x:v>0.7813228414387986</x:v>
      </x:c>
      <x:c r="C83" s="192" t="str">
        <x:v>LMFT-MQB-FA-DI-007</x:v>
      </x:c>
      <x:c r="D83" s="192" t="str">
        <x:v>CTA-LMFT-MQB-0221</x:v>
      </x:c>
      <x:c r="E83" s="192" t="str">
        <x:v>Form A</x:v>
      </x:c>
      <x:c r="F83" s="192" t="str">
        <x:v>Bipolar versus unipolar depression</x:v>
      </x:c>
      <x:c r="G83" s="192" t="str">
        <x:v>A client presents with depression and reports a past week of markedly decreased need for sleep, unusually elevated energy, and risky spending. What should the LMFT do?</x:v>
      </x:c>
      <x:c r="H83" s="192" t="str">
        <x:v>LMFT-MQB-FB-DI-007</x:v>
      </x:c>
      <x:c r="I83" s="192" t="str">
        <x:v>CTA-LMFT-MQB-0395</x:v>
      </x:c>
      <x:c r="J83" s="192" t="str">
        <x:v>Form B</x:v>
      </x:c>
      <x:c r="K83" s="192" t="str">
        <x:v>Bipolar versus unipolar depression</x:v>
      </x:c>
      <x:c r="L83" s="192" t="str">
        <x:v>An adult requesting treatment for depression recalls a prior period of sleeping three hours, feeling unusually powerful, and making costly impulsive decisions. What should the therapist do before assigning a depressive diagnosis?</x:v>
      </x:c>
      <x:c r="M83" s="192" t="str">
        <x:v>Alternate Form</x:v>
      </x:c>
      <x:c r="N83" s="194" t="str">
        <x:v>Keep on separate forms; review both items together before any future revision, option movement, or reuse.</x:v>
      </x:c>
    </x:row>
    <x:row r="84">
      <x:c r="A84" s="191" t="str">
        <x:v>LMFT-ALT-083</x:v>
      </x:c>
      <x:c r="B84" s="218" t="n">
        <x:v>0.7449538363386176</x:v>
      </x:c>
      <x:c r="C84" s="192" t="str">
        <x:v>LMFT-MQB-FA-DI-008</x:v>
      </x:c>
      <x:c r="D84" s="192" t="str">
        <x:v>CTA-LMFT-MQB-0340</x:v>
      </x:c>
      <x:c r="E84" s="192" t="str">
        <x:v>Form A</x:v>
      </x:c>
      <x:c r="F84" s="192" t="str">
        <x:v>OCD versus psychosis</x:v>
      </x:c>
      <x:c r="G84" s="192" t="str">
        <x:v>A client reports unwanted intrusive thoughts of harming a loved one, finds them distressing, and engages in rituals to prevent harm. Which feature MOST supports an obsessive-compulsive formulation rather than a psychotic one?</x:v>
      </x:c>
      <x:c r="H84" s="192" t="str">
        <x:v>LMFT-MQB-FB-DI-008</x:v>
      </x:c>
      <x:c r="I84" s="192" t="str">
        <x:v>CTA-LMFT-MQB-0398</x:v>
      </x:c>
      <x:c r="J84" s="192" t="str">
        <x:v>Form B</x:v>
      </x:c>
      <x:c r="K84" s="192" t="str">
        <x:v>OCD versus psychosis</x:v>
      </x:c>
      <x:c r="L84" s="192" t="str">
        <x:v>A client fears causing harm, recognizes the thoughts as unwanted, and performs repeated checking to reduce anxiety. Which feature most strongly argues against a primary psychotic explanation?</x:v>
      </x:c>
      <x:c r="M84" s="192" t="str">
        <x:v>Alternate Form</x:v>
      </x:c>
      <x:c r="N84" s="194" t="str">
        <x:v>Keep on separate forms; review both items together before any future revision, option movement, or reuse.</x:v>
      </x:c>
    </x:row>
    <x:row r="85">
      <x:c r="A85" s="191" t="str">
        <x:v>LMFT-ALT-084</x:v>
      </x:c>
      <x:c r="B85" s="218" t="n">
        <x:v>0.7791697649234054</x:v>
      </x:c>
      <x:c r="C85" s="192" t="str">
        <x:v>LMFT-MQB-FA-DI-009</x:v>
      </x:c>
      <x:c r="D85" s="192" t="str">
        <x:v>CTA-LMFT-MQB-0239</x:v>
      </x:c>
      <x:c r="E85" s="192" t="str">
        <x:v>Form A</x:v>
      </x:c>
      <x:c r="F85" s="192" t="str">
        <x:v>Trauma versus panic</x:v>
      </x:c>
      <x:c r="G85" s="192" t="str">
        <x:v>A client has sudden episodes of intense fear after a robbery and also avoids the location, has intrusive memories, and remains hypervigilant. What is the BEST diagnostic approach?</x:v>
      </x:c>
      <x:c r="H85" s="192" t="str">
        <x:v>LMFT-MQB-FB-DI-009</x:v>
      </x:c>
      <x:c r="I85" s="192" t="str">
        <x:v>CTA-LMFT-MQB-0370</x:v>
      </x:c>
      <x:c r="J85" s="192" t="str">
        <x:v>Form B</x:v>
      </x:c>
      <x:c r="K85" s="192" t="str">
        <x:v>Trauma versus panic</x:v>
      </x:c>
      <x:c r="L85" s="192" t="str">
        <x:v>Following a serious collision, a client has sudden surges of fear plus nightmares, avoidance, and exaggerated startle. How should the LMFT approach diagnosis?</x:v>
      </x:c>
      <x:c r="M85" s="192" t="str">
        <x:v>Alternate Form</x:v>
      </x:c>
      <x:c r="N85" s="194" t="str">
        <x:v>Keep on separate forms; review both items together before any future revision, option movement, or reuse.</x:v>
      </x:c>
    </x:row>
    <x:row r="86">
      <x:c r="A86" s="191" t="str">
        <x:v>LMFT-ALT-085</x:v>
      </x:c>
      <x:c r="B86" s="218" t="n">
        <x:v>0.7696804330568567</x:v>
      </x:c>
      <x:c r="C86" s="192" t="str">
        <x:v>LMFT-MQB-FA-DI-010</x:v>
      </x:c>
      <x:c r="D86" s="192" t="str">
        <x:v>CTA-LMFT-MQB-0325</x:v>
      </x:c>
      <x:c r="E86" s="192" t="str">
        <x:v>Form A</x:v>
      </x:c>
      <x:c r="F86" s="192" t="str">
        <x:v>Medical mimic</x:v>
      </x:c>
      <x:c r="G86" s="192" t="str">
        <x:v>A client with new anxiety, tremor, weight loss, and rapid heartbeat has no prior anxiety history. What should the LMFT do before assigning a primary anxiety diagnosis?</x:v>
      </x:c>
      <x:c r="H86" s="192" t="str">
        <x:v>LMFT-MQB-FB-DI-010</x:v>
      </x:c>
      <x:c r="I86" s="192" t="str">
        <x:v>CTA-LMFT-MQB-0502</x:v>
      </x:c>
      <x:c r="J86" s="192" t="str">
        <x:v>Form B</x:v>
      </x:c>
      <x:c r="K86" s="192" t="str">
        <x:v>Medical mimic</x:v>
      </x:c>
      <x:c r="L86" s="192" t="str">
        <x:v>A client with no prior psychiatric history develops irritability, sweating, tremor, and marked weight change. What must the therapist consider before concluding the client has a primary anxiety disorder?</x:v>
      </x:c>
      <x:c r="M86" s="192" t="str">
        <x:v>Alternate Form</x:v>
      </x:c>
      <x:c r="N86" s="194" t="str">
        <x:v>Keep on separate forms; review both items together before any future revision, option movement, or reuse.</x:v>
      </x:c>
    </x:row>
    <x:row r="87">
      <x:c r="A87" s="191" t="str">
        <x:v>LMFT-ALT-086</x:v>
      </x:c>
      <x:c r="B87" s="218" t="n">
        <x:v>0.7543606570565466</x:v>
      </x:c>
      <x:c r="C87" s="192" t="str">
        <x:v>LMFT-MQB-FA-DI-011</x:v>
      </x:c>
      <x:c r="D87" s="192" t="str">
        <x:v>CTA-LMFT-MQB-0307</x:v>
      </x:c>
      <x:c r="E87" s="192" t="str">
        <x:v>Form A</x:v>
      </x:c>
      <x:c r="F87" s="192" t="str">
        <x:v>Depression versus grief</x:v>
      </x:c>
      <x:c r="G87" s="192" t="str">
        <x:v>Two months after a spouse’s death, a client reports waves of sadness, yearning, preserved self-esteem, and moments of positive connection. What should the LMFT do NEXT?</x:v>
      </x:c>
      <x:c r="H87" s="192" t="str">
        <x:v>LMFT-MQB-FB-DI-011</x:v>
      </x:c>
      <x:c r="I87" s="192" t="str">
        <x:v>CTA-LMFT-MQB-0459</x:v>
      </x:c>
      <x:c r="J87" s="192" t="str">
        <x:v>Form B</x:v>
      </x:c>
      <x:c r="K87" s="192" t="str">
        <x:v>Depression versus grief</x:v>
      </x:c>
      <x:c r="L87" s="192" t="str">
        <x:v>A bereaved client experiences intense longing that comes in waves, can enjoy time with grandchildren, and does not describe pervasive worthlessness. What should the LMFT do next?</x:v>
      </x:c>
      <x:c r="M87" s="192" t="str">
        <x:v>Alternate Form</x:v>
      </x:c>
      <x:c r="N87" s="194" t="str">
        <x:v>Keep on separate forms; review both items together before any future revision, option movement, or reuse.</x:v>
      </x:c>
    </x:row>
    <x:row r="88">
      <x:c r="A88" s="191" t="str">
        <x:v>LMFT-ALT-087</x:v>
      </x:c>
      <x:c r="B88" s="218" t="n">
        <x:v>0.7284276676286887</x:v>
      </x:c>
      <x:c r="C88" s="192" t="str">
        <x:v>LMFT-MQB-FA-DI-012</x:v>
      </x:c>
      <x:c r="D88" s="192" t="str">
        <x:v>CTA-LMFT-MQB-0314</x:v>
      </x:c>
      <x:c r="E88" s="192" t="str">
        <x:v>Form A</x:v>
      </x:c>
      <x:c r="F88" s="192" t="str">
        <x:v>ADHD versus trauma</x:v>
      </x:c>
      <x:c r="G88" s="192" t="str">
        <x:v>A child shows inattention and restlessness only after witnessing domestic violence and is especially distractible when adults raise their voices. What should the LMFT do NEXT?</x:v>
      </x:c>
      <x:c r="H88" s="192" t="str">
        <x:v>LMFT-MQB-FB-DI-012</x:v>
      </x:c>
      <x:c r="I88" s="192" t="str">
        <x:v>CTA-LMFT-MQB-0438</x:v>
      </x:c>
      <x:c r="J88" s="192" t="str">
        <x:v>Form B</x:v>
      </x:c>
      <x:c r="K88" s="192" t="str">
        <x:v>ADHD versus trauma</x:v>
      </x:c>
      <x:c r="L88" s="192" t="str">
        <x:v>A previously attentive child becomes distractible and hyperalert after a frightening home event, with symptoms worsening around conflict cues. What is the next diagnostic step?</x:v>
      </x:c>
      <x:c r="M88" s="192" t="str">
        <x:v>Alternate Form</x:v>
      </x:c>
      <x:c r="N88" s="194" t="str">
        <x:v>Keep on separate forms; review both items together before any future revision, option movement, or reuse.</x:v>
      </x:c>
    </x:row>
    <x:row r="89">
      <x:c r="A89" s="191" t="str">
        <x:v>LMFT-ALT-088</x:v>
      </x:c>
      <x:c r="B89" s="218" t="n">
        <x:v>0.7718838707594685</x:v>
      </x:c>
      <x:c r="C89" s="192" t="str">
        <x:v>LMFT-MQB-FA-DI-013</x:v>
      </x:c>
      <x:c r="D89" s="192" t="str">
        <x:v>CTA-LMFT-MQB-0321</x:v>
      </x:c>
      <x:c r="E89" s="192" t="str">
        <x:v>Form A</x:v>
      </x:c>
      <x:c r="F89" s="192" t="str">
        <x:v>Psychosis versus cultural belief</x:v>
      </x:c>
      <x:c r="G89" s="192" t="str">
        <x:v>A client describes spiritual communication that is shared and accepted in the client’s community, with no impairment or loss of reality testing. What should the LMFT do?</x:v>
      </x:c>
      <x:c r="H89" s="192" t="str">
        <x:v>LMFT-MQB-FB-DI-013</x:v>
      </x:c>
      <x:c r="I89" s="192" t="str">
        <x:v>CTA-LMFT-MQB-0396</x:v>
      </x:c>
      <x:c r="J89" s="192" t="str">
        <x:v>Form B</x:v>
      </x:c>
      <x:c r="K89" s="192" t="str">
        <x:v>Psychosis versus cultural belief</x:v>
      </x:c>
      <x:c r="L89" s="192" t="str">
        <x:v>A client reports visions during a culturally sanctioned ceremony, remains organized, and is not distressed or impaired. How should the therapist evaluate the experience?</x:v>
      </x:c>
      <x:c r="M89" s="192" t="str">
        <x:v>Alternate Form</x:v>
      </x:c>
      <x:c r="N89" s="194" t="str">
        <x:v>Keep on separate forms; review both items together before any future revision, option movement, or reuse.</x:v>
      </x:c>
    </x:row>
    <x:row r="90">
      <x:c r="A90" s="191" t="str">
        <x:v>LMFT-ALT-089</x:v>
      </x:c>
      <x:c r="B90" s="218" t="n">
        <x:v>0.8042087270743146</x:v>
      </x:c>
      <x:c r="C90" s="192" t="str">
        <x:v>LMFT-MQB-FA-DI-014</x:v>
      </x:c>
      <x:c r="D90" s="192" t="str">
        <x:v>CTA-LMFT-MQB-0274</x:v>
      </x:c>
      <x:c r="E90" s="192" t="str">
        <x:v>Form A</x:v>
      </x:c>
      <x:c r="F90" s="192" t="str">
        <x:v>Medication-induced mood change</x:v>
      </x:c>
      <x:c r="G90" s="192" t="str">
        <x:v>A client develops agitation, insomnia, and grandiosity shortly after starting a corticosteroid and has no prior mood episodes. What is the BEST next step?</x:v>
      </x:c>
      <x:c r="H90" s="192" t="str">
        <x:v>LMFT-MQB-FB-DI-014</x:v>
      </x:c>
      <x:c r="I90" s="192" t="str">
        <x:v>CTA-LMFT-MQB-0393</x:v>
      </x:c>
      <x:c r="J90" s="192" t="str">
        <x:v>Form B</x:v>
      </x:c>
      <x:c r="K90" s="192" t="str">
        <x:v>Medication-induced mood change</x:v>
      </x:c>
      <x:c r="L90" s="192" t="str">
        <x:v>Within days of beginning a new medical treatment, a client develops decreased need for sleep, pressured speech, and grandiose plans. What should the LMFT do next?</x:v>
      </x:c>
      <x:c r="M90" s="192" t="str">
        <x:v>Alternate Form</x:v>
      </x:c>
      <x:c r="N90" s="194" t="str">
        <x:v>Keep on separate forms; review both items together before any future revision, option movement, or reuse.</x:v>
      </x:c>
    </x:row>
    <x:row r="91">
      <x:c r="A91" s="191" t="str">
        <x:v>LMFT-ALT-090</x:v>
      </x:c>
      <x:c r="B91" s="218" t="n">
        <x:v>0.7268087015915562</x:v>
      </x:c>
      <x:c r="C91" s="192" t="str">
        <x:v>LMFT-MQB-FA-DI-015</x:v>
      </x:c>
      <x:c r="D91" s="192" t="str">
        <x:v>CTA-LMFT-MQB-0289</x:v>
      </x:c>
      <x:c r="E91" s="192" t="str">
        <x:v>Form A</x:v>
      </x:c>
      <x:c r="F91" s="192" t="str">
        <x:v>Multiple overlapping syndromes</x:v>
      </x:c>
      <x:c r="G91" s="192" t="str">
        <x:v>A client reports chronic worry, episodic binge drinking, insomnia, and trauma nightmares. Symptoms began at different times and worsen one another. What should the LMFT do NEXT?</x:v>
      </x:c>
      <x:c r="H91" s="192" t="str">
        <x:v>LMFT-MQB-FB-DI-015</x:v>
      </x:c>
      <x:c r="I91" s="192" t="str">
        <x:v>CTA-LMFT-MQB-0453</x:v>
      </x:c>
      <x:c r="J91" s="192" t="str">
        <x:v>Form B</x:v>
      </x:c>
      <x:c r="K91" s="192" t="str">
        <x:v>Multiple overlapping syndromes</x:v>
      </x:c>
      <x:c r="L91" s="192" t="str">
        <x:v>A client has longstanding trauma symptoms, recent heavy alcohol use, worsening sleep, and newly emerging panic episodes. What is the most useful next diagnostic task?</x:v>
      </x:c>
      <x:c r="M91" s="192" t="str">
        <x:v>Alternate Form</x:v>
      </x:c>
      <x:c r="N91" s="194" t="str">
        <x:v>Keep on separate forms; review both items together before any future revision, option movement, or reuse.</x:v>
      </x:c>
    </x:row>
    <x:row r="92">
      <x:c r="A92" s="191" t="str">
        <x:v>LMFT-ALT-091</x:v>
      </x:c>
      <x:c r="B92" s="218" t="n">
        <x:v>0.8353436409883488</x:v>
      </x:c>
      <x:c r="C92" s="192" t="str">
        <x:v>LMFT-MQB-FA-DI-016</x:v>
      </x:c>
      <x:c r="D92" s="192" t="str">
        <x:v>CTA-LMFT-MQB-0275</x:v>
      </x:c>
      <x:c r="E92" s="192" t="str">
        <x:v>Form A</x:v>
      </x:c>
      <x:c r="F92" s="192" t="str">
        <x:v>Diagnostic and systemic formulation</x:v>
      </x:c>
      <x:c r="G92" s="192" t="str">
        <x:v>A teenager’s depressed mood began after parental separation, but there is also a prior history of episodic depression unrelated to family stress. What is the BEST diagnostic formulation?</x:v>
      </x:c>
      <x:c r="H92" s="192" t="str">
        <x:v>LMFT-MQB-FB-DI-016</x:v>
      </x:c>
      <x:c r="I92" s="192" t="str">
        <x:v>CTA-LMFT-MQB-0440</x:v>
      </x:c>
      <x:c r="J92" s="192" t="str">
        <x:v>Form B</x:v>
      </x:c>
      <x:c r="K92" s="192" t="str">
        <x:v>Diagnostic and systemic formulation</x:v>
      </x:c>
      <x:c r="L92" s="192" t="str">
        <x:v>A young adult has recurrent depressive episodes and is now worsening amid intense family conflict. Which formulation best integrates diagnosis and systemic context?</x:v>
      </x:c>
      <x:c r="M92" s="192" t="str">
        <x:v>Alternate Form</x:v>
      </x:c>
      <x:c r="N92" s="194" t="str">
        <x:v>Keep on separate forms; review both items together before any future revision, option movement, or reuse.</x:v>
      </x:c>
    </x:row>
    <x:row r="93">
      <x:c r="A93" s="191" t="str">
        <x:v>LMFT-ALT-092</x:v>
      </x:c>
      <x:c r="B93" s="218" t="n">
        <x:v>0.7969043133684682</x:v>
      </x:c>
      <x:c r="C93" s="192" t="str">
        <x:v>LMFT-MQB-FA-DI-017</x:v>
      </x:c>
      <x:c r="D93" s="192" t="str">
        <x:v>CTA-LMFT-MQB-0281</x:v>
      </x:c>
      <x:c r="E93" s="192" t="str">
        <x:v>Form A</x:v>
      </x:c>
      <x:c r="F93" s="192" t="str">
        <x:v>Diagnostic uncertainty with safety risk</x:v>
      </x:c>
      <x:c r="G93" s="192" t="str">
        <x:v>A client has severe insomnia, paranoia, methamphetamine use, and a family history of psychosis. The client is increasingly unable to care for basic needs. What should the LMFT do FIRST?</x:v>
      </x:c>
      <x:c r="H93" s="192" t="str">
        <x:v>LMFT-MQB-FB-DI-017</x:v>
      </x:c>
      <x:c r="I93" s="192" t="str">
        <x:v>CTA-LMFT-MQB-0497</x:v>
      </x:c>
      <x:c r="J93" s="192" t="str">
        <x:v>Form B</x:v>
      </x:c>
      <x:c r="K93" s="192" t="str">
        <x:v>Diagnostic uncertainty with safety risk</x:v>
      </x:c>
      <x:c r="L93" s="192" t="str">
        <x:v>A client is paranoid, using stimulants, sleeping minimally, and no longer eating or maintaining shelter. What should the LMFT prioritize while the exact source of the symptoms remains uncertain?</x:v>
      </x:c>
      <x:c r="M93" s="192" t="str">
        <x:v>Alternate Form</x:v>
      </x:c>
      <x:c r="N93" s="194" t="str">
        <x:v>Keep on separate forms; review both items together before any future revision, option movement, or reuse.</x:v>
      </x:c>
    </x:row>
    <x:row r="94">
      <x:c r="A94" s="191" t="str">
        <x:v>LMFT-ALT-093</x:v>
      </x:c>
      <x:c r="B94" s="218" t="n">
        <x:v>0.7870681746739419</x:v>
      </x:c>
      <x:c r="C94" s="192" t="str">
        <x:v>LMFT-MQB-FA-LE-001</x:v>
      </x:c>
      <x:c r="D94" s="192" t="str">
        <x:v>CTA-LMFT-MQB-0336</x:v>
      </x:c>
      <x:c r="E94" s="192" t="str">
        <x:v>Form A</x:v>
      </x:c>
      <x:c r="F94" s="192" t="str">
        <x:v>Ongoing informed consent</x:v>
      </x:c>
      <x:c r="G94" s="192" t="str">
        <x:v>Which statement BEST describes informed consent in psychotherapy?</x:v>
      </x:c>
      <x:c r="H94" s="192" t="str">
        <x:v>LMFT-MQB-FB-LE-001</x:v>
      </x:c>
      <x:c r="I94" s="192" t="str">
        <x:v>CTA-LMFT-MQB-0419</x:v>
      </x:c>
      <x:c r="J94" s="192" t="str">
        <x:v>Form B</x:v>
      </x:c>
      <x:c r="K94" s="192" t="str">
        <x:v>Ongoing informed consent</x:v>
      </x:c>
      <x:c r="L94" s="192" t="str">
        <x:v>A treatment approach, fee arrangement, or participant role changes after intake. Which principle explains why the therapist must revisit the client’s understanding and choice?</x:v>
      </x:c>
      <x:c r="M94" s="192" t="str">
        <x:v>Alternate Form</x:v>
      </x:c>
      <x:c r="N94" s="194" t="str">
        <x:v>Keep on separate forms; review both items together before any future revision, option movement, or reuse.</x:v>
      </x:c>
    </x:row>
    <x:row r="95">
      <x:c r="A95" s="191" t="str">
        <x:v>LMFT-ALT-094</x:v>
      </x:c>
      <x:c r="B95" s="218" t="n">
        <x:v>0.7765904181145777</x:v>
      </x:c>
      <x:c r="C95" s="192" t="str">
        <x:v>LMFT-MQB-FA-LE-002</x:v>
      </x:c>
      <x:c r="D95" s="192" t="str">
        <x:v>CTA-LMFT-MQB-0232</x:v>
      </x:c>
      <x:c r="E95" s="192" t="str">
        <x:v>Form A</x:v>
      </x:c>
      <x:c r="F95" s="192" t="str">
        <x:v>Minimum necessary disclosure</x:v>
      </x:c>
      <x:c r="G95" s="192" t="str">
        <x:v>When a lawful disclosure is permitted or required, what information should the LMFT generally disclose?</x:v>
      </x:c>
      <x:c r="H95" s="192" t="str">
        <x:v>LMFT-MQB-FB-LE-002</x:v>
      </x:c>
      <x:c r="I95" s="192" t="str">
        <x:v>CTA-LMFT-MQB-0421</x:v>
      </x:c>
      <x:c r="J95" s="192" t="str">
        <x:v>Form B</x:v>
      </x:c>
      <x:c r="K95" s="192" t="str">
        <x:v>Minimum necessary disclosure</x:v>
      </x:c>
      <x:c r="L95" s="192" t="str">
        <x:v>An LMFT has a valid basis to share information for a specific protective purpose. What should guide the amount of information released?</x:v>
      </x:c>
      <x:c r="M95" s="192" t="str">
        <x:v>Alternate Form</x:v>
      </x:c>
      <x:c r="N95" s="194" t="str">
        <x:v>Keep on separate forms; review both items together before any future revision, option movement, or reuse.</x:v>
      </x:c>
    </x:row>
    <x:row r="96">
      <x:c r="A96" s="191" t="str">
        <x:v>LMFT-ALT-095</x:v>
      </x:c>
      <x:c r="B96" s="218" t="n">
        <x:v>0.8394961058644925</x:v>
      </x:c>
      <x:c r="C96" s="192" t="str">
        <x:v>LMFT-MQB-FA-LE-003</x:v>
      </x:c>
      <x:c r="D96" s="192" t="str">
        <x:v>CTA-LMFT-MQB-0218</x:v>
      </x:c>
      <x:c r="E96" s="192" t="str">
        <x:v>Form A</x:v>
      </x:c>
      <x:c r="F96" s="192" t="str">
        <x:v>Record correction</x:v>
      </x:c>
      <x:c r="G96" s="192" t="str">
        <x:v>An LMFT discovers an error in a finalized progress note. What is the BEST correction method?</x:v>
      </x:c>
      <x:c r="H96" s="192" t="str">
        <x:v>LMFT-MQB-FB-LE-003</x:v>
      </x:c>
      <x:c r="I96" s="192" t="str">
        <x:v>CTA-LMFT-MQB-0388</x:v>
      </x:c>
      <x:c r="J96" s="192" t="str">
        <x:v>Form B</x:v>
      </x:c>
      <x:c r="K96" s="192" t="str">
        <x:v>Record correction</x:v>
      </x:c>
      <x:c r="L96" s="192" t="str">
        <x:v>After signing a note, a therapist discovers that the medication name was entered incorrectly. How should the record be corrected?</x:v>
      </x:c>
      <x:c r="M96" s="192" t="str">
        <x:v>Alternate Form</x:v>
      </x:c>
      <x:c r="N96" s="194" t="str">
        <x:v>Keep on separate forms; review both items together before any future revision, option movement, or reuse.</x:v>
      </x:c>
    </x:row>
    <x:row r="97">
      <x:c r="A97" s="191" t="str">
        <x:v>LMFT-ALT-096</x:v>
      </x:c>
      <x:c r="B97" s="218" t="n">
        <x:v>0.8754209848192815</x:v>
      </x:c>
      <x:c r="C97" s="192" t="str">
        <x:v>LMFT-MQB-FA-LE-004</x:v>
      </x:c>
      <x:c r="D97" s="192" t="str">
        <x:v>CTA-LMFT-MQB-0259</x:v>
      </x:c>
      <x:c r="E97" s="192" t="str">
        <x:v>Form A</x:v>
      </x:c>
      <x:c r="F97" s="192" t="str">
        <x:v>Competence and referral</x:v>
      </x:c>
      <x:c r="G97" s="192" t="str">
        <x:v>An LMFT is asked to provide a specialized service for which the therapist lacks training. What should the LMFT do?</x:v>
      </x:c>
      <x:c r="H97" s="192" t="str">
        <x:v>LMFT-MQB-FB-LE-004</x:v>
      </x:c>
      <x:c r="I97" s="192" t="str">
        <x:v>CTA-LMFT-MQB-0390</x:v>
      </x:c>
      <x:c r="J97" s="192" t="str">
        <x:v>Form B</x:v>
      </x:c>
      <x:c r="K97" s="192" t="str">
        <x:v>Competence and referral</x:v>
      </x:c>
      <x:c r="L97" s="192" t="str">
        <x:v>A client requests a specialized forensic service that the treating LMFT has never been trained to provide. What is the therapist’s best response?</x:v>
      </x:c>
      <x:c r="M97" s="192" t="str">
        <x:v>Alternate Form</x:v>
      </x:c>
      <x:c r="N97" s="194" t="str">
        <x:v>Keep on separate forms; review both items together before any future revision, option movement, or reuse.</x:v>
      </x:c>
    </x:row>
    <x:row r="98">
      <x:c r="A98" s="191" t="str">
        <x:v>LMFT-ALT-097</x:v>
      </x:c>
      <x:c r="B98" s="218" t="n">
        <x:v>0.8674111589909662</x:v>
      </x:c>
      <x:c r="C98" s="192" t="str">
        <x:v>LMFT-MQB-FA-LE-005</x:v>
      </x:c>
      <x:c r="D98" s="192" t="str">
        <x:v>CTA-LMFT-MQB-0339</x:v>
      </x:c>
      <x:c r="E98" s="192" t="str">
        <x:v>Form A</x:v>
      </x:c>
      <x:c r="F98" s="192" t="str">
        <x:v>Gift boundaries</x:v>
      </x:c>
      <x:c r="G98" s="192" t="str">
        <x:v>A long-term client offers a low-cost handmade gift with significant cultural meaning. What is the BEST response?</x:v>
      </x:c>
      <x:c r="H98" s="192" t="str">
        <x:v>LMFT-MQB-FB-LE-005</x:v>
      </x:c>
      <x:c r="I98" s="192" t="str">
        <x:v>CTA-LMFT-MQB-0410</x:v>
      </x:c>
      <x:c r="J98" s="192" t="str">
        <x:v>Form B</x:v>
      </x:c>
      <x:c r="K98" s="192" t="str">
        <x:v>Gift boundaries</x:v>
      </x:c>
      <x:c r="L98" s="192" t="str">
        <x:v>A family offers the therapist a modest ceremonial gift that carries important cultural meaning. How should the LMFT decide whether acceptance is appropriate?</x:v>
      </x:c>
      <x:c r="M98" s="192" t="str">
        <x:v>Alternate Form</x:v>
      </x:c>
      <x:c r="N98" s="194" t="str">
        <x:v>Keep on separate forms; review both items together before any future revision, option movement, or reuse.</x:v>
      </x:c>
    </x:row>
    <x:row r="99">
      <x:c r="A99" s="191" t="str">
        <x:v>LMFT-ALT-098</x:v>
      </x:c>
      <x:c r="B99" s="218" t="n">
        <x:v>0.8131800761852305</x:v>
      </x:c>
      <x:c r="C99" s="192" t="str">
        <x:v>LMFT-MQB-FA-LE-006</x:v>
      </x:c>
      <x:c r="D99" s="192" t="str">
        <x:v>CTA-LMFT-MQB-0253</x:v>
      </x:c>
      <x:c r="E99" s="192" t="str">
        <x:v>Form A</x:v>
      </x:c>
      <x:c r="F99" s="192" t="str">
        <x:v>Electronic communication</x:v>
      </x:c>
      <x:c r="G99" s="192" t="str">
        <x:v>A client sends clinical details through a scheduling-only text line. What should the LMFT do?</x:v>
      </x:c>
      <x:c r="H99" s="192" t="str">
        <x:v>LMFT-MQB-FB-LE-006</x:v>
      </x:c>
      <x:c r="I99" s="192" t="str">
        <x:v>CTA-LMFT-MQB-0376</x:v>
      </x:c>
      <x:c r="J99" s="192" t="str">
        <x:v>Form B</x:v>
      </x:c>
      <x:c r="K99" s="192" t="str">
        <x:v>Electronic communication</x:v>
      </x:c>
      <x:c r="L99" s="192" t="str">
        <x:v>A client sends a message about escalating self-harm through a portal designated only for appointment changes. What should the therapist do?</x:v>
      </x:c>
      <x:c r="M99" s="192" t="str">
        <x:v>Alternate Form</x:v>
      </x:c>
      <x:c r="N99" s="194" t="str">
        <x:v>Keep on separate forms; review both items together before any future revision, option movement, or reuse.</x:v>
      </x:c>
    </x:row>
    <x:row r="100">
      <x:c r="A100" s="191" t="str">
        <x:v>LMFT-ALT-099</x:v>
      </x:c>
      <x:c r="B100" s="218" t="n">
        <x:v>0.8551763177801306</x:v>
      </x:c>
      <x:c r="C100" s="192" t="str">
        <x:v>LMFT-MQB-FA-LE-007</x:v>
      </x:c>
      <x:c r="D100" s="192" t="str">
        <x:v>CTA-LMFT-MQB-0277</x:v>
      </x:c>
      <x:c r="E100" s="192" t="str">
        <x:v>Form A</x:v>
      </x:c>
      <x:c r="F100" s="192" t="str">
        <x:v>Court request</x:v>
      </x:c>
      <x:c r="G100" s="192" t="str">
        <x:v>An attorney sends a subpoena for a family-therapy record and demands immediate release. What should the LMFT do?</x:v>
      </x:c>
      <x:c r="H100" s="192" t="str">
        <x:v>LMFT-MQB-FB-LE-007</x:v>
      </x:c>
      <x:c r="I100" s="192" t="str">
        <x:v>CTA-LMFT-MQB-0466</x:v>
      </x:c>
      <x:c r="J100" s="192" t="str">
        <x:v>Form B</x:v>
      </x:c>
      <x:c r="K100" s="192" t="str">
        <x:v>Court request</x:v>
      </x:c>
      <x:c r="L100" s="192" t="str">
        <x:v>A lawyer emails a subpoena and says the complete couple-therapy file must be sent before the end of the day. What should the LMFT do?</x:v>
      </x:c>
      <x:c r="M100" s="192" t="str">
        <x:v>Alternate Form</x:v>
      </x:c>
      <x:c r="N100" s="194" t="str">
        <x:v>Keep on separate forms; review both items together before any future revision, option movement, or reuse.</x:v>
      </x:c>
    </x:row>
    <x:row r="101">
      <x:c r="A101" s="191" t="str">
        <x:v>LMFT-ALT-100</x:v>
      </x:c>
      <x:c r="B101" s="218" t="n">
        <x:v>0.9134591210260546</x:v>
      </x:c>
      <x:c r="C101" s="192" t="str">
        <x:v>LMFT-MQB-FA-LE-008</x:v>
      </x:c>
      <x:c r="D101" s="192" t="str">
        <x:v>CTA-LMFT-MQB-0323</x:v>
      </x:c>
      <x:c r="E101" s="192" t="str">
        <x:v>Form A</x:v>
      </x:c>
      <x:c r="F101" s="192" t="str">
        <x:v>Renewed consent for recording</x:v>
      </x:c>
      <x:c r="G101" s="192" t="str">
        <x:v>An LMFT wants to begin recording sessions for consultation. What should the therapist do FIRST?</x:v>
      </x:c>
      <x:c r="H101" s="192" t="str">
        <x:v>LMFT-MQB-FB-LE-008</x:v>
      </x:c>
      <x:c r="I101" s="192" t="str">
        <x:v>CTA-LMFT-MQB-0425</x:v>
      </x:c>
      <x:c r="J101" s="192" t="str">
        <x:v>Form B</x:v>
      </x:c>
      <x:c r="K101" s="192" t="str">
        <x:v>Renewed consent for recording</x:v>
      </x:c>
      <x:c r="L101" s="192" t="str">
        <x:v>A therapist plans to record a future session for supervision. What must occur before the recording begins?</x:v>
      </x:c>
      <x:c r="M101" s="192" t="str">
        <x:v>Alternate Form</x:v>
      </x:c>
      <x:c r="N101" s="194" t="str">
        <x:v>Keep on separate forms; review both items together before any future revision, option movement, or reuse.</x:v>
      </x:c>
    </x:row>
    <x:row r="102">
      <x:c r="A102" s="191" t="str">
        <x:v>LMFT-ALT-101</x:v>
      </x:c>
      <x:c r="B102" s="218" t="n">
        <x:v>0.8678641370884039</x:v>
      </x:c>
      <x:c r="C102" s="192" t="str">
        <x:v>LMFT-MQB-FA-LE-009</x:v>
      </x:c>
      <x:c r="D102" s="192" t="str">
        <x:v>CTA-LMFT-MQB-0303</x:v>
      </x:c>
      <x:c r="E102" s="192" t="str">
        <x:v>Form A</x:v>
      </x:c>
      <x:c r="F102" s="192" t="str">
        <x:v>Multiple-client disclosure</x:v>
      </x:c>
      <x:c r="G102" s="192" t="str">
        <x:v>One partner in couple therapy asks for a private copy of all conjoint records and wants the request hidden from the other partner. What should the LMFT do NEXT?</x:v>
      </x:c>
      <x:c r="H102" s="192" t="str">
        <x:v>LMFT-MQB-FB-LE-009</x:v>
      </x:c>
      <x:c r="I102" s="192" t="str">
        <x:v>CTA-LMFT-MQB-0372</x:v>
      </x:c>
      <x:c r="J102" s="192" t="str">
        <x:v>Form B</x:v>
      </x:c>
      <x:c r="K102" s="192" t="str">
        <x:v>Multiple-client disclosure</x:v>
      </x:c>
      <x:c r="L102" s="192" t="str">
        <x:v>One member of a family-treatment case requests the entire record and asks that the request remain secret from other participants. What should the therapist do next?</x:v>
      </x:c>
      <x:c r="M102" s="192" t="str">
        <x:v>Alternate Form</x:v>
      </x:c>
      <x:c r="N102" s="194" t="str">
        <x:v>Keep on separate forms; review both items together before any future revision, option movement, or reuse.</x:v>
      </x:c>
    </x:row>
    <x:row r="103">
      <x:c r="A103" s="191" t="str">
        <x:v>LMFT-ALT-102</x:v>
      </x:c>
      <x:c r="B103" s="218" t="n">
        <x:v>0.8006072580737361</x:v>
      </x:c>
      <x:c r="C103" s="192" t="str">
        <x:v>LMFT-MQB-FA-LE-010</x:v>
      </x:c>
      <x:c r="D103" s="192" t="str">
        <x:v>CTA-LMFT-MQB-0245</x:v>
      </x:c>
      <x:c r="E103" s="192" t="str">
        <x:v>Form A</x:v>
      </x:c>
      <x:c r="F103" s="192" t="str">
        <x:v>Countertransference</x:v>
      </x:c>
      <x:c r="G103" s="192" t="str">
        <x:v>An LMFT going through a divorce becomes unusually critical of a client who is considering reconciliation. What should the therapist do NEXT?</x:v>
      </x:c>
      <x:c r="H103" s="192" t="str">
        <x:v>LMFT-MQB-FB-LE-010</x:v>
      </x:c>
      <x:c r="I103" s="192" t="str">
        <x:v>CTA-LMFT-MQB-0362</x:v>
      </x:c>
      <x:c r="J103" s="192" t="str">
        <x:v>Form B</x:v>
      </x:c>
      <x:c r="K103" s="192" t="str">
        <x:v>Countertransference</x:v>
      </x:c>
      <x:c r="L103" s="192" t="str">
        <x:v>An LMFT notices strong personal reactions are shaping advice to a client whose situation resembles the therapist’s current family conflict. What should the therapist do next?</x:v>
      </x:c>
      <x:c r="M103" s="192" t="str">
        <x:v>Alternate Form</x:v>
      </x:c>
      <x:c r="N103" s="194" t="str">
        <x:v>Keep on separate forms; review both items together before any future revision, option movement, or reuse.</x:v>
      </x:c>
    </x:row>
    <x:row r="104">
      <x:c r="A104" s="191" t="str">
        <x:v>LMFT-ALT-103</x:v>
      </x:c>
      <x:c r="B104" s="218" t="n">
        <x:v>0.78919856566896</x:v>
      </x:c>
      <x:c r="C104" s="192" t="str">
        <x:v>LMFT-MQB-FA-LE-011</x:v>
      </x:c>
      <x:c r="D104" s="192" t="str">
        <x:v>CTA-LMFT-MQB-0214</x:v>
      </x:c>
      <x:c r="E104" s="192" t="str">
        <x:v>Form A</x:v>
      </x:c>
      <x:c r="F104" s="192" t="str">
        <x:v>Telehealth jurisdiction</x:v>
      </x:c>
      <x:c r="G104" s="192" t="str">
        <x:v>At the start of a session, a client reports being temporarily located in another state. What should the LMFT do NEXT?</x:v>
      </x:c>
      <x:c r="H104" s="192" t="str">
        <x:v>LMFT-MQB-FB-LE-011</x:v>
      </x:c>
      <x:c r="I104" s="192" t="str">
        <x:v>CTA-LMFT-MQB-0380</x:v>
      </x:c>
      <x:c r="J104" s="192" t="str">
        <x:v>Form B</x:v>
      </x:c>
      <x:c r="K104" s="192" t="str">
        <x:v>Telehealth jurisdiction</x:v>
      </x:c>
      <x:c r="L104" s="192" t="str">
        <x:v>A client logs into telehealth while visiting a jurisdiction where the LMFT may not be authorized to practice. What should the therapist do next?</x:v>
      </x:c>
      <x:c r="M104" s="192" t="str">
        <x:v>Alternate Form</x:v>
      </x:c>
      <x:c r="N104" s="194" t="str">
        <x:v>Keep on separate forms; review both items together before any future revision, option movement, or reuse.</x:v>
      </x:c>
    </x:row>
    <x:row r="105">
      <x:c r="A105" s="191" t="str">
        <x:v>LMFT-ALT-104</x:v>
      </x:c>
      <x:c r="B105" s="218" t="n">
        <x:v>0.8291073210198641</x:v>
      </x:c>
      <x:c r="C105" s="192" t="str">
        <x:v>LMFT-MQB-FA-LE-012</x:v>
      </x:c>
      <x:c r="D105" s="192" t="str">
        <x:v>CTA-LMFT-MQB-0216</x:v>
      </x:c>
      <x:c r="E105" s="192" t="str">
        <x:v>Form A</x:v>
      </x:c>
      <x:c r="F105" s="192" t="str">
        <x:v>Third-party payer request</x:v>
      </x:c>
      <x:c r="G105" s="192" t="str">
        <x:v>An insurer asks the LMFT to exaggerate impairment so additional sessions will be approved. What should the therapist do?</x:v>
      </x:c>
      <x:c r="H105" s="192" t="str">
        <x:v>LMFT-MQB-FB-LE-012</x:v>
      </x:c>
      <x:c r="I105" s="192" t="str">
        <x:v>CTA-LMFT-MQB-0495</x:v>
      </x:c>
      <x:c r="J105" s="192" t="str">
        <x:v>Form B</x:v>
      </x:c>
      <x:c r="K105" s="192" t="str">
        <x:v>Third-party payer request</x:v>
      </x:c>
      <x:c r="L105" s="192" t="str">
        <x:v>A utilization reviewer suggests documenting symptoms the client does not have so more sessions will be approved. What should the therapist do?</x:v>
      </x:c>
      <x:c r="M105" s="192" t="str">
        <x:v>Alternate Form</x:v>
      </x:c>
      <x:c r="N105" s="194" t="str">
        <x:v>Keep on separate forms; review both items together before any future revision, option movement, or reuse.</x:v>
      </x:c>
    </x:row>
    <x:row r="106">
      <x:c r="A106" s="191" t="str">
        <x:v>LMFT-ALT-105</x:v>
      </x:c>
      <x:c r="B106" s="218" t="n">
        <x:v>0.79640822876169</x:v>
      </x:c>
      <x:c r="C106" s="192" t="str">
        <x:v>LMFT-MQB-FA-LE-013</x:v>
      </x:c>
      <x:c r="D106" s="192" t="str">
        <x:v>CTA-LMFT-MQB-0242</x:v>
      </x:c>
      <x:c r="E106" s="192" t="str">
        <x:v>Form A</x:v>
      </x:c>
      <x:c r="F106" s="192" t="str">
        <x:v>Abrupt practice closure</x:v>
      </x:c>
      <x:c r="G106" s="192" t="str">
        <x:v>An LMFT must stop practicing unexpectedly because of a serious illness. What should be done?</x:v>
      </x:c>
      <x:c r="H106" s="192" t="str">
        <x:v>LMFT-MQB-FB-LE-013</x:v>
      </x:c>
      <x:c r="I106" s="192" t="str">
        <x:v>CTA-LMFT-MQB-0384</x:v>
      </x:c>
      <x:c r="J106" s="192" t="str">
        <x:v>Form B</x:v>
      </x:c>
      <x:c r="K106" s="192" t="str">
        <x:v>Abrupt practice closure</x:v>
      </x:c>
      <x:c r="L106" s="192" t="str">
        <x:v>A sudden hospitalization makes an LMFT unable to contact clients or continue practice. What should the therapist’s designated continuity process accomplish?</x:v>
      </x:c>
      <x:c r="M106" s="192" t="str">
        <x:v>Alternate Form</x:v>
      </x:c>
      <x:c r="N106" s="194" t="str">
        <x:v>Keep on separate forms; review both items together before any future revision, option movement, or reuse.</x:v>
      </x:c>
    </x:row>
    <x:row r="107">
      <x:c r="A107" s="191" t="str">
        <x:v>LMFT-ALT-106</x:v>
      </x:c>
      <x:c r="B107" s="218" t="n">
        <x:v>0.7879843934846755</x:v>
      </x:c>
      <x:c r="C107" s="192" t="str">
        <x:v>LMFT-MQB-FA-LE-014</x:v>
      </x:c>
      <x:c r="D107" s="192" t="str">
        <x:v>CTA-LMFT-MQB-0276</x:v>
      </x:c>
      <x:c r="E107" s="192" t="str">
        <x:v>Form A</x:v>
      </x:c>
      <x:c r="F107" s="192" t="str">
        <x:v>Ethics, safety, and minimum disclosure</x:v>
      </x:c>
      <x:c r="G107" s="192" t="str">
        <x:v>A client threatens a specific person and then withdraws authorization for all collateral contact. What should the LMFT do?</x:v>
      </x:c>
      <x:c r="H107" s="192" t="str">
        <x:v>LMFT-MQB-FB-LE-014</x:v>
      </x:c>
      <x:c r="I107" s="192" t="str">
        <x:v>CTA-LMFT-MQB-0474</x:v>
      </x:c>
      <x:c r="J107" s="192" t="str">
        <x:v>Form B</x:v>
      </x:c>
      <x:c r="K107" s="192" t="str">
        <x:v>Ethics, safety, and minimum disclosure</x:v>
      </x:c>
      <x:c r="L107" s="192" t="str">
        <x:v>A client communicates a credible threat toward a named person and revokes permission to contact anyone. How should the LMFT balance safety and confidentiality?</x:v>
      </x:c>
      <x:c r="M107" s="192" t="str">
        <x:v>Alternate Form</x:v>
      </x:c>
      <x:c r="N107" s="194" t="str">
        <x:v>Keep on separate forms; review both items together before any future revision, option movement, or reuse.</x:v>
      </x:c>
    </x:row>
    <x:row r="108">
      <x:c r="A108" s="191" t="str">
        <x:v>LMFT-ALT-107</x:v>
      </x:c>
      <x:c r="B108" s="218" t="n">
        <x:v>0.8813974870930069</x:v>
      </x:c>
      <x:c r="C108" s="192" t="str">
        <x:v>LMFT-MQB-FA-LE-015</x:v>
      </x:c>
      <x:c r="D108" s="192" t="str">
        <x:v>CTA-LMFT-MQB-0237</x:v>
      </x:c>
      <x:c r="E108" s="192" t="str">
        <x:v>Form A</x:v>
      </x:c>
      <x:c r="F108" s="192" t="str">
        <x:v>Court-involved relational treatment</x:v>
      </x:c>
      <x:c r="G108" s="192" t="str">
        <x:v>A therapist treating a child in a high-conflict custody case is asked by one parent to write a declaration recommending custody changes. The therapist has not conducted a custody evaluation and has limited information from the other parent. What should the therapist do?</x:v>
      </x:c>
      <x:c r="H108" s="192" t="str">
        <x:v>LMFT-MQB-FB-LE-015</x:v>
      </x:c>
      <x:c r="I108" s="192" t="str">
        <x:v>CTA-LMFT-MQB-0357</x:v>
      </x:c>
      <x:c r="J108" s="192" t="str">
        <x:v>Form B</x:v>
      </x:c>
      <x:c r="K108" s="192" t="str">
        <x:v>Court-involved relational treatment</x:v>
      </x:c>
      <x:c r="L108" s="192" t="str">
        <x:v>A treating therapist in a custody dispute is asked to recommend a custody arrangement despite lacking neutral evaluative data. What is the most appropriate response?</x:v>
      </x:c>
      <x:c r="M108" s="192" t="str">
        <x:v>Alternate Form</x:v>
      </x:c>
      <x:c r="N108" s="194" t="str">
        <x:v>Keep on separate forms; review both items together before any future revision, option movement, or reuse.</x:v>
      </x:c>
    </x:row>
    <x:row r="109">
      <x:c r="A109" s="191" t="str">
        <x:v>LMFT-ALT-108</x:v>
      </x:c>
      <x:c r="B109" s="218" t="n">
        <x:v>0.8108067945142357</x:v>
      </x:c>
      <x:c r="C109" s="192" t="str">
        <x:v>LMFT-MQB-FA-TX-001</x:v>
      </x:c>
      <x:c r="D109" s="192" t="str">
        <x:v>CTA-LMFT-MQB-0308</x:v>
      </x:c>
      <x:c r="E109" s="192" t="str">
        <x:v>Form A</x:v>
      </x:c>
      <x:c r="F109" s="192" t="str">
        <x:v>Structural intervention</x:v>
      </x:c>
      <x:c r="G109" s="192" t="str">
        <x:v>Which intervention is MOST characteristic of structural family therapy?</x:v>
      </x:c>
      <x:c r="H109" s="192" t="str">
        <x:v>LMFT-MQB-FB-TX-001</x:v>
      </x:c>
      <x:c r="I109" s="192" t="str">
        <x:v>CTA-LMFT-MQB-0447</x:v>
      </x:c>
      <x:c r="J109" s="192" t="str">
        <x:v>Form B</x:v>
      </x:c>
      <x:c r="K109" s="192" t="str">
        <x:v>Structural intervention</x:v>
      </x:c>
      <x:c r="L109" s="192" t="str">
        <x:v>A family therapist asks members to reenact a recurring dinner conflict so that boundaries and hierarchy can be observed and reorganized in the room. Which model is most clearly reflected?</x:v>
      </x:c>
      <x:c r="M109" s="192" t="str">
        <x:v>Alternate Form</x:v>
      </x:c>
      <x:c r="N109" s="194" t="str">
        <x:v>Keep on separate forms; review both items together before any future revision, option movement, or reuse.</x:v>
      </x:c>
    </x:row>
    <x:row r="110">
      <x:c r="A110" s="191" t="str">
        <x:v>LMFT-ALT-109</x:v>
      </x:c>
      <x:c r="B110" s="218" t="n">
        <x:v>0.9107072084518006</x:v>
      </x:c>
      <x:c r="C110" s="192" t="str">
        <x:v>LMFT-MQB-FA-TX-002</x:v>
      </x:c>
      <x:c r="D110" s="192" t="str">
        <x:v>CTA-LMFT-MQB-0283</x:v>
      </x:c>
      <x:c r="E110" s="192" t="str">
        <x:v>Form A</x:v>
      </x:c>
      <x:c r="F110" s="192" t="str">
        <x:v>Motivational interviewing</x:v>
      </x:c>
      <x:c r="G110" s="192" t="str">
        <x:v>What is the therapist’s primary stance when using motivational interviewing?</x:v>
      </x:c>
      <x:c r="H110" s="192" t="str">
        <x:v>LMFT-MQB-FB-TX-002</x:v>
      </x:c>
      <x:c r="I110" s="192" t="str">
        <x:v>CTA-LMFT-MQB-0428</x:v>
      </x:c>
      <x:c r="J110" s="192" t="str">
        <x:v>Form B</x:v>
      </x:c>
      <x:c r="K110" s="192" t="str">
        <x:v>Motivational interviewing</x:v>
      </x:c>
      <x:c r="L110" s="192" t="str">
        <x:v>A client is uncertain about reducing substance use. Which therapist stance is most consistent with motivational interviewing?</x:v>
      </x:c>
      <x:c r="M110" s="192" t="str">
        <x:v>Alternate Form</x:v>
      </x:c>
      <x:c r="N110" s="194" t="str">
        <x:v>Keep on separate forms; review both items together before any future revision, option movement, or reuse.</x:v>
      </x:c>
    </x:row>
    <x:row r="111">
      <x:c r="A111" s="191" t="str">
        <x:v>LMFT-ALT-110</x:v>
      </x:c>
      <x:c r="B111" s="218" t="n">
        <x:v>0.828736846065352</x:v>
      </x:c>
      <x:c r="C111" s="192" t="str">
        <x:v>LMFT-MQB-FA-TX-003</x:v>
      </x:c>
      <x:c r="D111" s="192" t="str">
        <x:v>CTA-LMFT-MQB-0210</x:v>
      </x:c>
      <x:c r="E111" s="192" t="str">
        <x:v>Form A</x:v>
      </x:c>
      <x:c r="F111" s="192" t="str">
        <x:v>Group stage</x:v>
      </x:c>
      <x:c r="G111" s="192" t="str">
        <x:v>What is a central facilitator task during the initial stage of a therapy group?</x:v>
      </x:c>
      <x:c r="H111" s="192" t="str">
        <x:v>LMFT-MQB-FB-TX-003</x:v>
      </x:c>
      <x:c r="I111" s="192" t="str">
        <x:v>CTA-LMFT-MQB-0394</x:v>
      </x:c>
      <x:c r="J111" s="192" t="str">
        <x:v>Form B</x:v>
      </x:c>
      <x:c r="K111" s="192" t="str">
        <x:v>Group stage</x:v>
      </x:c>
      <x:c r="L111" s="192" t="str">
        <x:v>Members of a newly formed group are guarded, unclear about expectations, and watching the facilitator closely. What is the facilitator’s central task at this stage?</x:v>
      </x:c>
      <x:c r="M111" s="192" t="str">
        <x:v>Alternate Form</x:v>
      </x:c>
      <x:c r="N111" s="194" t="str">
        <x:v>Keep on separate forms; review both items together before any future revision, option movement, or reuse.</x:v>
      </x:c>
    </x:row>
    <x:row r="112">
      <x:c r="A112" s="191" t="str">
        <x:v>LMFT-ALT-111</x:v>
      </x:c>
      <x:c r="B112" s="218" t="n">
        <x:v>0.8881524655282204</x:v>
      </x:c>
      <x:c r="C112" s="192" t="str">
        <x:v>LMFT-MQB-FA-TX-004</x:v>
      </x:c>
      <x:c r="D112" s="192" t="str">
        <x:v>CTA-LMFT-MQB-0278</x:v>
      </x:c>
      <x:c r="E112" s="192" t="str">
        <x:v>Form A</x:v>
      </x:c>
      <x:c r="F112" s="192" t="str">
        <x:v>Termination task</x:v>
      </x:c>
      <x:c r="G112" s="192" t="str">
        <x:v>Which activity is MOST appropriate during planned termination?</x:v>
      </x:c>
      <x:c r="H112" s="192" t="str">
        <x:v>LMFT-MQB-FB-TX-004</x:v>
      </x:c>
      <x:c r="I112" s="192" t="str">
        <x:v>CTA-LMFT-MQB-0391</x:v>
      </x:c>
      <x:c r="J112" s="192" t="str">
        <x:v>Form B</x:v>
      </x:c>
      <x:c r="K112" s="192" t="str">
        <x:v>Termination task</x:v>
      </x:c>
      <x:c r="L112" s="192" t="str">
        <x:v>As planned therapy ends, which activity best supports consolidation and future self-management?</x:v>
      </x:c>
      <x:c r="M112" s="192" t="str">
        <x:v>Alternate Form</x:v>
      </x:c>
      <x:c r="N112" s="194" t="str">
        <x:v>Keep on separate forms; review both items together before any future revision, option movement, or reuse.</x:v>
      </x:c>
    </x:row>
    <x:row r="113">
      <x:c r="A113" s="191" t="str">
        <x:v>LMFT-ALT-112</x:v>
      </x:c>
      <x:c r="B113" s="218" t="n">
        <x:v>0.8019283519807496</x:v>
      </x:c>
      <x:c r="C113" s="192" t="str">
        <x:v>LMFT-MQB-FA-TX-005</x:v>
      </x:c>
      <x:c r="D113" s="192" t="str">
        <x:v>CTA-LMFT-MQB-0300</x:v>
      </x:c>
      <x:c r="E113" s="192" t="str">
        <x:v>Form A</x:v>
      </x:c>
      <x:c r="F113" s="192" t="str">
        <x:v>Reflective listening</x:v>
      </x:c>
      <x:c r="G113" s="192" t="str">
        <x:v>A client says, “Part of me wants to leave the relationship, and part of me is terrified to be alone.” Which response BEST reflects the ambivalence?</x:v>
      </x:c>
      <x:c r="H113" s="192" t="str">
        <x:v>LMFT-MQB-FB-TX-005</x:v>
      </x:c>
      <x:c r="I113" s="192" t="str">
        <x:v>CTA-LMFT-MQB-0455</x:v>
      </x:c>
      <x:c r="J113" s="192" t="str">
        <x:v>Form B</x:v>
      </x:c>
      <x:c r="K113" s="192" t="str">
        <x:v>Reflective listening</x:v>
      </x:c>
      <x:c r="L113" s="192" t="str">
        <x:v>A client says, “I want my family’s approval, but I am exhausted from living by their rules.” Which response most accurately reflects both sides of the conflict?</x:v>
      </x:c>
      <x:c r="M113" s="192" t="str">
        <x:v>Alternate Form</x:v>
      </x:c>
      <x:c r="N113" s="194" t="str">
        <x:v>Keep on separate forms; review both items together before any future revision, option movement, or reuse.</x:v>
      </x:c>
    </x:row>
    <x:row r="114">
      <x:c r="A114" s="191" t="str">
        <x:v>LMFT-ALT-113</x:v>
      </x:c>
      <x:c r="B114" s="218" t="n">
        <x:v>0.8683270860725587</x:v>
      </x:c>
      <x:c r="C114" s="192" t="str">
        <x:v>LMFT-MQB-FA-TX-006</x:v>
      </x:c>
      <x:c r="D114" s="192" t="str">
        <x:v>CTA-LMFT-MQB-0285</x:v>
      </x:c>
      <x:c r="E114" s="192" t="str">
        <x:v>Form A</x:v>
      </x:c>
      <x:c r="F114" s="192" t="str">
        <x:v>Behavioral activation</x:v>
      </x:c>
      <x:c r="G114" s="192" t="str">
        <x:v>A depressed client has stopped all pleasurable and mastery activities. Which intervention is MOST consistent with behavioral activation?</x:v>
      </x:c>
      <x:c r="H114" s="192" t="str">
        <x:v>LMFT-MQB-FB-TX-006</x:v>
      </x:c>
      <x:c r="I114" s="192" t="str">
        <x:v>CTA-LMFT-MQB-0413</x:v>
      </x:c>
      <x:c r="J114" s="192" t="str">
        <x:v>Form B</x:v>
      </x:c>
      <x:c r="K114" s="192" t="str">
        <x:v>Behavioral activation</x:v>
      </x:c>
      <x:c r="L114" s="192" t="str">
        <x:v>A client with depression spends most days in bed and has stopped routine tasks. Which first intervention best represents behavioral activation?</x:v>
      </x:c>
      <x:c r="M114" s="192" t="str">
        <x:v>Alternate Form</x:v>
      </x:c>
      <x:c r="N114" s="194" t="str">
        <x:v>Keep on separate forms; review both items together before any future revision, option movement, or reuse.</x:v>
      </x:c>
    </x:row>
    <x:row r="115">
      <x:c r="A115" s="191" t="str">
        <x:v>LMFT-ALT-114</x:v>
      </x:c>
      <x:c r="B115" s="218" t="n">
        <x:v>0.8274429663559144</x:v>
      </x:c>
      <x:c r="C115" s="192" t="str">
        <x:v>LMFT-MQB-FA-TX-007</x:v>
      </x:c>
      <x:c r="D115" s="192" t="str">
        <x:v>CTA-LMFT-MQB-0316</x:v>
      </x:c>
      <x:c r="E115" s="192" t="str">
        <x:v>Form A</x:v>
      </x:c>
      <x:c r="F115" s="192" t="str">
        <x:v>Emotion regulation</x:v>
      </x:c>
      <x:c r="G115" s="192" t="str">
        <x:v>A client becomes overwhelmed during conflict and later regrets impulsive messages. Which initial skill is MOST appropriate?</x:v>
      </x:c>
      <x:c r="H115" s="192" t="str">
        <x:v>LMFT-MQB-FB-TX-007</x:v>
      </x:c>
      <x:c r="I115" s="192" t="str">
        <x:v>CTA-LMFT-MQB-0401</x:v>
      </x:c>
      <x:c r="J115" s="192" t="str">
        <x:v>Form B</x:v>
      </x:c>
      <x:c r="K115" s="192" t="str">
        <x:v>Emotion regulation</x:v>
      </x:c>
      <x:c r="L115" s="192" t="str">
        <x:v>During arguments, a client sends impulsive texts and later feels ashamed. Which skill should be practiced first?</x:v>
      </x:c>
      <x:c r="M115" s="192" t="str">
        <x:v>Alternate Form</x:v>
      </x:c>
      <x:c r="N115" s="194" t="str">
        <x:v>Keep on separate forms; review both items together before any future revision, option movement, or reuse.</x:v>
      </x:c>
    </x:row>
    <x:row r="116">
      <x:c r="A116" s="191" t="str">
        <x:v>LMFT-ALT-115</x:v>
      </x:c>
      <x:c r="B116" s="218" t="n">
        <x:v>0.8197727105637928</x:v>
      </x:c>
      <x:c r="C116" s="192" t="str">
        <x:v>LMFT-MQB-FA-TX-008</x:v>
      </x:c>
      <x:c r="D116" s="192" t="str">
        <x:v>CTA-LMFT-MQB-0220</x:v>
      </x:c>
      <x:c r="E116" s="192" t="str">
        <x:v>Form A</x:v>
      </x:c>
      <x:c r="F116" s="192" t="str">
        <x:v>Solution-focused exception</x:v>
      </x:c>
      <x:c r="G116" s="192" t="str">
        <x:v>A family says arguments happen “every night,” but recalls one evening when everyone stayed calm. What should the therapist ask NEXT?</x:v>
      </x:c>
      <x:c r="H116" s="192" t="str">
        <x:v>LMFT-MQB-FB-TX-008</x:v>
      </x:c>
      <x:c r="I116" s="192" t="str">
        <x:v>CTA-LMFT-MQB-0478</x:v>
      </x:c>
      <x:c r="J116" s="192" t="str">
        <x:v>Form B</x:v>
      </x:c>
      <x:c r="K116" s="192" t="str">
        <x:v>Solution-focused exception</x:v>
      </x:c>
      <x:c r="L116" s="192" t="str">
        <x:v>Parents say mornings are always chaotic but recall one day when everyone left on time without conflict. What should the therapist ask next?</x:v>
      </x:c>
      <x:c r="M116" s="192" t="str">
        <x:v>Alternate Form</x:v>
      </x:c>
      <x:c r="N116" s="194" t="str">
        <x:v>Keep on separate forms; review both items together before any future revision, option movement, or reuse.</x:v>
      </x:c>
    </x:row>
    <x:row r="117">
      <x:c r="A117" s="191" t="str">
        <x:v>LMFT-ALT-116</x:v>
      </x:c>
      <x:c r="B117" s="218" t="n">
        <x:v>0.79571493092463</x:v>
      </x:c>
      <x:c r="C117" s="192" t="str">
        <x:v>LMFT-MQB-FA-TX-009</x:v>
      </x:c>
      <x:c r="D117" s="192" t="str">
        <x:v>CTA-LMFT-MQB-0255</x:v>
      </x:c>
      <x:c r="E117" s="192" t="str">
        <x:v>Form A</x:v>
      </x:c>
      <x:c r="F117" s="192" t="str">
        <x:v>Narrative externalizing</x:v>
      </x:c>
      <x:c r="G117" s="192" t="str">
        <x:v>A child says, “I am a bad kid because anger controls me.” Which response is MOST narrative-consistent?</x:v>
      </x:c>
      <x:c r="H117" s="192" t="str">
        <x:v>LMFT-MQB-FB-TX-009</x:v>
      </x:c>
      <x:c r="I117" s="192" t="str">
        <x:v>CTA-LMFT-MQB-0392</x:v>
      </x:c>
      <x:c r="J117" s="192" t="str">
        <x:v>Form B</x:v>
      </x:c>
      <x:c r="K117" s="192" t="str">
        <x:v>Narrative externalizing</x:v>
      </x:c>
      <x:c r="L117" s="192" t="str">
        <x:v>An adolescent says, “Anxiety runs my whole life.” Which response best uses an externalizing approach?</x:v>
      </x:c>
      <x:c r="M117" s="192" t="str">
        <x:v>Alternate Form</x:v>
      </x:c>
      <x:c r="N117" s="194" t="str">
        <x:v>Keep on separate forms; review both items together before any future revision, option movement, or reuse.</x:v>
      </x:c>
    </x:row>
    <x:row r="118">
      <x:c r="A118" s="191" t="str">
        <x:v>LMFT-ALT-117</x:v>
      </x:c>
      <x:c r="B118" s="218" t="n">
        <x:v>0.8497049936890275</x:v>
      </x:c>
      <x:c r="C118" s="192" t="str">
        <x:v>LMFT-MQB-FA-TX-010</x:v>
      </x:c>
      <x:c r="D118" s="192" t="str">
        <x:v>CTA-LMFT-MQB-0269</x:v>
      </x:c>
      <x:c r="E118" s="192" t="str">
        <x:v>Form A</x:v>
      </x:c>
      <x:c r="F118" s="192" t="str">
        <x:v>Parent coaching</x:v>
      </x:c>
      <x:c r="G118" s="192" t="str">
        <x:v>Parents inconsistently respond to a child’s bedtime refusal. Which intervention is MOST appropriate?</x:v>
      </x:c>
      <x:c r="H118" s="192" t="str">
        <x:v>LMFT-MQB-FB-TX-010</x:v>
      </x:c>
      <x:c r="I118" s="192" t="str">
        <x:v>CTA-LMFT-MQB-0444</x:v>
      </x:c>
      <x:c r="J118" s="192" t="str">
        <x:v>Form B</x:v>
      </x:c>
      <x:c r="K118" s="192" t="str">
        <x:v>Parent coaching</x:v>
      </x:c>
      <x:c r="L118" s="192" t="str">
        <x:v>Caregivers alternate between ignoring and rewarding a child’s refusal to complete chores. What intervention is most appropriate?</x:v>
      </x:c>
      <x:c r="M118" s="192" t="str">
        <x:v>Alternate Form</x:v>
      </x:c>
      <x:c r="N118" s="194" t="str">
        <x:v>Keep on separate forms; review both items together before any future revision, option movement, or reuse.</x:v>
      </x:c>
    </x:row>
    <x:row r="119">
      <x:c r="A119" s="191" t="str">
        <x:v>LMFT-ALT-118</x:v>
      </x:c>
      <x:c r="B119" s="218" t="n">
        <x:v>0.8357857339656236</x:v>
      </x:c>
      <x:c r="C119" s="192" t="str">
        <x:v>LMFT-MQB-FA-TX-011</x:v>
      </x:c>
      <x:c r="D119" s="192" t="str">
        <x:v>CTA-LMFT-MQB-0335</x:v>
      </x:c>
      <x:c r="E119" s="192" t="str">
        <x:v>Form A</x:v>
      </x:c>
      <x:c r="F119" s="192" t="str">
        <x:v>Grief support</x:v>
      </x:c>
      <x:c r="G119" s="192" t="str">
        <x:v>A grieving client worries that moments of enjoyment mean the deceased was not loved. What is the BEST response?</x:v>
      </x:c>
      <x:c r="H119" s="192" t="str">
        <x:v>LMFT-MQB-FB-TX-011</x:v>
      </x:c>
      <x:c r="I119" s="192" t="str">
        <x:v>CTA-LMFT-MQB-0424</x:v>
      </x:c>
      <x:c r="J119" s="192" t="str">
        <x:v>Form B</x:v>
      </x:c>
      <x:c r="K119" s="192" t="str">
        <x:v>Grief support</x:v>
      </x:c>
      <x:c r="L119" s="192" t="str">
        <x:v>A bereaved client laughs at a family story and then feels disloyal to the deceased. What is the best therapeutic response?</x:v>
      </x:c>
      <x:c r="M119" s="192" t="str">
        <x:v>Alternate Form</x:v>
      </x:c>
      <x:c r="N119" s="194" t="str">
        <x:v>Keep on separate forms; review both items together before any future revision, option movement, or reuse.</x:v>
      </x:c>
    </x:row>
    <x:row r="120">
      <x:c r="A120" s="191" t="str">
        <x:v>LMFT-ALT-119</x:v>
      </x:c>
      <x:c r="B120" s="218" t="n">
        <x:v>0.7988256948681669</x:v>
      </x:c>
      <x:c r="C120" s="192" t="str">
        <x:v>LMFT-MQB-FA-TX-012</x:v>
      </x:c>
      <x:c r="D120" s="192" t="str">
        <x:v>CTA-LMFT-MQB-0328</x:v>
      </x:c>
      <x:c r="E120" s="192" t="str">
        <x:v>Form A</x:v>
      </x:c>
      <x:c r="F120" s="192" t="str">
        <x:v>Attachment intervention</x:v>
      </x:c>
      <x:c r="G120" s="192" t="str">
        <x:v>In a pursue-withdraw cycle, the pursuing partner criticizes when afraid of abandonment, and the withdrawing partner shuts down when feeling inadequate. What should the therapist do?</x:v>
      </x:c>
      <x:c r="H120" s="192" t="str">
        <x:v>LMFT-MQB-FB-TX-012</x:v>
      </x:c>
      <x:c r="I120" s="192" t="str">
        <x:v>CTA-LMFT-MQB-0408</x:v>
      </x:c>
      <x:c r="J120" s="192" t="str">
        <x:v>Form B</x:v>
      </x:c>
      <x:c r="K120" s="192" t="str">
        <x:v>Attachment intervention</x:v>
      </x:c>
      <x:c r="L120" s="192" t="str">
        <x:v>One partner demands closeness when frightened, while the other becomes distant when feeling inadequate. What should an attachment-focused therapist help the couple do?</x:v>
      </x:c>
      <x:c r="M120" s="192" t="str">
        <x:v>Alternate Form</x:v>
      </x:c>
      <x:c r="N120" s="194" t="str">
        <x:v>Keep on separate forms; review both items together before any future revision, option movement, or reuse.</x:v>
      </x:c>
    </x:row>
    <x:row r="121">
      <x:c r="A121" s="191" t="str">
        <x:v>LMFT-ALT-120</x:v>
      </x:c>
      <x:c r="B121" s="218" t="n">
        <x:v>0.7129186467092313</x:v>
      </x:c>
      <x:c r="C121" s="192" t="str">
        <x:v>LMFT-MQB-FA-TX-013</x:v>
      </x:c>
      <x:c r="D121" s="192" t="str">
        <x:v>CTA-LMFT-MQB-0231</x:v>
      </x:c>
      <x:c r="E121" s="192" t="str">
        <x:v>Form A</x:v>
      </x:c>
      <x:c r="F121" s="192" t="str">
        <x:v>Structural boundary work</x:v>
      </x:c>
      <x:c r="G121" s="192" t="str">
        <x:v>A parent repeatedly asks a 10-year-old to mediate marital conflict. Which intervention is MOST appropriate?</x:v>
      </x:c>
      <x:c r="H121" s="192" t="str">
        <x:v>LMFT-MQB-FB-TX-013</x:v>
      </x:c>
      <x:c r="I121" s="192" t="str">
        <x:v>CTA-LMFT-MQB-0416</x:v>
      </x:c>
      <x:c r="J121" s="192" t="str">
        <x:v>Form B</x:v>
      </x:c>
      <x:c r="K121" s="192" t="str">
        <x:v>Structural boundary work</x:v>
      </x:c>
      <x:c r="L121" s="192" t="str">
        <x:v>A caregiver routinely asks a teenager to carry messages and settle disputes between adults. What intervention best addresses the family structure?</x:v>
      </x:c>
      <x:c r="M121" s="192" t="str">
        <x:v>Alternate Form</x:v>
      </x:c>
      <x:c r="N121" s="194" t="str">
        <x:v>Keep on separate forms; review both items together before any future revision, option movement, or reuse.</x:v>
      </x:c>
    </x:row>
    <x:row r="122">
      <x:c r="A122" s="191" t="str">
        <x:v>LMFT-ALT-121</x:v>
      </x:c>
      <x:c r="B122" s="218" t="n">
        <x:v>0.8265759635400528</x:v>
      </x:c>
      <x:c r="C122" s="192" t="str">
        <x:v>LMFT-MQB-FA-TX-014</x:v>
      </x:c>
      <x:c r="D122" s="192" t="str">
        <x:v>CTA-LMFT-MQB-0224</x:v>
      </x:c>
      <x:c r="E122" s="192" t="str">
        <x:v>Form A</x:v>
      </x:c>
      <x:c r="F122" s="192" t="str">
        <x:v>Bowen differentiation</x:v>
      </x:c>
      <x:c r="G122" s="192" t="str">
        <x:v>An adult client becomes emotionally flooded whenever a parent disapproves. Which intervention is MOST Bowen-consistent?</x:v>
      </x:c>
      <x:c r="H122" s="192" t="str">
        <x:v>LMFT-MQB-FB-TX-014</x:v>
      </x:c>
      <x:c r="I122" s="192" t="str">
        <x:v>CTA-LMFT-MQB-0449</x:v>
      </x:c>
      <x:c r="J122" s="192" t="str">
        <x:v>Form B</x:v>
      </x:c>
      <x:c r="K122" s="192" t="str">
        <x:v>Bowen differentiation</x:v>
      </x:c>
      <x:c r="L122" s="192" t="str">
        <x:v>A client automatically changes opinions whenever a parent becomes upset. Which intervention best supports greater differentiation?</x:v>
      </x:c>
      <x:c r="M122" s="192" t="str">
        <x:v>Alternate Form</x:v>
      </x:c>
      <x:c r="N122" s="194" t="str">
        <x:v>Keep on separate forms; review both items together before any future revision, option movement, or reuse.</x:v>
      </x:c>
    </x:row>
    <x:row r="123">
      <x:c r="A123" s="191" t="str">
        <x:v>LMFT-ALT-122</x:v>
      </x:c>
      <x:c r="B123" s="218" t="n">
        <x:v>0.7874322740864039</x:v>
      </x:c>
      <x:c r="C123" s="192" t="str">
        <x:v>LMFT-MQB-FA-TX-015</x:v>
      </x:c>
      <x:c r="D123" s="192" t="str">
        <x:v>CTA-LMFT-MQB-0229</x:v>
      </x:c>
      <x:c r="E123" s="192" t="str">
        <x:v>Form A</x:v>
      </x:c>
      <x:c r="F123" s="192" t="str">
        <x:v>Cognitive restructuring</x:v>
      </x:c>
      <x:c r="G123" s="192" t="str">
        <x:v>A client concludes, “One disagreement means my partner will leave.” What is the BEST CBT intervention?</x:v>
      </x:c>
      <x:c r="H123" s="192" t="str">
        <x:v>LMFT-MQB-FB-TX-015</x:v>
      </x:c>
      <x:c r="I123" s="192" t="str">
        <x:v>CTA-LMFT-MQB-0472</x:v>
      </x:c>
      <x:c r="J123" s="192" t="str">
        <x:v>Form B</x:v>
      </x:c>
      <x:c r="K123" s="192" t="str">
        <x:v>Cognitive restructuring</x:v>
      </x:c>
      <x:c r="L123" s="192" t="str">
        <x:v>A client believes, “If my spouse needs time alone, the marriage is ending.” What is the best CBT response?</x:v>
      </x:c>
      <x:c r="M123" s="192" t="str">
        <x:v>Alternate Form</x:v>
      </x:c>
      <x:c r="N123" s="194" t="str">
        <x:v>Keep on separate forms; review both items together before any future revision, option movement, or reuse.</x:v>
      </x:c>
    </x:row>
    <x:row r="124">
      <x:c r="A124" s="191" t="str">
        <x:v>LMFT-ALT-123</x:v>
      </x:c>
      <x:c r="B124" s="218" t="n">
        <x:v>0.8358029884554559</x:v>
      </x:c>
      <x:c r="C124" s="192" t="str">
        <x:v>LMFT-MQB-FA-TX-016</x:v>
      </x:c>
      <x:c r="D124" s="192" t="str">
        <x:v>CTA-LMFT-MQB-0263</x:v>
      </x:c>
      <x:c r="E124" s="192" t="str">
        <x:v>Form A</x:v>
      </x:c>
      <x:c r="F124" s="192" t="str">
        <x:v>Exposure pacing</x:v>
      </x:c>
      <x:c r="G124" s="192" t="str">
        <x:v>A client with trauma-related avoidance wants to begin detailed exposure immediately despite severe dissociation and no grounding skills. What should the therapist do?</x:v>
      </x:c>
      <x:c r="H124" s="192" t="str">
        <x:v>LMFT-MQB-FB-TX-016</x:v>
      </x:c>
      <x:c r="I124" s="192" t="str">
        <x:v>CTA-LMFT-MQB-0397</x:v>
      </x:c>
      <x:c r="J124" s="192" t="str">
        <x:v>Form B</x:v>
      </x:c>
      <x:c r="K124" s="192" t="str">
        <x:v>Exposure pacing</x:v>
      </x:c>
      <x:c r="L124" s="192" t="str">
        <x:v>A client asks to begin intensive trauma processing but becomes disoriented under mild stress and has no reliable grounding skills. What should the therapist do?</x:v>
      </x:c>
      <x:c r="M124" s="192" t="str">
        <x:v>Alternate Form</x:v>
      </x:c>
      <x:c r="N124" s="194" t="str">
        <x:v>Keep on separate forms; review both items together before any future revision, option movement, or reuse.</x:v>
      </x:c>
    </x:row>
    <x:row r="125">
      <x:c r="A125" s="191" t="str">
        <x:v>LMFT-ALT-124</x:v>
      </x:c>
      <x:c r="B125" s="218" t="n">
        <x:v>0.7604416186309316</x:v>
      </x:c>
      <x:c r="C125" s="192" t="str">
        <x:v>LMFT-MQB-FA-TX-017</x:v>
      </x:c>
      <x:c r="D125" s="192" t="str">
        <x:v>CTA-LMFT-MQB-0342</x:v>
      </x:c>
      <x:c r="E125" s="192" t="str">
        <x:v>Form A</x:v>
      </x:c>
      <x:c r="F125" s="192" t="str">
        <x:v>Harm reduction</x:v>
      </x:c>
      <x:c r="G125" s="192" t="str">
        <x:v>A client is not ready to stop drinking but wants fewer relationship and health consequences. What is the BEST response?</x:v>
      </x:c>
      <x:c r="H125" s="192" t="str">
        <x:v>LMFT-MQB-FB-TX-017</x:v>
      </x:c>
      <x:c r="I125" s="192" t="str">
        <x:v>CTA-LMFT-MQB-0465</x:v>
      </x:c>
      <x:c r="J125" s="192" t="str">
        <x:v>Form B</x:v>
      </x:c>
      <x:c r="K125" s="192" t="str">
        <x:v>Harm reduction</x:v>
      </x:c>
      <x:c r="L125" s="192" t="str">
        <x:v>A client declines abstinence but agrees that alcohol-related injuries and arguments must decrease. What response best reflects harm reduction?</x:v>
      </x:c>
      <x:c r="M125" s="192" t="str">
        <x:v>Alternate Form</x:v>
      </x:c>
      <x:c r="N125" s="194" t="str">
        <x:v>Keep on separate forms; review both items together before any future revision, option movement, or reuse.</x:v>
      </x:c>
    </x:row>
    <x:row r="126">
      <x:c r="A126" s="191" t="str">
        <x:v>LMFT-ALT-125</x:v>
      </x:c>
      <x:c r="B126" s="218" t="n">
        <x:v>0.8906287334826379</x:v>
      </x:c>
      <x:c r="C126" s="192" t="str">
        <x:v>LMFT-MQB-FA-TX-018</x:v>
      </x:c>
      <x:c r="D126" s="192" t="str">
        <x:v>CTA-LMFT-MQB-0306</x:v>
      </x:c>
      <x:c r="E126" s="192" t="str">
        <x:v>Form A</x:v>
      </x:c>
      <x:c r="F126" s="192" t="str">
        <x:v>Cultural adaptation</x:v>
      </x:c>
      <x:c r="G126" s="192" t="str">
        <x:v>A family values collective decision-making and asks to include an elder in treatment planning. What should the LMFT do?</x:v>
      </x:c>
      <x:c r="H126" s="192" t="str">
        <x:v>LMFT-MQB-FB-TX-018</x:v>
      </x:c>
      <x:c r="I126" s="192" t="str">
        <x:v>CTA-LMFT-MQB-0386</x:v>
      </x:c>
      <x:c r="J126" s="192" t="str">
        <x:v>Form B</x:v>
      </x:c>
      <x:c r="K126" s="192" t="str">
        <x:v>Cultural adaptation</x:v>
      </x:c>
      <x:c r="L126" s="192" t="str">
        <x:v>A family asks that a respected community elder join planning meetings. How should the LMFT respond?</x:v>
      </x:c>
      <x:c r="M126" s="192" t="str">
        <x:v>Alternate Form</x:v>
      </x:c>
      <x:c r="N126" s="194" t="str">
        <x:v>Keep on separate forms; review both items together before any future revision, option movement, or reuse.</x:v>
      </x:c>
    </x:row>
    <x:row r="127">
      <x:c r="A127" s="191" t="str">
        <x:v>LMFT-ALT-126</x:v>
      </x:c>
      <x:c r="B127" s="218" t="n">
        <x:v>0.8510458897963142</x:v>
      </x:c>
      <x:c r="C127" s="192" t="str">
        <x:v>LMFT-MQB-FA-TX-019</x:v>
      </x:c>
      <x:c r="D127" s="192" t="str">
        <x:v>CTA-LMFT-MQB-0346</x:v>
      </x:c>
      <x:c r="E127" s="192" t="str">
        <x:v>Form A</x:v>
      </x:c>
      <x:c r="F127" s="192" t="str">
        <x:v>Neurodiversity adaptation</x:v>
      </x:c>
      <x:c r="G127" s="192" t="str">
        <x:v>An autistic adult finds unstructured emotional discussion overwhelming. Which adaptation is MOST appropriate?</x:v>
      </x:c>
      <x:c r="H127" s="192" t="str">
        <x:v>LMFT-MQB-FB-TX-019</x:v>
      </x:c>
      <x:c r="I127" s="192" t="str">
        <x:v>CTA-LMFT-MQB-0377</x:v>
      </x:c>
      <x:c r="J127" s="192" t="str">
        <x:v>Form B</x:v>
      </x:c>
      <x:c r="K127" s="192" t="str">
        <x:v>Neurodiversity adaptation</x:v>
      </x:c>
      <x:c r="L127" s="192" t="str">
        <x:v>A neurodivergent client processes slowly and becomes overwhelmed by unstructured conversation. Which adaptation is most appropriate?</x:v>
      </x:c>
      <x:c r="M127" s="192" t="str">
        <x:v>Alternate Form</x:v>
      </x:c>
      <x:c r="N127" s="194" t="str">
        <x:v>Keep on separate forms; review both items together before any future revision, option movement, or reuse.</x:v>
      </x:c>
    </x:row>
    <x:row r="128">
      <x:c r="A128" s="191" t="str">
        <x:v>LMFT-ALT-127</x:v>
      </x:c>
      <x:c r="B128" s="218" t="n">
        <x:v>0.8267965978350654</x:v>
      </x:c>
      <x:c r="C128" s="192" t="str">
        <x:v>LMFT-MQB-FA-TX-020</x:v>
      </x:c>
      <x:c r="D128" s="192" t="str">
        <x:v>CTA-LMFT-MQB-0233</x:v>
      </x:c>
      <x:c r="E128" s="192" t="str">
        <x:v>Form A</x:v>
      </x:c>
      <x:c r="F128" s="192" t="str">
        <x:v>Caregiver burden</x:v>
      </x:c>
      <x:c r="G128" s="192" t="str">
        <x:v>A spouse caring for a partner with progressive illness reports exhaustion and resentment. What is the BEST intervention focus?</x:v>
      </x:c>
      <x:c r="H128" s="192" t="str">
        <x:v>LMFT-MQB-FB-TX-020</x:v>
      </x:c>
      <x:c r="I128" s="192" t="str">
        <x:v>CTA-LMFT-MQB-0442</x:v>
      </x:c>
      <x:c r="J128" s="192" t="str">
        <x:v>Form B</x:v>
      </x:c>
      <x:c r="K128" s="192" t="str">
        <x:v>Caregiver burden</x:v>
      </x:c>
      <x:c r="L128" s="192" t="str">
        <x:v>A caregiver for a partner with dementia reports anger, guilt, and physical exhaustion. What should the therapist focus on?</x:v>
      </x:c>
      <x:c r="M128" s="192" t="str">
        <x:v>Alternate Form</x:v>
      </x:c>
      <x:c r="N128" s="194" t="str">
        <x:v>Keep on separate forms; review both items together before any future revision, option movement, or reuse.</x:v>
      </x:c>
    </x:row>
    <x:row r="129">
      <x:c r="A129" s="191" t="str">
        <x:v>LMFT-ALT-128</x:v>
      </x:c>
      <x:c r="B129" s="218" t="n">
        <x:v>0.8092733296764587</x:v>
      </x:c>
      <x:c r="C129" s="192" t="str">
        <x:v>LMFT-MQB-FA-TX-021</x:v>
      </x:c>
      <x:c r="D129" s="192" t="str">
        <x:v>CTA-LMFT-MQB-0295</x:v>
      </x:c>
      <x:c r="E129" s="192" t="str">
        <x:v>Form A</x:v>
      </x:c>
      <x:c r="F129" s="192" t="str">
        <x:v>Treatment of severe eating symptoms</x:v>
      </x:c>
      <x:c r="G129" s="192" t="str">
        <x:v>A client with restrictive eating reports fainting, chest palpitations, and rapid weight loss. What should the LMFT do?</x:v>
      </x:c>
      <x:c r="H129" s="192" t="str">
        <x:v>LMFT-MQB-FB-TX-021</x:v>
      </x:c>
      <x:c r="I129" s="192" t="str">
        <x:v>CTA-LMFT-MQB-0389</x:v>
      </x:c>
      <x:c r="J129" s="192" t="str">
        <x:v>Form B</x:v>
      </x:c>
      <x:c r="K129" s="192" t="str">
        <x:v>Treatment of severe eating symptoms</x:v>
      </x:c>
      <x:c r="L129" s="192" t="str">
        <x:v>A client with severe restriction has fainted twice and reports an irregular heartbeat. What should the LMFT do?</x:v>
      </x:c>
      <x:c r="M129" s="192" t="str">
        <x:v>Alternate Form</x:v>
      </x:c>
      <x:c r="N129" s="194" t="str">
        <x:v>Keep on separate forms; review both items together before any future revision, option movement, or reuse.</x:v>
      </x:c>
    </x:row>
    <x:row r="130">
      <x:c r="A130" s="191" t="str">
        <x:v>LMFT-ALT-129</x:v>
      </x:c>
      <x:c r="B130" s="218" t="n">
        <x:v>0.8794571944672258</x:v>
      </x:c>
      <x:c r="C130" s="192" t="str">
        <x:v>LMFT-MQB-FA-TX-022</x:v>
      </x:c>
      <x:c r="D130" s="192" t="str">
        <x:v>CTA-LMFT-MQB-0299</x:v>
      </x:c>
      <x:c r="E130" s="192" t="str">
        <x:v>Form A</x:v>
      </x:c>
      <x:c r="F130" s="192" t="str">
        <x:v>Complex couple treatment fit</x:v>
      </x:c>
      <x:c r="G130" s="192" t="str">
        <x:v>A couple asks for communication training, but one partner has severe untreated PTSD, frequent dissociation, and escalating substance use. What should the therapist do?</x:v>
      </x:c>
      <x:c r="H130" s="192" t="str">
        <x:v>LMFT-MQB-FB-TX-022</x:v>
      </x:c>
      <x:c r="I130" s="192" t="str">
        <x:v>CTA-LMFT-MQB-0462</x:v>
      </x:c>
      <x:c r="J130" s="192" t="str">
        <x:v>Form B</x:v>
      </x:c>
      <x:c r="K130" s="192" t="str">
        <x:v>Complex couple treatment fit</x:v>
      </x:c>
      <x:c r="L130" s="192" t="str">
        <x:v>Partners seek communication therapy, but one partner is actively using substances and frequently dissociates from untreated trauma. What is the best treatment response?</x:v>
      </x:c>
      <x:c r="M130" s="192" t="str">
        <x:v>Alternate Form</x:v>
      </x:c>
      <x:c r="N130" s="194" t="str">
        <x:v>Keep on separate forms; review both items together before any future revision, option movement, or reuse.</x:v>
      </x:c>
    </x:row>
    <x:row r="131">
      <x:c r="A131" s="191" t="str">
        <x:v>LMFT-ALT-130</x:v>
      </x:c>
      <x:c r="B131" s="218" t="n">
        <x:v>0.7811310793236554</x:v>
      </x:c>
      <x:c r="C131" s="192" t="str">
        <x:v>LMFT-MQB-FA-TX-023</x:v>
      </x:c>
      <x:c r="D131" s="192" t="str">
        <x:v>CTA-LMFT-MQB-0293</x:v>
      </x:c>
      <x:c r="E131" s="192" t="str">
        <x:v>Form A</x:v>
      </x:c>
      <x:c r="F131" s="192" t="str">
        <x:v>Alliance rupture</x:v>
      </x:c>
      <x:c r="G131" s="192" t="str">
        <x:v>A client says, “You did not listen to me last session, and I almost did not come back.” What should the LMFT do FIRST?</x:v>
      </x:c>
      <x:c r="H131" s="192" t="str">
        <x:v>LMFT-MQB-FB-TX-023</x:v>
      </x:c>
      <x:c r="I131" s="192" t="str">
        <x:v>CTA-LMFT-MQB-0504</x:v>
      </x:c>
      <x:c r="J131" s="192" t="str">
        <x:v>Form B</x:v>
      </x:c>
      <x:c r="K131" s="192" t="str">
        <x:v>Alliance rupture</x:v>
      </x:c>
      <x:c r="L131" s="192" t="str">
        <x:v>A client says the therapist misunderstood an important disclosure and considered ending treatment. What should the LMFT do first?</x:v>
      </x:c>
      <x:c r="M131" s="192" t="str">
        <x:v>Alternate Form</x:v>
      </x:c>
      <x:c r="N131" s="194" t="str">
        <x:v>Keep on separate forms; review both items together before any future revision, option movement, or reuse.</x:v>
      </x:c>
    </x:row>
    <x:row r="132">
      <x:c r="A132" s="191" t="str">
        <x:v>LMFT-ALT-131</x:v>
      </x:c>
      <x:c r="B132" s="218" t="n">
        <x:v>0.7637708587927682</x:v>
      </x:c>
      <x:c r="C132" s="192" t="str">
        <x:v>LMFT-MQB-FA-TX-024</x:v>
      </x:c>
      <x:c r="D132" s="192" t="str">
        <x:v>CTA-LMFT-MQB-0311</x:v>
      </x:c>
      <x:c r="E132" s="192" t="str">
        <x:v>Form A</x:v>
      </x:c>
      <x:c r="F132" s="192" t="str">
        <x:v>Parent-child escalation</x:v>
      </x:c>
      <x:c r="G132" s="192" t="str">
        <x:v>A parent responds to a child’s whining with lengthy lectures, and the child then whines longer until the parent gives in. What should the therapist do NEXT?</x:v>
      </x:c>
      <x:c r="H132" s="192" t="str">
        <x:v>LMFT-MQB-FB-TX-024</x:v>
      </x:c>
      <x:c r="I132" s="192" t="str">
        <x:v>CTA-LMFT-MQB-0379</x:v>
      </x:c>
      <x:c r="J132" s="192" t="str">
        <x:v>Form B</x:v>
      </x:c>
      <x:c r="K132" s="192" t="str">
        <x:v>Parent-child escalation</x:v>
      </x:c>
      <x:c r="L132" s="192" t="str">
        <x:v>A child protests, a caregiver gives a long explanation, the protest intensifies, and the caregiver finally removes the limit. What should the therapist do next?</x:v>
      </x:c>
      <x:c r="M132" s="192" t="str">
        <x:v>Alternate Form</x:v>
      </x:c>
      <x:c r="N132" s="194" t="str">
        <x:v>Keep on separate forms; review both items together before any future revision, option movement, or reuse.</x:v>
      </x:c>
    </x:row>
    <x:row r="133">
      <x:c r="A133" s="191" t="str">
        <x:v>LMFT-ALT-132</x:v>
      </x:c>
      <x:c r="B133" s="218" t="n">
        <x:v>0.8300719296116431</x:v>
      </x:c>
      <x:c r="C133" s="192" t="str">
        <x:v>LMFT-MQB-FA-TX-025</x:v>
      </x:c>
      <x:c r="D133" s="192" t="str">
        <x:v>CTA-LMFT-MQB-0288</x:v>
      </x:c>
      <x:c r="E133" s="192" t="str">
        <x:v>Form A</x:v>
      </x:c>
      <x:c r="F133" s="192" t="str">
        <x:v>Early trauma stabilization</x:v>
      </x:c>
      <x:c r="G133" s="192" t="str">
        <x:v>A trauma client becomes highly activated during a session and begins losing awareness of the room. What should the therapist do FIRST?</x:v>
      </x:c>
      <x:c r="H133" s="192" t="str">
        <x:v>LMFT-MQB-FB-TX-025</x:v>
      </x:c>
      <x:c r="I133" s="192" t="str">
        <x:v>CTA-LMFT-MQB-0359</x:v>
      </x:c>
      <x:c r="J133" s="192" t="str">
        <x:v>Form B</x:v>
      </x:c>
      <x:c r="K133" s="192" t="str">
        <x:v>Early trauma stabilization</x:v>
      </x:c>
      <x:c r="L133" s="192" t="str">
        <x:v>While discussing trauma, a client stops responding to the therapist and appears unaware of the room. What should the therapist do first?</x:v>
      </x:c>
      <x:c r="M133" s="192" t="str">
        <x:v>Alternate Form</x:v>
      </x:c>
      <x:c r="N133" s="194" t="str">
        <x:v>Keep on separate forms; review both items together before any future revision, option movement, or reuse.</x:v>
      </x:c>
    </x:row>
    <x:row r="134">
      <x:c r="A134" s="191" t="str">
        <x:v>LMFT-ALT-133</x:v>
      </x:c>
      <x:c r="B134" s="218" t="n">
        <x:v>0.8567511990337369</x:v>
      </x:c>
      <x:c r="C134" s="192" t="str">
        <x:v>LMFT-MQB-FA-TX-026</x:v>
      </x:c>
      <x:c r="D134" s="192" t="str">
        <x:v>CTA-LMFT-MQB-0320</x:v>
      </x:c>
      <x:c r="E134" s="192" t="str">
        <x:v>Form A</x:v>
      </x:c>
      <x:c r="F134" s="192" t="str">
        <x:v>Couple de-escalation</x:v>
      </x:c>
      <x:c r="G134" s="192" t="str">
        <x:v>A couple begins shouting and interrupting during a session, and neither can process the other’s words. What should the LMFT do NEXT?</x:v>
      </x:c>
      <x:c r="H134" s="192" t="str">
        <x:v>LMFT-MQB-FB-TX-026</x:v>
      </x:c>
      <x:c r="I134" s="192" t="str">
        <x:v>CTA-LMFT-MQB-0464</x:v>
      </x:c>
      <x:c r="J134" s="192" t="str">
        <x:v>Form B</x:v>
      </x:c>
      <x:c r="K134" s="192" t="str">
        <x:v>Couple de-escalation</x:v>
      </x:c>
      <x:c r="L134" s="192" t="str">
        <x:v>A couple’s voices rise, both interrupt, and neither can summarize what the other said. What should the therapist do next?</x:v>
      </x:c>
      <x:c r="M134" s="192" t="str">
        <x:v>Alternate Form</x:v>
      </x:c>
      <x:c r="N134" s="194" t="str">
        <x:v>Keep on separate forms; review both items together before any future revision, option movement, or reuse.</x:v>
      </x:c>
    </x:row>
    <x:row r="135">
      <x:c r="A135" s="191" t="str">
        <x:v>LMFT-ALT-134</x:v>
      </x:c>
      <x:c r="B135" s="218" t="n">
        <x:v>0.8445705376318448</x:v>
      </x:c>
      <x:c r="C135" s="192" t="str">
        <x:v>LMFT-MQB-FA-TX-027</x:v>
      </x:c>
      <x:c r="D135" s="192" t="str">
        <x:v>CTA-LMFT-MQB-0353</x:v>
      </x:c>
      <x:c r="E135" s="192" t="str">
        <x:v>Form A</x:v>
      </x:c>
      <x:c r="F135" s="192" t="str">
        <x:v>MI with mandated client</x:v>
      </x:c>
      <x:c r="G135" s="192" t="str">
        <x:v>A court-referred client says, “I am only here because I have to be, and I do not need to change.” What should the therapist do NEXT?</x:v>
      </x:c>
      <x:c r="H135" s="192" t="str">
        <x:v>LMFT-MQB-FB-TX-027</x:v>
      </x:c>
      <x:c r="I135" s="192" t="str">
        <x:v>CTA-LMFT-MQB-0496</x:v>
      </x:c>
      <x:c r="J135" s="192" t="str">
        <x:v>Form B</x:v>
      </x:c>
      <x:c r="K135" s="192" t="str">
        <x:v>MI with mandated client</x:v>
      </x:c>
      <x:c r="L135" s="192" t="str">
        <x:v>A mandated client says treatment is pointless and participation is only to satisfy the court. What should the therapist do next?</x:v>
      </x:c>
      <x:c r="M135" s="192" t="str">
        <x:v>Alternate Form</x:v>
      </x:c>
      <x:c r="N135" s="194" t="str">
        <x:v>Keep on separate forms; review both items together before any future revision, option movement, or reuse.</x:v>
      </x:c>
    </x:row>
    <x:row r="136">
      <x:c r="A136" s="191" t="str">
        <x:v>LMFT-ALT-135</x:v>
      </x:c>
      <x:c r="B136" s="218" t="n">
        <x:v>0.9104602305946878</x:v>
      </x:c>
      <x:c r="C136" s="192" t="str">
        <x:v>LMFT-MQB-FA-TX-028</x:v>
      </x:c>
      <x:c r="D136" s="192" t="str">
        <x:v>CTA-LMFT-MQB-0352</x:v>
      </x:c>
      <x:c r="E136" s="192" t="str">
        <x:v>Form A</x:v>
      </x:c>
      <x:c r="F136" s="192" t="str">
        <x:v>Stepfamily intervention</x:v>
      </x:c>
      <x:c r="G136" s="192" t="str">
        <x:v>A newly formed stepfamily expects immediate closeness, and the stepparent becomes punitive when the child remains distant. What should the therapist do NEXT?</x:v>
      </x:c>
      <x:c r="H136" s="192" t="str">
        <x:v>LMFT-MQB-FB-TX-028</x:v>
      </x:c>
      <x:c r="I136" s="192" t="str">
        <x:v>CTA-LMFT-MQB-0367</x:v>
      </x:c>
      <x:c r="J136" s="192" t="str">
        <x:v>Form B</x:v>
      </x:c>
      <x:c r="K136" s="192" t="str">
        <x:v>Stepfamily intervention</x:v>
      </x:c>
      <x:c r="L136" s="192" t="str">
        <x:v>A stepparent expects immediate affection and discipline authority, while the child remains cautious. What should the therapist address next?</x:v>
      </x:c>
      <x:c r="M136" s="192" t="str">
        <x:v>Alternate Form</x:v>
      </x:c>
      <x:c r="N136" s="194" t="str">
        <x:v>Keep on separate forms; review both items together before any future revision, option movement, or reuse.</x:v>
      </x:c>
    </x:row>
    <x:row r="137">
      <x:c r="A137" s="191" t="str">
        <x:v>LMFT-ALT-136</x:v>
      </x:c>
      <x:c r="B137" s="218" t="n">
        <x:v>0.885518639400179</x:v>
      </x:c>
      <x:c r="C137" s="192" t="str">
        <x:v>LMFT-MQB-FA-TX-029</x:v>
      </x:c>
      <x:c r="D137" s="192" t="str">
        <x:v>CTA-LMFT-MQB-0238</x:v>
      </x:c>
      <x:c r="E137" s="192" t="str">
        <x:v>Form A</x:v>
      </x:c>
      <x:c r="F137" s="192" t="str">
        <x:v>Group conflict</x:v>
      </x:c>
      <x:c r="G137" s="192" t="str">
        <x:v>Two group members begin criticizing each other, and the rest of the group becomes silent. What should the facilitator do NEXT?</x:v>
      </x:c>
      <x:c r="H137" s="192" t="str">
        <x:v>LMFT-MQB-FB-TX-029</x:v>
      </x:c>
      <x:c r="I137" s="192" t="str">
        <x:v>CTA-LMFT-MQB-0446</x:v>
      </x:c>
      <x:c r="J137" s="192" t="str">
        <x:v>Form B</x:v>
      </x:c>
      <x:c r="K137" s="192" t="str">
        <x:v>Group conflict</x:v>
      </x:c>
      <x:c r="L137" s="192" t="str">
        <x:v>Two group members exchange personal attacks and the remaining members withdraw. What should the facilitator do next?</x:v>
      </x:c>
      <x:c r="M137" s="192" t="str">
        <x:v>Alternate Form</x:v>
      </x:c>
      <x:c r="N137" s="194" t="str">
        <x:v>Keep on separate forms; review both items together before any future revision, option movement, or reuse.</x:v>
      </x:c>
    </x:row>
    <x:row r="138">
      <x:c r="A138" s="191" t="str">
        <x:v>LMFT-ALT-137</x:v>
      </x:c>
      <x:c r="B138" s="218" t="n">
        <x:v>0.8365926944110831</x:v>
      </x:c>
      <x:c r="C138" s="192" t="str">
        <x:v>LMFT-MQB-FA-TX-030</x:v>
      </x:c>
      <x:c r="D138" s="192" t="str">
        <x:v>CTA-LMFT-MQB-0258</x:v>
      </x:c>
      <x:c r="E138" s="192" t="str">
        <x:v>Form A</x:v>
      </x:c>
      <x:c r="F138" s="192" t="str">
        <x:v>Recovery-oriented treatment</x:v>
      </x:c>
      <x:c r="G138" s="192" t="str">
        <x:v>A client with a chronic psychotic disorder wants to return to part-time work despite residual symptoms. What should the therapist do NEXT?</x:v>
      </x:c>
      <x:c r="H138" s="192" t="str">
        <x:v>LMFT-MQB-FB-TX-030</x:v>
      </x:c>
      <x:c r="I138" s="192" t="str">
        <x:v>CTA-LMFT-MQB-0405</x:v>
      </x:c>
      <x:c r="J138" s="192" t="str">
        <x:v>Form B</x:v>
      </x:c>
      <x:c r="K138" s="192" t="str">
        <x:v>Recovery-oriented treatment</x:v>
      </x:c>
      <x:c r="L138" s="192" t="str">
        <x:v>A client with persistent psychotic symptoms wants to resume a supported college program. What should the therapist do next?</x:v>
      </x:c>
      <x:c r="M138" s="192" t="str">
        <x:v>Alternate Form</x:v>
      </x:c>
      <x:c r="N138" s="194" t="str">
        <x:v>Keep on separate forms; review both items together before any future revision, option movement, or reuse.</x:v>
      </x:c>
    </x:row>
    <x:row r="139">
      <x:c r="A139" s="191" t="str">
        <x:v>LMFT-ALT-138</x:v>
      </x:c>
      <x:c r="B139" s="218" t="n">
        <x:v>0.8048216659222999</x:v>
      </x:c>
      <x:c r="C139" s="192" t="str">
        <x:v>LMFT-MQB-FA-TX-031</x:v>
      </x:c>
      <x:c r="D139" s="192" t="str">
        <x:v>CTA-LMFT-MQB-0348</x:v>
      </x:c>
      <x:c r="E139" s="192" t="str">
        <x:v>Form A</x:v>
      </x:c>
      <x:c r="F139" s="192" t="str">
        <x:v>Reunification pacing</x:v>
      </x:c>
      <x:c r="G139" s="192" t="str">
        <x:v>A parent and child are beginning contact after a long separation. The parent wants an immediate overnight visit, but the child shows fear and minimal trust. What should the therapist do?</x:v>
      </x:c>
      <x:c r="H139" s="192" t="str">
        <x:v>LMFT-MQB-FB-TX-031</x:v>
      </x:c>
      <x:c r="I139" s="192" t="str">
        <x:v>CTA-LMFT-MQB-0485</x:v>
      </x:c>
      <x:c r="J139" s="192" t="str">
        <x:v>Form B</x:v>
      </x:c>
      <x:c r="K139" s="192" t="str">
        <x:v>Reunification pacing</x:v>
      </x:c>
      <x:c r="L139" s="192" t="str">
        <x:v>A child beginning reunification visits becomes fearful when a parent requests an immediate weekend stay. How should the therapist respond?</x:v>
      </x:c>
      <x:c r="M139" s="192" t="str">
        <x:v>Alternate Form</x:v>
      </x:c>
      <x:c r="N139" s="194" t="str">
        <x:v>Keep on separate forms; review both items together before any future revision, option movement, or reuse.</x:v>
      </x:c>
    </x:row>
    <x:row r="140">
      <x:c r="A140" s="191" t="str">
        <x:v>LMFT-ALT-139</x:v>
      </x:c>
      <x:c r="B140" s="218" t="n">
        <x:v>0.8451616196237732</x:v>
      </x:c>
      <x:c r="C140" s="192" t="str">
        <x:v>LMFT-MQB-FA-TX-032</x:v>
      </x:c>
      <x:c r="D140" s="192" t="str">
        <x:v>CTA-LMFT-MQB-0240</x:v>
      </x:c>
      <x:c r="E140" s="192" t="str">
        <x:v>Form A</x:v>
      </x:c>
      <x:c r="F140" s="192" t="str">
        <x:v>Treatment nonresponse and diagnosis</x:v>
      </x:c>
      <x:c r="G140" s="192" t="str">
        <x:v>A client treated for panic has completed exposure homework consistently, but episodes occur only after episodes of low blood sugar. What should the therapist do NEXT?</x:v>
      </x:c>
      <x:c r="H140" s="192" t="str">
        <x:v>LMFT-MQB-FB-TX-032</x:v>
      </x:c>
      <x:c r="I140" s="192" t="str">
        <x:v>CTA-LMFT-MQB-0373</x:v>
      </x:c>
      <x:c r="J140" s="192" t="str">
        <x:v>Form B</x:v>
      </x:c>
      <x:c r="K140" s="192" t="str">
        <x:v>Treatment nonresponse and diagnosis</x:v>
      </x:c>
      <x:c r="L140" s="192" t="str">
        <x:v>A client treated for panic notices that every episode follows a documented drop in blood glucose despite consistent exposure practice. What should the therapist do next?</x:v>
      </x:c>
      <x:c r="M140" s="192" t="str">
        <x:v>Alternate Form</x:v>
      </x:c>
      <x:c r="N140" s="194" t="str">
        <x:v>Keep on separate forms; review both items together before any future revision, option movement, or reuse.</x:v>
      </x:c>
    </x:row>
    <x:row r="141">
      <x:c r="A141" s="191" t="str">
        <x:v>LMFT-ALT-140</x:v>
      </x:c>
      <x:c r="B141" s="218" t="n">
        <x:v>0.8357536636857099</x:v>
      </x:c>
      <x:c r="C141" s="192" t="str">
        <x:v>LMFT-MQB-FA-TX-033</x:v>
      </x:c>
      <x:c r="D141" s="192" t="str">
        <x:v>CTA-LMFT-MQB-0331</x:v>
      </x:c>
      <x:c r="E141" s="192" t="str">
        <x:v>Form A</x:v>
      </x:c>
      <x:c r="F141" s="192" t="str">
        <x:v>Coercive violence and conjoint work</x:v>
      </x:c>
      <x:c r="G141" s="192" t="str">
        <x:v>In couple therapy, one partner privately reports that the other monitors finances, threatens deportation, and punishes disagreement. What should the therapist do NEXT?</x:v>
      </x:c>
      <x:c r="H141" s="192" t="str">
        <x:v>LMFT-MQB-FB-TX-033</x:v>
      </x:c>
      <x:c r="I141" s="192" t="str">
        <x:v>CTA-LMFT-MQB-0435</x:v>
      </x:c>
      <x:c r="J141" s="192" t="str">
        <x:v>Form B</x:v>
      </x:c>
      <x:c r="K141" s="192" t="str">
        <x:v>Coercive violence and conjoint work</x:v>
      </x:c>
      <x:c r="L141" s="192" t="str">
        <x:v>In private, a partner reports surveillance, threats involving immigration status, and punishment for disagreement. What should the couple therapist do next?</x:v>
      </x:c>
      <x:c r="M141" s="192" t="str">
        <x:v>Alternate Form</x:v>
      </x:c>
      <x:c r="N141" s="194" t="str">
        <x:v>Keep on separate forms; review both items together before any future revision, option movement, or reuse.</x:v>
      </x:c>
    </x:row>
    <x:row r="142">
      <x:c r="A142" s="191" t="str">
        <x:v>LMFT-ALT-141</x:v>
      </x:c>
      <x:c r="B142" s="218" t="n">
        <x:v>0.8925910648760474</x:v>
      </x:c>
      <x:c r="C142" s="192" t="str">
        <x:v>LMFT-MQB-FA-TX-034</x:v>
      </x:c>
      <x:c r="D142" s="192" t="str">
        <x:v>CTA-LMFT-MQB-0215</x:v>
      </x:c>
      <x:c r="E142" s="192" t="str">
        <x:v>Form A</x:v>
      </x:c>
      <x:c r="F142" s="192" t="str">
        <x:v>High-risk group member</x:v>
      </x:c>
      <x:c r="G142" s="192" t="str">
        <x:v>A group member repeatedly arrives intoxicated and threatens another participant. What should the facilitator do FIRST?</x:v>
      </x:c>
      <x:c r="H142" s="192" t="str">
        <x:v>LMFT-MQB-FB-TX-034</x:v>
      </x:c>
      <x:c r="I142" s="192" t="str">
        <x:v>CTA-LMFT-MQB-0489</x:v>
      </x:c>
      <x:c r="J142" s="192" t="str">
        <x:v>Form B</x:v>
      </x:c>
      <x:c r="K142" s="192" t="str">
        <x:v>High-risk group member</x:v>
      </x:c>
      <x:c r="L142" s="192" t="str">
        <x:v>A group participant arrives impaired, makes threats, and moves toward another member. What should the facilitator do first?</x:v>
      </x:c>
      <x:c r="M142" s="192" t="str">
        <x:v>Alternate Form</x:v>
      </x:c>
      <x:c r="N142" s="194" t="str">
        <x:v>Keep on separate forms; review both items together before any future revision, option movement, or reuse.</x:v>
      </x:c>
    </x:row>
    <x:row r="143">
      <x:c r="A143" s="191" t="str">
        <x:v>LMFT-ALT-142</x:v>
      </x:c>
      <x:c r="B143" s="218" t="n">
        <x:v>0.9244094635098983</x:v>
      </x:c>
      <x:c r="C143" s="192" t="str">
        <x:v>LMFT-MQB-FA-TX-035</x:v>
      </x:c>
      <x:c r="D143" s="192" t="str">
        <x:v>CTA-LMFT-MQB-0304</x:v>
      </x:c>
      <x:c r="E143" s="192" t="str">
        <x:v>Form A</x:v>
      </x:c>
      <x:c r="F143" s="192" t="str">
        <x:v>Complex grief and family secrecy</x:v>
      </x:c>
      <x:c r="G143" s="192" t="str">
        <x:v>A parent asks the therapist not to tell children that a terminal illness is worsening, while the children show escalating anxiety and believe they caused the parent’s withdrawal. What should the therapist do?</x:v>
      </x:c>
      <x:c r="H143" s="192" t="str">
        <x:v>LMFT-MQB-FB-TX-035</x:v>
      </x:c>
      <x:c r="I143" s="192" t="str">
        <x:v>CTA-LMFT-MQB-0358</x:v>
      </x:c>
      <x:c r="J143" s="192" t="str">
        <x:v>Form B</x:v>
      </x:c>
      <x:c r="K143" s="192" t="str">
        <x:v>Complex grief and family secrecy</x:v>
      </x:c>
      <x:c r="L143" s="192" t="str">
        <x:v>Children believe they caused a seriously ill parent’s withdrawal, while the parent asks the therapist to conceal the worsening prognosis. What should the therapist do?</x:v>
      </x:c>
      <x:c r="M143" s="192" t="str">
        <x:v>Alternate Form</x:v>
      </x:c>
      <x:c r="N143" s="194" t="str">
        <x:v>Keep on separate forms; review both items together before any future revision, option movement, or reuse.</x:v>
      </x:c>
    </x:row>
    <x:row r="144">
      <x:c r="A144" s="191" t="str">
        <x:v>LMFT-ALT-143</x:v>
      </x:c>
      <x:c r="B144" s="218" t="n">
        <x:v>0.8475160576142363</x:v>
      </x:c>
      <x:c r="C144" s="192" t="str">
        <x:v>LMFT-MQB-FA-TX-036</x:v>
      </x:c>
      <x:c r="D144" s="192" t="str">
        <x:v>CTA-LMFT-MQB-0243</x:v>
      </x:c>
      <x:c r="E144" s="192" t="str">
        <x:v>Form A</x:v>
      </x:c>
      <x:c r="F144" s="192" t="str">
        <x:v>Transfer of care</x:v>
      </x:c>
      <x:c r="G144" s="192" t="str">
        <x:v>A therapist lacks competence to continue treating a complex eating disorder, and the client fears abandonment. What should the therapist do NEXT?</x:v>
      </x:c>
      <x:c r="H144" s="192" t="str">
        <x:v>LMFT-MQB-FB-TX-036</x:v>
      </x:c>
      <x:c r="I144" s="192" t="str">
        <x:v>CTA-LMFT-MQB-0482</x:v>
      </x:c>
      <x:c r="J144" s="192" t="str">
        <x:v>Form B</x:v>
      </x:c>
      <x:c r="K144" s="192" t="str">
        <x:v>Transfer of care</x:v>
      </x:c>
      <x:c r="L144" s="192" t="str">
        <x:v>An LMFT realizes that a client now requires specialized eating-disorder care beyond the therapist’s competence. The client fears being abandoned. What should happen next?</x:v>
      </x:c>
      <x:c r="M144" s="192" t="str">
        <x:v>Alternate Form</x:v>
      </x:c>
      <x:c r="N144" s="194" t="str">
        <x:v>Keep on separate forms; review both items together before any future revision, option movement, or reuse.</x:v>
      </x:c>
    </x:row>
    <x:row r="145">
      <x:c r="A145" s="191" t="str">
        <x:v>LMFT-ALT-144</x:v>
      </x:c>
      <x:c r="B145" s="218" t="n">
        <x:v>0.8719743970499113</x:v>
      </x:c>
      <x:c r="C145" s="192" t="str">
        <x:v>LMFT-MQB-FA-TX-037</x:v>
      </x:c>
      <x:c r="D145" s="192" t="str">
        <x:v>CTA-LMFT-MQB-0333</x:v>
      </x:c>
      <x:c r="E145" s="192" t="str">
        <x:v>Form A</x:v>
      </x:c>
      <x:c r="F145" s="192" t="str">
        <x:v>Integrated family treatment</x:v>
      </x:c>
      <x:c r="G145" s="192" t="str">
        <x:v>An adolescent’s self-harm has stabilized, but conflict recurs when parents criticize each other and the adolescent intervenes. What is the BEST next treatment focus?</x:v>
      </x:c>
      <x:c r="H145" s="192" t="str">
        <x:v>LMFT-MQB-FB-TX-037</x:v>
      </x:c>
      <x:c r="I145" s="192" t="str">
        <x:v>CTA-LMFT-MQB-0437</x:v>
      </x:c>
      <x:c r="J145" s="192" t="str">
        <x:v>Form B</x:v>
      </x:c>
      <x:c r="K145" s="192" t="str">
        <x:v>Integrated family treatment</x:v>
      </x:c>
      <x:c r="L145" s="192" t="str">
        <x:v>An adolescent’s acute self-harm risk has decreased, but the adolescent still enters parental disputes to stop the conflict. What should treatment emphasize next?</x:v>
      </x:c>
      <x:c r="M145" s="192" t="str">
        <x:v>Alternate Form</x:v>
      </x:c>
      <x:c r="N145" s="194" t="str">
        <x:v>Keep on separate forms; review both items together before any future revision, option movement, or reuse.</x:v>
      </x:c>
    </x:row>
    <x:row r="146">
      <x:c r="A146" s="191" t="str">
        <x:v>LMFT-ALT-145</x:v>
      </x:c>
      <x:c r="B146" s="218" t="n">
        <x:v>0.8282798828819391</x:v>
      </x:c>
      <x:c r="C146" s="192" t="str">
        <x:v>LMFT-MQB-FA-TX-038</x:v>
      </x:c>
      <x:c r="D146" s="192" t="str">
        <x:v>CTA-LMFT-MQB-0271</x:v>
      </x:c>
      <x:c r="E146" s="192" t="str">
        <x:v>Form A</x:v>
      </x:c>
      <x:c r="F146" s="192" t="str">
        <x:v>Integrated addiction and couple work</x:v>
      </x:c>
      <x:c r="G146" s="192" t="str">
        <x:v>A client is reducing alcohol use, while the partner monitors every behavior and responds with accusations. Relapses are followed by secrecy and escalating conflict. What is the BEST treatment approach?</x:v>
      </x:c>
      <x:c r="H146" s="192" t="str">
        <x:v>LMFT-MQB-FB-TX-038</x:v>
      </x:c>
      <x:c r="I146" s="192" t="str">
        <x:v>CTA-LMFT-MQB-0479</x:v>
      </x:c>
      <x:c r="J146" s="192" t="str">
        <x:v>Form B</x:v>
      </x:c>
      <x:c r="K146" s="192" t="str">
        <x:v>Integrated addiction and couple work</x:v>
      </x:c>
      <x:c r="L146" s="192" t="str">
        <x:v>A client working on sobriety hides slips because a partner responds with surveillance and accusations. What treatment approach best addresses both recovery and the couple cycle?</x:v>
      </x:c>
      <x:c r="M146" s="192" t="str">
        <x:v>Alternate Form</x:v>
      </x:c>
      <x:c r="N146" s="194" t="str">
        <x:v>Keep on separate forms; review both items together before any future revision, option movement, or reuse.</x:v>
      </x:c>
    </x:row>
    <x:row r="147">
      <x:c r="A147" s="191" t="str">
        <x:v>LMFT-ALT-146</x:v>
      </x:c>
      <x:c r="B147" s="218" t="n">
        <x:v>0.8983668959788433</x:v>
      </x:c>
      <x:c r="C147" s="192" t="str">
        <x:v>LMFT-MQB-FA-TX-039</x:v>
      </x:c>
      <x:c r="D147" s="192" t="str">
        <x:v>CTA-LMFT-MQB-0260</x:v>
      </x:c>
      <x:c r="E147" s="192" t="str">
        <x:v>Form A</x:v>
      </x:c>
      <x:c r="F147" s="192" t="str">
        <x:v>Integrated culturally responsive CBT</x:v>
      </x:c>
      <x:c r="G147" s="192" t="str">
        <x:v>A client values spiritual explanations for anxiety and also wants practical coping tools. What is the BEST approach?</x:v>
      </x:c>
      <x:c r="H147" s="192" t="str">
        <x:v>LMFT-MQB-FB-TX-039</x:v>
      </x:c>
      <x:c r="I147" s="192" t="str">
        <x:v>CTA-LMFT-MQB-0473</x:v>
      </x:c>
      <x:c r="J147" s="192" t="str">
        <x:v>Form B</x:v>
      </x:c>
      <x:c r="K147" s="192" t="str">
        <x:v>Integrated culturally responsive CBT</x:v>
      </x:c>
      <x:c r="L147" s="192" t="str">
        <x:v>A client wants CBT skills while also understanding anxiety through a spiritual framework. What is the most responsive treatment approach?</x:v>
      </x:c>
      <x:c r="M147" s="192" t="str">
        <x:v>Alternate Form</x:v>
      </x:c>
      <x:c r="N147" s="194" t="str">
        <x:v>Keep on separate forms; review both items together before any future revision, option movement, or reuse.</x:v>
      </x:c>
    </x:row>
    <x:row r="148">
      <x:c r="A148" s="191" t="str">
        <x:v>LMFT-ALT-147</x:v>
      </x:c>
      <x:c r="B148" s="218" t="n">
        <x:v>0.8737910327636937</x:v>
      </x:c>
      <x:c r="C148" s="192" t="str">
        <x:v>LMFT-MQB-FA-TX-040</x:v>
      </x:c>
      <x:c r="D148" s="192" t="str">
        <x:v>CTA-LMFT-MQB-0223</x:v>
      </x:c>
      <x:c r="E148" s="192" t="str">
        <x:v>Form A</x:v>
      </x:c>
      <x:c r="F148" s="192" t="str">
        <x:v>Integrated attachment and trauma pacing</x:v>
      </x:c>
      <x:c r="G148" s="192" t="str">
        <x:v>A trauma survivor seeks couple therapy because reassurance never feels sufficient. The partner becomes exhausted and withdraws, which intensifies the survivor’s panic. What is the BEST approach?</x:v>
      </x:c>
      <x:c r="H148" s="192" t="str">
        <x:v>LMFT-MQB-FB-TX-040</x:v>
      </x:c>
      <x:c r="I148" s="192" t="str">
        <x:v>CTA-LMFT-MQB-0475</x:v>
      </x:c>
      <x:c r="J148" s="192" t="str">
        <x:v>Form B</x:v>
      </x:c>
      <x:c r="K148" s="192" t="str">
        <x:v>Integrated attachment and trauma pacing</x:v>
      </x:c>
      <x:c r="L148" s="192" t="str">
        <x:v>A trauma survivor repeatedly seeks reassurance, the partner becomes depleted and withdraws, and the withdrawal increases panic. What approach best integrates trauma and attachment needs?</x:v>
      </x:c>
      <x:c r="M148" s="192" t="str">
        <x:v>Alternate Form</x:v>
      </x:c>
      <x:c r="N148" s="194" t="str">
        <x:v>Keep on separate forms; review both items together before any future revision, option movement, or reuse.</x:v>
      </x:c>
    </x:row>
    <x:row r="149">
      <x:c r="A149" s="191" t="str">
        <x:v>LMFT-ALT-148</x:v>
      </x:c>
      <x:c r="B149" s="218" t="n">
        <x:v>0.8393449594574993</x:v>
      </x:c>
      <x:c r="C149" s="192" t="str">
        <x:v>LMFT-MQB-FA-TX-041</x:v>
      </x:c>
      <x:c r="D149" s="192" t="str">
        <x:v>CTA-LMFT-MQB-0235</x:v>
      </x:c>
      <x:c r="E149" s="192" t="str">
        <x:v>Form A</x:v>
      </x:c>
      <x:c r="F149" s="192" t="str">
        <x:v>Integrated neurodiversity and couple treatment</x:v>
      </x:c>
      <x:c r="G149" s="192" t="str">
        <x:v>One autistic partner needs direct language and recovery time after conflict; the other interprets withdrawal as rejection and demands immediate discussion. What is the BEST intervention?</x:v>
      </x:c>
      <x:c r="H149" s="192" t="str">
        <x:v>LMFT-MQB-FB-TX-041</x:v>
      </x:c>
      <x:c r="I149" s="192" t="str">
        <x:v>CTA-LMFT-MQB-0433</x:v>
      </x:c>
      <x:c r="J149" s="192" t="str">
        <x:v>Form B</x:v>
      </x:c>
      <x:c r="K149" s="192" t="str">
        <x:v>Integrated neurodiversity and couple treatment</x:v>
      </x:c>
      <x:c r="L149" s="192" t="str">
        <x:v>One autistic partner needs a defined break after conflict; the other experiences the break as abandonment and pursues immediate resolution. What intervention is most appropriate?</x:v>
      </x:c>
      <x:c r="M149" s="192" t="str">
        <x:v>Alternate Form</x:v>
      </x:c>
      <x:c r="N149" s="194" t="str">
        <x:v>Keep on separate forms; review both items together before any future revision, option movement, or reuse.</x:v>
      </x:c>
    </x:row>
    <x:row r="150">
      <x:c r="A150" s="191" t="str">
        <x:v>LMFT-ALT-149</x:v>
      </x:c>
      <x:c r="B150" s="218" t="n">
        <x:v>0.869682913186958</x:v>
      </x:c>
      <x:c r="C150" s="192" t="str">
        <x:v>LMFT-MQB-FA-TX-042</x:v>
      </x:c>
      <x:c r="D150" s="192" t="str">
        <x:v>CTA-LMFT-MQB-0350</x:v>
      </x:c>
      <x:c r="E150" s="192" t="str">
        <x:v>Form A</x:v>
      </x:c>
      <x:c r="F150" s="192" t="str">
        <x:v>Integrated multidisciplinary care</x:v>
      </x:c>
      <x:c r="G150" s="192" t="str">
        <x:v>A client with bipolar disorder, diabetes, and family conflict is missing medication and medical appointments because relatives give contradictory advice. What should the LMFT do?</x:v>
      </x:c>
      <x:c r="H150" s="192" t="str">
        <x:v>LMFT-MQB-FB-TX-042</x:v>
      </x:c>
      <x:c r="I150" s="192" t="str">
        <x:v>CTA-LMFT-MQB-0503</x:v>
      </x:c>
      <x:c r="J150" s="192" t="str">
        <x:v>Form B</x:v>
      </x:c>
      <x:c r="K150" s="192" t="str">
        <x:v>Integrated multidisciplinary care</x:v>
      </x:c>
      <x:c r="L150" s="192" t="str">
        <x:v>A client with a mood disorder and serious medical illness misses appointments because family members give conflicting instructions. What should the LMFT do?</x:v>
      </x:c>
      <x:c r="M150" s="192" t="str">
        <x:v>Alternate Form</x:v>
      </x:c>
      <x:c r="N150" s="194" t="str">
        <x:v>Keep on separate forms; review both items together before any future revision, option movement, or reuse.</x:v>
      </x:c>
    </x:row>
    <x:row r="151">
      <x:c r="A151" s="191" t="str">
        <x:v>LMFT-ALT-150</x:v>
      </x:c>
      <x:c r="B151" s="218" t="n">
        <x:v>0.8729715731979355</x:v>
      </x:c>
      <x:c r="C151" s="192" t="str">
        <x:v>LMFT-MQB-FA-TX-043</x:v>
      </x:c>
      <x:c r="D151" s="192" t="str">
        <x:v>CTA-LMFT-MQB-0267</x:v>
      </x:c>
      <x:c r="E151" s="192" t="str">
        <x:v>Form A</x:v>
      </x:c>
      <x:c r="F151" s="192" t="str">
        <x:v>Integrated end-of-treatment decision</x:v>
      </x:c>
      <x:c r="G151" s="192" t="str">
        <x:v>A client has improved substantially but still depends on the therapist for reassurance before every difficult decision. The client requests indefinite weekly therapy. What should the LMFT do?</x:v>
      </x:c>
      <x:c r="H151" s="192" t="str">
        <x:v>LMFT-MQB-FB-TX-043</x:v>
      </x:c>
      <x:c r="I151" s="192" t="str">
        <x:v>CTA-LMFT-MQB-0400</x:v>
      </x:c>
      <x:c r="J151" s="192" t="str">
        <x:v>Form B</x:v>
      </x:c>
      <x:c r="K151" s="192" t="str">
        <x:v>Integrated end-of-treatment decision</x:v>
      </x:c>
      <x:c r="L151" s="192" t="str">
        <x:v>A client has met major goals but calls the therapist before ordinary decisions and requests permanent weekly sessions. What should the therapist do?</x:v>
      </x:c>
      <x:c r="M151" s="192" t="str">
        <x:v>Alternate Form</x:v>
      </x:c>
      <x:c r="N151" s="194" t="str">
        <x:v>Keep on separate forms; review both items together before any future revision, option movement, or reuse.</x:v>
      </x:c>
    </x:row>
    <x:row r="152">
      <x:c r="A152" s="191" t="str">
        <x:v>LMFT-OVR-001</x:v>
      </x:c>
      <x:c r="B152" s="218" t="n">
        <x:v>0.628799603966535</x:v>
      </x:c>
      <x:c r="C152" s="192" t="str">
        <x:v>LMFT-WB12-QB-Q004</x:v>
      </x:c>
      <x:c r="D152" s="192" t="str">
        <x:v>CTA-LMFT-MQB-0191</x:v>
      </x:c>
      <x:c r="E152" s="192" t="str">
        <x:v>Workbook 12</x:v>
      </x:c>
      <x:c r="F152" s="192" t="str">
        <x:v>Record amendment integrity</x:v>
      </x:c>
      <x:c r="G152" s="192" t="str">
        <x:v>What is the BEST way for an LMFT to correct a substantive factual error discovered in a finalized clinical note?</x:v>
      </x:c>
      <x:c r="H152" s="192" t="str">
        <x:v>LMFT-MQB-FA-LE-003</x:v>
      </x:c>
      <x:c r="I152" s="192" t="str">
        <x:v>CTA-LMFT-MQB-0218</x:v>
      </x:c>
      <x:c r="J152" s="192" t="str">
        <x:v>Form A</x:v>
      </x:c>
      <x:c r="K152" s="192" t="str">
        <x:v>Record correction</x:v>
      </x:c>
      <x:c r="L152" s="192" t="str">
        <x:v>An LMFT discovers an error in a finalized progress note. What is the BEST correction method?</x:v>
      </x:c>
      <x:c r="M152" s="192" t="str">
        <x:v>Review Candidate</x:v>
      </x:c>
      <x:c r="N152" s="194" t="str">
        <x:v>Compare for substantive redevelopment and independent distractor reasoning; do not automatically retire either item.</x:v>
      </x:c>
    </x:row>
    <x:row r="153">
      <x:c r="A153" s="191" t="str">
        <x:v>LMFT-OVR-002</x:v>
      </x:c>
      <x:c r="B153" s="218" t="n">
        <x:v>0.6217872028073914</x:v>
      </x:c>
      <x:c r="C153" s="192" t="str">
        <x:v>LMFT-WB12-QB-Q007</x:v>
      </x:c>
      <x:c r="D153" s="192" t="str">
        <x:v>CTA-LMFT-MQB-0194</x:v>
      </x:c>
      <x:c r="E153" s="192" t="str">
        <x:v>Workbook 12</x:v>
      </x:c>
      <x:c r="F153" s="192" t="str">
        <x:v>Electronic communication and privacy</x:v>
      </x:c>
      <x:c r="G153" s="192" t="str">
        <x:v>A client begins sending detailed trauma disclosures through an ordinary messaging platform that the practice uses only for scheduling. What is the BEST response?</x:v>
      </x:c>
      <x:c r="H153" s="192" t="str">
        <x:v>LMFT-MQB-FA-LE-006</x:v>
      </x:c>
      <x:c r="I153" s="192" t="str">
        <x:v>CTA-LMFT-MQB-0253</x:v>
      </x:c>
      <x:c r="J153" s="192" t="str">
        <x:v>Form A</x:v>
      </x:c>
      <x:c r="K153" s="192" t="str">
        <x:v>Electronic communication</x:v>
      </x:c>
      <x:c r="L153" s="192" t="str">
        <x:v>A client sends clinical details through a scheduling-only text line. What should the LMFT do?</x:v>
      </x:c>
      <x:c r="M153" s="192" t="str">
        <x:v>Review Candidate</x:v>
      </x:c>
      <x:c r="N153" s="194" t="str">
        <x:v>Compare for substantive redevelopment and independent distractor reasoning; do not automatically retire either item.</x:v>
      </x:c>
    </x:row>
    <x:row r="154">
      <x:c r="A154" s="191" t="str">
        <x:v>LMFT-OVR-003</x:v>
      </x:c>
      <x:c r="B154" s="218" t="n">
        <x:v>0.6036774225086823</x:v>
      </x:c>
      <x:c r="C154" s="192" t="str">
        <x:v>LMFT-WB05-QB-Q001</x:v>
      </x:c>
      <x:c r="D154" s="192" t="str">
        <x:v>CTA-LMFT-MQB-0069</x:v>
      </x:c>
      <x:c r="E154" s="192" t="str">
        <x:v>Workbook 5</x:v>
      </x:c>
      <x:c r="F154" s="192" t="str">
        <x:v>Provisional diagnosis</x:v>
      </x:c>
      <x:c r="G154" s="192" t="str">
        <x:v>A therapist has a strong working impression but is still awaiting records needed to confirm episode duration and exclude a substance-related cause. Which statement about diagnostic status is MOST accurate?</x:v>
      </x:c>
      <x:c r="H154" s="192" t="str">
        <x:v>LMFT-MQB-FA-DI-001</x:v>
      </x:c>
      <x:c r="I154" s="192" t="str">
        <x:v>CTA-LMFT-MQB-0207</x:v>
      </x:c>
      <x:c r="J154" s="192" t="str">
        <x:v>Form A</x:v>
      </x:c>
      <x:c r="K154" s="192" t="str">
        <x:v>Provisional diagnosis</x:v>
      </x:c>
      <x:c r="L154" s="192" t="str">
        <x:v>When is a provisional diagnostic impression MOST appropriate?</x:v>
      </x:c>
      <x:c r="M154" s="192" t="str">
        <x:v>Review Candidate</x:v>
      </x:c>
      <x:c r="N154" s="194" t="str">
        <x:v>Compare for substantive redevelopment and independent distractor reasoning; do not automatically retire either item.</x:v>
      </x:c>
    </x:row>
    <x:row r="155">
      <x:c r="A155" s="191" t="str">
        <x:v>LMFT-OVR-004</x:v>
      </x:c>
      <x:c r="B155" s="218" t="n">
        <x:v>0.5984384807272746</x:v>
      </x:c>
      <x:c r="C155" s="192" t="str">
        <x:v>LMFT-WB12-QB-Q012</x:v>
      </x:c>
      <x:c r="D155" s="192" t="str">
        <x:v>CTA-LMFT-MQB-0199</x:v>
      </x:c>
      <x:c r="E155" s="192" t="str">
        <x:v>Workbook 12</x:v>
      </x:c>
      <x:c r="F155" s="192" t="str">
        <x:v>Legal demand and privilege analysis</x:v>
      </x:c>
      <x:c r="G155" s="192" t="str">
        <x:v>An LMFT receives a legal document requesting records from family therapy, and the therapist is uncertain whether it is a subpoena, court order, or informal attorney request. What should the therapist do FIRST?</x:v>
      </x:c>
      <x:c r="H155" s="192" t="str">
        <x:v>LMFT-MQB-FA-LE-007</x:v>
      </x:c>
      <x:c r="I155" s="192" t="str">
        <x:v>CTA-LMFT-MQB-0277</x:v>
      </x:c>
      <x:c r="J155" s="192" t="str">
        <x:v>Form A</x:v>
      </x:c>
      <x:c r="K155" s="192" t="str">
        <x:v>Court request</x:v>
      </x:c>
      <x:c r="L155" s="192" t="str">
        <x:v>An attorney sends a subpoena for a family-therapy record and demands immediate release. What should the LMFT do?</x:v>
      </x:c>
      <x:c r="M155" s="192" t="str">
        <x:v>Review Candidate</x:v>
      </x:c>
      <x:c r="N155" s="194" t="str">
        <x:v>Compare for substantive redevelopment and independent distractor reasoning; do not automatically retire either item.</x:v>
      </x:c>
    </x:row>
    <x:row r="156">
      <x:c r="A156" s="191" t="str">
        <x:v>LMFT-OVR-005</x:v>
      </x:c>
      <x:c r="B156" s="218" t="n">
        <x:v>0.5976288086595242</x:v>
      </x:c>
      <x:c r="C156" s="192" t="str">
        <x:v>LMFT-WB12-QB-Q007</x:v>
      </x:c>
      <x:c r="D156" s="192" t="str">
        <x:v>CTA-LMFT-MQB-0194</x:v>
      </x:c>
      <x:c r="E156" s="192" t="str">
        <x:v>Workbook 12</x:v>
      </x:c>
      <x:c r="F156" s="192" t="str">
        <x:v>Electronic communication and privacy</x:v>
      </x:c>
      <x:c r="G156" s="192" t="str">
        <x:v>A client begins sending detailed trauma disclosures through an ordinary messaging platform that the practice uses only for scheduling. What is the BEST response?</x:v>
      </x:c>
      <x:c r="H156" s="192" t="str">
        <x:v>LMFT-MQB-FB-LE-006</x:v>
      </x:c>
      <x:c r="I156" s="192" t="str">
        <x:v>CTA-LMFT-MQB-0376</x:v>
      </x:c>
      <x:c r="J156" s="192" t="str">
        <x:v>Form B</x:v>
      </x:c>
      <x:c r="K156" s="192" t="str">
        <x:v>Electronic communication</x:v>
      </x:c>
      <x:c r="L156" s="192" t="str">
        <x:v>A client sends a message about escalating self-harm through a portal designated only for appointment changes. What should the therapist do?</x:v>
      </x:c>
      <x:c r="M156" s="192" t="str">
        <x:v>Review Candidate</x:v>
      </x:c>
      <x:c r="N156" s="194" t="str">
        <x:v>Compare for substantive redevelopment and independent distractor reasoning; do not automatically retire either item.</x:v>
      </x:c>
    </x:row>
    <x:row r="157">
      <x:c r="A157" s="191" t="str">
        <x:v>LMFT-OVR-006</x:v>
      </x:c>
      <x:c r="B157" s="218" t="n">
        <x:v>0.5867438407674227</x:v>
      </x:c>
      <x:c r="C157" s="192" t="str">
        <x:v>LMFT-WB10-QB-Q012</x:v>
      </x:c>
      <x:c r="D157" s="192" t="str">
        <x:v>CTA-LMFT-MQB-0165</x:v>
      </x:c>
      <x:c r="E157" s="192" t="str">
        <x:v>Workbook 10</x:v>
      </x:c>
      <x:c r="F157" s="192" t="str">
        <x:v>Affirming care, family involvement, and housing safety</x:v>
      </x:c>
      <x:c r="G157" s="192" t="str">
        <x:v>A nonbinary adolescent seeks help for anxiety. The parents request family sessions to persuade the adolescent to stop using a chosen name, and the adolescent fears being forced out of the home. What is the BEST initial plan?</x:v>
      </x:c>
      <x:c r="H157" s="192" t="str">
        <x:v>LMFT-MQB-FA-CE-031</x:v>
      </x:c>
      <x:c r="I157" s="192" t="str">
        <x:v>CTA-LMFT-MQB-0254</x:v>
      </x:c>
      <x:c r="J157" s="192" t="str">
        <x:v>Form A</x:v>
      </x:c>
      <x:c r="K157" s="192" t="str">
        <x:v>Adolescent identity and family conflict</x:v>
      </x:c>
      <x:c r="L157" s="192" t="str">
        <x:v>Parents request treatment to make their adolescent “stop identifying as nonbinary.” The adolescent reports anxiety only when family members criticize the identity. What should the LMFT do FIRST?</x:v>
      </x:c>
      <x:c r="M157" s="192" t="str">
        <x:v>Review Candidate</x:v>
      </x:c>
      <x:c r="N157" s="194" t="str">
        <x:v>Compare for substantive redevelopment and independent distractor reasoning; do not automatically retire either item.</x:v>
      </x:c>
    </x:row>
    <x:row r="158">
      <x:c r="A158" s="191" t="str">
        <x:v>LMFT-OVR-007</x:v>
      </x:c>
      <x:c r="B158" s="218" t="n">
        <x:v>0.583123354852405</x:v>
      </x:c>
      <x:c r="C158" s="192" t="str">
        <x:v>LMFT-WB12-QB-Q006</x:v>
      </x:c>
      <x:c r="D158" s="192" t="str">
        <x:v>CTA-LMFT-MQB-0193</x:v>
      </x:c>
      <x:c r="E158" s="192" t="str">
        <x:v>Workbook 12</x:v>
      </x:c>
      <x:c r="F158" s="192" t="str">
        <x:v>Telehealth location and emergency capacity</x:v>
      </x:c>
      <x:c r="G158" s="192" t="str">
        <x:v>At the beginning of a telehealth session, a client reports being temporarily located in another jurisdiction and expresses worsening panic but no current self-harm intent. What should the LMFT do FIRST?</x:v>
      </x:c>
      <x:c r="H158" s="192" t="str">
        <x:v>LMFT-MQB-FA-LE-011</x:v>
      </x:c>
      <x:c r="I158" s="192" t="str">
        <x:v>CTA-LMFT-MQB-0214</x:v>
      </x:c>
      <x:c r="J158" s="192" t="str">
        <x:v>Form A</x:v>
      </x:c>
      <x:c r="K158" s="192" t="str">
        <x:v>Telehealth jurisdiction</x:v>
      </x:c>
      <x:c r="L158" s="192" t="str">
        <x:v>At the start of a session, a client reports being temporarily located in another state. What should the LMFT do NEXT?</x:v>
      </x:c>
      <x:c r="M158" s="192" t="str">
        <x:v>Review Candidate</x:v>
      </x:c>
      <x:c r="N158" s="194" t="str">
        <x:v>Compare for substantive redevelopment and independent distractor reasoning; do not automatically retire either item.</x:v>
      </x:c>
    </x:row>
    <x:row r="159">
      <x:c r="A159" s="191" t="str">
        <x:v>LMFT-OVR-008</x:v>
      </x:c>
      <x:c r="B159" s="218" t="n">
        <x:v>0.5742757763903699</x:v>
      </x:c>
      <x:c r="C159" s="192" t="str">
        <x:v>LMFT-WB02-QB-Q006</x:v>
      </x:c>
      <x:c r="D159" s="192" t="str">
        <x:v>CTA-LMFT-MQB-0023</x:v>
      </x:c>
      <x:c r="E159" s="192" t="str">
        <x:v>Workbook 2</x:v>
      </x:c>
      <x:c r="F159" s="192" t="str">
        <x:v>Direct suicide inquiry</x:v>
      </x:c>
      <x:c r="G159" s="192" t="str">
        <x:v>A client says, "Sometimes I think everyone would be better without me," then changes the subject. What should the therapist do NEXT?</x:v>
      </x:c>
      <x:c r="H159" s="192" t="str">
        <x:v>LMFT-MQB-FA-CR-006</x:v>
      </x:c>
      <x:c r="I159" s="192" t="str">
        <x:v>CTA-LMFT-MQB-0302</x:v>
      </x:c>
      <x:c r="J159" s="192" t="str">
        <x:v>Form A</x:v>
      </x:c>
      <x:c r="K159" s="192" t="str">
        <x:v>Direct suicide inquiry</x:v>
      </x:c>
      <x:c r="L159" s="192" t="str">
        <x:v>A client says, “Everyone would be better off without me.” What should the LMFT do FIRST?</x:v>
      </x:c>
      <x:c r="M159" s="192" t="str">
        <x:v>Review Candidate</x:v>
      </x:c>
      <x:c r="N159" s="194" t="str">
        <x:v>Compare for substantive redevelopment and independent distractor reasoning; do not automatically retire either item.</x:v>
      </x:c>
    </x:row>
    <x:row r="160">
      <x:c r="A160" s="191" t="str">
        <x:v>LMFT-OVR-009</x:v>
      </x:c>
      <x:c r="B160" s="218" t="n">
        <x:v>0.5493750413896384</x:v>
      </x:c>
      <x:c r="C160" s="192" t="str">
        <x:v>LMFT-WB05-QB-Q001</x:v>
      </x:c>
      <x:c r="D160" s="192" t="str">
        <x:v>CTA-LMFT-MQB-0069</x:v>
      </x:c>
      <x:c r="E160" s="192" t="str">
        <x:v>Workbook 5</x:v>
      </x:c>
      <x:c r="F160" s="192" t="str">
        <x:v>Provisional diagnosis</x:v>
      </x:c>
      <x:c r="G160" s="192" t="str">
        <x:v>A therapist has a strong working impression but is still awaiting records needed to confirm episode duration and exclude a substance-related cause. Which statement about diagnostic status is MOST accurate?</x:v>
      </x:c>
      <x:c r="H160" s="192" t="str">
        <x:v>LMFT-MQB-FB-DI-001</x:v>
      </x:c>
      <x:c r="I160" s="192" t="str">
        <x:v>CTA-LMFT-MQB-0441</x:v>
      </x:c>
      <x:c r="J160" s="192" t="str">
        <x:v>Form B</x:v>
      </x:c>
      <x:c r="K160" s="192" t="str">
        <x:v>Provisional diagnosis</x:v>
      </x:c>
      <x:c r="L160" s="192" t="str">
        <x:v>An LMFT has substantial evidence for a disorder, but the minimum duration has not yet elapsed and medical test results are pending. Which diagnostic designation best communicates the current level of certainty?</x:v>
      </x:c>
      <x:c r="M160" s="192" t="str">
        <x:v>Review Candidate</x:v>
      </x:c>
      <x:c r="N160" s="194" t="str">
        <x:v>Compare for substantive redevelopment and independent distractor reasoning; do not automatically retire either item.</x:v>
      </x:c>
    </x:row>
    <x:row r="161">
      <x:c r="A161" s="191" t="str">
        <x:v>LMFT-OVR-010</x:v>
      </x:c>
      <x:c r="B161" s="218" t="n">
        <x:v>0.5373207843155662</x:v>
      </x:c>
      <x:c r="C161" s="192" t="str">
        <x:v>LMFT-WB12-QB-Q012</x:v>
      </x:c>
      <x:c r="D161" s="192" t="str">
        <x:v>CTA-LMFT-MQB-0199</x:v>
      </x:c>
      <x:c r="E161" s="192" t="str">
        <x:v>Workbook 12</x:v>
      </x:c>
      <x:c r="F161" s="192" t="str">
        <x:v>Legal demand and privilege analysis</x:v>
      </x:c>
      <x:c r="G161" s="192" t="str">
        <x:v>An LMFT receives a legal document requesting records from family therapy, and the therapist is uncertain whether it is a subpoena, court order, or informal attorney request. What should the therapist do FIRST?</x:v>
      </x:c>
      <x:c r="H161" s="192" t="str">
        <x:v>LMFT-MQB-FB-LE-007</x:v>
      </x:c>
      <x:c r="I161" s="192" t="str">
        <x:v>CTA-LMFT-MQB-0466</x:v>
      </x:c>
      <x:c r="J161" s="192" t="str">
        <x:v>Form B</x:v>
      </x:c>
      <x:c r="K161" s="192" t="str">
        <x:v>Court request</x:v>
      </x:c>
      <x:c r="L161" s="192" t="str">
        <x:v>A lawyer emails a subpoena and says the complete couple-therapy file must be sent before the end of the day. What should the LMFT do?</x:v>
      </x:c>
      <x:c r="M161" s="192" t="str">
        <x:v>Review Candidate</x:v>
      </x:c>
      <x:c r="N161" s="194" t="str">
        <x:v>Compare for substantive redevelopment and independent distractor reasoning; do not automatically retire either item.</x:v>
      </x:c>
    </x:row>
    <x:row r="162">
      <x:c r="A162" s="191" t="str">
        <x:v>LMFT-OVR-011</x:v>
      </x:c>
      <x:c r="B162" s="218" t="n">
        <x:v>0.5321762284259345</x:v>
      </x:c>
      <x:c r="C162" s="192" t="str">
        <x:v>LMFT-WB09-QB-Q016</x:v>
      </x:c>
      <x:c r="D162" s="192" t="str">
        <x:v>CTA-LMFT-MQB-0152</x:v>
      </x:c>
      <x:c r="E162" s="192" t="str">
        <x:v>Workbook 9</x:v>
      </x:c>
      <x:c r="F162" s="192" t="str">
        <x:v>Integrated adolescent risk and family work</x:v>
      </x:c>
      <x:c r="G162" s="192" t="str">
        <x:v>An adolescent with worsening depression reports passive thoughts of death. Parents argue about whether the symptoms are “real,” and the adolescent refuses conjoint discussion. What should the LMFT do FIRST?</x:v>
      </x:c>
      <x:c r="H162" s="192" t="str">
        <x:v>LMFT-MQB-FA-TX-037</x:v>
      </x:c>
      <x:c r="I162" s="192" t="str">
        <x:v>CTA-LMFT-MQB-0333</x:v>
      </x:c>
      <x:c r="J162" s="192" t="str">
        <x:v>Form A</x:v>
      </x:c>
      <x:c r="K162" s="192" t="str">
        <x:v>Integrated family treatment</x:v>
      </x:c>
      <x:c r="L162" s="192" t="str">
        <x:v>An adolescent’s self-harm has stabilized, but conflict recurs when parents criticize each other and the adolescent intervenes. What is the BEST next treatment focus?</x:v>
      </x:c>
      <x:c r="M162" s="192" t="str">
        <x:v>Review Candidate</x:v>
      </x:c>
      <x:c r="N162" s="194" t="str">
        <x:v>Compare for substantive redevelopment and independent distractor reasoning; do not automatically retire either item.</x:v>
      </x:c>
    </x:row>
    <x:row r="163">
      <x:c r="A163" s="191" t="str">
        <x:v>LMFT-OVR-012</x:v>
      </x:c>
      <x:c r="B163" s="218" t="n">
        <x:v>0.5308533656970722</x:v>
      </x:c>
      <x:c r="C163" s="192" t="str">
        <x:v>LMFT-WB12-QB-Q006</x:v>
      </x:c>
      <x:c r="D163" s="192" t="str">
        <x:v>CTA-LMFT-MQB-0193</x:v>
      </x:c>
      <x:c r="E163" s="192" t="str">
        <x:v>Workbook 12</x:v>
      </x:c>
      <x:c r="F163" s="192" t="str">
        <x:v>Telehealth location and emergency capacity</x:v>
      </x:c>
      <x:c r="G163" s="192" t="str">
        <x:v>At the beginning of a telehealth session, a client reports being temporarily located in another jurisdiction and expresses worsening panic but no current self-harm intent. What should the LMFT do FIRST?</x:v>
      </x:c>
      <x:c r="H163" s="192" t="str">
        <x:v>LMFT-MQB-FB-LE-011</x:v>
      </x:c>
      <x:c r="I163" s="192" t="str">
        <x:v>CTA-LMFT-MQB-0380</x:v>
      </x:c>
      <x:c r="J163" s="192" t="str">
        <x:v>Form B</x:v>
      </x:c>
      <x:c r="K163" s="192" t="str">
        <x:v>Telehealth jurisdiction</x:v>
      </x:c>
      <x:c r="L163" s="192" t="str">
        <x:v>A client logs into telehealth while visiting a jurisdiction where the LMFT may not be authorized to practice. What should the therapist do next?</x:v>
      </x:c>
      <x:c r="M163" s="192" t="str">
        <x:v>Review Candidate</x:v>
      </x:c>
      <x:c r="N163" s="194" t="str">
        <x:v>Compare for substantive redevelopment and independent distractor reasoning; do not automatically retire either item.</x:v>
      </x:c>
    </x:row>
    <x:row r="164">
      <x:c r="A164" s="191" t="str">
        <x:v>LMFT-OVR-013</x:v>
      </x:c>
      <x:c r="B164" s="218" t="n">
        <x:v>0.5281264921358707</x:v>
      </x:c>
      <x:c r="C164" s="192" t="str">
        <x:v>LMFT-WB12-QB-Q004</x:v>
      </x:c>
      <x:c r="D164" s="192" t="str">
        <x:v>CTA-LMFT-MQB-0191</x:v>
      </x:c>
      <x:c r="E164" s="192" t="str">
        <x:v>Workbook 12</x:v>
      </x:c>
      <x:c r="F164" s="192" t="str">
        <x:v>Record amendment integrity</x:v>
      </x:c>
      <x:c r="G164" s="192" t="str">
        <x:v>What is the BEST way for an LMFT to correct a substantive factual error discovered in a finalized clinical note?</x:v>
      </x:c>
      <x:c r="H164" s="192" t="str">
        <x:v>LMFT-MQB-FB-LE-003</x:v>
      </x:c>
      <x:c r="I164" s="192" t="str">
        <x:v>CTA-LMFT-MQB-0388</x:v>
      </x:c>
      <x:c r="J164" s="192" t="str">
        <x:v>Form B</x:v>
      </x:c>
      <x:c r="K164" s="192" t="str">
        <x:v>Record correction</x:v>
      </x:c>
      <x:c r="L164" s="192" t="str">
        <x:v>After signing a note, a therapist discovers that the medication name was entered incorrectly. How should the record be corrected?</x:v>
      </x:c>
      <x:c r="M164" s="192" t="str">
        <x:v>Review Candidate</x:v>
      </x:c>
      <x:c r="N164" s="194" t="str">
        <x:v>Compare for substantive redevelopment and independent distractor reasoning; do not automatically retire either item.</x:v>
      </x:c>
    </x:row>
    <x:row r="165">
      <x:c r="A165" s="191" t="str">
        <x:v>LMFT-OVR-014</x:v>
      </x:c>
      <x:c r="B165" s="218" t="n">
        <x:v>0.5254281417035206</x:v>
      </x:c>
      <x:c r="C165" s="192" t="str">
        <x:v>LMFT-WB01-QB-Q011</x:v>
      </x:c>
      <x:c r="D165" s="192" t="str">
        <x:v>CTA-LMFT-MQB-0011</x:v>
      </x:c>
      <x:c r="E165" s="192" t="str">
        <x:v>Workbook 1</x:v>
      </x:c>
      <x:c r="F165" s="192" t="str">
        <x:v>Coercive control and conjoint suitability</x:v>
      </x:c>
      <x:c r="G165" s="192" t="str">
        <x:v>A partner requests conjoint therapy but privately reports that the other partner monitors their phone, controls money, and becomes threatening when separation is mentioned. What should the therapist do NEXT?</x:v>
      </x:c>
      <x:c r="H165" s="192" t="str">
        <x:v>LMFT-MQB-FA-TX-033</x:v>
      </x:c>
      <x:c r="I165" s="192" t="str">
        <x:v>CTA-LMFT-MQB-0331</x:v>
      </x:c>
      <x:c r="J165" s="192" t="str">
        <x:v>Form A</x:v>
      </x:c>
      <x:c r="K165" s="192" t="str">
        <x:v>Coercive violence and conjoint work</x:v>
      </x:c>
      <x:c r="L165" s="192" t="str">
        <x:v>In couple therapy, one partner privately reports that the other monitors finances, threatens deportation, and punishes disagreement. What should the therapist do NEXT?</x:v>
      </x:c>
      <x:c r="M165" s="192" t="str">
        <x:v>Review Candidate</x:v>
      </x:c>
      <x:c r="N165" s="194" t="str">
        <x:v>Compare for substantive redevelopment and independent distractor reasoning; do not automatically retire either item.</x:v>
      </x:c>
    </x:row>
    <x:row r="166">
      <x:c r="A166" s="191" t="str">
        <x:v>LMFT-OVR-015</x:v>
      </x:c>
      <x:c r="B166" s="218" t="n">
        <x:v>0.5227012878933849</x:v>
      </x:c>
      <x:c r="C166" s="192" t="str">
        <x:v>LMFT-WB11-QB-Q008</x:v>
      </x:c>
      <x:c r="D166" s="192" t="str">
        <x:v>CTA-LMFT-MQB-0178</x:v>
      </x:c>
      <x:c r="E166" s="192" t="str">
        <x:v>Workbook 11</x:v>
      </x:c>
      <x:c r="F166" s="192" t="str">
        <x:v>Attachment-focused couple intervention</x:v>
      </x:c>
      <x:c r="G166" s="192" t="str">
        <x:v>In couple therapy, one partner criticizes more intensely whenever the other withdraws. Beneath the criticism, the first partner fears abandonment; beneath the withdrawal, the second fears failure and rejection. What intervention BEST fits an attachment-focused formulation?</x:v>
      </x:c>
      <x:c r="H166" s="192" t="str">
        <x:v>LMFT-MQB-FA-TX-012</x:v>
      </x:c>
      <x:c r="I166" s="192" t="str">
        <x:v>CTA-LMFT-MQB-0328</x:v>
      </x:c>
      <x:c r="J166" s="192" t="str">
        <x:v>Form A</x:v>
      </x:c>
      <x:c r="K166" s="192" t="str">
        <x:v>Attachment intervention</x:v>
      </x:c>
      <x:c r="L166" s="192" t="str">
        <x:v>In a pursue-withdraw cycle, the pursuing partner criticizes when afraid of abandonment, and the withdrawing partner shuts down when feeling inadequate. What should the therapist do?</x:v>
      </x:c>
      <x:c r="M166" s="192" t="str">
        <x:v>Review Candidate</x:v>
      </x:c>
      <x:c r="N166" s="194" t="str">
        <x:v>Compare for substantive redevelopment and independent distractor reasoning; do not automatically retire either item.</x:v>
      </x:c>
    </x:row>
    <x:row r="167">
      <x:c r="A167" s="191" t="str">
        <x:v>LMFT-OVR-016</x:v>
      </x:c>
      <x:c r="B167" s="218" t="n">
        <x:v>0.5215876632639012</x:v>
      </x:c>
      <x:c r="C167" s="192" t="str">
        <x:v>LMFT-WB01-QB-Q005</x:v>
      </x:c>
      <x:c r="D167" s="192" t="str">
        <x:v>CTA-LMFT-MQB-0005</x:v>
      </x:c>
      <x:c r="E167" s="192" t="str">
        <x:v>Workbook 1</x:v>
      </x:c>
      <x:c r="F167" s="192" t="str">
        <x:v>Medication-related change</x:v>
      </x:c>
      <x:c r="G167" s="192" t="str">
        <x:v>An adult client reports new restlessness, insomnia, and racing thoughts beginning two days after a medication dose was increased. What should the therapist do FIRST?</x:v>
      </x:c>
      <x:c r="H167" s="192" t="str">
        <x:v>LMFT-MQB-FA-CE-009</x:v>
      </x:c>
      <x:c r="I167" s="192" t="str">
        <x:v>CTA-LMFT-MQB-0227</x:v>
      </x:c>
      <x:c r="J167" s="192" t="str">
        <x:v>Form A</x:v>
      </x:c>
      <x:c r="K167" s="192" t="str">
        <x:v>Medication assessment</x:v>
      </x:c>
      <x:c r="L167" s="192" t="str">
        <x:v>A client reports new restlessness and insomnia two days after a medication dose was increased. What is the BEST evaluation response?</x:v>
      </x:c>
      <x:c r="M167" s="192" t="str">
        <x:v>Review Candidate</x:v>
      </x:c>
      <x:c r="N167" s="194" t="str">
        <x:v>Compare for substantive redevelopment and independent distractor reasoning; do not automatically retire either item.</x:v>
      </x:c>
    </x:row>
    <x:row r="168">
      <x:c r="A168" s="191" t="str">
        <x:v>LMFT-OVR-017</x:v>
      </x:c>
      <x:c r="B168" s="218" t="n">
        <x:v>0.5211546236386654</x:v>
      </x:c>
      <x:c r="C168" s="192" t="str">
        <x:v>LMFT-WB09-QB-Q016</x:v>
      </x:c>
      <x:c r="D168" s="192" t="str">
        <x:v>CTA-LMFT-MQB-0152</x:v>
      </x:c>
      <x:c r="E168" s="192" t="str">
        <x:v>Workbook 9</x:v>
      </x:c>
      <x:c r="F168" s="192" t="str">
        <x:v>Integrated adolescent risk and family work</x:v>
      </x:c>
      <x:c r="G168" s="192" t="str">
        <x:v>An adolescent with worsening depression reports passive thoughts of death. Parents argue about whether the symptoms are “real,” and the adolescent refuses conjoint discussion. What should the LMFT do FIRST?</x:v>
      </x:c>
      <x:c r="H168" s="192" t="str">
        <x:v>LMFT-MQB-FB-TX-037</x:v>
      </x:c>
      <x:c r="I168" s="192" t="str">
        <x:v>CTA-LMFT-MQB-0437</x:v>
      </x:c>
      <x:c r="J168" s="192" t="str">
        <x:v>Form B</x:v>
      </x:c>
      <x:c r="K168" s="192" t="str">
        <x:v>Integrated family treatment</x:v>
      </x:c>
      <x:c r="L168" s="192" t="str">
        <x:v>An adolescent’s acute self-harm risk has decreased, but the adolescent still enters parental disputes to stop the conflict. What should treatment emphasize next?</x:v>
      </x:c>
      <x:c r="M168" s="192" t="str">
        <x:v>Review Candidate</x:v>
      </x:c>
      <x:c r="N168" s="194" t="str">
        <x:v>Compare for substantive redevelopment and independent distractor reasoning; do not automatically retire either item.</x:v>
      </x:c>
    </x:row>
    <x:row r="169">
      <x:c r="A169" s="191" t="str">
        <x:v>LMFT-OVR-018</x:v>
      </x:c>
      <x:c r="B169" s="218" t="n">
        <x:v>0.5186305804041424</x:v>
      </x:c>
      <x:c r="C169" s="192" t="str">
        <x:v>LMFT-WB09-QB-Q011</x:v>
      </x:c>
      <x:c r="D169" s="192" t="str">
        <x:v>CTA-LMFT-MQB-0147</x:v>
      </x:c>
      <x:c r="E169" s="192" t="str">
        <x:v>Workbook 9</x:v>
      </x:c>
      <x:c r="F169" s="192" t="str">
        <x:v>Eating concerns and medical risk</x:v>
      </x:c>
      <x:c r="G169" s="192" t="str">
        <x:v>A client reports severe dietary restriction, dizziness, fainting, and rapid weight loss but asks to focus only on body-image thoughts. What should the therapist do NEXT?</x:v>
      </x:c>
      <x:c r="H169" s="192" t="str">
        <x:v>LMFT-MQB-FA-TX-021</x:v>
      </x:c>
      <x:c r="I169" s="192" t="str">
        <x:v>CTA-LMFT-MQB-0295</x:v>
      </x:c>
      <x:c r="J169" s="192" t="str">
        <x:v>Form A</x:v>
      </x:c>
      <x:c r="K169" s="192" t="str">
        <x:v>Treatment of severe eating symptoms</x:v>
      </x:c>
      <x:c r="L169" s="192" t="str">
        <x:v>A client with restrictive eating reports fainting, chest palpitations, and rapid weight loss. What should the LMFT do?</x:v>
      </x:c>
      <x:c r="M169" s="192" t="str">
        <x:v>Review Candidate</x:v>
      </x:c>
      <x:c r="N169" s="194" t="str">
        <x:v>Compare for substantive redevelopment and independent distractor reasoning; do not automatically retire either item.</x:v>
      </x:c>
    </x:row>
    <x:row r="170">
      <x:c r="A170" s="191" t="str">
        <x:v>LMFT-OVR-019</x:v>
      </x:c>
      <x:c r="B170" s="218" t="n">
        <x:v>0.5166751829766116</x:v>
      </x:c>
      <x:c r="C170" s="192" t="str">
        <x:v>LMFT-WB05-QB-Q010</x:v>
      </x:c>
      <x:c r="D170" s="192" t="str">
        <x:v>CTA-LMFT-MQB-0078</x:v>
      </x:c>
      <x:c r="E170" s="192" t="str">
        <x:v>Workbook 5</x:v>
      </x:c>
      <x:c r="F170" s="192" t="str">
        <x:v>Gender diversity and diagnostic context</x:v>
      </x:c>
      <x:c r="G170" s="192" t="str">
        <x:v>A transgender adult reports anxiety that intensifies when misgendered at work but describes comfort with their identity. Which response is MOST diagnostically sound?</x:v>
      </x:c>
      <x:c r="H170" s="192" t="str">
        <x:v>LMFT-MQB-FA-CE-021</x:v>
      </x:c>
      <x:c r="I170" s="192" t="str">
        <x:v>CTA-LMFT-MQB-0252</x:v>
      </x:c>
      <x:c r="J170" s="192" t="str">
        <x:v>Form A</x:v>
      </x:c>
      <x:c r="K170" s="192" t="str">
        <x:v>Complex identity formulation</x:v>
      </x:c>
      <x:c r="L170" s="192" t="str">
        <x:v>A transgender client reports anxiety that is strongest at work after repeated misgendering, but minimal in affirming settings. What is the BEST evaluation formulation?</x:v>
      </x:c>
      <x:c r="M170" s="192" t="str">
        <x:v>Review Candidate</x:v>
      </x:c>
      <x:c r="N170" s="194" t="str">
        <x:v>Compare for substantive redevelopment and independent distractor reasoning; do not automatically retire either item.</x:v>
      </x:c>
    </x:row>
    <x:row r="171">
      <x:c r="A171" s="195" t="str">
        <x:v>LMFT-OVR-020</x:v>
      </x:c>
      <x:c r="B171" s="219" t="n">
        <x:v>0.5087520693527292</x:v>
      </x:c>
      <x:c r="C171" s="196" t="str">
        <x:v>LMFT-WB09-QB-Q016</x:v>
      </x:c>
      <x:c r="D171" s="196" t="str">
        <x:v>CTA-LMFT-MQB-0152</x:v>
      </x:c>
      <x:c r="E171" s="196" t="str">
        <x:v>Workbook 9</x:v>
      </x:c>
      <x:c r="F171" s="196" t="str">
        <x:v>Integrated adolescent risk and family work</x:v>
      </x:c>
      <x:c r="G171" s="196" t="str">
        <x:v>An adolescent with worsening depression reports passive thoughts of death. Parents argue about whether the symptoms are “real,” and the adolescent refuses conjoint discussion. What should the LMFT do FIRST?</x:v>
      </x:c>
      <x:c r="H171" s="196" t="str">
        <x:v>LMFT-MQB-FA-CE-031</x:v>
      </x:c>
      <x:c r="I171" s="196" t="str">
        <x:v>CTA-LMFT-MQB-0254</x:v>
      </x:c>
      <x:c r="J171" s="196" t="str">
        <x:v>Form A</x:v>
      </x:c>
      <x:c r="K171" s="196" t="str">
        <x:v>Adolescent identity and family conflict</x:v>
      </x:c>
      <x:c r="L171" s="196" t="str">
        <x:v>Parents request treatment to make their adolescent “stop identifying as nonbinary.” The adolescent reports anxiety only when family members criticize the identity. What should the LMFT do FIRST?</x:v>
      </x:c>
      <x:c r="M171" s="196" t="str">
        <x:v>Review Candidate</x:v>
      </x:c>
      <x:c r="N171" s="198" t="str">
        <x:v>Compare for substantive redevelopment and independent distractor reasoning; do not automatically retire either item.</x:v>
      </x:c>
    </x:row>
  </x:sheetData>
  <x:conditionalFormatting sqref="M2:M171">
    <x:cfRule type="expression" dxfId="8" priority="1">
      <x:formula>$M2="Alternate Form"</x:formula>
    </x:cfRule>
    <x:cfRule type="expression" dxfId="9" priority="2">
      <x:formula>$M2="Review Candidate"</x:formula>
    </x:cfRule>
  </x:conditionalFormatting>
  <x:pageMargins left="0.7" right="0.7" top="0.75" bottom="0.75" header="0.3" footer="0.3"/>
  <x:tableParts count="1">
    <x:tablePart xmlns:r="http://schemas.openxmlformats.org/officeDocument/2006/relationships" r:id="Re6d8194e9d8c4a4a"/>
  </x:tableParts>
</x:worksheet>
</file>

<file path=xl/worksheets/sheet9.xml><?xml version="1.0" encoding="utf-8"?>
<x:worksheet xmlns:x="http://schemas.openxmlformats.org/spreadsheetml/2006/main">
  <x:sheetFormatPr defaultRowHeight="15"/>
  <x:cols>
    <x:col min="1" max="1" width="20" hidden="0" customWidth="1"/>
    <x:col min="2" max="2" width="24" hidden="0" customWidth="1"/>
    <x:col min="3" max="3" width="14" hidden="0" customWidth="1"/>
    <x:col min="4" max="4" width="32" hidden="0" customWidth="1"/>
    <x:col min="5" max="5" width="38" hidden="0" customWidth="1"/>
    <x:col min="6" max="6" width="12" hidden="0" customWidth="1"/>
    <x:col min="7" max="7" width="14" hidden="0" customWidth="1"/>
    <x:col min="8" max="8" width="24" hidden="0" customWidth="1"/>
    <x:col min="9" max="9" width="58" hidden="0" customWidth="1"/>
  </x:cols>
  <x:sheetData>
    <x:row r="1">
      <x:c r="A1" s="138" t="str">
        <x:v>Master Question ID</x:v>
      </x:c>
      <x:c r="B1" s="138" t="str">
        <x:v>Original Question ID</x:v>
      </x:c>
      <x:c r="C1" s="138" t="str">
        <x:v>Date</x:v>
      </x:c>
      <x:c r="D1" s="138" t="str">
        <x:v>Action</x:v>
      </x:c>
      <x:c r="E1" s="138" t="str">
        <x:v>Product / Source</x:v>
      </x:c>
      <x:c r="F1" s="138" t="str">
        <x:v>Version</x:v>
      </x:c>
      <x:c r="G1" s="138" t="str">
        <x:v>Exposure Change</x:v>
      </x:c>
      <x:c r="H1" s="138" t="str">
        <x:v>Reviewer / Owner</x:v>
      </x:c>
      <x:c r="I1" s="138" t="str">
        <x:v>Notes</x:v>
      </x:c>
    </x:row>
    <x:row r="2">
      <x:c r="A2" s="187" t="str">
        <x:v>CTA-LMFT-MQB-0001</x:v>
      </x:c>
      <x:c r="B2" s="188" t="str">
        <x:v>LMFT-WB01-QB-Q001</x:v>
      </x:c>
      <x:c r="C2" s="189" t="n">
        <x:v>46228</x:v>
      </x:c>
      <x:c r="D2" s="188" t="str">
        <x:v>Imported into LMFT master inventory</x:v>
      </x:c>
      <x:c r="E2" s="188" t="str">
        <x:v>LMFT Workbook 1 Question Bank</x:v>
      </x:c>
      <x:c r="F2" s="188" t="str">
        <x:v>1.0</x:v>
      </x:c>
      <x:c r="G2" s="188" t="n">
        <x:v>1</x:v>
      </x:c>
      <x:c r="H2" s="188" t="str">
        <x:v>Clinical Training Academy</x:v>
      </x:c>
      <x:c r="I2" s="190" t="str">
        <x:v>Source wording preserved; no silent item-content revision during inventory build.</x:v>
      </x:c>
    </x:row>
    <x:row r="3">
      <x:c r="A3" s="191" t="str">
        <x:v>CTA-LMFT-MQB-0002</x:v>
      </x:c>
      <x:c r="B3" s="192" t="str">
        <x:v>LMFT-WB01-QB-Q002</x:v>
      </x:c>
      <x:c r="C3" s="193" t="n">
        <x:v>46228</x:v>
      </x:c>
      <x:c r="D3" s="192" t="str">
        <x:v>Imported into LMFT master inventory</x:v>
      </x:c>
      <x:c r="E3" s="192" t="str">
        <x:v>LMFT Workbook 1 Question Bank</x:v>
      </x:c>
      <x:c r="F3" s="192" t="str">
        <x:v>1.0</x:v>
      </x:c>
      <x:c r="G3" s="192" t="n">
        <x:v>1</x:v>
      </x:c>
      <x:c r="H3" s="192" t="str">
        <x:v>Clinical Training Academy</x:v>
      </x:c>
      <x:c r="I3" s="194" t="str">
        <x:v>Source wording preserved; no silent item-content revision during inventory build.</x:v>
      </x:c>
    </x:row>
    <x:row r="4">
      <x:c r="A4" s="191" t="str">
        <x:v>CTA-LMFT-MQB-0003</x:v>
      </x:c>
      <x:c r="B4" s="192" t="str">
        <x:v>LMFT-WB01-QB-Q003</x:v>
      </x:c>
      <x:c r="C4" s="193" t="n">
        <x:v>46228</x:v>
      </x:c>
      <x:c r="D4" s="192" t="str">
        <x:v>Imported into LMFT master inventory</x:v>
      </x:c>
      <x:c r="E4" s="192" t="str">
        <x:v>LMFT Workbook 1 Question Bank</x:v>
      </x:c>
      <x:c r="F4" s="192" t="str">
        <x:v>1.0</x:v>
      </x:c>
      <x:c r="G4" s="192" t="n">
        <x:v>1</x:v>
      </x:c>
      <x:c r="H4" s="192" t="str">
        <x:v>Clinical Training Academy</x:v>
      </x:c>
      <x:c r="I4" s="194" t="str">
        <x:v>Source wording preserved; no silent item-content revision during inventory build.</x:v>
      </x:c>
    </x:row>
    <x:row r="5">
      <x:c r="A5" s="191" t="str">
        <x:v>CTA-LMFT-MQB-0004</x:v>
      </x:c>
      <x:c r="B5" s="192" t="str">
        <x:v>LMFT-WB01-QB-Q004</x:v>
      </x:c>
      <x:c r="C5" s="193" t="n">
        <x:v>46228</x:v>
      </x:c>
      <x:c r="D5" s="192" t="str">
        <x:v>Imported into LMFT master inventory</x:v>
      </x:c>
      <x:c r="E5" s="192" t="str">
        <x:v>LMFT Workbook 1 Question Bank</x:v>
      </x:c>
      <x:c r="F5" s="192" t="str">
        <x:v>1.0</x:v>
      </x:c>
      <x:c r="G5" s="192" t="n">
        <x:v>1</x:v>
      </x:c>
      <x:c r="H5" s="192" t="str">
        <x:v>Clinical Training Academy</x:v>
      </x:c>
      <x:c r="I5" s="194" t="str">
        <x:v>Source wording preserved; no silent item-content revision during inventory build.</x:v>
      </x:c>
    </x:row>
    <x:row r="6">
      <x:c r="A6" s="191" t="str">
        <x:v>CTA-LMFT-MQB-0005</x:v>
      </x:c>
      <x:c r="B6" s="192" t="str">
        <x:v>LMFT-WB01-QB-Q005</x:v>
      </x:c>
      <x:c r="C6" s="193" t="n">
        <x:v>46228</x:v>
      </x:c>
      <x:c r="D6" s="192" t="str">
        <x:v>Imported into LMFT master inventory</x:v>
      </x:c>
      <x:c r="E6" s="192" t="str">
        <x:v>LMFT Workbook 1 Question Bank</x:v>
      </x:c>
      <x:c r="F6" s="192" t="str">
        <x:v>1.0</x:v>
      </x:c>
      <x:c r="G6" s="192" t="n">
        <x:v>1</x:v>
      </x:c>
      <x:c r="H6" s="192" t="str">
        <x:v>Clinical Training Academy</x:v>
      </x:c>
      <x:c r="I6" s="194" t="str">
        <x:v>Source wording preserved; no silent item-content revision during inventory build.</x:v>
      </x:c>
    </x:row>
    <x:row r="7">
      <x:c r="A7" s="191" t="str">
        <x:v>CTA-LMFT-MQB-0006</x:v>
      </x:c>
      <x:c r="B7" s="192" t="str">
        <x:v>LMFT-WB01-QB-Q006</x:v>
      </x:c>
      <x:c r="C7" s="193" t="n">
        <x:v>46228</x:v>
      </x:c>
      <x:c r="D7" s="192" t="str">
        <x:v>Imported into LMFT master inventory</x:v>
      </x:c>
      <x:c r="E7" s="192" t="str">
        <x:v>LMFT Workbook 1 Question Bank</x:v>
      </x:c>
      <x:c r="F7" s="192" t="str">
        <x:v>1.0</x:v>
      </x:c>
      <x:c r="G7" s="192" t="n">
        <x:v>1</x:v>
      </x:c>
      <x:c r="H7" s="192" t="str">
        <x:v>Clinical Training Academy</x:v>
      </x:c>
      <x:c r="I7" s="194" t="str">
        <x:v>Source wording preserved; no silent item-content revision during inventory build.</x:v>
      </x:c>
    </x:row>
    <x:row r="8">
      <x:c r="A8" s="191" t="str">
        <x:v>CTA-LMFT-MQB-0007</x:v>
      </x:c>
      <x:c r="B8" s="192" t="str">
        <x:v>LMFT-WB01-QB-Q007</x:v>
      </x:c>
      <x:c r="C8" s="193" t="n">
        <x:v>46228</x:v>
      </x:c>
      <x:c r="D8" s="192" t="str">
        <x:v>Imported into LMFT master inventory</x:v>
      </x:c>
      <x:c r="E8" s="192" t="str">
        <x:v>LMFT Workbook 1 Question Bank</x:v>
      </x:c>
      <x:c r="F8" s="192" t="str">
        <x:v>1.0</x:v>
      </x:c>
      <x:c r="G8" s="192" t="n">
        <x:v>1</x:v>
      </x:c>
      <x:c r="H8" s="192" t="str">
        <x:v>Clinical Training Academy</x:v>
      </x:c>
      <x:c r="I8" s="194" t="str">
        <x:v>Source wording preserved; no silent item-content revision during inventory build.</x:v>
      </x:c>
    </x:row>
    <x:row r="9">
      <x:c r="A9" s="191" t="str">
        <x:v>CTA-LMFT-MQB-0008</x:v>
      </x:c>
      <x:c r="B9" s="192" t="str">
        <x:v>LMFT-WB01-QB-Q008</x:v>
      </x:c>
      <x:c r="C9" s="193" t="n">
        <x:v>46228</x:v>
      </x:c>
      <x:c r="D9" s="192" t="str">
        <x:v>Imported into LMFT master inventory</x:v>
      </x:c>
      <x:c r="E9" s="192" t="str">
        <x:v>LMFT Workbook 1 Question Bank</x:v>
      </x:c>
      <x:c r="F9" s="192" t="str">
        <x:v>1.0</x:v>
      </x:c>
      <x:c r="G9" s="192" t="n">
        <x:v>1</x:v>
      </x:c>
      <x:c r="H9" s="192" t="str">
        <x:v>Clinical Training Academy</x:v>
      </x:c>
      <x:c r="I9" s="194" t="str">
        <x:v>Source wording preserved; no silent item-content revision during inventory build.</x:v>
      </x:c>
    </x:row>
    <x:row r="10">
      <x:c r="A10" s="191" t="str">
        <x:v>CTA-LMFT-MQB-0009</x:v>
      </x:c>
      <x:c r="B10" s="192" t="str">
        <x:v>LMFT-WB01-QB-Q009</x:v>
      </x:c>
      <x:c r="C10" s="193" t="n">
        <x:v>46228</x:v>
      </x:c>
      <x:c r="D10" s="192" t="str">
        <x:v>Imported into LMFT master inventory</x:v>
      </x:c>
      <x:c r="E10" s="192" t="str">
        <x:v>LMFT Workbook 1 Question Bank</x:v>
      </x:c>
      <x:c r="F10" s="192" t="str">
        <x:v>1.0</x:v>
      </x:c>
      <x:c r="G10" s="192" t="n">
        <x:v>1</x:v>
      </x:c>
      <x:c r="H10" s="192" t="str">
        <x:v>Clinical Training Academy</x:v>
      </x:c>
      <x:c r="I10" s="194" t="str">
        <x:v>Source wording preserved; no silent item-content revision during inventory build.</x:v>
      </x:c>
    </x:row>
    <x:row r="11">
      <x:c r="A11" s="191" t="str">
        <x:v>CTA-LMFT-MQB-0010</x:v>
      </x:c>
      <x:c r="B11" s="192" t="str">
        <x:v>LMFT-WB01-QB-Q010</x:v>
      </x:c>
      <x:c r="C11" s="193" t="n">
        <x:v>46228</x:v>
      </x:c>
      <x:c r="D11" s="192" t="str">
        <x:v>Imported into LMFT master inventory</x:v>
      </x:c>
      <x:c r="E11" s="192" t="str">
        <x:v>LMFT Workbook 1 Question Bank</x:v>
      </x:c>
      <x:c r="F11" s="192" t="str">
        <x:v>1.0</x:v>
      </x:c>
      <x:c r="G11" s="192" t="n">
        <x:v>1</x:v>
      </x:c>
      <x:c r="H11" s="192" t="str">
        <x:v>Clinical Training Academy</x:v>
      </x:c>
      <x:c r="I11" s="194" t="str">
        <x:v>Source wording preserved; no silent item-content revision during inventory build.</x:v>
      </x:c>
    </x:row>
    <x:row r="12">
      <x:c r="A12" s="191" t="str">
        <x:v>CTA-LMFT-MQB-0011</x:v>
      </x:c>
      <x:c r="B12" s="192" t="str">
        <x:v>LMFT-WB01-QB-Q011</x:v>
      </x:c>
      <x:c r="C12" s="193" t="n">
        <x:v>46228</x:v>
      </x:c>
      <x:c r="D12" s="192" t="str">
        <x:v>Imported into LMFT master inventory</x:v>
      </x:c>
      <x:c r="E12" s="192" t="str">
        <x:v>LMFT Workbook 1 Question Bank</x:v>
      </x:c>
      <x:c r="F12" s="192" t="str">
        <x:v>1.0</x:v>
      </x:c>
      <x:c r="G12" s="192" t="n">
        <x:v>1</x:v>
      </x:c>
      <x:c r="H12" s="192" t="str">
        <x:v>Clinical Training Academy</x:v>
      </x:c>
      <x:c r="I12" s="194" t="str">
        <x:v>Source wording preserved; no silent item-content revision during inventory build.</x:v>
      </x:c>
    </x:row>
    <x:row r="13">
      <x:c r="A13" s="191" t="str">
        <x:v>CTA-LMFT-MQB-0012</x:v>
      </x:c>
      <x:c r="B13" s="192" t="str">
        <x:v>LMFT-WB01-QB-Q012</x:v>
      </x:c>
      <x:c r="C13" s="193" t="n">
        <x:v>46228</x:v>
      </x:c>
      <x:c r="D13" s="192" t="str">
        <x:v>Imported into LMFT master inventory</x:v>
      </x:c>
      <x:c r="E13" s="192" t="str">
        <x:v>LMFT Workbook 1 Question Bank</x:v>
      </x:c>
      <x:c r="F13" s="192" t="str">
        <x:v>1.0</x:v>
      </x:c>
      <x:c r="G13" s="192" t="n">
        <x:v>1</x:v>
      </x:c>
      <x:c r="H13" s="192" t="str">
        <x:v>Clinical Training Academy</x:v>
      </x:c>
      <x:c r="I13" s="194" t="str">
        <x:v>Source wording preserved; no silent item-content revision during inventory build.</x:v>
      </x:c>
    </x:row>
    <x:row r="14">
      <x:c r="A14" s="191" t="str">
        <x:v>CTA-LMFT-MQB-0013</x:v>
      </x:c>
      <x:c r="B14" s="192" t="str">
        <x:v>LMFT-WB01-QB-Q013</x:v>
      </x:c>
      <x:c r="C14" s="193" t="n">
        <x:v>46228</x:v>
      </x:c>
      <x:c r="D14" s="192" t="str">
        <x:v>Imported into LMFT master inventory</x:v>
      </x:c>
      <x:c r="E14" s="192" t="str">
        <x:v>LMFT Workbook 1 Question Bank</x:v>
      </x:c>
      <x:c r="F14" s="192" t="str">
        <x:v>1.0</x:v>
      </x:c>
      <x:c r="G14" s="192" t="n">
        <x:v>1</x:v>
      </x:c>
      <x:c r="H14" s="192" t="str">
        <x:v>Clinical Training Academy</x:v>
      </x:c>
      <x:c r="I14" s="194" t="str">
        <x:v>Source wording preserved; no silent item-content revision during inventory build.</x:v>
      </x:c>
    </x:row>
    <x:row r="15">
      <x:c r="A15" s="191" t="str">
        <x:v>CTA-LMFT-MQB-0014</x:v>
      </x:c>
      <x:c r="B15" s="192" t="str">
        <x:v>LMFT-WB01-QB-Q014</x:v>
      </x:c>
      <x:c r="C15" s="193" t="n">
        <x:v>46228</x:v>
      </x:c>
      <x:c r="D15" s="192" t="str">
        <x:v>Imported into LMFT master inventory</x:v>
      </x:c>
      <x:c r="E15" s="192" t="str">
        <x:v>LMFT Workbook 1 Question Bank</x:v>
      </x:c>
      <x:c r="F15" s="192" t="str">
        <x:v>1.0</x:v>
      </x:c>
      <x:c r="G15" s="192" t="n">
        <x:v>1</x:v>
      </x:c>
      <x:c r="H15" s="192" t="str">
        <x:v>Clinical Training Academy</x:v>
      </x:c>
      <x:c r="I15" s="194" t="str">
        <x:v>Source wording preserved; no silent item-content revision during inventory build.</x:v>
      </x:c>
    </x:row>
    <x:row r="16">
      <x:c r="A16" s="191" t="str">
        <x:v>CTA-LMFT-MQB-0015</x:v>
      </x:c>
      <x:c r="B16" s="192" t="str">
        <x:v>LMFT-WB01-QB-Q015</x:v>
      </x:c>
      <x:c r="C16" s="193" t="n">
        <x:v>46228</x:v>
      </x:c>
      <x:c r="D16" s="192" t="str">
        <x:v>Imported into LMFT master inventory</x:v>
      </x:c>
      <x:c r="E16" s="192" t="str">
        <x:v>LMFT Workbook 1 Question Bank</x:v>
      </x:c>
      <x:c r="F16" s="192" t="str">
        <x:v>1.0</x:v>
      </x:c>
      <x:c r="G16" s="192" t="n">
        <x:v>1</x:v>
      </x:c>
      <x:c r="H16" s="192" t="str">
        <x:v>Clinical Training Academy</x:v>
      </x:c>
      <x:c r="I16" s="194" t="str">
        <x:v>Source wording preserved; no silent item-content revision during inventory build.</x:v>
      </x:c>
    </x:row>
    <x:row r="17">
      <x:c r="A17" s="191" t="str">
        <x:v>CTA-LMFT-MQB-0016</x:v>
      </x:c>
      <x:c r="B17" s="192" t="str">
        <x:v>LMFT-WB01-QB-Q016</x:v>
      </x:c>
      <x:c r="C17" s="193" t="n">
        <x:v>46228</x:v>
      </x:c>
      <x:c r="D17" s="192" t="str">
        <x:v>Imported into LMFT master inventory</x:v>
      </x:c>
      <x:c r="E17" s="192" t="str">
        <x:v>LMFT Workbook 1 Question Bank</x:v>
      </x:c>
      <x:c r="F17" s="192" t="str">
        <x:v>1.0</x:v>
      </x:c>
      <x:c r="G17" s="192" t="n">
        <x:v>1</x:v>
      </x:c>
      <x:c r="H17" s="192" t="str">
        <x:v>Clinical Training Academy</x:v>
      </x:c>
      <x:c r="I17" s="194" t="str">
        <x:v>Source wording preserved; no silent item-content revision during inventory build.</x:v>
      </x:c>
    </x:row>
    <x:row r="18">
      <x:c r="A18" s="191" t="str">
        <x:v>CTA-LMFT-MQB-0017</x:v>
      </x:c>
      <x:c r="B18" s="192" t="str">
        <x:v>LMFT-WB01-QB-Q017</x:v>
      </x:c>
      <x:c r="C18" s="193" t="n">
        <x:v>46228</x:v>
      </x:c>
      <x:c r="D18" s="192" t="str">
        <x:v>Imported into LMFT master inventory</x:v>
      </x:c>
      <x:c r="E18" s="192" t="str">
        <x:v>LMFT Workbook 1 Question Bank</x:v>
      </x:c>
      <x:c r="F18" s="192" t="str">
        <x:v>1.0</x:v>
      </x:c>
      <x:c r="G18" s="192" t="n">
        <x:v>1</x:v>
      </x:c>
      <x:c r="H18" s="192" t="str">
        <x:v>Clinical Training Academy</x:v>
      </x:c>
      <x:c r="I18" s="194" t="str">
        <x:v>Source wording preserved; no silent item-content revision during inventory build.</x:v>
      </x:c>
    </x:row>
    <x:row r="19">
      <x:c r="A19" s="191" t="str">
        <x:v>CTA-LMFT-MQB-0018</x:v>
      </x:c>
      <x:c r="B19" s="192" t="str">
        <x:v>LMFT-WB02-QB-Q001</x:v>
      </x:c>
      <x:c r="C19" s="193" t="n">
        <x:v>46228</x:v>
      </x:c>
      <x:c r="D19" s="192" t="str">
        <x:v>Imported into LMFT master inventory</x:v>
      </x:c>
      <x:c r="E19" s="192" t="str">
        <x:v>LMFT Workbook 2 Question Bank</x:v>
      </x:c>
      <x:c r="F19" s="192" t="str">
        <x:v>1.0</x:v>
      </x:c>
      <x:c r="G19" s="192" t="n">
        <x:v>1</x:v>
      </x:c>
      <x:c r="H19" s="192" t="str">
        <x:v>Clinical Training Academy</x:v>
      </x:c>
      <x:c r="I19" s="194" t="str">
        <x:v>Source wording preserved; no silent item-content revision during inventory build.</x:v>
      </x:c>
    </x:row>
    <x:row r="20">
      <x:c r="A20" s="191" t="str">
        <x:v>CTA-LMFT-MQB-0019</x:v>
      </x:c>
      <x:c r="B20" s="192" t="str">
        <x:v>LMFT-WB02-QB-Q002</x:v>
      </x:c>
      <x:c r="C20" s="193" t="n">
        <x:v>46228</x:v>
      </x:c>
      <x:c r="D20" s="192" t="str">
        <x:v>Imported into LMFT master inventory</x:v>
      </x:c>
      <x:c r="E20" s="192" t="str">
        <x:v>LMFT Workbook 2 Question Bank</x:v>
      </x:c>
      <x:c r="F20" s="192" t="str">
        <x:v>1.0</x:v>
      </x:c>
      <x:c r="G20" s="192" t="n">
        <x:v>1</x:v>
      </x:c>
      <x:c r="H20" s="192" t="str">
        <x:v>Clinical Training Academy</x:v>
      </x:c>
      <x:c r="I20" s="194" t="str">
        <x:v>Source wording preserved; no silent item-content revision during inventory build.</x:v>
      </x:c>
    </x:row>
    <x:row r="21">
      <x:c r="A21" s="191" t="str">
        <x:v>CTA-LMFT-MQB-0020</x:v>
      </x:c>
      <x:c r="B21" s="192" t="str">
        <x:v>LMFT-WB02-QB-Q003</x:v>
      </x:c>
      <x:c r="C21" s="193" t="n">
        <x:v>46228</x:v>
      </x:c>
      <x:c r="D21" s="192" t="str">
        <x:v>Imported into LMFT master inventory</x:v>
      </x:c>
      <x:c r="E21" s="192" t="str">
        <x:v>LMFT Workbook 2 Question Bank</x:v>
      </x:c>
      <x:c r="F21" s="192" t="str">
        <x:v>1.0</x:v>
      </x:c>
      <x:c r="G21" s="192" t="n">
        <x:v>1</x:v>
      </x:c>
      <x:c r="H21" s="192" t="str">
        <x:v>Clinical Training Academy</x:v>
      </x:c>
      <x:c r="I21" s="194" t="str">
        <x:v>Source wording preserved; no silent item-content revision during inventory build.</x:v>
      </x:c>
    </x:row>
    <x:row r="22">
      <x:c r="A22" s="191" t="str">
        <x:v>CTA-LMFT-MQB-0021</x:v>
      </x:c>
      <x:c r="B22" s="192" t="str">
        <x:v>LMFT-WB02-QB-Q004</x:v>
      </x:c>
      <x:c r="C22" s="193" t="n">
        <x:v>46228</x:v>
      </x:c>
      <x:c r="D22" s="192" t="str">
        <x:v>Imported into LMFT master inventory</x:v>
      </x:c>
      <x:c r="E22" s="192" t="str">
        <x:v>LMFT Workbook 2 Question Bank</x:v>
      </x:c>
      <x:c r="F22" s="192" t="str">
        <x:v>1.0</x:v>
      </x:c>
      <x:c r="G22" s="192" t="n">
        <x:v>1</x:v>
      </x:c>
      <x:c r="H22" s="192" t="str">
        <x:v>Clinical Training Academy</x:v>
      </x:c>
      <x:c r="I22" s="194" t="str">
        <x:v>Source wording preserved; no silent item-content revision during inventory build.</x:v>
      </x:c>
    </x:row>
    <x:row r="23">
      <x:c r="A23" s="191" t="str">
        <x:v>CTA-LMFT-MQB-0022</x:v>
      </x:c>
      <x:c r="B23" s="192" t="str">
        <x:v>LMFT-WB02-QB-Q005</x:v>
      </x:c>
      <x:c r="C23" s="193" t="n">
        <x:v>46228</x:v>
      </x:c>
      <x:c r="D23" s="192" t="str">
        <x:v>Imported into LMFT master inventory</x:v>
      </x:c>
      <x:c r="E23" s="192" t="str">
        <x:v>LMFT Workbook 2 Question Bank</x:v>
      </x:c>
      <x:c r="F23" s="192" t="str">
        <x:v>1.0</x:v>
      </x:c>
      <x:c r="G23" s="192" t="n">
        <x:v>1</x:v>
      </x:c>
      <x:c r="H23" s="192" t="str">
        <x:v>Clinical Training Academy</x:v>
      </x:c>
      <x:c r="I23" s="194" t="str">
        <x:v>Source wording preserved; no silent item-content revision during inventory build.</x:v>
      </x:c>
    </x:row>
    <x:row r="24">
      <x:c r="A24" s="191" t="str">
        <x:v>CTA-LMFT-MQB-0023</x:v>
      </x:c>
      <x:c r="B24" s="192" t="str">
        <x:v>LMFT-WB02-QB-Q006</x:v>
      </x:c>
      <x:c r="C24" s="193" t="n">
        <x:v>46228</x:v>
      </x:c>
      <x:c r="D24" s="192" t="str">
        <x:v>Imported into LMFT master inventory</x:v>
      </x:c>
      <x:c r="E24" s="192" t="str">
        <x:v>LMFT Workbook 2 Question Bank</x:v>
      </x:c>
      <x:c r="F24" s="192" t="str">
        <x:v>1.0</x:v>
      </x:c>
      <x:c r="G24" s="192" t="n">
        <x:v>1</x:v>
      </x:c>
      <x:c r="H24" s="192" t="str">
        <x:v>Clinical Training Academy</x:v>
      </x:c>
      <x:c r="I24" s="194" t="str">
        <x:v>Source wording preserved; no silent item-content revision during inventory build.</x:v>
      </x:c>
    </x:row>
    <x:row r="25">
      <x:c r="A25" s="191" t="str">
        <x:v>CTA-LMFT-MQB-0024</x:v>
      </x:c>
      <x:c r="B25" s="192" t="str">
        <x:v>LMFT-WB02-QB-Q007</x:v>
      </x:c>
      <x:c r="C25" s="193" t="n">
        <x:v>46228</x:v>
      </x:c>
      <x:c r="D25" s="192" t="str">
        <x:v>Imported into LMFT master inventory</x:v>
      </x:c>
      <x:c r="E25" s="192" t="str">
        <x:v>LMFT Workbook 2 Question Bank</x:v>
      </x:c>
      <x:c r="F25" s="192" t="str">
        <x:v>1.0</x:v>
      </x:c>
      <x:c r="G25" s="192" t="n">
        <x:v>1</x:v>
      </x:c>
      <x:c r="H25" s="192" t="str">
        <x:v>Clinical Training Academy</x:v>
      </x:c>
      <x:c r="I25" s="194" t="str">
        <x:v>Source wording preserved; no silent item-content revision during inventory build.</x:v>
      </x:c>
    </x:row>
    <x:row r="26">
      <x:c r="A26" s="191" t="str">
        <x:v>CTA-LMFT-MQB-0025</x:v>
      </x:c>
      <x:c r="B26" s="192" t="str">
        <x:v>LMFT-WB02-QB-Q008</x:v>
      </x:c>
      <x:c r="C26" s="193" t="n">
        <x:v>46228</x:v>
      </x:c>
      <x:c r="D26" s="192" t="str">
        <x:v>Imported into LMFT master inventory</x:v>
      </x:c>
      <x:c r="E26" s="192" t="str">
        <x:v>LMFT Workbook 2 Question Bank</x:v>
      </x:c>
      <x:c r="F26" s="192" t="str">
        <x:v>1.0</x:v>
      </x:c>
      <x:c r="G26" s="192" t="n">
        <x:v>1</x:v>
      </x:c>
      <x:c r="H26" s="192" t="str">
        <x:v>Clinical Training Academy</x:v>
      </x:c>
      <x:c r="I26" s="194" t="str">
        <x:v>Source wording preserved; no silent item-content revision during inventory build.</x:v>
      </x:c>
    </x:row>
    <x:row r="27">
      <x:c r="A27" s="191" t="str">
        <x:v>CTA-LMFT-MQB-0026</x:v>
      </x:c>
      <x:c r="B27" s="192" t="str">
        <x:v>LMFT-WB02-QB-Q009</x:v>
      </x:c>
      <x:c r="C27" s="193" t="n">
        <x:v>46228</x:v>
      </x:c>
      <x:c r="D27" s="192" t="str">
        <x:v>Imported into LMFT master inventory</x:v>
      </x:c>
      <x:c r="E27" s="192" t="str">
        <x:v>LMFT Workbook 2 Question Bank</x:v>
      </x:c>
      <x:c r="F27" s="192" t="str">
        <x:v>1.0</x:v>
      </x:c>
      <x:c r="G27" s="192" t="n">
        <x:v>1</x:v>
      </x:c>
      <x:c r="H27" s="192" t="str">
        <x:v>Clinical Training Academy</x:v>
      </x:c>
      <x:c r="I27" s="194" t="str">
        <x:v>Source wording preserved; no silent item-content revision during inventory build.</x:v>
      </x:c>
    </x:row>
    <x:row r="28">
      <x:c r="A28" s="191" t="str">
        <x:v>CTA-LMFT-MQB-0027</x:v>
      </x:c>
      <x:c r="B28" s="192" t="str">
        <x:v>LMFT-WB02-QB-Q010</x:v>
      </x:c>
      <x:c r="C28" s="193" t="n">
        <x:v>46228</x:v>
      </x:c>
      <x:c r="D28" s="192" t="str">
        <x:v>Imported into LMFT master inventory</x:v>
      </x:c>
      <x:c r="E28" s="192" t="str">
        <x:v>LMFT Workbook 2 Question Bank</x:v>
      </x:c>
      <x:c r="F28" s="192" t="str">
        <x:v>1.0</x:v>
      </x:c>
      <x:c r="G28" s="192" t="n">
        <x:v>1</x:v>
      </x:c>
      <x:c r="H28" s="192" t="str">
        <x:v>Clinical Training Academy</x:v>
      </x:c>
      <x:c r="I28" s="194" t="str">
        <x:v>Source wording preserved; no silent item-content revision during inventory build.</x:v>
      </x:c>
    </x:row>
    <x:row r="29">
      <x:c r="A29" s="191" t="str">
        <x:v>CTA-LMFT-MQB-0028</x:v>
      </x:c>
      <x:c r="B29" s="192" t="str">
        <x:v>LMFT-WB02-QB-Q011</x:v>
      </x:c>
      <x:c r="C29" s="193" t="n">
        <x:v>46228</x:v>
      </x:c>
      <x:c r="D29" s="192" t="str">
        <x:v>Imported into LMFT master inventory</x:v>
      </x:c>
      <x:c r="E29" s="192" t="str">
        <x:v>LMFT Workbook 2 Question Bank</x:v>
      </x:c>
      <x:c r="F29" s="192" t="str">
        <x:v>1.0</x:v>
      </x:c>
      <x:c r="G29" s="192" t="n">
        <x:v>1</x:v>
      </x:c>
      <x:c r="H29" s="192" t="str">
        <x:v>Clinical Training Academy</x:v>
      </x:c>
      <x:c r="I29" s="194" t="str">
        <x:v>Source wording preserved; no silent item-content revision during inventory build.</x:v>
      </x:c>
    </x:row>
    <x:row r="30">
      <x:c r="A30" s="191" t="str">
        <x:v>CTA-LMFT-MQB-0029</x:v>
      </x:c>
      <x:c r="B30" s="192" t="str">
        <x:v>LMFT-WB02-QB-Q012</x:v>
      </x:c>
      <x:c r="C30" s="193" t="n">
        <x:v>46228</x:v>
      </x:c>
      <x:c r="D30" s="192" t="str">
        <x:v>Imported into LMFT master inventory</x:v>
      </x:c>
      <x:c r="E30" s="192" t="str">
        <x:v>LMFT Workbook 2 Question Bank</x:v>
      </x:c>
      <x:c r="F30" s="192" t="str">
        <x:v>1.0</x:v>
      </x:c>
      <x:c r="G30" s="192" t="n">
        <x:v>1</x:v>
      </x:c>
      <x:c r="H30" s="192" t="str">
        <x:v>Clinical Training Academy</x:v>
      </x:c>
      <x:c r="I30" s="194" t="str">
        <x:v>Source wording preserved; no silent item-content revision during inventory build.</x:v>
      </x:c>
    </x:row>
    <x:row r="31">
      <x:c r="A31" s="191" t="str">
        <x:v>CTA-LMFT-MQB-0030</x:v>
      </x:c>
      <x:c r="B31" s="192" t="str">
        <x:v>LMFT-WB02-QB-Q013</x:v>
      </x:c>
      <x:c r="C31" s="193" t="n">
        <x:v>46228</x:v>
      </x:c>
      <x:c r="D31" s="192" t="str">
        <x:v>Imported into LMFT master inventory</x:v>
      </x:c>
      <x:c r="E31" s="192" t="str">
        <x:v>LMFT Workbook 2 Question Bank</x:v>
      </x:c>
      <x:c r="F31" s="192" t="str">
        <x:v>1.0</x:v>
      </x:c>
      <x:c r="G31" s="192" t="n">
        <x:v>1</x:v>
      </x:c>
      <x:c r="H31" s="192" t="str">
        <x:v>Clinical Training Academy</x:v>
      </x:c>
      <x:c r="I31" s="194" t="str">
        <x:v>Source wording preserved; no silent item-content revision during inventory build.</x:v>
      </x:c>
    </x:row>
    <x:row r="32">
      <x:c r="A32" s="191" t="str">
        <x:v>CTA-LMFT-MQB-0031</x:v>
      </x:c>
      <x:c r="B32" s="192" t="str">
        <x:v>LMFT-WB02-QB-Q014</x:v>
      </x:c>
      <x:c r="C32" s="193" t="n">
        <x:v>46228</x:v>
      </x:c>
      <x:c r="D32" s="192" t="str">
        <x:v>Imported into LMFT master inventory</x:v>
      </x:c>
      <x:c r="E32" s="192" t="str">
        <x:v>LMFT Workbook 2 Question Bank</x:v>
      </x:c>
      <x:c r="F32" s="192" t="str">
        <x:v>1.0</x:v>
      </x:c>
      <x:c r="G32" s="192" t="n">
        <x:v>1</x:v>
      </x:c>
      <x:c r="H32" s="192" t="str">
        <x:v>Clinical Training Academy</x:v>
      </x:c>
      <x:c r="I32" s="194" t="str">
        <x:v>Source wording preserved; no silent item-content revision during inventory build.</x:v>
      </x:c>
    </x:row>
    <x:row r="33">
      <x:c r="A33" s="191" t="str">
        <x:v>CTA-LMFT-MQB-0032</x:v>
      </x:c>
      <x:c r="B33" s="192" t="str">
        <x:v>LMFT-WB02-QB-Q015</x:v>
      </x:c>
      <x:c r="C33" s="193" t="n">
        <x:v>46228</x:v>
      </x:c>
      <x:c r="D33" s="192" t="str">
        <x:v>Imported into LMFT master inventory</x:v>
      </x:c>
      <x:c r="E33" s="192" t="str">
        <x:v>LMFT Workbook 2 Question Bank</x:v>
      </x:c>
      <x:c r="F33" s="192" t="str">
        <x:v>1.0</x:v>
      </x:c>
      <x:c r="G33" s="192" t="n">
        <x:v>1</x:v>
      </x:c>
      <x:c r="H33" s="192" t="str">
        <x:v>Clinical Training Academy</x:v>
      </x:c>
      <x:c r="I33" s="194" t="str">
        <x:v>Source wording preserved; no silent item-content revision during inventory build.</x:v>
      </x:c>
    </x:row>
    <x:row r="34">
      <x:c r="A34" s="191" t="str">
        <x:v>CTA-LMFT-MQB-0033</x:v>
      </x:c>
      <x:c r="B34" s="192" t="str">
        <x:v>LMFT-WB02-QB-Q016</x:v>
      </x:c>
      <x:c r="C34" s="193" t="n">
        <x:v>46228</x:v>
      </x:c>
      <x:c r="D34" s="192" t="str">
        <x:v>Imported into LMFT master inventory</x:v>
      </x:c>
      <x:c r="E34" s="192" t="str">
        <x:v>LMFT Workbook 2 Question Bank</x:v>
      </x:c>
      <x:c r="F34" s="192" t="str">
        <x:v>1.0</x:v>
      </x:c>
      <x:c r="G34" s="192" t="n">
        <x:v>1</x:v>
      </x:c>
      <x:c r="H34" s="192" t="str">
        <x:v>Clinical Training Academy</x:v>
      </x:c>
      <x:c r="I34" s="194" t="str">
        <x:v>Source wording preserved; no silent item-content revision during inventory build.</x:v>
      </x:c>
    </x:row>
    <x:row r="35">
      <x:c r="A35" s="191" t="str">
        <x:v>CTA-LMFT-MQB-0034</x:v>
      </x:c>
      <x:c r="B35" s="192" t="str">
        <x:v>LMFT-WB02-QB-Q017</x:v>
      </x:c>
      <x:c r="C35" s="193" t="n">
        <x:v>46228</x:v>
      </x:c>
      <x:c r="D35" s="192" t="str">
        <x:v>Imported into LMFT master inventory</x:v>
      </x:c>
      <x:c r="E35" s="192" t="str">
        <x:v>LMFT Workbook 2 Question Bank</x:v>
      </x:c>
      <x:c r="F35" s="192" t="str">
        <x:v>1.0</x:v>
      </x:c>
      <x:c r="G35" s="192" t="n">
        <x:v>1</x:v>
      </x:c>
      <x:c r="H35" s="192" t="str">
        <x:v>Clinical Training Academy</x:v>
      </x:c>
      <x:c r="I35" s="194" t="str">
        <x:v>Source wording preserved; no silent item-content revision during inventory build.</x:v>
      </x:c>
    </x:row>
    <x:row r="36">
      <x:c r="A36" s="191" t="str">
        <x:v>CTA-LMFT-MQB-0035</x:v>
      </x:c>
      <x:c r="B36" s="192" t="str">
        <x:v>LMFT-WB03-QB-Q001</x:v>
      </x:c>
      <x:c r="C36" s="193" t="n">
        <x:v>46228</x:v>
      </x:c>
      <x:c r="D36" s="192" t="str">
        <x:v>Imported into LMFT master inventory</x:v>
      </x:c>
      <x:c r="E36" s="192" t="str">
        <x:v>LMFT Workbook 3 Question Bank</x:v>
      </x:c>
      <x:c r="F36" s="192" t="str">
        <x:v>1.0</x:v>
      </x:c>
      <x:c r="G36" s="192" t="n">
        <x:v>1</x:v>
      </x:c>
      <x:c r="H36" s="192" t="str">
        <x:v>Clinical Training Academy</x:v>
      </x:c>
      <x:c r="I36" s="194" t="str">
        <x:v>Source wording preserved; no silent item-content revision during inventory build.</x:v>
      </x:c>
    </x:row>
    <x:row r="37">
      <x:c r="A37" s="191" t="str">
        <x:v>CTA-LMFT-MQB-0036</x:v>
      </x:c>
      <x:c r="B37" s="192" t="str">
        <x:v>LMFT-WB03-QB-Q002</x:v>
      </x:c>
      <x:c r="C37" s="193" t="n">
        <x:v>46228</x:v>
      </x:c>
      <x:c r="D37" s="192" t="str">
        <x:v>Imported into LMFT master inventory</x:v>
      </x:c>
      <x:c r="E37" s="192" t="str">
        <x:v>LMFT Workbook 3 Question Bank</x:v>
      </x:c>
      <x:c r="F37" s="192" t="str">
        <x:v>1.0</x:v>
      </x:c>
      <x:c r="G37" s="192" t="n">
        <x:v>1</x:v>
      </x:c>
      <x:c r="H37" s="192" t="str">
        <x:v>Clinical Training Academy</x:v>
      </x:c>
      <x:c r="I37" s="194" t="str">
        <x:v>Source wording preserved; no silent item-content revision during inventory build.</x:v>
      </x:c>
    </x:row>
    <x:row r="38">
      <x:c r="A38" s="191" t="str">
        <x:v>CTA-LMFT-MQB-0037</x:v>
      </x:c>
      <x:c r="B38" s="192" t="str">
        <x:v>LMFT-WB03-QB-Q003</x:v>
      </x:c>
      <x:c r="C38" s="193" t="n">
        <x:v>46228</x:v>
      </x:c>
      <x:c r="D38" s="192" t="str">
        <x:v>Imported into LMFT master inventory</x:v>
      </x:c>
      <x:c r="E38" s="192" t="str">
        <x:v>LMFT Workbook 3 Question Bank</x:v>
      </x:c>
      <x:c r="F38" s="192" t="str">
        <x:v>1.0</x:v>
      </x:c>
      <x:c r="G38" s="192" t="n">
        <x:v>1</x:v>
      </x:c>
      <x:c r="H38" s="192" t="str">
        <x:v>Clinical Training Academy</x:v>
      </x:c>
      <x:c r="I38" s="194" t="str">
        <x:v>Source wording preserved; no silent item-content revision during inventory build.</x:v>
      </x:c>
    </x:row>
    <x:row r="39">
      <x:c r="A39" s="191" t="str">
        <x:v>CTA-LMFT-MQB-0038</x:v>
      </x:c>
      <x:c r="B39" s="192" t="str">
        <x:v>LMFT-WB03-QB-Q004</x:v>
      </x:c>
      <x:c r="C39" s="193" t="n">
        <x:v>46228</x:v>
      </x:c>
      <x:c r="D39" s="192" t="str">
        <x:v>Imported into LMFT master inventory</x:v>
      </x:c>
      <x:c r="E39" s="192" t="str">
        <x:v>LMFT Workbook 3 Question Bank</x:v>
      </x:c>
      <x:c r="F39" s="192" t="str">
        <x:v>1.0</x:v>
      </x:c>
      <x:c r="G39" s="192" t="n">
        <x:v>1</x:v>
      </x:c>
      <x:c r="H39" s="192" t="str">
        <x:v>Clinical Training Academy</x:v>
      </x:c>
      <x:c r="I39" s="194" t="str">
        <x:v>Source wording preserved; no silent item-content revision during inventory build.</x:v>
      </x:c>
    </x:row>
    <x:row r="40">
      <x:c r="A40" s="191" t="str">
        <x:v>CTA-LMFT-MQB-0039</x:v>
      </x:c>
      <x:c r="B40" s="192" t="str">
        <x:v>LMFT-WB03-QB-Q005</x:v>
      </x:c>
      <x:c r="C40" s="193" t="n">
        <x:v>46228</x:v>
      </x:c>
      <x:c r="D40" s="192" t="str">
        <x:v>Imported into LMFT master inventory</x:v>
      </x:c>
      <x:c r="E40" s="192" t="str">
        <x:v>LMFT Workbook 3 Question Bank</x:v>
      </x:c>
      <x:c r="F40" s="192" t="str">
        <x:v>1.0</x:v>
      </x:c>
      <x:c r="G40" s="192" t="n">
        <x:v>1</x:v>
      </x:c>
      <x:c r="H40" s="192" t="str">
        <x:v>Clinical Training Academy</x:v>
      </x:c>
      <x:c r="I40" s="194" t="str">
        <x:v>Source wording preserved; no silent item-content revision during inventory build.</x:v>
      </x:c>
    </x:row>
    <x:row r="41">
      <x:c r="A41" s="191" t="str">
        <x:v>CTA-LMFT-MQB-0040</x:v>
      </x:c>
      <x:c r="B41" s="192" t="str">
        <x:v>LMFT-WB03-QB-Q006</x:v>
      </x:c>
      <x:c r="C41" s="193" t="n">
        <x:v>46228</x:v>
      </x:c>
      <x:c r="D41" s="192" t="str">
        <x:v>Imported into LMFT master inventory</x:v>
      </x:c>
      <x:c r="E41" s="192" t="str">
        <x:v>LMFT Workbook 3 Question Bank</x:v>
      </x:c>
      <x:c r="F41" s="192" t="str">
        <x:v>1.0</x:v>
      </x:c>
      <x:c r="G41" s="192" t="n">
        <x:v>1</x:v>
      </x:c>
      <x:c r="H41" s="192" t="str">
        <x:v>Clinical Training Academy</x:v>
      </x:c>
      <x:c r="I41" s="194" t="str">
        <x:v>Source wording preserved; no silent item-content revision during inventory build.</x:v>
      </x:c>
    </x:row>
    <x:row r="42">
      <x:c r="A42" s="191" t="str">
        <x:v>CTA-LMFT-MQB-0041</x:v>
      </x:c>
      <x:c r="B42" s="192" t="str">
        <x:v>LMFT-WB03-QB-Q007</x:v>
      </x:c>
      <x:c r="C42" s="193" t="n">
        <x:v>46228</x:v>
      </x:c>
      <x:c r="D42" s="192" t="str">
        <x:v>Imported into LMFT master inventory</x:v>
      </x:c>
      <x:c r="E42" s="192" t="str">
        <x:v>LMFT Workbook 3 Question Bank</x:v>
      </x:c>
      <x:c r="F42" s="192" t="str">
        <x:v>1.0</x:v>
      </x:c>
      <x:c r="G42" s="192" t="n">
        <x:v>1</x:v>
      </x:c>
      <x:c r="H42" s="192" t="str">
        <x:v>Clinical Training Academy</x:v>
      </x:c>
      <x:c r="I42" s="194" t="str">
        <x:v>Source wording preserved; no silent item-content revision during inventory build.</x:v>
      </x:c>
    </x:row>
    <x:row r="43">
      <x:c r="A43" s="191" t="str">
        <x:v>CTA-LMFT-MQB-0042</x:v>
      </x:c>
      <x:c r="B43" s="192" t="str">
        <x:v>LMFT-WB03-QB-Q008</x:v>
      </x:c>
      <x:c r="C43" s="193" t="n">
        <x:v>46228</x:v>
      </x:c>
      <x:c r="D43" s="192" t="str">
        <x:v>Imported into LMFT master inventory</x:v>
      </x:c>
      <x:c r="E43" s="192" t="str">
        <x:v>LMFT Workbook 3 Question Bank</x:v>
      </x:c>
      <x:c r="F43" s="192" t="str">
        <x:v>1.0</x:v>
      </x:c>
      <x:c r="G43" s="192" t="n">
        <x:v>1</x:v>
      </x:c>
      <x:c r="H43" s="192" t="str">
        <x:v>Clinical Training Academy</x:v>
      </x:c>
      <x:c r="I43" s="194" t="str">
        <x:v>Source wording preserved; no silent item-content revision during inventory build.</x:v>
      </x:c>
    </x:row>
    <x:row r="44">
      <x:c r="A44" s="191" t="str">
        <x:v>CTA-LMFT-MQB-0043</x:v>
      </x:c>
      <x:c r="B44" s="192" t="str">
        <x:v>LMFT-WB03-QB-Q009</x:v>
      </x:c>
      <x:c r="C44" s="193" t="n">
        <x:v>46228</x:v>
      </x:c>
      <x:c r="D44" s="192" t="str">
        <x:v>Imported into LMFT master inventory</x:v>
      </x:c>
      <x:c r="E44" s="192" t="str">
        <x:v>LMFT Workbook 3 Question Bank</x:v>
      </x:c>
      <x:c r="F44" s="192" t="str">
        <x:v>1.0</x:v>
      </x:c>
      <x:c r="G44" s="192" t="n">
        <x:v>1</x:v>
      </x:c>
      <x:c r="H44" s="192" t="str">
        <x:v>Clinical Training Academy</x:v>
      </x:c>
      <x:c r="I44" s="194" t="str">
        <x:v>Source wording preserved; no silent item-content revision during inventory build.</x:v>
      </x:c>
    </x:row>
    <x:row r="45">
      <x:c r="A45" s="191" t="str">
        <x:v>CTA-LMFT-MQB-0044</x:v>
      </x:c>
      <x:c r="B45" s="192" t="str">
        <x:v>LMFT-WB03-QB-Q010</x:v>
      </x:c>
      <x:c r="C45" s="193" t="n">
        <x:v>46228</x:v>
      </x:c>
      <x:c r="D45" s="192" t="str">
        <x:v>Imported into LMFT master inventory</x:v>
      </x:c>
      <x:c r="E45" s="192" t="str">
        <x:v>LMFT Workbook 3 Question Bank</x:v>
      </x:c>
      <x:c r="F45" s="192" t="str">
        <x:v>1.0</x:v>
      </x:c>
      <x:c r="G45" s="192" t="n">
        <x:v>1</x:v>
      </x:c>
      <x:c r="H45" s="192" t="str">
        <x:v>Clinical Training Academy</x:v>
      </x:c>
      <x:c r="I45" s="194" t="str">
        <x:v>Source wording preserved; no silent item-content revision during inventory build.</x:v>
      </x:c>
    </x:row>
    <x:row r="46">
      <x:c r="A46" s="191" t="str">
        <x:v>CTA-LMFT-MQB-0045</x:v>
      </x:c>
      <x:c r="B46" s="192" t="str">
        <x:v>LMFT-WB03-QB-Q011</x:v>
      </x:c>
      <x:c r="C46" s="193" t="n">
        <x:v>46228</x:v>
      </x:c>
      <x:c r="D46" s="192" t="str">
        <x:v>Imported into LMFT master inventory</x:v>
      </x:c>
      <x:c r="E46" s="192" t="str">
        <x:v>LMFT Workbook 3 Question Bank</x:v>
      </x:c>
      <x:c r="F46" s="192" t="str">
        <x:v>1.0</x:v>
      </x:c>
      <x:c r="G46" s="192" t="n">
        <x:v>1</x:v>
      </x:c>
      <x:c r="H46" s="192" t="str">
        <x:v>Clinical Training Academy</x:v>
      </x:c>
      <x:c r="I46" s="194" t="str">
        <x:v>Source wording preserved; no silent item-content revision during inventory build.</x:v>
      </x:c>
    </x:row>
    <x:row r="47">
      <x:c r="A47" s="191" t="str">
        <x:v>CTA-LMFT-MQB-0046</x:v>
      </x:c>
      <x:c r="B47" s="192" t="str">
        <x:v>LMFT-WB03-QB-Q012</x:v>
      </x:c>
      <x:c r="C47" s="193" t="n">
        <x:v>46228</x:v>
      </x:c>
      <x:c r="D47" s="192" t="str">
        <x:v>Imported into LMFT master inventory</x:v>
      </x:c>
      <x:c r="E47" s="192" t="str">
        <x:v>LMFT Workbook 3 Question Bank</x:v>
      </x:c>
      <x:c r="F47" s="192" t="str">
        <x:v>1.0</x:v>
      </x:c>
      <x:c r="G47" s="192" t="n">
        <x:v>1</x:v>
      </x:c>
      <x:c r="H47" s="192" t="str">
        <x:v>Clinical Training Academy</x:v>
      </x:c>
      <x:c r="I47" s="194" t="str">
        <x:v>Source wording preserved; no silent item-content revision during inventory build.</x:v>
      </x:c>
    </x:row>
    <x:row r="48">
      <x:c r="A48" s="191" t="str">
        <x:v>CTA-LMFT-MQB-0047</x:v>
      </x:c>
      <x:c r="B48" s="192" t="str">
        <x:v>LMFT-WB03-QB-Q013</x:v>
      </x:c>
      <x:c r="C48" s="193" t="n">
        <x:v>46228</x:v>
      </x:c>
      <x:c r="D48" s="192" t="str">
        <x:v>Imported into LMFT master inventory</x:v>
      </x:c>
      <x:c r="E48" s="192" t="str">
        <x:v>LMFT Workbook 3 Question Bank</x:v>
      </x:c>
      <x:c r="F48" s="192" t="str">
        <x:v>1.0</x:v>
      </x:c>
      <x:c r="G48" s="192" t="n">
        <x:v>1</x:v>
      </x:c>
      <x:c r="H48" s="192" t="str">
        <x:v>Clinical Training Academy</x:v>
      </x:c>
      <x:c r="I48" s="194" t="str">
        <x:v>Source wording preserved; no silent item-content revision during inventory build.</x:v>
      </x:c>
    </x:row>
    <x:row r="49">
      <x:c r="A49" s="191" t="str">
        <x:v>CTA-LMFT-MQB-0048</x:v>
      </x:c>
      <x:c r="B49" s="192" t="str">
        <x:v>LMFT-WB03-QB-Q014</x:v>
      </x:c>
      <x:c r="C49" s="193" t="n">
        <x:v>46228</x:v>
      </x:c>
      <x:c r="D49" s="192" t="str">
        <x:v>Imported into LMFT master inventory</x:v>
      </x:c>
      <x:c r="E49" s="192" t="str">
        <x:v>LMFT Workbook 3 Question Bank</x:v>
      </x:c>
      <x:c r="F49" s="192" t="str">
        <x:v>1.0</x:v>
      </x:c>
      <x:c r="G49" s="192" t="n">
        <x:v>1</x:v>
      </x:c>
      <x:c r="H49" s="192" t="str">
        <x:v>Clinical Training Academy</x:v>
      </x:c>
      <x:c r="I49" s="194" t="str">
        <x:v>Source wording preserved; no silent item-content revision during inventory build.</x:v>
      </x:c>
    </x:row>
    <x:row r="50">
      <x:c r="A50" s="191" t="str">
        <x:v>CTA-LMFT-MQB-0049</x:v>
      </x:c>
      <x:c r="B50" s="192" t="str">
        <x:v>LMFT-WB03-QB-Q015</x:v>
      </x:c>
      <x:c r="C50" s="193" t="n">
        <x:v>46228</x:v>
      </x:c>
      <x:c r="D50" s="192" t="str">
        <x:v>Imported into LMFT master inventory</x:v>
      </x:c>
      <x:c r="E50" s="192" t="str">
        <x:v>LMFT Workbook 3 Question Bank</x:v>
      </x:c>
      <x:c r="F50" s="192" t="str">
        <x:v>1.0</x:v>
      </x:c>
      <x:c r="G50" s="192" t="n">
        <x:v>1</x:v>
      </x:c>
      <x:c r="H50" s="192" t="str">
        <x:v>Clinical Training Academy</x:v>
      </x:c>
      <x:c r="I50" s="194" t="str">
        <x:v>Source wording preserved; no silent item-content revision during inventory build.</x:v>
      </x:c>
    </x:row>
    <x:row r="51">
      <x:c r="A51" s="191" t="str">
        <x:v>CTA-LMFT-MQB-0050</x:v>
      </x:c>
      <x:c r="B51" s="192" t="str">
        <x:v>LMFT-WB03-QB-Q016</x:v>
      </x:c>
      <x:c r="C51" s="193" t="n">
        <x:v>46228</x:v>
      </x:c>
      <x:c r="D51" s="192" t="str">
        <x:v>Imported into LMFT master inventory</x:v>
      </x:c>
      <x:c r="E51" s="192" t="str">
        <x:v>LMFT Workbook 3 Question Bank</x:v>
      </x:c>
      <x:c r="F51" s="192" t="str">
        <x:v>1.0</x:v>
      </x:c>
      <x:c r="G51" s="192" t="n">
        <x:v>1</x:v>
      </x:c>
      <x:c r="H51" s="192" t="str">
        <x:v>Clinical Training Academy</x:v>
      </x:c>
      <x:c r="I51" s="194" t="str">
        <x:v>Source wording preserved; no silent item-content revision during inventory build.</x:v>
      </x:c>
    </x:row>
    <x:row r="52">
      <x:c r="A52" s="191" t="str">
        <x:v>CTA-LMFT-MQB-0051</x:v>
      </x:c>
      <x:c r="B52" s="192" t="str">
        <x:v>LMFT-WB03-QB-Q017</x:v>
      </x:c>
      <x:c r="C52" s="193" t="n">
        <x:v>46228</x:v>
      </x:c>
      <x:c r="D52" s="192" t="str">
        <x:v>Imported into LMFT master inventory</x:v>
      </x:c>
      <x:c r="E52" s="192" t="str">
        <x:v>LMFT Workbook 3 Question Bank</x:v>
      </x:c>
      <x:c r="F52" s="192" t="str">
        <x:v>1.0</x:v>
      </x:c>
      <x:c r="G52" s="192" t="n">
        <x:v>1</x:v>
      </x:c>
      <x:c r="H52" s="192" t="str">
        <x:v>Clinical Training Academy</x:v>
      </x:c>
      <x:c r="I52" s="194" t="str">
        <x:v>Source wording preserved; no silent item-content revision during inventory build.</x:v>
      </x:c>
    </x:row>
    <x:row r="53">
      <x:c r="A53" s="191" t="str">
        <x:v>CTA-LMFT-MQB-0052</x:v>
      </x:c>
      <x:c r="B53" s="192" t="str">
        <x:v>LMFT-WB04-QB-Q001</x:v>
      </x:c>
      <x:c r="C53" s="193" t="n">
        <x:v>46228</x:v>
      </x:c>
      <x:c r="D53" s="192" t="str">
        <x:v>Imported into LMFT master inventory</x:v>
      </x:c>
      <x:c r="E53" s="192" t="str">
        <x:v>LMFT Workbook 4 Question Bank</x:v>
      </x:c>
      <x:c r="F53" s="192" t="str">
        <x:v>1.0</x:v>
      </x:c>
      <x:c r="G53" s="192" t="n">
        <x:v>1</x:v>
      </x:c>
      <x:c r="H53" s="192" t="str">
        <x:v>Clinical Training Academy</x:v>
      </x:c>
      <x:c r="I53" s="194" t="str">
        <x:v>Source wording preserved; no silent item-content revision during inventory build.</x:v>
      </x:c>
    </x:row>
    <x:row r="54">
      <x:c r="A54" s="191" t="str">
        <x:v>CTA-LMFT-MQB-0053</x:v>
      </x:c>
      <x:c r="B54" s="192" t="str">
        <x:v>LMFT-WB04-QB-Q002</x:v>
      </x:c>
      <x:c r="C54" s="193" t="n">
        <x:v>46228</x:v>
      </x:c>
      <x:c r="D54" s="192" t="str">
        <x:v>Imported into LMFT master inventory</x:v>
      </x:c>
      <x:c r="E54" s="192" t="str">
        <x:v>LMFT Workbook 4 Question Bank</x:v>
      </x:c>
      <x:c r="F54" s="192" t="str">
        <x:v>1.0</x:v>
      </x:c>
      <x:c r="G54" s="192" t="n">
        <x:v>1</x:v>
      </x:c>
      <x:c r="H54" s="192" t="str">
        <x:v>Clinical Training Academy</x:v>
      </x:c>
      <x:c r="I54" s="194" t="str">
        <x:v>Source wording preserved; no silent item-content revision during inventory build.</x:v>
      </x:c>
    </x:row>
    <x:row r="55">
      <x:c r="A55" s="191" t="str">
        <x:v>CTA-LMFT-MQB-0054</x:v>
      </x:c>
      <x:c r="B55" s="192" t="str">
        <x:v>LMFT-WB04-QB-Q003</x:v>
      </x:c>
      <x:c r="C55" s="193" t="n">
        <x:v>46228</x:v>
      </x:c>
      <x:c r="D55" s="192" t="str">
        <x:v>Imported into LMFT master inventory</x:v>
      </x:c>
      <x:c r="E55" s="192" t="str">
        <x:v>LMFT Workbook 4 Question Bank</x:v>
      </x:c>
      <x:c r="F55" s="192" t="str">
        <x:v>1.0</x:v>
      </x:c>
      <x:c r="G55" s="192" t="n">
        <x:v>1</x:v>
      </x:c>
      <x:c r="H55" s="192" t="str">
        <x:v>Clinical Training Academy</x:v>
      </x:c>
      <x:c r="I55" s="194" t="str">
        <x:v>Source wording preserved; no silent item-content revision during inventory build.</x:v>
      </x:c>
    </x:row>
    <x:row r="56">
      <x:c r="A56" s="191" t="str">
        <x:v>CTA-LMFT-MQB-0055</x:v>
      </x:c>
      <x:c r="B56" s="192" t="str">
        <x:v>LMFT-WB04-QB-Q004</x:v>
      </x:c>
      <x:c r="C56" s="193" t="n">
        <x:v>46228</x:v>
      </x:c>
      <x:c r="D56" s="192" t="str">
        <x:v>Imported into LMFT master inventory</x:v>
      </x:c>
      <x:c r="E56" s="192" t="str">
        <x:v>LMFT Workbook 4 Question Bank</x:v>
      </x:c>
      <x:c r="F56" s="192" t="str">
        <x:v>1.0</x:v>
      </x:c>
      <x:c r="G56" s="192" t="n">
        <x:v>1</x:v>
      </x:c>
      <x:c r="H56" s="192" t="str">
        <x:v>Clinical Training Academy</x:v>
      </x:c>
      <x:c r="I56" s="194" t="str">
        <x:v>Source wording preserved; no silent item-content revision during inventory build.</x:v>
      </x:c>
    </x:row>
    <x:row r="57">
      <x:c r="A57" s="191" t="str">
        <x:v>CTA-LMFT-MQB-0056</x:v>
      </x:c>
      <x:c r="B57" s="192" t="str">
        <x:v>LMFT-WB04-QB-Q005</x:v>
      </x:c>
      <x:c r="C57" s="193" t="n">
        <x:v>46228</x:v>
      </x:c>
      <x:c r="D57" s="192" t="str">
        <x:v>Imported into LMFT master inventory</x:v>
      </x:c>
      <x:c r="E57" s="192" t="str">
        <x:v>LMFT Workbook 4 Question Bank</x:v>
      </x:c>
      <x:c r="F57" s="192" t="str">
        <x:v>1.0</x:v>
      </x:c>
      <x:c r="G57" s="192" t="n">
        <x:v>1</x:v>
      </x:c>
      <x:c r="H57" s="192" t="str">
        <x:v>Clinical Training Academy</x:v>
      </x:c>
      <x:c r="I57" s="194" t="str">
        <x:v>Source wording preserved; no silent item-content revision during inventory build.</x:v>
      </x:c>
    </x:row>
    <x:row r="58">
      <x:c r="A58" s="191" t="str">
        <x:v>CTA-LMFT-MQB-0057</x:v>
      </x:c>
      <x:c r="B58" s="192" t="str">
        <x:v>LMFT-WB04-QB-Q006</x:v>
      </x:c>
      <x:c r="C58" s="193" t="n">
        <x:v>46228</x:v>
      </x:c>
      <x:c r="D58" s="192" t="str">
        <x:v>Imported into LMFT master inventory</x:v>
      </x:c>
      <x:c r="E58" s="192" t="str">
        <x:v>LMFT Workbook 4 Question Bank</x:v>
      </x:c>
      <x:c r="F58" s="192" t="str">
        <x:v>1.0</x:v>
      </x:c>
      <x:c r="G58" s="192" t="n">
        <x:v>1</x:v>
      </x:c>
      <x:c r="H58" s="192" t="str">
        <x:v>Clinical Training Academy</x:v>
      </x:c>
      <x:c r="I58" s="194" t="str">
        <x:v>Source wording preserved; no silent item-content revision during inventory build.</x:v>
      </x:c>
    </x:row>
    <x:row r="59">
      <x:c r="A59" s="191" t="str">
        <x:v>CTA-LMFT-MQB-0058</x:v>
      </x:c>
      <x:c r="B59" s="192" t="str">
        <x:v>LMFT-WB04-QB-Q007</x:v>
      </x:c>
      <x:c r="C59" s="193" t="n">
        <x:v>46228</x:v>
      </x:c>
      <x:c r="D59" s="192" t="str">
        <x:v>Imported into LMFT master inventory</x:v>
      </x:c>
      <x:c r="E59" s="192" t="str">
        <x:v>LMFT Workbook 4 Question Bank</x:v>
      </x:c>
      <x:c r="F59" s="192" t="str">
        <x:v>1.0</x:v>
      </x:c>
      <x:c r="G59" s="192" t="n">
        <x:v>1</x:v>
      </x:c>
      <x:c r="H59" s="192" t="str">
        <x:v>Clinical Training Academy</x:v>
      </x:c>
      <x:c r="I59" s="194" t="str">
        <x:v>Source wording preserved; no silent item-content revision during inventory build.</x:v>
      </x:c>
    </x:row>
    <x:row r="60">
      <x:c r="A60" s="191" t="str">
        <x:v>CTA-LMFT-MQB-0059</x:v>
      </x:c>
      <x:c r="B60" s="192" t="str">
        <x:v>LMFT-WB04-QB-Q008</x:v>
      </x:c>
      <x:c r="C60" s="193" t="n">
        <x:v>46228</x:v>
      </x:c>
      <x:c r="D60" s="192" t="str">
        <x:v>Imported into LMFT master inventory</x:v>
      </x:c>
      <x:c r="E60" s="192" t="str">
        <x:v>LMFT Workbook 4 Question Bank</x:v>
      </x:c>
      <x:c r="F60" s="192" t="str">
        <x:v>1.0</x:v>
      </x:c>
      <x:c r="G60" s="192" t="n">
        <x:v>1</x:v>
      </x:c>
      <x:c r="H60" s="192" t="str">
        <x:v>Clinical Training Academy</x:v>
      </x:c>
      <x:c r="I60" s="194" t="str">
        <x:v>Source wording preserved; no silent item-content revision during inventory build.</x:v>
      </x:c>
    </x:row>
    <x:row r="61">
      <x:c r="A61" s="191" t="str">
        <x:v>CTA-LMFT-MQB-0060</x:v>
      </x:c>
      <x:c r="B61" s="192" t="str">
        <x:v>LMFT-WB04-QB-Q009</x:v>
      </x:c>
      <x:c r="C61" s="193" t="n">
        <x:v>46228</x:v>
      </x:c>
      <x:c r="D61" s="192" t="str">
        <x:v>Imported into LMFT master inventory</x:v>
      </x:c>
      <x:c r="E61" s="192" t="str">
        <x:v>LMFT Workbook 4 Question Bank</x:v>
      </x:c>
      <x:c r="F61" s="192" t="str">
        <x:v>1.0</x:v>
      </x:c>
      <x:c r="G61" s="192" t="n">
        <x:v>1</x:v>
      </x:c>
      <x:c r="H61" s="192" t="str">
        <x:v>Clinical Training Academy</x:v>
      </x:c>
      <x:c r="I61" s="194" t="str">
        <x:v>Source wording preserved; no silent item-content revision during inventory build.</x:v>
      </x:c>
    </x:row>
    <x:row r="62">
      <x:c r="A62" s="191" t="str">
        <x:v>CTA-LMFT-MQB-0061</x:v>
      </x:c>
      <x:c r="B62" s="192" t="str">
        <x:v>LMFT-WB04-QB-Q010</x:v>
      </x:c>
      <x:c r="C62" s="193" t="n">
        <x:v>46228</x:v>
      </x:c>
      <x:c r="D62" s="192" t="str">
        <x:v>Imported into LMFT master inventory</x:v>
      </x:c>
      <x:c r="E62" s="192" t="str">
        <x:v>LMFT Workbook 4 Question Bank</x:v>
      </x:c>
      <x:c r="F62" s="192" t="str">
        <x:v>1.0</x:v>
      </x:c>
      <x:c r="G62" s="192" t="n">
        <x:v>1</x:v>
      </x:c>
      <x:c r="H62" s="192" t="str">
        <x:v>Clinical Training Academy</x:v>
      </x:c>
      <x:c r="I62" s="194" t="str">
        <x:v>Source wording preserved; no silent item-content revision during inventory build.</x:v>
      </x:c>
    </x:row>
    <x:row r="63">
      <x:c r="A63" s="191" t="str">
        <x:v>CTA-LMFT-MQB-0062</x:v>
      </x:c>
      <x:c r="B63" s="192" t="str">
        <x:v>LMFT-WB04-QB-Q011</x:v>
      </x:c>
      <x:c r="C63" s="193" t="n">
        <x:v>46228</x:v>
      </x:c>
      <x:c r="D63" s="192" t="str">
        <x:v>Imported into LMFT master inventory</x:v>
      </x:c>
      <x:c r="E63" s="192" t="str">
        <x:v>LMFT Workbook 4 Question Bank</x:v>
      </x:c>
      <x:c r="F63" s="192" t="str">
        <x:v>1.0</x:v>
      </x:c>
      <x:c r="G63" s="192" t="n">
        <x:v>1</x:v>
      </x:c>
      <x:c r="H63" s="192" t="str">
        <x:v>Clinical Training Academy</x:v>
      </x:c>
      <x:c r="I63" s="194" t="str">
        <x:v>Source wording preserved; no silent item-content revision during inventory build.</x:v>
      </x:c>
    </x:row>
    <x:row r="64">
      <x:c r="A64" s="191" t="str">
        <x:v>CTA-LMFT-MQB-0063</x:v>
      </x:c>
      <x:c r="B64" s="192" t="str">
        <x:v>LMFT-WB04-QB-Q012</x:v>
      </x:c>
      <x:c r="C64" s="193" t="n">
        <x:v>46228</x:v>
      </x:c>
      <x:c r="D64" s="192" t="str">
        <x:v>Imported into LMFT master inventory</x:v>
      </x:c>
      <x:c r="E64" s="192" t="str">
        <x:v>LMFT Workbook 4 Question Bank</x:v>
      </x:c>
      <x:c r="F64" s="192" t="str">
        <x:v>1.0</x:v>
      </x:c>
      <x:c r="G64" s="192" t="n">
        <x:v>1</x:v>
      </x:c>
      <x:c r="H64" s="192" t="str">
        <x:v>Clinical Training Academy</x:v>
      </x:c>
      <x:c r="I64" s="194" t="str">
        <x:v>Source wording preserved; no silent item-content revision during inventory build.</x:v>
      </x:c>
    </x:row>
    <x:row r="65">
      <x:c r="A65" s="191" t="str">
        <x:v>CTA-LMFT-MQB-0064</x:v>
      </x:c>
      <x:c r="B65" s="192" t="str">
        <x:v>LMFT-WB04-QB-Q013</x:v>
      </x:c>
      <x:c r="C65" s="193" t="n">
        <x:v>46228</x:v>
      </x:c>
      <x:c r="D65" s="192" t="str">
        <x:v>Imported into LMFT master inventory</x:v>
      </x:c>
      <x:c r="E65" s="192" t="str">
        <x:v>LMFT Workbook 4 Question Bank</x:v>
      </x:c>
      <x:c r="F65" s="192" t="str">
        <x:v>1.0</x:v>
      </x:c>
      <x:c r="G65" s="192" t="n">
        <x:v>1</x:v>
      </x:c>
      <x:c r="H65" s="192" t="str">
        <x:v>Clinical Training Academy</x:v>
      </x:c>
      <x:c r="I65" s="194" t="str">
        <x:v>Source wording preserved; no silent item-content revision during inventory build.</x:v>
      </x:c>
    </x:row>
    <x:row r="66">
      <x:c r="A66" s="191" t="str">
        <x:v>CTA-LMFT-MQB-0065</x:v>
      </x:c>
      <x:c r="B66" s="192" t="str">
        <x:v>LMFT-WB04-QB-Q014</x:v>
      </x:c>
      <x:c r="C66" s="193" t="n">
        <x:v>46228</x:v>
      </x:c>
      <x:c r="D66" s="192" t="str">
        <x:v>Imported into LMFT master inventory</x:v>
      </x:c>
      <x:c r="E66" s="192" t="str">
        <x:v>LMFT Workbook 4 Question Bank</x:v>
      </x:c>
      <x:c r="F66" s="192" t="str">
        <x:v>1.0</x:v>
      </x:c>
      <x:c r="G66" s="192" t="n">
        <x:v>1</x:v>
      </x:c>
      <x:c r="H66" s="192" t="str">
        <x:v>Clinical Training Academy</x:v>
      </x:c>
      <x:c r="I66" s="194" t="str">
        <x:v>Source wording preserved; no silent item-content revision during inventory build.</x:v>
      </x:c>
    </x:row>
    <x:row r="67">
      <x:c r="A67" s="191" t="str">
        <x:v>CTA-LMFT-MQB-0066</x:v>
      </x:c>
      <x:c r="B67" s="192" t="str">
        <x:v>LMFT-WB04-QB-Q015</x:v>
      </x:c>
      <x:c r="C67" s="193" t="n">
        <x:v>46228</x:v>
      </x:c>
      <x:c r="D67" s="192" t="str">
        <x:v>Imported into LMFT master inventory</x:v>
      </x:c>
      <x:c r="E67" s="192" t="str">
        <x:v>LMFT Workbook 4 Question Bank</x:v>
      </x:c>
      <x:c r="F67" s="192" t="str">
        <x:v>1.0</x:v>
      </x:c>
      <x:c r="G67" s="192" t="n">
        <x:v>1</x:v>
      </x:c>
      <x:c r="H67" s="192" t="str">
        <x:v>Clinical Training Academy</x:v>
      </x:c>
      <x:c r="I67" s="194" t="str">
        <x:v>Source wording preserved; no silent item-content revision during inventory build.</x:v>
      </x:c>
    </x:row>
    <x:row r="68">
      <x:c r="A68" s="191" t="str">
        <x:v>CTA-LMFT-MQB-0067</x:v>
      </x:c>
      <x:c r="B68" s="192" t="str">
        <x:v>LMFT-WB04-QB-Q016</x:v>
      </x:c>
      <x:c r="C68" s="193" t="n">
        <x:v>46228</x:v>
      </x:c>
      <x:c r="D68" s="192" t="str">
        <x:v>Imported into LMFT master inventory</x:v>
      </x:c>
      <x:c r="E68" s="192" t="str">
        <x:v>LMFT Workbook 4 Question Bank</x:v>
      </x:c>
      <x:c r="F68" s="192" t="str">
        <x:v>1.0</x:v>
      </x:c>
      <x:c r="G68" s="192" t="n">
        <x:v>1</x:v>
      </x:c>
      <x:c r="H68" s="192" t="str">
        <x:v>Clinical Training Academy</x:v>
      </x:c>
      <x:c r="I68" s="194" t="str">
        <x:v>Source wording preserved; no silent item-content revision during inventory build.</x:v>
      </x:c>
    </x:row>
    <x:row r="69">
      <x:c r="A69" s="191" t="str">
        <x:v>CTA-LMFT-MQB-0068</x:v>
      </x:c>
      <x:c r="B69" s="192" t="str">
        <x:v>LMFT-WB04-QB-Q017</x:v>
      </x:c>
      <x:c r="C69" s="193" t="n">
        <x:v>46228</x:v>
      </x:c>
      <x:c r="D69" s="192" t="str">
        <x:v>Imported into LMFT master inventory</x:v>
      </x:c>
      <x:c r="E69" s="192" t="str">
        <x:v>LMFT Workbook 4 Question Bank</x:v>
      </x:c>
      <x:c r="F69" s="192" t="str">
        <x:v>1.0</x:v>
      </x:c>
      <x:c r="G69" s="192" t="n">
        <x:v>1</x:v>
      </x:c>
      <x:c r="H69" s="192" t="str">
        <x:v>Clinical Training Academy</x:v>
      </x:c>
      <x:c r="I69" s="194" t="str">
        <x:v>Source wording preserved; no silent item-content revision during inventory build.</x:v>
      </x:c>
    </x:row>
    <x:row r="70">
      <x:c r="A70" s="191" t="str">
        <x:v>CTA-LMFT-MQB-0069</x:v>
      </x:c>
      <x:c r="B70" s="192" t="str">
        <x:v>LMFT-WB05-QB-Q001</x:v>
      </x:c>
      <x:c r="C70" s="193" t="n">
        <x:v>46228</x:v>
      </x:c>
      <x:c r="D70" s="192" t="str">
        <x:v>Imported into LMFT master inventory</x:v>
      </x:c>
      <x:c r="E70" s="192" t="str">
        <x:v>LMFT Workbook 5 Question Bank</x:v>
      </x:c>
      <x:c r="F70" s="192" t="str">
        <x:v>1.0</x:v>
      </x:c>
      <x:c r="G70" s="192" t="n">
        <x:v>1</x:v>
      </x:c>
      <x:c r="H70" s="192" t="str">
        <x:v>Clinical Training Academy</x:v>
      </x:c>
      <x:c r="I70" s="194" t="str">
        <x:v>Source wording preserved; no silent item-content revision during inventory build.</x:v>
      </x:c>
    </x:row>
    <x:row r="71">
      <x:c r="A71" s="191" t="str">
        <x:v>CTA-LMFT-MQB-0070</x:v>
      </x:c>
      <x:c r="B71" s="192" t="str">
        <x:v>LMFT-WB05-QB-Q002</x:v>
      </x:c>
      <x:c r="C71" s="193" t="n">
        <x:v>46228</x:v>
      </x:c>
      <x:c r="D71" s="192" t="str">
        <x:v>Imported into LMFT master inventory</x:v>
      </x:c>
      <x:c r="E71" s="192" t="str">
        <x:v>LMFT Workbook 5 Question Bank</x:v>
      </x:c>
      <x:c r="F71" s="192" t="str">
        <x:v>1.0</x:v>
      </x:c>
      <x:c r="G71" s="192" t="n">
        <x:v>1</x:v>
      </x:c>
      <x:c r="H71" s="192" t="str">
        <x:v>Clinical Training Academy</x:v>
      </x:c>
      <x:c r="I71" s="194" t="str">
        <x:v>Source wording preserved; no silent item-content revision during inventory build.</x:v>
      </x:c>
    </x:row>
    <x:row r="72">
      <x:c r="A72" s="191" t="str">
        <x:v>CTA-LMFT-MQB-0071</x:v>
      </x:c>
      <x:c r="B72" s="192" t="str">
        <x:v>LMFT-WB05-QB-Q003</x:v>
      </x:c>
      <x:c r="C72" s="193" t="n">
        <x:v>46228</x:v>
      </x:c>
      <x:c r="D72" s="192" t="str">
        <x:v>Imported into LMFT master inventory</x:v>
      </x:c>
      <x:c r="E72" s="192" t="str">
        <x:v>LMFT Workbook 5 Question Bank</x:v>
      </x:c>
      <x:c r="F72" s="192" t="str">
        <x:v>1.0</x:v>
      </x:c>
      <x:c r="G72" s="192" t="n">
        <x:v>1</x:v>
      </x:c>
      <x:c r="H72" s="192" t="str">
        <x:v>Clinical Training Academy</x:v>
      </x:c>
      <x:c r="I72" s="194" t="str">
        <x:v>Source wording preserved; no silent item-content revision during inventory build.</x:v>
      </x:c>
    </x:row>
    <x:row r="73">
      <x:c r="A73" s="191" t="str">
        <x:v>CTA-LMFT-MQB-0072</x:v>
      </x:c>
      <x:c r="B73" s="192" t="str">
        <x:v>LMFT-WB05-QB-Q004</x:v>
      </x:c>
      <x:c r="C73" s="193" t="n">
        <x:v>46228</x:v>
      </x:c>
      <x:c r="D73" s="192" t="str">
        <x:v>Imported into LMFT master inventory</x:v>
      </x:c>
      <x:c r="E73" s="192" t="str">
        <x:v>LMFT Workbook 5 Question Bank</x:v>
      </x:c>
      <x:c r="F73" s="192" t="str">
        <x:v>1.0</x:v>
      </x:c>
      <x:c r="G73" s="192" t="n">
        <x:v>1</x:v>
      </x:c>
      <x:c r="H73" s="192" t="str">
        <x:v>Clinical Training Academy</x:v>
      </x:c>
      <x:c r="I73" s="194" t="str">
        <x:v>Source wording preserved; no silent item-content revision during inventory build.</x:v>
      </x:c>
    </x:row>
    <x:row r="74">
      <x:c r="A74" s="191" t="str">
        <x:v>CTA-LMFT-MQB-0073</x:v>
      </x:c>
      <x:c r="B74" s="192" t="str">
        <x:v>LMFT-WB05-QB-Q005</x:v>
      </x:c>
      <x:c r="C74" s="193" t="n">
        <x:v>46228</x:v>
      </x:c>
      <x:c r="D74" s="192" t="str">
        <x:v>Imported into LMFT master inventory</x:v>
      </x:c>
      <x:c r="E74" s="192" t="str">
        <x:v>LMFT Workbook 5 Question Bank</x:v>
      </x:c>
      <x:c r="F74" s="192" t="str">
        <x:v>1.0</x:v>
      </x:c>
      <x:c r="G74" s="192" t="n">
        <x:v>1</x:v>
      </x:c>
      <x:c r="H74" s="192" t="str">
        <x:v>Clinical Training Academy</x:v>
      </x:c>
      <x:c r="I74" s="194" t="str">
        <x:v>Source wording preserved; no silent item-content revision during inventory build.</x:v>
      </x:c>
    </x:row>
    <x:row r="75">
      <x:c r="A75" s="191" t="str">
        <x:v>CTA-LMFT-MQB-0074</x:v>
      </x:c>
      <x:c r="B75" s="192" t="str">
        <x:v>LMFT-WB05-QB-Q006</x:v>
      </x:c>
      <x:c r="C75" s="193" t="n">
        <x:v>46228</x:v>
      </x:c>
      <x:c r="D75" s="192" t="str">
        <x:v>Imported into LMFT master inventory</x:v>
      </x:c>
      <x:c r="E75" s="192" t="str">
        <x:v>LMFT Workbook 5 Question Bank</x:v>
      </x:c>
      <x:c r="F75" s="192" t="str">
        <x:v>1.0</x:v>
      </x:c>
      <x:c r="G75" s="192" t="n">
        <x:v>1</x:v>
      </x:c>
      <x:c r="H75" s="192" t="str">
        <x:v>Clinical Training Academy</x:v>
      </x:c>
      <x:c r="I75" s="194" t="str">
        <x:v>Source wording preserved; no silent item-content revision during inventory build.</x:v>
      </x:c>
    </x:row>
    <x:row r="76">
      <x:c r="A76" s="191" t="str">
        <x:v>CTA-LMFT-MQB-0075</x:v>
      </x:c>
      <x:c r="B76" s="192" t="str">
        <x:v>LMFT-WB05-QB-Q007</x:v>
      </x:c>
      <x:c r="C76" s="193" t="n">
        <x:v>46228</x:v>
      </x:c>
      <x:c r="D76" s="192" t="str">
        <x:v>Imported into LMFT master inventory</x:v>
      </x:c>
      <x:c r="E76" s="192" t="str">
        <x:v>LMFT Workbook 5 Question Bank</x:v>
      </x:c>
      <x:c r="F76" s="192" t="str">
        <x:v>1.0</x:v>
      </x:c>
      <x:c r="G76" s="192" t="n">
        <x:v>1</x:v>
      </x:c>
      <x:c r="H76" s="192" t="str">
        <x:v>Clinical Training Academy</x:v>
      </x:c>
      <x:c r="I76" s="194" t="str">
        <x:v>Source wording preserved; no silent item-content revision during inventory build.</x:v>
      </x:c>
    </x:row>
    <x:row r="77">
      <x:c r="A77" s="191" t="str">
        <x:v>CTA-LMFT-MQB-0076</x:v>
      </x:c>
      <x:c r="B77" s="192" t="str">
        <x:v>LMFT-WB05-QB-Q008</x:v>
      </x:c>
      <x:c r="C77" s="193" t="n">
        <x:v>46228</x:v>
      </x:c>
      <x:c r="D77" s="192" t="str">
        <x:v>Imported into LMFT master inventory</x:v>
      </x:c>
      <x:c r="E77" s="192" t="str">
        <x:v>LMFT Workbook 5 Question Bank</x:v>
      </x:c>
      <x:c r="F77" s="192" t="str">
        <x:v>1.0</x:v>
      </x:c>
      <x:c r="G77" s="192" t="n">
        <x:v>1</x:v>
      </x:c>
      <x:c r="H77" s="192" t="str">
        <x:v>Clinical Training Academy</x:v>
      </x:c>
      <x:c r="I77" s="194" t="str">
        <x:v>Source wording preserved; no silent item-content revision during inventory build.</x:v>
      </x:c>
    </x:row>
    <x:row r="78">
      <x:c r="A78" s="191" t="str">
        <x:v>CTA-LMFT-MQB-0077</x:v>
      </x:c>
      <x:c r="B78" s="192" t="str">
        <x:v>LMFT-WB05-QB-Q009</x:v>
      </x:c>
      <x:c r="C78" s="193" t="n">
        <x:v>46228</x:v>
      </x:c>
      <x:c r="D78" s="192" t="str">
        <x:v>Imported into LMFT master inventory</x:v>
      </x:c>
      <x:c r="E78" s="192" t="str">
        <x:v>LMFT Workbook 5 Question Bank</x:v>
      </x:c>
      <x:c r="F78" s="192" t="str">
        <x:v>1.0</x:v>
      </x:c>
      <x:c r="G78" s="192" t="n">
        <x:v>1</x:v>
      </x:c>
      <x:c r="H78" s="192" t="str">
        <x:v>Clinical Training Academy</x:v>
      </x:c>
      <x:c r="I78" s="194" t="str">
        <x:v>Source wording preserved; no silent item-content revision during inventory build.</x:v>
      </x:c>
    </x:row>
    <x:row r="79">
      <x:c r="A79" s="191" t="str">
        <x:v>CTA-LMFT-MQB-0078</x:v>
      </x:c>
      <x:c r="B79" s="192" t="str">
        <x:v>LMFT-WB05-QB-Q010</x:v>
      </x:c>
      <x:c r="C79" s="193" t="n">
        <x:v>46228</x:v>
      </x:c>
      <x:c r="D79" s="192" t="str">
        <x:v>Imported into LMFT master inventory</x:v>
      </x:c>
      <x:c r="E79" s="192" t="str">
        <x:v>LMFT Workbook 5 Question Bank</x:v>
      </x:c>
      <x:c r="F79" s="192" t="str">
        <x:v>1.0</x:v>
      </x:c>
      <x:c r="G79" s="192" t="n">
        <x:v>1</x:v>
      </x:c>
      <x:c r="H79" s="192" t="str">
        <x:v>Clinical Training Academy</x:v>
      </x:c>
      <x:c r="I79" s="194" t="str">
        <x:v>Source wording preserved; no silent item-content revision during inventory build.</x:v>
      </x:c>
    </x:row>
    <x:row r="80">
      <x:c r="A80" s="191" t="str">
        <x:v>CTA-LMFT-MQB-0079</x:v>
      </x:c>
      <x:c r="B80" s="192" t="str">
        <x:v>LMFT-WB05-QB-Q011</x:v>
      </x:c>
      <x:c r="C80" s="193" t="n">
        <x:v>46228</x:v>
      </x:c>
      <x:c r="D80" s="192" t="str">
        <x:v>Imported into LMFT master inventory</x:v>
      </x:c>
      <x:c r="E80" s="192" t="str">
        <x:v>LMFT Workbook 5 Question Bank</x:v>
      </x:c>
      <x:c r="F80" s="192" t="str">
        <x:v>1.0</x:v>
      </x:c>
      <x:c r="G80" s="192" t="n">
        <x:v>1</x:v>
      </x:c>
      <x:c r="H80" s="192" t="str">
        <x:v>Clinical Training Academy</x:v>
      </x:c>
      <x:c r="I80" s="194" t="str">
        <x:v>Source wording preserved; no silent item-content revision during inventory build.</x:v>
      </x:c>
    </x:row>
    <x:row r="81">
      <x:c r="A81" s="191" t="str">
        <x:v>CTA-LMFT-MQB-0080</x:v>
      </x:c>
      <x:c r="B81" s="192" t="str">
        <x:v>LMFT-WB05-QB-Q012</x:v>
      </x:c>
      <x:c r="C81" s="193" t="n">
        <x:v>46228</x:v>
      </x:c>
      <x:c r="D81" s="192" t="str">
        <x:v>Imported into LMFT master inventory</x:v>
      </x:c>
      <x:c r="E81" s="192" t="str">
        <x:v>LMFT Workbook 5 Question Bank</x:v>
      </x:c>
      <x:c r="F81" s="192" t="str">
        <x:v>1.0</x:v>
      </x:c>
      <x:c r="G81" s="192" t="n">
        <x:v>1</x:v>
      </x:c>
      <x:c r="H81" s="192" t="str">
        <x:v>Clinical Training Academy</x:v>
      </x:c>
      <x:c r="I81" s="194" t="str">
        <x:v>Source wording preserved; no silent item-content revision during inventory build.</x:v>
      </x:c>
    </x:row>
    <x:row r="82">
      <x:c r="A82" s="191" t="str">
        <x:v>CTA-LMFT-MQB-0081</x:v>
      </x:c>
      <x:c r="B82" s="192" t="str">
        <x:v>LMFT-WB05-QB-Q013</x:v>
      </x:c>
      <x:c r="C82" s="193" t="n">
        <x:v>46228</x:v>
      </x:c>
      <x:c r="D82" s="192" t="str">
        <x:v>Imported into LMFT master inventory</x:v>
      </x:c>
      <x:c r="E82" s="192" t="str">
        <x:v>LMFT Workbook 5 Question Bank</x:v>
      </x:c>
      <x:c r="F82" s="192" t="str">
        <x:v>1.0</x:v>
      </x:c>
      <x:c r="G82" s="192" t="n">
        <x:v>1</x:v>
      </x:c>
      <x:c r="H82" s="192" t="str">
        <x:v>Clinical Training Academy</x:v>
      </x:c>
      <x:c r="I82" s="194" t="str">
        <x:v>Source wording preserved; no silent item-content revision during inventory build.</x:v>
      </x:c>
    </x:row>
    <x:row r="83">
      <x:c r="A83" s="191" t="str">
        <x:v>CTA-LMFT-MQB-0082</x:v>
      </x:c>
      <x:c r="B83" s="192" t="str">
        <x:v>LMFT-WB05-QB-Q014</x:v>
      </x:c>
      <x:c r="C83" s="193" t="n">
        <x:v>46228</x:v>
      </x:c>
      <x:c r="D83" s="192" t="str">
        <x:v>Imported into LMFT master inventory</x:v>
      </x:c>
      <x:c r="E83" s="192" t="str">
        <x:v>LMFT Workbook 5 Question Bank</x:v>
      </x:c>
      <x:c r="F83" s="192" t="str">
        <x:v>1.0</x:v>
      </x:c>
      <x:c r="G83" s="192" t="n">
        <x:v>1</x:v>
      </x:c>
      <x:c r="H83" s="192" t="str">
        <x:v>Clinical Training Academy</x:v>
      </x:c>
      <x:c r="I83" s="194" t="str">
        <x:v>Source wording preserved; no silent item-content revision during inventory build.</x:v>
      </x:c>
    </x:row>
    <x:row r="84">
      <x:c r="A84" s="191" t="str">
        <x:v>CTA-LMFT-MQB-0083</x:v>
      </x:c>
      <x:c r="B84" s="192" t="str">
        <x:v>LMFT-WB05-QB-Q015</x:v>
      </x:c>
      <x:c r="C84" s="193" t="n">
        <x:v>46228</x:v>
      </x:c>
      <x:c r="D84" s="192" t="str">
        <x:v>Imported into LMFT master inventory</x:v>
      </x:c>
      <x:c r="E84" s="192" t="str">
        <x:v>LMFT Workbook 5 Question Bank</x:v>
      </x:c>
      <x:c r="F84" s="192" t="str">
        <x:v>1.0</x:v>
      </x:c>
      <x:c r="G84" s="192" t="n">
        <x:v>1</x:v>
      </x:c>
      <x:c r="H84" s="192" t="str">
        <x:v>Clinical Training Academy</x:v>
      </x:c>
      <x:c r="I84" s="194" t="str">
        <x:v>Source wording preserved; no silent item-content revision during inventory build.</x:v>
      </x:c>
    </x:row>
    <x:row r="85">
      <x:c r="A85" s="191" t="str">
        <x:v>CTA-LMFT-MQB-0084</x:v>
      </x:c>
      <x:c r="B85" s="192" t="str">
        <x:v>LMFT-WB05-QB-Q016</x:v>
      </x:c>
      <x:c r="C85" s="193" t="n">
        <x:v>46228</x:v>
      </x:c>
      <x:c r="D85" s="192" t="str">
        <x:v>Imported into LMFT master inventory</x:v>
      </x:c>
      <x:c r="E85" s="192" t="str">
        <x:v>LMFT Workbook 5 Question Bank</x:v>
      </x:c>
      <x:c r="F85" s="192" t="str">
        <x:v>1.0</x:v>
      </x:c>
      <x:c r="G85" s="192" t="n">
        <x:v>1</x:v>
      </x:c>
      <x:c r="H85" s="192" t="str">
        <x:v>Clinical Training Academy</x:v>
      </x:c>
      <x:c r="I85" s="194" t="str">
        <x:v>Source wording preserved; no silent item-content revision during inventory build.</x:v>
      </x:c>
    </x:row>
    <x:row r="86">
      <x:c r="A86" s="191" t="str">
        <x:v>CTA-LMFT-MQB-0085</x:v>
      </x:c>
      <x:c r="B86" s="192" t="str">
        <x:v>LMFT-WB05-QB-Q017</x:v>
      </x:c>
      <x:c r="C86" s="193" t="n">
        <x:v>46228</x:v>
      </x:c>
      <x:c r="D86" s="192" t="str">
        <x:v>Imported into LMFT master inventory</x:v>
      </x:c>
      <x:c r="E86" s="192" t="str">
        <x:v>LMFT Workbook 5 Question Bank</x:v>
      </x:c>
      <x:c r="F86" s="192" t="str">
        <x:v>1.0</x:v>
      </x:c>
      <x:c r="G86" s="192" t="n">
        <x:v>1</x:v>
      </x:c>
      <x:c r="H86" s="192" t="str">
        <x:v>Clinical Training Academy</x:v>
      </x:c>
      <x:c r="I86" s="194" t="str">
        <x:v>Source wording preserved; no silent item-content revision during inventory build.</x:v>
      </x:c>
    </x:row>
    <x:row r="87">
      <x:c r="A87" s="191" t="str">
        <x:v>CTA-LMFT-MQB-0086</x:v>
      </x:c>
      <x:c r="B87" s="192" t="str">
        <x:v>LMFT-WB06-QB-Q001</x:v>
      </x:c>
      <x:c r="C87" s="193" t="n">
        <x:v>46228</x:v>
      </x:c>
      <x:c r="D87" s="192" t="str">
        <x:v>Imported into LMFT master inventory</x:v>
      </x:c>
      <x:c r="E87" s="192" t="str">
        <x:v>LMFT Workbook 6 Question Bank</x:v>
      </x:c>
      <x:c r="F87" s="192" t="str">
        <x:v>1.0</x:v>
      </x:c>
      <x:c r="G87" s="192" t="n">
        <x:v>1</x:v>
      </x:c>
      <x:c r="H87" s="192" t="str">
        <x:v>Clinical Training Academy</x:v>
      </x:c>
      <x:c r="I87" s="194" t="str">
        <x:v>Source wording preserved; no silent item-content revision during inventory build.</x:v>
      </x:c>
    </x:row>
    <x:row r="88">
      <x:c r="A88" s="191" t="str">
        <x:v>CTA-LMFT-MQB-0087</x:v>
      </x:c>
      <x:c r="B88" s="192" t="str">
        <x:v>LMFT-WB06-QB-Q002</x:v>
      </x:c>
      <x:c r="C88" s="193" t="n">
        <x:v>46228</x:v>
      </x:c>
      <x:c r="D88" s="192" t="str">
        <x:v>Imported into LMFT master inventory</x:v>
      </x:c>
      <x:c r="E88" s="192" t="str">
        <x:v>LMFT Workbook 6 Question Bank</x:v>
      </x:c>
      <x:c r="F88" s="192" t="str">
        <x:v>1.0</x:v>
      </x:c>
      <x:c r="G88" s="192" t="n">
        <x:v>1</x:v>
      </x:c>
      <x:c r="H88" s="192" t="str">
        <x:v>Clinical Training Academy</x:v>
      </x:c>
      <x:c r="I88" s="194" t="str">
        <x:v>Source wording preserved; no silent item-content revision during inventory build.</x:v>
      </x:c>
    </x:row>
    <x:row r="89">
      <x:c r="A89" s="191" t="str">
        <x:v>CTA-LMFT-MQB-0088</x:v>
      </x:c>
      <x:c r="B89" s="192" t="str">
        <x:v>LMFT-WB06-QB-Q003</x:v>
      </x:c>
      <x:c r="C89" s="193" t="n">
        <x:v>46228</x:v>
      </x:c>
      <x:c r="D89" s="192" t="str">
        <x:v>Imported into LMFT master inventory</x:v>
      </x:c>
      <x:c r="E89" s="192" t="str">
        <x:v>LMFT Workbook 6 Question Bank</x:v>
      </x:c>
      <x:c r="F89" s="192" t="str">
        <x:v>1.0</x:v>
      </x:c>
      <x:c r="G89" s="192" t="n">
        <x:v>1</x:v>
      </x:c>
      <x:c r="H89" s="192" t="str">
        <x:v>Clinical Training Academy</x:v>
      </x:c>
      <x:c r="I89" s="194" t="str">
        <x:v>Source wording preserved; no silent item-content revision during inventory build.</x:v>
      </x:c>
    </x:row>
    <x:row r="90">
      <x:c r="A90" s="191" t="str">
        <x:v>CTA-LMFT-MQB-0089</x:v>
      </x:c>
      <x:c r="B90" s="192" t="str">
        <x:v>LMFT-WB06-QB-Q004</x:v>
      </x:c>
      <x:c r="C90" s="193" t="n">
        <x:v>46228</x:v>
      </x:c>
      <x:c r="D90" s="192" t="str">
        <x:v>Imported into LMFT master inventory</x:v>
      </x:c>
      <x:c r="E90" s="192" t="str">
        <x:v>LMFT Workbook 6 Question Bank</x:v>
      </x:c>
      <x:c r="F90" s="192" t="str">
        <x:v>1.0</x:v>
      </x:c>
      <x:c r="G90" s="192" t="n">
        <x:v>1</x:v>
      </x:c>
      <x:c r="H90" s="192" t="str">
        <x:v>Clinical Training Academy</x:v>
      </x:c>
      <x:c r="I90" s="194" t="str">
        <x:v>Source wording preserved; no silent item-content revision during inventory build.</x:v>
      </x:c>
    </x:row>
    <x:row r="91">
      <x:c r="A91" s="191" t="str">
        <x:v>CTA-LMFT-MQB-0090</x:v>
      </x:c>
      <x:c r="B91" s="192" t="str">
        <x:v>LMFT-WB06-QB-Q005</x:v>
      </x:c>
      <x:c r="C91" s="193" t="n">
        <x:v>46228</x:v>
      </x:c>
      <x:c r="D91" s="192" t="str">
        <x:v>Imported into LMFT master inventory</x:v>
      </x:c>
      <x:c r="E91" s="192" t="str">
        <x:v>LMFT Workbook 6 Question Bank</x:v>
      </x:c>
      <x:c r="F91" s="192" t="str">
        <x:v>1.0</x:v>
      </x:c>
      <x:c r="G91" s="192" t="n">
        <x:v>1</x:v>
      </x:c>
      <x:c r="H91" s="192" t="str">
        <x:v>Clinical Training Academy</x:v>
      </x:c>
      <x:c r="I91" s="194" t="str">
        <x:v>Source wording preserved; no silent item-content revision during inventory build.</x:v>
      </x:c>
    </x:row>
    <x:row r="92">
      <x:c r="A92" s="191" t="str">
        <x:v>CTA-LMFT-MQB-0091</x:v>
      </x:c>
      <x:c r="B92" s="192" t="str">
        <x:v>LMFT-WB06-QB-Q006</x:v>
      </x:c>
      <x:c r="C92" s="193" t="n">
        <x:v>46228</x:v>
      </x:c>
      <x:c r="D92" s="192" t="str">
        <x:v>Imported into LMFT master inventory</x:v>
      </x:c>
      <x:c r="E92" s="192" t="str">
        <x:v>LMFT Workbook 6 Question Bank</x:v>
      </x:c>
      <x:c r="F92" s="192" t="str">
        <x:v>1.0</x:v>
      </x:c>
      <x:c r="G92" s="192" t="n">
        <x:v>1</x:v>
      </x:c>
      <x:c r="H92" s="192" t="str">
        <x:v>Clinical Training Academy</x:v>
      </x:c>
      <x:c r="I92" s="194" t="str">
        <x:v>Source wording preserved; no silent item-content revision during inventory build.</x:v>
      </x:c>
    </x:row>
    <x:row r="93">
      <x:c r="A93" s="191" t="str">
        <x:v>CTA-LMFT-MQB-0092</x:v>
      </x:c>
      <x:c r="B93" s="192" t="str">
        <x:v>LMFT-WB06-QB-Q007</x:v>
      </x:c>
      <x:c r="C93" s="193" t="n">
        <x:v>46228</x:v>
      </x:c>
      <x:c r="D93" s="192" t="str">
        <x:v>Imported into LMFT master inventory</x:v>
      </x:c>
      <x:c r="E93" s="192" t="str">
        <x:v>LMFT Workbook 6 Question Bank</x:v>
      </x:c>
      <x:c r="F93" s="192" t="str">
        <x:v>1.0</x:v>
      </x:c>
      <x:c r="G93" s="192" t="n">
        <x:v>1</x:v>
      </x:c>
      <x:c r="H93" s="192" t="str">
        <x:v>Clinical Training Academy</x:v>
      </x:c>
      <x:c r="I93" s="194" t="str">
        <x:v>Source wording preserved; no silent item-content revision during inventory build.</x:v>
      </x:c>
    </x:row>
    <x:row r="94">
      <x:c r="A94" s="191" t="str">
        <x:v>CTA-LMFT-MQB-0093</x:v>
      </x:c>
      <x:c r="B94" s="192" t="str">
        <x:v>LMFT-WB06-QB-Q008</x:v>
      </x:c>
      <x:c r="C94" s="193" t="n">
        <x:v>46228</x:v>
      </x:c>
      <x:c r="D94" s="192" t="str">
        <x:v>Imported into LMFT master inventory</x:v>
      </x:c>
      <x:c r="E94" s="192" t="str">
        <x:v>LMFT Workbook 6 Question Bank</x:v>
      </x:c>
      <x:c r="F94" s="192" t="str">
        <x:v>1.0</x:v>
      </x:c>
      <x:c r="G94" s="192" t="n">
        <x:v>1</x:v>
      </x:c>
      <x:c r="H94" s="192" t="str">
        <x:v>Clinical Training Academy</x:v>
      </x:c>
      <x:c r="I94" s="194" t="str">
        <x:v>Source wording preserved; no silent item-content revision during inventory build.</x:v>
      </x:c>
    </x:row>
    <x:row r="95">
      <x:c r="A95" s="191" t="str">
        <x:v>CTA-LMFT-MQB-0094</x:v>
      </x:c>
      <x:c r="B95" s="192" t="str">
        <x:v>LMFT-WB06-QB-Q009</x:v>
      </x:c>
      <x:c r="C95" s="193" t="n">
        <x:v>46228</x:v>
      </x:c>
      <x:c r="D95" s="192" t="str">
        <x:v>Imported into LMFT master inventory</x:v>
      </x:c>
      <x:c r="E95" s="192" t="str">
        <x:v>LMFT Workbook 6 Question Bank</x:v>
      </x:c>
      <x:c r="F95" s="192" t="str">
        <x:v>1.0</x:v>
      </x:c>
      <x:c r="G95" s="192" t="n">
        <x:v>1</x:v>
      </x:c>
      <x:c r="H95" s="192" t="str">
        <x:v>Clinical Training Academy</x:v>
      </x:c>
      <x:c r="I95" s="194" t="str">
        <x:v>Source wording preserved; no silent item-content revision during inventory build.</x:v>
      </x:c>
    </x:row>
    <x:row r="96">
      <x:c r="A96" s="191" t="str">
        <x:v>CTA-LMFT-MQB-0095</x:v>
      </x:c>
      <x:c r="B96" s="192" t="str">
        <x:v>LMFT-WB06-QB-Q010</x:v>
      </x:c>
      <x:c r="C96" s="193" t="n">
        <x:v>46228</x:v>
      </x:c>
      <x:c r="D96" s="192" t="str">
        <x:v>Imported into LMFT master inventory</x:v>
      </x:c>
      <x:c r="E96" s="192" t="str">
        <x:v>LMFT Workbook 6 Question Bank</x:v>
      </x:c>
      <x:c r="F96" s="192" t="str">
        <x:v>1.0</x:v>
      </x:c>
      <x:c r="G96" s="192" t="n">
        <x:v>1</x:v>
      </x:c>
      <x:c r="H96" s="192" t="str">
        <x:v>Clinical Training Academy</x:v>
      </x:c>
      <x:c r="I96" s="194" t="str">
        <x:v>Source wording preserved; no silent item-content revision during inventory build.</x:v>
      </x:c>
    </x:row>
    <x:row r="97">
      <x:c r="A97" s="191" t="str">
        <x:v>CTA-LMFT-MQB-0096</x:v>
      </x:c>
      <x:c r="B97" s="192" t="str">
        <x:v>LMFT-WB06-QB-Q011</x:v>
      </x:c>
      <x:c r="C97" s="193" t="n">
        <x:v>46228</x:v>
      </x:c>
      <x:c r="D97" s="192" t="str">
        <x:v>Imported into LMFT master inventory</x:v>
      </x:c>
      <x:c r="E97" s="192" t="str">
        <x:v>LMFT Workbook 6 Question Bank</x:v>
      </x:c>
      <x:c r="F97" s="192" t="str">
        <x:v>1.0</x:v>
      </x:c>
      <x:c r="G97" s="192" t="n">
        <x:v>1</x:v>
      </x:c>
      <x:c r="H97" s="192" t="str">
        <x:v>Clinical Training Academy</x:v>
      </x:c>
      <x:c r="I97" s="194" t="str">
        <x:v>Source wording preserved; no silent item-content revision during inventory build.</x:v>
      </x:c>
    </x:row>
    <x:row r="98">
      <x:c r="A98" s="191" t="str">
        <x:v>CTA-LMFT-MQB-0097</x:v>
      </x:c>
      <x:c r="B98" s="192" t="str">
        <x:v>LMFT-WB06-QB-Q012</x:v>
      </x:c>
      <x:c r="C98" s="193" t="n">
        <x:v>46228</x:v>
      </x:c>
      <x:c r="D98" s="192" t="str">
        <x:v>Imported into LMFT master inventory</x:v>
      </x:c>
      <x:c r="E98" s="192" t="str">
        <x:v>LMFT Workbook 6 Question Bank</x:v>
      </x:c>
      <x:c r="F98" s="192" t="str">
        <x:v>1.0</x:v>
      </x:c>
      <x:c r="G98" s="192" t="n">
        <x:v>1</x:v>
      </x:c>
      <x:c r="H98" s="192" t="str">
        <x:v>Clinical Training Academy</x:v>
      </x:c>
      <x:c r="I98" s="194" t="str">
        <x:v>Source wording preserved; no silent item-content revision during inventory build.</x:v>
      </x:c>
    </x:row>
    <x:row r="99">
      <x:c r="A99" s="191" t="str">
        <x:v>CTA-LMFT-MQB-0098</x:v>
      </x:c>
      <x:c r="B99" s="192" t="str">
        <x:v>LMFT-WB06-QB-Q013</x:v>
      </x:c>
      <x:c r="C99" s="193" t="n">
        <x:v>46228</x:v>
      </x:c>
      <x:c r="D99" s="192" t="str">
        <x:v>Imported into LMFT master inventory</x:v>
      </x:c>
      <x:c r="E99" s="192" t="str">
        <x:v>LMFT Workbook 6 Question Bank</x:v>
      </x:c>
      <x:c r="F99" s="192" t="str">
        <x:v>1.0</x:v>
      </x:c>
      <x:c r="G99" s="192" t="n">
        <x:v>1</x:v>
      </x:c>
      <x:c r="H99" s="192" t="str">
        <x:v>Clinical Training Academy</x:v>
      </x:c>
      <x:c r="I99" s="194" t="str">
        <x:v>Source wording preserved; no silent item-content revision during inventory build.</x:v>
      </x:c>
    </x:row>
    <x:row r="100">
      <x:c r="A100" s="191" t="str">
        <x:v>CTA-LMFT-MQB-0099</x:v>
      </x:c>
      <x:c r="B100" s="192" t="str">
        <x:v>LMFT-WB06-QB-Q014</x:v>
      </x:c>
      <x:c r="C100" s="193" t="n">
        <x:v>46228</x:v>
      </x:c>
      <x:c r="D100" s="192" t="str">
        <x:v>Imported into LMFT master inventory</x:v>
      </x:c>
      <x:c r="E100" s="192" t="str">
        <x:v>LMFT Workbook 6 Question Bank</x:v>
      </x:c>
      <x:c r="F100" s="192" t="str">
        <x:v>1.0</x:v>
      </x:c>
      <x:c r="G100" s="192" t="n">
        <x:v>1</x:v>
      </x:c>
      <x:c r="H100" s="192" t="str">
        <x:v>Clinical Training Academy</x:v>
      </x:c>
      <x:c r="I100" s="194" t="str">
        <x:v>Source wording preserved; no silent item-content revision during inventory build.</x:v>
      </x:c>
    </x:row>
    <x:row r="101">
      <x:c r="A101" s="191" t="str">
        <x:v>CTA-LMFT-MQB-0100</x:v>
      </x:c>
      <x:c r="B101" s="192" t="str">
        <x:v>LMFT-WB06-QB-Q015</x:v>
      </x:c>
      <x:c r="C101" s="193" t="n">
        <x:v>46228</x:v>
      </x:c>
      <x:c r="D101" s="192" t="str">
        <x:v>Imported into LMFT master inventory</x:v>
      </x:c>
      <x:c r="E101" s="192" t="str">
        <x:v>LMFT Workbook 6 Question Bank</x:v>
      </x:c>
      <x:c r="F101" s="192" t="str">
        <x:v>1.0</x:v>
      </x:c>
      <x:c r="G101" s="192" t="n">
        <x:v>1</x:v>
      </x:c>
      <x:c r="H101" s="192" t="str">
        <x:v>Clinical Training Academy</x:v>
      </x:c>
      <x:c r="I101" s="194" t="str">
        <x:v>Source wording preserved; no silent item-content revision during inventory build.</x:v>
      </x:c>
    </x:row>
    <x:row r="102">
      <x:c r="A102" s="191" t="str">
        <x:v>CTA-LMFT-MQB-0101</x:v>
      </x:c>
      <x:c r="B102" s="192" t="str">
        <x:v>LMFT-WB06-QB-Q016</x:v>
      </x:c>
      <x:c r="C102" s="193" t="n">
        <x:v>46228</x:v>
      </x:c>
      <x:c r="D102" s="192" t="str">
        <x:v>Imported into LMFT master inventory</x:v>
      </x:c>
      <x:c r="E102" s="192" t="str">
        <x:v>LMFT Workbook 6 Question Bank</x:v>
      </x:c>
      <x:c r="F102" s="192" t="str">
        <x:v>1.0</x:v>
      </x:c>
      <x:c r="G102" s="192" t="n">
        <x:v>1</x:v>
      </x:c>
      <x:c r="H102" s="192" t="str">
        <x:v>Clinical Training Academy</x:v>
      </x:c>
      <x:c r="I102" s="194" t="str">
        <x:v>Source wording preserved; no silent item-content revision during inventory build.</x:v>
      </x:c>
    </x:row>
    <x:row r="103">
      <x:c r="A103" s="191" t="str">
        <x:v>CTA-LMFT-MQB-0102</x:v>
      </x:c>
      <x:c r="B103" s="192" t="str">
        <x:v>LMFT-WB06-QB-Q017</x:v>
      </x:c>
      <x:c r="C103" s="193" t="n">
        <x:v>46228</x:v>
      </x:c>
      <x:c r="D103" s="192" t="str">
        <x:v>Imported into LMFT master inventory</x:v>
      </x:c>
      <x:c r="E103" s="192" t="str">
        <x:v>LMFT Workbook 6 Question Bank</x:v>
      </x:c>
      <x:c r="F103" s="192" t="str">
        <x:v>1.0</x:v>
      </x:c>
      <x:c r="G103" s="192" t="n">
        <x:v>1</x:v>
      </x:c>
      <x:c r="H103" s="192" t="str">
        <x:v>Clinical Training Academy</x:v>
      </x:c>
      <x:c r="I103" s="194" t="str">
        <x:v>Source wording preserved; no silent item-content revision during inventory build.</x:v>
      </x:c>
    </x:row>
    <x:row r="104">
      <x:c r="A104" s="191" t="str">
        <x:v>CTA-LMFT-MQB-0103</x:v>
      </x:c>
      <x:c r="B104" s="192" t="str">
        <x:v>LMFT-WB07-QB-Q001</x:v>
      </x:c>
      <x:c r="C104" s="193" t="n">
        <x:v>46228</x:v>
      </x:c>
      <x:c r="D104" s="192" t="str">
        <x:v>Imported into LMFT master inventory</x:v>
      </x:c>
      <x:c r="E104" s="192" t="str">
        <x:v>LMFT Workbook 7 Question Bank</x:v>
      </x:c>
      <x:c r="F104" s="192" t="str">
        <x:v>1.0</x:v>
      </x:c>
      <x:c r="G104" s="192" t="n">
        <x:v>1</x:v>
      </x:c>
      <x:c r="H104" s="192" t="str">
        <x:v>Clinical Training Academy</x:v>
      </x:c>
      <x:c r="I104" s="194" t="str">
        <x:v>Source wording preserved; no silent item-content revision during inventory build.</x:v>
      </x:c>
    </x:row>
    <x:row r="105">
      <x:c r="A105" s="191" t="str">
        <x:v>CTA-LMFT-MQB-0104</x:v>
      </x:c>
      <x:c r="B105" s="192" t="str">
        <x:v>LMFT-WB07-QB-Q002</x:v>
      </x:c>
      <x:c r="C105" s="193" t="n">
        <x:v>46228</x:v>
      </x:c>
      <x:c r="D105" s="192" t="str">
        <x:v>Imported into LMFT master inventory</x:v>
      </x:c>
      <x:c r="E105" s="192" t="str">
        <x:v>LMFT Workbook 7 Question Bank</x:v>
      </x:c>
      <x:c r="F105" s="192" t="str">
        <x:v>1.0</x:v>
      </x:c>
      <x:c r="G105" s="192" t="n">
        <x:v>1</x:v>
      </x:c>
      <x:c r="H105" s="192" t="str">
        <x:v>Clinical Training Academy</x:v>
      </x:c>
      <x:c r="I105" s="194" t="str">
        <x:v>Source wording preserved; no silent item-content revision during inventory build.</x:v>
      </x:c>
    </x:row>
    <x:row r="106">
      <x:c r="A106" s="191" t="str">
        <x:v>CTA-LMFT-MQB-0105</x:v>
      </x:c>
      <x:c r="B106" s="192" t="str">
        <x:v>LMFT-WB07-QB-Q003</x:v>
      </x:c>
      <x:c r="C106" s="193" t="n">
        <x:v>46228</x:v>
      </x:c>
      <x:c r="D106" s="192" t="str">
        <x:v>Imported into LMFT master inventory</x:v>
      </x:c>
      <x:c r="E106" s="192" t="str">
        <x:v>LMFT Workbook 7 Question Bank</x:v>
      </x:c>
      <x:c r="F106" s="192" t="str">
        <x:v>1.0</x:v>
      </x:c>
      <x:c r="G106" s="192" t="n">
        <x:v>1</x:v>
      </x:c>
      <x:c r="H106" s="192" t="str">
        <x:v>Clinical Training Academy</x:v>
      </x:c>
      <x:c r="I106" s="194" t="str">
        <x:v>Source wording preserved; no silent item-content revision during inventory build.</x:v>
      </x:c>
    </x:row>
    <x:row r="107">
      <x:c r="A107" s="191" t="str">
        <x:v>CTA-LMFT-MQB-0106</x:v>
      </x:c>
      <x:c r="B107" s="192" t="str">
        <x:v>LMFT-WB07-QB-Q004</x:v>
      </x:c>
      <x:c r="C107" s="193" t="n">
        <x:v>46228</x:v>
      </x:c>
      <x:c r="D107" s="192" t="str">
        <x:v>Imported into LMFT master inventory</x:v>
      </x:c>
      <x:c r="E107" s="192" t="str">
        <x:v>LMFT Workbook 7 Question Bank</x:v>
      </x:c>
      <x:c r="F107" s="192" t="str">
        <x:v>1.0</x:v>
      </x:c>
      <x:c r="G107" s="192" t="n">
        <x:v>1</x:v>
      </x:c>
      <x:c r="H107" s="192" t="str">
        <x:v>Clinical Training Academy</x:v>
      </x:c>
      <x:c r="I107" s="194" t="str">
        <x:v>Source wording preserved; no silent item-content revision during inventory build.</x:v>
      </x:c>
    </x:row>
    <x:row r="108">
      <x:c r="A108" s="191" t="str">
        <x:v>CTA-LMFT-MQB-0107</x:v>
      </x:c>
      <x:c r="B108" s="192" t="str">
        <x:v>LMFT-WB07-QB-Q005</x:v>
      </x:c>
      <x:c r="C108" s="193" t="n">
        <x:v>46228</x:v>
      </x:c>
      <x:c r="D108" s="192" t="str">
        <x:v>Imported into LMFT master inventory</x:v>
      </x:c>
      <x:c r="E108" s="192" t="str">
        <x:v>LMFT Workbook 7 Question Bank</x:v>
      </x:c>
      <x:c r="F108" s="192" t="str">
        <x:v>1.0</x:v>
      </x:c>
      <x:c r="G108" s="192" t="n">
        <x:v>1</x:v>
      </x:c>
      <x:c r="H108" s="192" t="str">
        <x:v>Clinical Training Academy</x:v>
      </x:c>
      <x:c r="I108" s="194" t="str">
        <x:v>Source wording preserved; no silent item-content revision during inventory build.</x:v>
      </x:c>
    </x:row>
    <x:row r="109">
      <x:c r="A109" s="191" t="str">
        <x:v>CTA-LMFT-MQB-0108</x:v>
      </x:c>
      <x:c r="B109" s="192" t="str">
        <x:v>LMFT-WB07-QB-Q006</x:v>
      </x:c>
      <x:c r="C109" s="193" t="n">
        <x:v>46228</x:v>
      </x:c>
      <x:c r="D109" s="192" t="str">
        <x:v>Imported into LMFT master inventory</x:v>
      </x:c>
      <x:c r="E109" s="192" t="str">
        <x:v>LMFT Workbook 7 Question Bank</x:v>
      </x:c>
      <x:c r="F109" s="192" t="str">
        <x:v>1.0</x:v>
      </x:c>
      <x:c r="G109" s="192" t="n">
        <x:v>1</x:v>
      </x:c>
      <x:c r="H109" s="192" t="str">
        <x:v>Clinical Training Academy</x:v>
      </x:c>
      <x:c r="I109" s="194" t="str">
        <x:v>Source wording preserved; no silent item-content revision during inventory build.</x:v>
      </x:c>
    </x:row>
    <x:row r="110">
      <x:c r="A110" s="191" t="str">
        <x:v>CTA-LMFT-MQB-0109</x:v>
      </x:c>
      <x:c r="B110" s="192" t="str">
        <x:v>LMFT-WB07-QB-Q007</x:v>
      </x:c>
      <x:c r="C110" s="193" t="n">
        <x:v>46228</x:v>
      </x:c>
      <x:c r="D110" s="192" t="str">
        <x:v>Imported into LMFT master inventory</x:v>
      </x:c>
      <x:c r="E110" s="192" t="str">
        <x:v>LMFT Workbook 7 Question Bank</x:v>
      </x:c>
      <x:c r="F110" s="192" t="str">
        <x:v>1.0</x:v>
      </x:c>
      <x:c r="G110" s="192" t="n">
        <x:v>1</x:v>
      </x:c>
      <x:c r="H110" s="192" t="str">
        <x:v>Clinical Training Academy</x:v>
      </x:c>
      <x:c r="I110" s="194" t="str">
        <x:v>Source wording preserved; no silent item-content revision during inventory build.</x:v>
      </x:c>
    </x:row>
    <x:row r="111">
      <x:c r="A111" s="191" t="str">
        <x:v>CTA-LMFT-MQB-0110</x:v>
      </x:c>
      <x:c r="B111" s="192" t="str">
        <x:v>LMFT-WB07-QB-Q008</x:v>
      </x:c>
      <x:c r="C111" s="193" t="n">
        <x:v>46228</x:v>
      </x:c>
      <x:c r="D111" s="192" t="str">
        <x:v>Imported into LMFT master inventory</x:v>
      </x:c>
      <x:c r="E111" s="192" t="str">
        <x:v>LMFT Workbook 7 Question Bank</x:v>
      </x:c>
      <x:c r="F111" s="192" t="str">
        <x:v>1.0</x:v>
      </x:c>
      <x:c r="G111" s="192" t="n">
        <x:v>1</x:v>
      </x:c>
      <x:c r="H111" s="192" t="str">
        <x:v>Clinical Training Academy</x:v>
      </x:c>
      <x:c r="I111" s="194" t="str">
        <x:v>Source wording preserved; no silent item-content revision during inventory build.</x:v>
      </x:c>
    </x:row>
    <x:row r="112">
      <x:c r="A112" s="191" t="str">
        <x:v>CTA-LMFT-MQB-0111</x:v>
      </x:c>
      <x:c r="B112" s="192" t="str">
        <x:v>LMFT-WB07-QB-Q009</x:v>
      </x:c>
      <x:c r="C112" s="193" t="n">
        <x:v>46228</x:v>
      </x:c>
      <x:c r="D112" s="192" t="str">
        <x:v>Imported into LMFT master inventory</x:v>
      </x:c>
      <x:c r="E112" s="192" t="str">
        <x:v>LMFT Workbook 7 Question Bank</x:v>
      </x:c>
      <x:c r="F112" s="192" t="str">
        <x:v>1.0</x:v>
      </x:c>
      <x:c r="G112" s="192" t="n">
        <x:v>1</x:v>
      </x:c>
      <x:c r="H112" s="192" t="str">
        <x:v>Clinical Training Academy</x:v>
      </x:c>
      <x:c r="I112" s="194" t="str">
        <x:v>Source wording preserved; no silent item-content revision during inventory build.</x:v>
      </x:c>
    </x:row>
    <x:row r="113">
      <x:c r="A113" s="191" t="str">
        <x:v>CTA-LMFT-MQB-0112</x:v>
      </x:c>
      <x:c r="B113" s="192" t="str">
        <x:v>LMFT-WB07-QB-Q010</x:v>
      </x:c>
      <x:c r="C113" s="193" t="n">
        <x:v>46228</x:v>
      </x:c>
      <x:c r="D113" s="192" t="str">
        <x:v>Imported into LMFT master inventory</x:v>
      </x:c>
      <x:c r="E113" s="192" t="str">
        <x:v>LMFT Workbook 7 Question Bank</x:v>
      </x:c>
      <x:c r="F113" s="192" t="str">
        <x:v>1.0</x:v>
      </x:c>
      <x:c r="G113" s="192" t="n">
        <x:v>1</x:v>
      </x:c>
      <x:c r="H113" s="192" t="str">
        <x:v>Clinical Training Academy</x:v>
      </x:c>
      <x:c r="I113" s="194" t="str">
        <x:v>Source wording preserved; no silent item-content revision during inventory build.</x:v>
      </x:c>
    </x:row>
    <x:row r="114">
      <x:c r="A114" s="191" t="str">
        <x:v>CTA-LMFT-MQB-0113</x:v>
      </x:c>
      <x:c r="B114" s="192" t="str">
        <x:v>LMFT-WB07-QB-Q011</x:v>
      </x:c>
      <x:c r="C114" s="193" t="n">
        <x:v>46228</x:v>
      </x:c>
      <x:c r="D114" s="192" t="str">
        <x:v>Imported into LMFT master inventory</x:v>
      </x:c>
      <x:c r="E114" s="192" t="str">
        <x:v>LMFT Workbook 7 Question Bank</x:v>
      </x:c>
      <x:c r="F114" s="192" t="str">
        <x:v>1.0</x:v>
      </x:c>
      <x:c r="G114" s="192" t="n">
        <x:v>1</x:v>
      </x:c>
      <x:c r="H114" s="192" t="str">
        <x:v>Clinical Training Academy</x:v>
      </x:c>
      <x:c r="I114" s="194" t="str">
        <x:v>Source wording preserved; no silent item-content revision during inventory build.</x:v>
      </x:c>
    </x:row>
    <x:row r="115">
      <x:c r="A115" s="191" t="str">
        <x:v>CTA-LMFT-MQB-0114</x:v>
      </x:c>
      <x:c r="B115" s="192" t="str">
        <x:v>LMFT-WB07-QB-Q012</x:v>
      </x:c>
      <x:c r="C115" s="193" t="n">
        <x:v>46228</x:v>
      </x:c>
      <x:c r="D115" s="192" t="str">
        <x:v>Imported into LMFT master inventory</x:v>
      </x:c>
      <x:c r="E115" s="192" t="str">
        <x:v>LMFT Workbook 7 Question Bank</x:v>
      </x:c>
      <x:c r="F115" s="192" t="str">
        <x:v>1.0</x:v>
      </x:c>
      <x:c r="G115" s="192" t="n">
        <x:v>1</x:v>
      </x:c>
      <x:c r="H115" s="192" t="str">
        <x:v>Clinical Training Academy</x:v>
      </x:c>
      <x:c r="I115" s="194" t="str">
        <x:v>Source wording preserved; no silent item-content revision during inventory build.</x:v>
      </x:c>
    </x:row>
    <x:row r="116">
      <x:c r="A116" s="191" t="str">
        <x:v>CTA-LMFT-MQB-0115</x:v>
      </x:c>
      <x:c r="B116" s="192" t="str">
        <x:v>LMFT-WB07-QB-Q013</x:v>
      </x:c>
      <x:c r="C116" s="193" t="n">
        <x:v>46228</x:v>
      </x:c>
      <x:c r="D116" s="192" t="str">
        <x:v>Imported into LMFT master inventory</x:v>
      </x:c>
      <x:c r="E116" s="192" t="str">
        <x:v>LMFT Workbook 7 Question Bank</x:v>
      </x:c>
      <x:c r="F116" s="192" t="str">
        <x:v>1.0</x:v>
      </x:c>
      <x:c r="G116" s="192" t="n">
        <x:v>1</x:v>
      </x:c>
      <x:c r="H116" s="192" t="str">
        <x:v>Clinical Training Academy</x:v>
      </x:c>
      <x:c r="I116" s="194" t="str">
        <x:v>Source wording preserved; no silent item-content revision during inventory build.</x:v>
      </x:c>
    </x:row>
    <x:row r="117">
      <x:c r="A117" s="191" t="str">
        <x:v>CTA-LMFT-MQB-0116</x:v>
      </x:c>
      <x:c r="B117" s="192" t="str">
        <x:v>LMFT-WB07-QB-Q014</x:v>
      </x:c>
      <x:c r="C117" s="193" t="n">
        <x:v>46228</x:v>
      </x:c>
      <x:c r="D117" s="192" t="str">
        <x:v>Imported into LMFT master inventory</x:v>
      </x:c>
      <x:c r="E117" s="192" t="str">
        <x:v>LMFT Workbook 7 Question Bank</x:v>
      </x:c>
      <x:c r="F117" s="192" t="str">
        <x:v>1.0</x:v>
      </x:c>
      <x:c r="G117" s="192" t="n">
        <x:v>1</x:v>
      </x:c>
      <x:c r="H117" s="192" t="str">
        <x:v>Clinical Training Academy</x:v>
      </x:c>
      <x:c r="I117" s="194" t="str">
        <x:v>Source wording preserved; no silent item-content revision during inventory build.</x:v>
      </x:c>
    </x:row>
    <x:row r="118">
      <x:c r="A118" s="191" t="str">
        <x:v>CTA-LMFT-MQB-0117</x:v>
      </x:c>
      <x:c r="B118" s="192" t="str">
        <x:v>LMFT-WB07-QB-Q015</x:v>
      </x:c>
      <x:c r="C118" s="193" t="n">
        <x:v>46228</x:v>
      </x:c>
      <x:c r="D118" s="192" t="str">
        <x:v>Imported into LMFT master inventory</x:v>
      </x:c>
      <x:c r="E118" s="192" t="str">
        <x:v>LMFT Workbook 7 Question Bank</x:v>
      </x:c>
      <x:c r="F118" s="192" t="str">
        <x:v>1.0</x:v>
      </x:c>
      <x:c r="G118" s="192" t="n">
        <x:v>1</x:v>
      </x:c>
      <x:c r="H118" s="192" t="str">
        <x:v>Clinical Training Academy</x:v>
      </x:c>
      <x:c r="I118" s="194" t="str">
        <x:v>Source wording preserved; no silent item-content revision during inventory build.</x:v>
      </x:c>
    </x:row>
    <x:row r="119">
      <x:c r="A119" s="191" t="str">
        <x:v>CTA-LMFT-MQB-0118</x:v>
      </x:c>
      <x:c r="B119" s="192" t="str">
        <x:v>LMFT-WB07-QB-Q016</x:v>
      </x:c>
      <x:c r="C119" s="193" t="n">
        <x:v>46228</x:v>
      </x:c>
      <x:c r="D119" s="192" t="str">
        <x:v>Imported into LMFT master inventory</x:v>
      </x:c>
      <x:c r="E119" s="192" t="str">
        <x:v>LMFT Workbook 7 Question Bank</x:v>
      </x:c>
      <x:c r="F119" s="192" t="str">
        <x:v>1.0</x:v>
      </x:c>
      <x:c r="G119" s="192" t="n">
        <x:v>1</x:v>
      </x:c>
      <x:c r="H119" s="192" t="str">
        <x:v>Clinical Training Academy</x:v>
      </x:c>
      <x:c r="I119" s="194" t="str">
        <x:v>Source wording preserved; no silent item-content revision during inventory build.</x:v>
      </x:c>
    </x:row>
    <x:row r="120">
      <x:c r="A120" s="191" t="str">
        <x:v>CTA-LMFT-MQB-0119</x:v>
      </x:c>
      <x:c r="B120" s="192" t="str">
        <x:v>LMFT-WB07-QB-Q017</x:v>
      </x:c>
      <x:c r="C120" s="193" t="n">
        <x:v>46228</x:v>
      </x:c>
      <x:c r="D120" s="192" t="str">
        <x:v>Imported into LMFT master inventory</x:v>
      </x:c>
      <x:c r="E120" s="192" t="str">
        <x:v>LMFT Workbook 7 Question Bank</x:v>
      </x:c>
      <x:c r="F120" s="192" t="str">
        <x:v>1.0</x:v>
      </x:c>
      <x:c r="G120" s="192" t="n">
        <x:v>1</x:v>
      </x:c>
      <x:c r="H120" s="192" t="str">
        <x:v>Clinical Training Academy</x:v>
      </x:c>
      <x:c r="I120" s="194" t="str">
        <x:v>Source wording preserved; no silent item-content revision during inventory build.</x:v>
      </x:c>
    </x:row>
    <x:row r="121">
      <x:c r="A121" s="191" t="str">
        <x:v>CTA-LMFT-MQB-0120</x:v>
      </x:c>
      <x:c r="B121" s="192" t="str">
        <x:v>LMFT-WB08-QB-Q001</x:v>
      </x:c>
      <x:c r="C121" s="193" t="n">
        <x:v>46228</x:v>
      </x:c>
      <x:c r="D121" s="192" t="str">
        <x:v>Imported into LMFT master inventory</x:v>
      </x:c>
      <x:c r="E121" s="192" t="str">
        <x:v>LMFT Workbook 8 Question Bank</x:v>
      </x:c>
      <x:c r="F121" s="192" t="str">
        <x:v>1.0</x:v>
      </x:c>
      <x:c r="G121" s="192" t="n">
        <x:v>1</x:v>
      </x:c>
      <x:c r="H121" s="192" t="str">
        <x:v>Clinical Training Academy</x:v>
      </x:c>
      <x:c r="I121" s="194" t="str">
        <x:v>Source wording preserved; no silent item-content revision during inventory build.</x:v>
      </x:c>
    </x:row>
    <x:row r="122">
      <x:c r="A122" s="191" t="str">
        <x:v>CTA-LMFT-MQB-0121</x:v>
      </x:c>
      <x:c r="B122" s="192" t="str">
        <x:v>LMFT-WB08-QB-Q002</x:v>
      </x:c>
      <x:c r="C122" s="193" t="n">
        <x:v>46228</x:v>
      </x:c>
      <x:c r="D122" s="192" t="str">
        <x:v>Imported into LMFT master inventory</x:v>
      </x:c>
      <x:c r="E122" s="192" t="str">
        <x:v>LMFT Workbook 8 Question Bank</x:v>
      </x:c>
      <x:c r="F122" s="192" t="str">
        <x:v>1.0</x:v>
      </x:c>
      <x:c r="G122" s="192" t="n">
        <x:v>1</x:v>
      </x:c>
      <x:c r="H122" s="192" t="str">
        <x:v>Clinical Training Academy</x:v>
      </x:c>
      <x:c r="I122" s="194" t="str">
        <x:v>Source wording preserved; no silent item-content revision during inventory build.</x:v>
      </x:c>
    </x:row>
    <x:row r="123">
      <x:c r="A123" s="191" t="str">
        <x:v>CTA-LMFT-MQB-0122</x:v>
      </x:c>
      <x:c r="B123" s="192" t="str">
        <x:v>LMFT-WB08-QB-Q003</x:v>
      </x:c>
      <x:c r="C123" s="193" t="n">
        <x:v>46228</x:v>
      </x:c>
      <x:c r="D123" s="192" t="str">
        <x:v>Imported into LMFT master inventory</x:v>
      </x:c>
      <x:c r="E123" s="192" t="str">
        <x:v>LMFT Workbook 8 Question Bank</x:v>
      </x:c>
      <x:c r="F123" s="192" t="str">
        <x:v>1.0</x:v>
      </x:c>
      <x:c r="G123" s="192" t="n">
        <x:v>1</x:v>
      </x:c>
      <x:c r="H123" s="192" t="str">
        <x:v>Clinical Training Academy</x:v>
      </x:c>
      <x:c r="I123" s="194" t="str">
        <x:v>Source wording preserved; no silent item-content revision during inventory build.</x:v>
      </x:c>
    </x:row>
    <x:row r="124">
      <x:c r="A124" s="191" t="str">
        <x:v>CTA-LMFT-MQB-0123</x:v>
      </x:c>
      <x:c r="B124" s="192" t="str">
        <x:v>LMFT-WB08-QB-Q004</x:v>
      </x:c>
      <x:c r="C124" s="193" t="n">
        <x:v>46228</x:v>
      </x:c>
      <x:c r="D124" s="192" t="str">
        <x:v>Imported into LMFT master inventory</x:v>
      </x:c>
      <x:c r="E124" s="192" t="str">
        <x:v>LMFT Workbook 8 Question Bank</x:v>
      </x:c>
      <x:c r="F124" s="192" t="str">
        <x:v>1.0</x:v>
      </x:c>
      <x:c r="G124" s="192" t="n">
        <x:v>1</x:v>
      </x:c>
      <x:c r="H124" s="192" t="str">
        <x:v>Clinical Training Academy</x:v>
      </x:c>
      <x:c r="I124" s="194" t="str">
        <x:v>Source wording preserved; no silent item-content revision during inventory build.</x:v>
      </x:c>
    </x:row>
    <x:row r="125">
      <x:c r="A125" s="191" t="str">
        <x:v>CTA-LMFT-MQB-0124</x:v>
      </x:c>
      <x:c r="B125" s="192" t="str">
        <x:v>LMFT-WB08-QB-Q005</x:v>
      </x:c>
      <x:c r="C125" s="193" t="n">
        <x:v>46228</x:v>
      </x:c>
      <x:c r="D125" s="192" t="str">
        <x:v>Imported into LMFT master inventory</x:v>
      </x:c>
      <x:c r="E125" s="192" t="str">
        <x:v>LMFT Workbook 8 Question Bank</x:v>
      </x:c>
      <x:c r="F125" s="192" t="str">
        <x:v>1.0</x:v>
      </x:c>
      <x:c r="G125" s="192" t="n">
        <x:v>1</x:v>
      </x:c>
      <x:c r="H125" s="192" t="str">
        <x:v>Clinical Training Academy</x:v>
      </x:c>
      <x:c r="I125" s="194" t="str">
        <x:v>Source wording preserved; no silent item-content revision during inventory build.</x:v>
      </x:c>
    </x:row>
    <x:row r="126">
      <x:c r="A126" s="191" t="str">
        <x:v>CTA-LMFT-MQB-0125</x:v>
      </x:c>
      <x:c r="B126" s="192" t="str">
        <x:v>LMFT-WB08-QB-Q006</x:v>
      </x:c>
      <x:c r="C126" s="193" t="n">
        <x:v>46228</x:v>
      </x:c>
      <x:c r="D126" s="192" t="str">
        <x:v>Imported into LMFT master inventory</x:v>
      </x:c>
      <x:c r="E126" s="192" t="str">
        <x:v>LMFT Workbook 8 Question Bank</x:v>
      </x:c>
      <x:c r="F126" s="192" t="str">
        <x:v>1.0</x:v>
      </x:c>
      <x:c r="G126" s="192" t="n">
        <x:v>1</x:v>
      </x:c>
      <x:c r="H126" s="192" t="str">
        <x:v>Clinical Training Academy</x:v>
      </x:c>
      <x:c r="I126" s="194" t="str">
        <x:v>Source wording preserved; no silent item-content revision during inventory build.</x:v>
      </x:c>
    </x:row>
    <x:row r="127">
      <x:c r="A127" s="191" t="str">
        <x:v>CTA-LMFT-MQB-0126</x:v>
      </x:c>
      <x:c r="B127" s="192" t="str">
        <x:v>LMFT-WB08-QB-Q007</x:v>
      </x:c>
      <x:c r="C127" s="193" t="n">
        <x:v>46228</x:v>
      </x:c>
      <x:c r="D127" s="192" t="str">
        <x:v>Imported into LMFT master inventory</x:v>
      </x:c>
      <x:c r="E127" s="192" t="str">
        <x:v>LMFT Workbook 8 Question Bank</x:v>
      </x:c>
      <x:c r="F127" s="192" t="str">
        <x:v>1.0</x:v>
      </x:c>
      <x:c r="G127" s="192" t="n">
        <x:v>1</x:v>
      </x:c>
      <x:c r="H127" s="192" t="str">
        <x:v>Clinical Training Academy</x:v>
      </x:c>
      <x:c r="I127" s="194" t="str">
        <x:v>Source wording preserved; no silent item-content revision during inventory build.</x:v>
      </x:c>
    </x:row>
    <x:row r="128">
      <x:c r="A128" s="191" t="str">
        <x:v>CTA-LMFT-MQB-0127</x:v>
      </x:c>
      <x:c r="B128" s="192" t="str">
        <x:v>LMFT-WB08-QB-Q008</x:v>
      </x:c>
      <x:c r="C128" s="193" t="n">
        <x:v>46228</x:v>
      </x:c>
      <x:c r="D128" s="192" t="str">
        <x:v>Imported into LMFT master inventory</x:v>
      </x:c>
      <x:c r="E128" s="192" t="str">
        <x:v>LMFT Workbook 8 Question Bank</x:v>
      </x:c>
      <x:c r="F128" s="192" t="str">
        <x:v>1.0</x:v>
      </x:c>
      <x:c r="G128" s="192" t="n">
        <x:v>1</x:v>
      </x:c>
      <x:c r="H128" s="192" t="str">
        <x:v>Clinical Training Academy</x:v>
      </x:c>
      <x:c r="I128" s="194" t="str">
        <x:v>Source wording preserved; no silent item-content revision during inventory build.</x:v>
      </x:c>
    </x:row>
    <x:row r="129">
      <x:c r="A129" s="191" t="str">
        <x:v>CTA-LMFT-MQB-0128</x:v>
      </x:c>
      <x:c r="B129" s="192" t="str">
        <x:v>LMFT-WB08-QB-Q009</x:v>
      </x:c>
      <x:c r="C129" s="193" t="n">
        <x:v>46228</x:v>
      </x:c>
      <x:c r="D129" s="192" t="str">
        <x:v>Imported into LMFT master inventory</x:v>
      </x:c>
      <x:c r="E129" s="192" t="str">
        <x:v>LMFT Workbook 8 Question Bank</x:v>
      </x:c>
      <x:c r="F129" s="192" t="str">
        <x:v>1.0</x:v>
      </x:c>
      <x:c r="G129" s="192" t="n">
        <x:v>1</x:v>
      </x:c>
      <x:c r="H129" s="192" t="str">
        <x:v>Clinical Training Academy</x:v>
      </x:c>
      <x:c r="I129" s="194" t="str">
        <x:v>Source wording preserved; no silent item-content revision during inventory build.</x:v>
      </x:c>
    </x:row>
    <x:row r="130">
      <x:c r="A130" s="191" t="str">
        <x:v>CTA-LMFT-MQB-0129</x:v>
      </x:c>
      <x:c r="B130" s="192" t="str">
        <x:v>LMFT-WB08-QB-Q010</x:v>
      </x:c>
      <x:c r="C130" s="193" t="n">
        <x:v>46228</x:v>
      </x:c>
      <x:c r="D130" s="192" t="str">
        <x:v>Imported into LMFT master inventory</x:v>
      </x:c>
      <x:c r="E130" s="192" t="str">
        <x:v>LMFT Workbook 8 Question Bank</x:v>
      </x:c>
      <x:c r="F130" s="192" t="str">
        <x:v>1.0</x:v>
      </x:c>
      <x:c r="G130" s="192" t="n">
        <x:v>1</x:v>
      </x:c>
      <x:c r="H130" s="192" t="str">
        <x:v>Clinical Training Academy</x:v>
      </x:c>
      <x:c r="I130" s="194" t="str">
        <x:v>Source wording preserved; no silent item-content revision during inventory build.</x:v>
      </x:c>
    </x:row>
    <x:row r="131">
      <x:c r="A131" s="191" t="str">
        <x:v>CTA-LMFT-MQB-0130</x:v>
      </x:c>
      <x:c r="B131" s="192" t="str">
        <x:v>LMFT-WB08-QB-Q011</x:v>
      </x:c>
      <x:c r="C131" s="193" t="n">
        <x:v>46228</x:v>
      </x:c>
      <x:c r="D131" s="192" t="str">
        <x:v>Imported into LMFT master inventory</x:v>
      </x:c>
      <x:c r="E131" s="192" t="str">
        <x:v>LMFT Workbook 8 Question Bank</x:v>
      </x:c>
      <x:c r="F131" s="192" t="str">
        <x:v>1.0</x:v>
      </x:c>
      <x:c r="G131" s="192" t="n">
        <x:v>1</x:v>
      </x:c>
      <x:c r="H131" s="192" t="str">
        <x:v>Clinical Training Academy</x:v>
      </x:c>
      <x:c r="I131" s="194" t="str">
        <x:v>Source wording preserved; no silent item-content revision during inventory build.</x:v>
      </x:c>
    </x:row>
    <x:row r="132">
      <x:c r="A132" s="191" t="str">
        <x:v>CTA-LMFT-MQB-0131</x:v>
      </x:c>
      <x:c r="B132" s="192" t="str">
        <x:v>LMFT-WB08-QB-Q012</x:v>
      </x:c>
      <x:c r="C132" s="193" t="n">
        <x:v>46228</x:v>
      </x:c>
      <x:c r="D132" s="192" t="str">
        <x:v>Imported into LMFT master inventory</x:v>
      </x:c>
      <x:c r="E132" s="192" t="str">
        <x:v>LMFT Workbook 8 Question Bank</x:v>
      </x:c>
      <x:c r="F132" s="192" t="str">
        <x:v>1.0</x:v>
      </x:c>
      <x:c r="G132" s="192" t="n">
        <x:v>1</x:v>
      </x:c>
      <x:c r="H132" s="192" t="str">
        <x:v>Clinical Training Academy</x:v>
      </x:c>
      <x:c r="I132" s="194" t="str">
        <x:v>Source wording preserved; no silent item-content revision during inventory build.</x:v>
      </x:c>
    </x:row>
    <x:row r="133">
      <x:c r="A133" s="191" t="str">
        <x:v>CTA-LMFT-MQB-0132</x:v>
      </x:c>
      <x:c r="B133" s="192" t="str">
        <x:v>LMFT-WB08-QB-Q013</x:v>
      </x:c>
      <x:c r="C133" s="193" t="n">
        <x:v>46228</x:v>
      </x:c>
      <x:c r="D133" s="192" t="str">
        <x:v>Imported into LMFT master inventory</x:v>
      </x:c>
      <x:c r="E133" s="192" t="str">
        <x:v>LMFT Workbook 8 Question Bank</x:v>
      </x:c>
      <x:c r="F133" s="192" t="str">
        <x:v>1.0</x:v>
      </x:c>
      <x:c r="G133" s="192" t="n">
        <x:v>1</x:v>
      </x:c>
      <x:c r="H133" s="192" t="str">
        <x:v>Clinical Training Academy</x:v>
      </x:c>
      <x:c r="I133" s="194" t="str">
        <x:v>Source wording preserved; no silent item-content revision during inventory build.</x:v>
      </x:c>
    </x:row>
    <x:row r="134">
      <x:c r="A134" s="191" t="str">
        <x:v>CTA-LMFT-MQB-0133</x:v>
      </x:c>
      <x:c r="B134" s="192" t="str">
        <x:v>LMFT-WB08-QB-Q014</x:v>
      </x:c>
      <x:c r="C134" s="193" t="n">
        <x:v>46228</x:v>
      </x:c>
      <x:c r="D134" s="192" t="str">
        <x:v>Imported into LMFT master inventory</x:v>
      </x:c>
      <x:c r="E134" s="192" t="str">
        <x:v>LMFT Workbook 8 Question Bank</x:v>
      </x:c>
      <x:c r="F134" s="192" t="str">
        <x:v>1.0</x:v>
      </x:c>
      <x:c r="G134" s="192" t="n">
        <x:v>1</x:v>
      </x:c>
      <x:c r="H134" s="192" t="str">
        <x:v>Clinical Training Academy</x:v>
      </x:c>
      <x:c r="I134" s="194" t="str">
        <x:v>Source wording preserved; no silent item-content revision during inventory build.</x:v>
      </x:c>
    </x:row>
    <x:row r="135">
      <x:c r="A135" s="191" t="str">
        <x:v>CTA-LMFT-MQB-0134</x:v>
      </x:c>
      <x:c r="B135" s="192" t="str">
        <x:v>LMFT-WB08-QB-Q015</x:v>
      </x:c>
      <x:c r="C135" s="193" t="n">
        <x:v>46228</x:v>
      </x:c>
      <x:c r="D135" s="192" t="str">
        <x:v>Imported into LMFT master inventory</x:v>
      </x:c>
      <x:c r="E135" s="192" t="str">
        <x:v>LMFT Workbook 8 Question Bank</x:v>
      </x:c>
      <x:c r="F135" s="192" t="str">
        <x:v>1.0</x:v>
      </x:c>
      <x:c r="G135" s="192" t="n">
        <x:v>1</x:v>
      </x:c>
      <x:c r="H135" s="192" t="str">
        <x:v>Clinical Training Academy</x:v>
      </x:c>
      <x:c r="I135" s="194" t="str">
        <x:v>Source wording preserved; no silent item-content revision during inventory build.</x:v>
      </x:c>
    </x:row>
    <x:row r="136">
      <x:c r="A136" s="191" t="str">
        <x:v>CTA-LMFT-MQB-0135</x:v>
      </x:c>
      <x:c r="B136" s="192" t="str">
        <x:v>LMFT-WB08-QB-Q016</x:v>
      </x:c>
      <x:c r="C136" s="193" t="n">
        <x:v>46228</x:v>
      </x:c>
      <x:c r="D136" s="192" t="str">
        <x:v>Imported into LMFT master inventory</x:v>
      </x:c>
      <x:c r="E136" s="192" t="str">
        <x:v>LMFT Workbook 8 Question Bank</x:v>
      </x:c>
      <x:c r="F136" s="192" t="str">
        <x:v>1.0</x:v>
      </x:c>
      <x:c r="G136" s="192" t="n">
        <x:v>1</x:v>
      </x:c>
      <x:c r="H136" s="192" t="str">
        <x:v>Clinical Training Academy</x:v>
      </x:c>
      <x:c r="I136" s="194" t="str">
        <x:v>Source wording preserved; no silent item-content revision during inventory build.</x:v>
      </x:c>
    </x:row>
    <x:row r="137">
      <x:c r="A137" s="191" t="str">
        <x:v>CTA-LMFT-MQB-0136</x:v>
      </x:c>
      <x:c r="B137" s="192" t="str">
        <x:v>LMFT-WB08-QB-Q017</x:v>
      </x:c>
      <x:c r="C137" s="193" t="n">
        <x:v>46228</x:v>
      </x:c>
      <x:c r="D137" s="192" t="str">
        <x:v>Imported into LMFT master inventory</x:v>
      </x:c>
      <x:c r="E137" s="192" t="str">
        <x:v>LMFT Workbook 8 Question Bank</x:v>
      </x:c>
      <x:c r="F137" s="192" t="str">
        <x:v>1.0</x:v>
      </x:c>
      <x:c r="G137" s="192" t="n">
        <x:v>1</x:v>
      </x:c>
      <x:c r="H137" s="192" t="str">
        <x:v>Clinical Training Academy</x:v>
      </x:c>
      <x:c r="I137" s="194" t="str">
        <x:v>Source wording preserved; no silent item-content revision during inventory build.</x:v>
      </x:c>
    </x:row>
    <x:row r="138">
      <x:c r="A138" s="191" t="str">
        <x:v>CTA-LMFT-MQB-0137</x:v>
      </x:c>
      <x:c r="B138" s="192" t="str">
        <x:v>LMFT-WB09-QB-Q001</x:v>
      </x:c>
      <x:c r="C138" s="193" t="n">
        <x:v>46228</x:v>
      </x:c>
      <x:c r="D138" s="192" t="str">
        <x:v>Imported into LMFT master inventory</x:v>
      </x:c>
      <x:c r="E138" s="192" t="str">
        <x:v>LMFT Workbook 9 Question Bank</x:v>
      </x:c>
      <x:c r="F138" s="192" t="str">
        <x:v>1.0</x:v>
      </x:c>
      <x:c r="G138" s="192" t="n">
        <x:v>1</x:v>
      </x:c>
      <x:c r="H138" s="192" t="str">
        <x:v>Clinical Training Academy</x:v>
      </x:c>
      <x:c r="I138" s="194" t="str">
        <x:v>Source wording preserved; no silent item-content revision during inventory build.</x:v>
      </x:c>
    </x:row>
    <x:row r="139">
      <x:c r="A139" s="191" t="str">
        <x:v>CTA-LMFT-MQB-0138</x:v>
      </x:c>
      <x:c r="B139" s="192" t="str">
        <x:v>LMFT-WB09-QB-Q002</x:v>
      </x:c>
      <x:c r="C139" s="193" t="n">
        <x:v>46228</x:v>
      </x:c>
      <x:c r="D139" s="192" t="str">
        <x:v>Imported into LMFT master inventory</x:v>
      </x:c>
      <x:c r="E139" s="192" t="str">
        <x:v>LMFT Workbook 9 Question Bank</x:v>
      </x:c>
      <x:c r="F139" s="192" t="str">
        <x:v>1.0</x:v>
      </x:c>
      <x:c r="G139" s="192" t="n">
        <x:v>1</x:v>
      </x:c>
      <x:c r="H139" s="192" t="str">
        <x:v>Clinical Training Academy</x:v>
      </x:c>
      <x:c r="I139" s="194" t="str">
        <x:v>Source wording preserved; no silent item-content revision during inventory build.</x:v>
      </x:c>
    </x:row>
    <x:row r="140">
      <x:c r="A140" s="191" t="str">
        <x:v>CTA-LMFT-MQB-0139</x:v>
      </x:c>
      <x:c r="B140" s="192" t="str">
        <x:v>LMFT-WB09-QB-Q003</x:v>
      </x:c>
      <x:c r="C140" s="193" t="n">
        <x:v>46228</x:v>
      </x:c>
      <x:c r="D140" s="192" t="str">
        <x:v>Imported into LMFT master inventory</x:v>
      </x:c>
      <x:c r="E140" s="192" t="str">
        <x:v>LMFT Workbook 9 Question Bank</x:v>
      </x:c>
      <x:c r="F140" s="192" t="str">
        <x:v>1.0</x:v>
      </x:c>
      <x:c r="G140" s="192" t="n">
        <x:v>1</x:v>
      </x:c>
      <x:c r="H140" s="192" t="str">
        <x:v>Clinical Training Academy</x:v>
      </x:c>
      <x:c r="I140" s="194" t="str">
        <x:v>Source wording preserved; no silent item-content revision during inventory build.</x:v>
      </x:c>
    </x:row>
    <x:row r="141">
      <x:c r="A141" s="191" t="str">
        <x:v>CTA-LMFT-MQB-0140</x:v>
      </x:c>
      <x:c r="B141" s="192" t="str">
        <x:v>LMFT-WB09-QB-Q004</x:v>
      </x:c>
      <x:c r="C141" s="193" t="n">
        <x:v>46228</x:v>
      </x:c>
      <x:c r="D141" s="192" t="str">
        <x:v>Imported into LMFT master inventory</x:v>
      </x:c>
      <x:c r="E141" s="192" t="str">
        <x:v>LMFT Workbook 9 Question Bank</x:v>
      </x:c>
      <x:c r="F141" s="192" t="str">
        <x:v>1.0</x:v>
      </x:c>
      <x:c r="G141" s="192" t="n">
        <x:v>1</x:v>
      </x:c>
      <x:c r="H141" s="192" t="str">
        <x:v>Clinical Training Academy</x:v>
      </x:c>
      <x:c r="I141" s="194" t="str">
        <x:v>Source wording preserved; no silent item-content revision during inventory build.</x:v>
      </x:c>
    </x:row>
    <x:row r="142">
      <x:c r="A142" s="191" t="str">
        <x:v>CTA-LMFT-MQB-0141</x:v>
      </x:c>
      <x:c r="B142" s="192" t="str">
        <x:v>LMFT-WB09-QB-Q005</x:v>
      </x:c>
      <x:c r="C142" s="193" t="n">
        <x:v>46228</x:v>
      </x:c>
      <x:c r="D142" s="192" t="str">
        <x:v>Imported into LMFT master inventory</x:v>
      </x:c>
      <x:c r="E142" s="192" t="str">
        <x:v>LMFT Workbook 9 Question Bank</x:v>
      </x:c>
      <x:c r="F142" s="192" t="str">
        <x:v>1.0</x:v>
      </x:c>
      <x:c r="G142" s="192" t="n">
        <x:v>1</x:v>
      </x:c>
      <x:c r="H142" s="192" t="str">
        <x:v>Clinical Training Academy</x:v>
      </x:c>
      <x:c r="I142" s="194" t="str">
        <x:v>Source wording preserved; no silent item-content revision during inventory build.</x:v>
      </x:c>
    </x:row>
    <x:row r="143">
      <x:c r="A143" s="191" t="str">
        <x:v>CTA-LMFT-MQB-0142</x:v>
      </x:c>
      <x:c r="B143" s="192" t="str">
        <x:v>LMFT-WB09-QB-Q006</x:v>
      </x:c>
      <x:c r="C143" s="193" t="n">
        <x:v>46228</x:v>
      </x:c>
      <x:c r="D143" s="192" t="str">
        <x:v>Imported into LMFT master inventory</x:v>
      </x:c>
      <x:c r="E143" s="192" t="str">
        <x:v>LMFT Workbook 9 Question Bank</x:v>
      </x:c>
      <x:c r="F143" s="192" t="str">
        <x:v>1.0</x:v>
      </x:c>
      <x:c r="G143" s="192" t="n">
        <x:v>1</x:v>
      </x:c>
      <x:c r="H143" s="192" t="str">
        <x:v>Clinical Training Academy</x:v>
      </x:c>
      <x:c r="I143" s="194" t="str">
        <x:v>Source wording preserved; no silent item-content revision during inventory build.</x:v>
      </x:c>
    </x:row>
    <x:row r="144">
      <x:c r="A144" s="191" t="str">
        <x:v>CTA-LMFT-MQB-0143</x:v>
      </x:c>
      <x:c r="B144" s="192" t="str">
        <x:v>LMFT-WB09-QB-Q007</x:v>
      </x:c>
      <x:c r="C144" s="193" t="n">
        <x:v>46228</x:v>
      </x:c>
      <x:c r="D144" s="192" t="str">
        <x:v>Imported into LMFT master inventory</x:v>
      </x:c>
      <x:c r="E144" s="192" t="str">
        <x:v>LMFT Workbook 9 Question Bank</x:v>
      </x:c>
      <x:c r="F144" s="192" t="str">
        <x:v>1.0</x:v>
      </x:c>
      <x:c r="G144" s="192" t="n">
        <x:v>1</x:v>
      </x:c>
      <x:c r="H144" s="192" t="str">
        <x:v>Clinical Training Academy</x:v>
      </x:c>
      <x:c r="I144" s="194" t="str">
        <x:v>Source wording preserved; no silent item-content revision during inventory build.</x:v>
      </x:c>
    </x:row>
    <x:row r="145">
      <x:c r="A145" s="191" t="str">
        <x:v>CTA-LMFT-MQB-0144</x:v>
      </x:c>
      <x:c r="B145" s="192" t="str">
        <x:v>LMFT-WB09-QB-Q008</x:v>
      </x:c>
      <x:c r="C145" s="193" t="n">
        <x:v>46228</x:v>
      </x:c>
      <x:c r="D145" s="192" t="str">
        <x:v>Imported into LMFT master inventory</x:v>
      </x:c>
      <x:c r="E145" s="192" t="str">
        <x:v>LMFT Workbook 9 Question Bank</x:v>
      </x:c>
      <x:c r="F145" s="192" t="str">
        <x:v>1.0</x:v>
      </x:c>
      <x:c r="G145" s="192" t="n">
        <x:v>1</x:v>
      </x:c>
      <x:c r="H145" s="192" t="str">
        <x:v>Clinical Training Academy</x:v>
      </x:c>
      <x:c r="I145" s="194" t="str">
        <x:v>Source wording preserved; no silent item-content revision during inventory build.</x:v>
      </x:c>
    </x:row>
    <x:row r="146">
      <x:c r="A146" s="191" t="str">
        <x:v>CTA-LMFT-MQB-0145</x:v>
      </x:c>
      <x:c r="B146" s="192" t="str">
        <x:v>LMFT-WB09-QB-Q009</x:v>
      </x:c>
      <x:c r="C146" s="193" t="n">
        <x:v>46228</x:v>
      </x:c>
      <x:c r="D146" s="192" t="str">
        <x:v>Imported into LMFT master inventory</x:v>
      </x:c>
      <x:c r="E146" s="192" t="str">
        <x:v>LMFT Workbook 9 Question Bank</x:v>
      </x:c>
      <x:c r="F146" s="192" t="str">
        <x:v>1.0</x:v>
      </x:c>
      <x:c r="G146" s="192" t="n">
        <x:v>1</x:v>
      </x:c>
      <x:c r="H146" s="192" t="str">
        <x:v>Clinical Training Academy</x:v>
      </x:c>
      <x:c r="I146" s="194" t="str">
        <x:v>Source wording preserved; no silent item-content revision during inventory build.</x:v>
      </x:c>
    </x:row>
    <x:row r="147">
      <x:c r="A147" s="191" t="str">
        <x:v>CTA-LMFT-MQB-0146</x:v>
      </x:c>
      <x:c r="B147" s="192" t="str">
        <x:v>LMFT-WB09-QB-Q010</x:v>
      </x:c>
      <x:c r="C147" s="193" t="n">
        <x:v>46228</x:v>
      </x:c>
      <x:c r="D147" s="192" t="str">
        <x:v>Imported into LMFT master inventory</x:v>
      </x:c>
      <x:c r="E147" s="192" t="str">
        <x:v>LMFT Workbook 9 Question Bank</x:v>
      </x:c>
      <x:c r="F147" s="192" t="str">
        <x:v>1.0</x:v>
      </x:c>
      <x:c r="G147" s="192" t="n">
        <x:v>1</x:v>
      </x:c>
      <x:c r="H147" s="192" t="str">
        <x:v>Clinical Training Academy</x:v>
      </x:c>
      <x:c r="I147" s="194" t="str">
        <x:v>Source wording preserved; no silent item-content revision during inventory build.</x:v>
      </x:c>
    </x:row>
    <x:row r="148">
      <x:c r="A148" s="191" t="str">
        <x:v>CTA-LMFT-MQB-0147</x:v>
      </x:c>
      <x:c r="B148" s="192" t="str">
        <x:v>LMFT-WB09-QB-Q011</x:v>
      </x:c>
      <x:c r="C148" s="193" t="n">
        <x:v>46228</x:v>
      </x:c>
      <x:c r="D148" s="192" t="str">
        <x:v>Imported into LMFT master inventory</x:v>
      </x:c>
      <x:c r="E148" s="192" t="str">
        <x:v>LMFT Workbook 9 Question Bank</x:v>
      </x:c>
      <x:c r="F148" s="192" t="str">
        <x:v>1.0</x:v>
      </x:c>
      <x:c r="G148" s="192" t="n">
        <x:v>1</x:v>
      </x:c>
      <x:c r="H148" s="192" t="str">
        <x:v>Clinical Training Academy</x:v>
      </x:c>
      <x:c r="I148" s="194" t="str">
        <x:v>Source wording preserved; no silent item-content revision during inventory build.</x:v>
      </x:c>
    </x:row>
    <x:row r="149">
      <x:c r="A149" s="191" t="str">
        <x:v>CTA-LMFT-MQB-0148</x:v>
      </x:c>
      <x:c r="B149" s="192" t="str">
        <x:v>LMFT-WB09-QB-Q012</x:v>
      </x:c>
      <x:c r="C149" s="193" t="n">
        <x:v>46228</x:v>
      </x:c>
      <x:c r="D149" s="192" t="str">
        <x:v>Imported into LMFT master inventory</x:v>
      </x:c>
      <x:c r="E149" s="192" t="str">
        <x:v>LMFT Workbook 9 Question Bank</x:v>
      </x:c>
      <x:c r="F149" s="192" t="str">
        <x:v>1.0</x:v>
      </x:c>
      <x:c r="G149" s="192" t="n">
        <x:v>1</x:v>
      </x:c>
      <x:c r="H149" s="192" t="str">
        <x:v>Clinical Training Academy</x:v>
      </x:c>
      <x:c r="I149" s="194" t="str">
        <x:v>Source wording preserved; no silent item-content revision during inventory build.</x:v>
      </x:c>
    </x:row>
    <x:row r="150">
      <x:c r="A150" s="191" t="str">
        <x:v>CTA-LMFT-MQB-0149</x:v>
      </x:c>
      <x:c r="B150" s="192" t="str">
        <x:v>LMFT-WB09-QB-Q013</x:v>
      </x:c>
      <x:c r="C150" s="193" t="n">
        <x:v>46228</x:v>
      </x:c>
      <x:c r="D150" s="192" t="str">
        <x:v>Imported into LMFT master inventory</x:v>
      </x:c>
      <x:c r="E150" s="192" t="str">
        <x:v>LMFT Workbook 9 Question Bank</x:v>
      </x:c>
      <x:c r="F150" s="192" t="str">
        <x:v>1.0</x:v>
      </x:c>
      <x:c r="G150" s="192" t="n">
        <x:v>1</x:v>
      </x:c>
      <x:c r="H150" s="192" t="str">
        <x:v>Clinical Training Academy</x:v>
      </x:c>
      <x:c r="I150" s="194" t="str">
        <x:v>Source wording preserved; no silent item-content revision during inventory build.</x:v>
      </x:c>
    </x:row>
    <x:row r="151">
      <x:c r="A151" s="191" t="str">
        <x:v>CTA-LMFT-MQB-0150</x:v>
      </x:c>
      <x:c r="B151" s="192" t="str">
        <x:v>LMFT-WB09-QB-Q014</x:v>
      </x:c>
      <x:c r="C151" s="193" t="n">
        <x:v>46228</x:v>
      </x:c>
      <x:c r="D151" s="192" t="str">
        <x:v>Imported into LMFT master inventory</x:v>
      </x:c>
      <x:c r="E151" s="192" t="str">
        <x:v>LMFT Workbook 9 Question Bank</x:v>
      </x:c>
      <x:c r="F151" s="192" t="str">
        <x:v>1.0</x:v>
      </x:c>
      <x:c r="G151" s="192" t="n">
        <x:v>1</x:v>
      </x:c>
      <x:c r="H151" s="192" t="str">
        <x:v>Clinical Training Academy</x:v>
      </x:c>
      <x:c r="I151" s="194" t="str">
        <x:v>Source wording preserved; no silent item-content revision during inventory build.</x:v>
      </x:c>
    </x:row>
    <x:row r="152">
      <x:c r="A152" s="191" t="str">
        <x:v>CTA-LMFT-MQB-0151</x:v>
      </x:c>
      <x:c r="B152" s="192" t="str">
        <x:v>LMFT-WB09-QB-Q015</x:v>
      </x:c>
      <x:c r="C152" s="193" t="n">
        <x:v>46228</x:v>
      </x:c>
      <x:c r="D152" s="192" t="str">
        <x:v>Imported into LMFT master inventory</x:v>
      </x:c>
      <x:c r="E152" s="192" t="str">
        <x:v>LMFT Workbook 9 Question Bank</x:v>
      </x:c>
      <x:c r="F152" s="192" t="str">
        <x:v>1.0</x:v>
      </x:c>
      <x:c r="G152" s="192" t="n">
        <x:v>1</x:v>
      </x:c>
      <x:c r="H152" s="192" t="str">
        <x:v>Clinical Training Academy</x:v>
      </x:c>
      <x:c r="I152" s="194" t="str">
        <x:v>Source wording preserved; no silent item-content revision during inventory build.</x:v>
      </x:c>
    </x:row>
    <x:row r="153">
      <x:c r="A153" s="191" t="str">
        <x:v>CTA-LMFT-MQB-0152</x:v>
      </x:c>
      <x:c r="B153" s="192" t="str">
        <x:v>LMFT-WB09-QB-Q016</x:v>
      </x:c>
      <x:c r="C153" s="193" t="n">
        <x:v>46228</x:v>
      </x:c>
      <x:c r="D153" s="192" t="str">
        <x:v>Imported into LMFT master inventory</x:v>
      </x:c>
      <x:c r="E153" s="192" t="str">
        <x:v>LMFT Workbook 9 Question Bank</x:v>
      </x:c>
      <x:c r="F153" s="192" t="str">
        <x:v>1.0</x:v>
      </x:c>
      <x:c r="G153" s="192" t="n">
        <x:v>1</x:v>
      </x:c>
      <x:c r="H153" s="192" t="str">
        <x:v>Clinical Training Academy</x:v>
      </x:c>
      <x:c r="I153" s="194" t="str">
        <x:v>Source wording preserved; no silent item-content revision during inventory build.</x:v>
      </x:c>
    </x:row>
    <x:row r="154">
      <x:c r="A154" s="191" t="str">
        <x:v>CTA-LMFT-MQB-0153</x:v>
      </x:c>
      <x:c r="B154" s="192" t="str">
        <x:v>LMFT-WB09-QB-Q017</x:v>
      </x:c>
      <x:c r="C154" s="193" t="n">
        <x:v>46228</x:v>
      </x:c>
      <x:c r="D154" s="192" t="str">
        <x:v>Imported into LMFT master inventory</x:v>
      </x:c>
      <x:c r="E154" s="192" t="str">
        <x:v>LMFT Workbook 9 Question Bank</x:v>
      </x:c>
      <x:c r="F154" s="192" t="str">
        <x:v>1.0</x:v>
      </x:c>
      <x:c r="G154" s="192" t="n">
        <x:v>1</x:v>
      </x:c>
      <x:c r="H154" s="192" t="str">
        <x:v>Clinical Training Academy</x:v>
      </x:c>
      <x:c r="I154" s="194" t="str">
        <x:v>Source wording preserved; no silent item-content revision during inventory build.</x:v>
      </x:c>
    </x:row>
    <x:row r="155">
      <x:c r="A155" s="191" t="str">
        <x:v>CTA-LMFT-MQB-0154</x:v>
      </x:c>
      <x:c r="B155" s="192" t="str">
        <x:v>LMFT-WB10-QB-Q001</x:v>
      </x:c>
      <x:c r="C155" s="193" t="n">
        <x:v>46228</x:v>
      </x:c>
      <x:c r="D155" s="192" t="str">
        <x:v>Imported into LMFT master inventory</x:v>
      </x:c>
      <x:c r="E155" s="192" t="str">
        <x:v>LMFT Workbook 10 Question Bank</x:v>
      </x:c>
      <x:c r="F155" s="192" t="str">
        <x:v>1.0</x:v>
      </x:c>
      <x:c r="G155" s="192" t="n">
        <x:v>1</x:v>
      </x:c>
      <x:c r="H155" s="192" t="str">
        <x:v>Clinical Training Academy</x:v>
      </x:c>
      <x:c r="I155" s="194" t="str">
        <x:v>Source wording preserved; no silent item-content revision during inventory build.</x:v>
      </x:c>
    </x:row>
    <x:row r="156">
      <x:c r="A156" s="191" t="str">
        <x:v>CTA-LMFT-MQB-0155</x:v>
      </x:c>
      <x:c r="B156" s="192" t="str">
        <x:v>LMFT-WB10-QB-Q002</x:v>
      </x:c>
      <x:c r="C156" s="193" t="n">
        <x:v>46228</x:v>
      </x:c>
      <x:c r="D156" s="192" t="str">
        <x:v>Imported into LMFT master inventory</x:v>
      </x:c>
      <x:c r="E156" s="192" t="str">
        <x:v>LMFT Workbook 10 Question Bank</x:v>
      </x:c>
      <x:c r="F156" s="192" t="str">
        <x:v>1.0</x:v>
      </x:c>
      <x:c r="G156" s="192" t="n">
        <x:v>1</x:v>
      </x:c>
      <x:c r="H156" s="192" t="str">
        <x:v>Clinical Training Academy</x:v>
      </x:c>
      <x:c r="I156" s="194" t="str">
        <x:v>Source wording preserved; no silent item-content revision during inventory build.</x:v>
      </x:c>
    </x:row>
    <x:row r="157">
      <x:c r="A157" s="191" t="str">
        <x:v>CTA-LMFT-MQB-0156</x:v>
      </x:c>
      <x:c r="B157" s="192" t="str">
        <x:v>LMFT-WB10-QB-Q003</x:v>
      </x:c>
      <x:c r="C157" s="193" t="n">
        <x:v>46228</x:v>
      </x:c>
      <x:c r="D157" s="192" t="str">
        <x:v>Imported into LMFT master inventory</x:v>
      </x:c>
      <x:c r="E157" s="192" t="str">
        <x:v>LMFT Workbook 10 Question Bank</x:v>
      </x:c>
      <x:c r="F157" s="192" t="str">
        <x:v>1.0</x:v>
      </x:c>
      <x:c r="G157" s="192" t="n">
        <x:v>1</x:v>
      </x:c>
      <x:c r="H157" s="192" t="str">
        <x:v>Clinical Training Academy</x:v>
      </x:c>
      <x:c r="I157" s="194" t="str">
        <x:v>Source wording preserved; no silent item-content revision during inventory build.</x:v>
      </x:c>
    </x:row>
    <x:row r="158">
      <x:c r="A158" s="191" t="str">
        <x:v>CTA-LMFT-MQB-0157</x:v>
      </x:c>
      <x:c r="B158" s="192" t="str">
        <x:v>LMFT-WB10-QB-Q004</x:v>
      </x:c>
      <x:c r="C158" s="193" t="n">
        <x:v>46228</x:v>
      </x:c>
      <x:c r="D158" s="192" t="str">
        <x:v>Imported into LMFT master inventory</x:v>
      </x:c>
      <x:c r="E158" s="192" t="str">
        <x:v>LMFT Workbook 10 Question Bank</x:v>
      </x:c>
      <x:c r="F158" s="192" t="str">
        <x:v>1.0</x:v>
      </x:c>
      <x:c r="G158" s="192" t="n">
        <x:v>1</x:v>
      </x:c>
      <x:c r="H158" s="192" t="str">
        <x:v>Clinical Training Academy</x:v>
      </x:c>
      <x:c r="I158" s="194" t="str">
        <x:v>Source wording preserved; no silent item-content revision during inventory build.</x:v>
      </x:c>
    </x:row>
    <x:row r="159">
      <x:c r="A159" s="191" t="str">
        <x:v>CTA-LMFT-MQB-0158</x:v>
      </x:c>
      <x:c r="B159" s="192" t="str">
        <x:v>LMFT-WB10-QB-Q005</x:v>
      </x:c>
      <x:c r="C159" s="193" t="n">
        <x:v>46228</x:v>
      </x:c>
      <x:c r="D159" s="192" t="str">
        <x:v>Imported into LMFT master inventory</x:v>
      </x:c>
      <x:c r="E159" s="192" t="str">
        <x:v>LMFT Workbook 10 Question Bank</x:v>
      </x:c>
      <x:c r="F159" s="192" t="str">
        <x:v>1.0</x:v>
      </x:c>
      <x:c r="G159" s="192" t="n">
        <x:v>1</x:v>
      </x:c>
      <x:c r="H159" s="192" t="str">
        <x:v>Clinical Training Academy</x:v>
      </x:c>
      <x:c r="I159" s="194" t="str">
        <x:v>Source wording preserved; no silent item-content revision during inventory build.</x:v>
      </x:c>
    </x:row>
    <x:row r="160">
      <x:c r="A160" s="191" t="str">
        <x:v>CTA-LMFT-MQB-0159</x:v>
      </x:c>
      <x:c r="B160" s="192" t="str">
        <x:v>LMFT-WB10-QB-Q006</x:v>
      </x:c>
      <x:c r="C160" s="193" t="n">
        <x:v>46228</x:v>
      </x:c>
      <x:c r="D160" s="192" t="str">
        <x:v>Imported into LMFT master inventory</x:v>
      </x:c>
      <x:c r="E160" s="192" t="str">
        <x:v>LMFT Workbook 10 Question Bank</x:v>
      </x:c>
      <x:c r="F160" s="192" t="str">
        <x:v>1.0</x:v>
      </x:c>
      <x:c r="G160" s="192" t="n">
        <x:v>1</x:v>
      </x:c>
      <x:c r="H160" s="192" t="str">
        <x:v>Clinical Training Academy</x:v>
      </x:c>
      <x:c r="I160" s="194" t="str">
        <x:v>Source wording preserved; no silent item-content revision during inventory build.</x:v>
      </x:c>
    </x:row>
    <x:row r="161">
      <x:c r="A161" s="191" t="str">
        <x:v>CTA-LMFT-MQB-0160</x:v>
      </x:c>
      <x:c r="B161" s="192" t="str">
        <x:v>LMFT-WB10-QB-Q007</x:v>
      </x:c>
      <x:c r="C161" s="193" t="n">
        <x:v>46228</x:v>
      </x:c>
      <x:c r="D161" s="192" t="str">
        <x:v>Imported into LMFT master inventory</x:v>
      </x:c>
      <x:c r="E161" s="192" t="str">
        <x:v>LMFT Workbook 10 Question Bank</x:v>
      </x:c>
      <x:c r="F161" s="192" t="str">
        <x:v>1.0</x:v>
      </x:c>
      <x:c r="G161" s="192" t="n">
        <x:v>1</x:v>
      </x:c>
      <x:c r="H161" s="192" t="str">
        <x:v>Clinical Training Academy</x:v>
      </x:c>
      <x:c r="I161" s="194" t="str">
        <x:v>Source wording preserved; no silent item-content revision during inventory build.</x:v>
      </x:c>
    </x:row>
    <x:row r="162">
      <x:c r="A162" s="191" t="str">
        <x:v>CTA-LMFT-MQB-0161</x:v>
      </x:c>
      <x:c r="B162" s="192" t="str">
        <x:v>LMFT-WB10-QB-Q008</x:v>
      </x:c>
      <x:c r="C162" s="193" t="n">
        <x:v>46228</x:v>
      </x:c>
      <x:c r="D162" s="192" t="str">
        <x:v>Imported into LMFT master inventory</x:v>
      </x:c>
      <x:c r="E162" s="192" t="str">
        <x:v>LMFT Workbook 10 Question Bank</x:v>
      </x:c>
      <x:c r="F162" s="192" t="str">
        <x:v>1.0</x:v>
      </x:c>
      <x:c r="G162" s="192" t="n">
        <x:v>1</x:v>
      </x:c>
      <x:c r="H162" s="192" t="str">
        <x:v>Clinical Training Academy</x:v>
      </x:c>
      <x:c r="I162" s="194" t="str">
        <x:v>Source wording preserved; no silent item-content revision during inventory build.</x:v>
      </x:c>
    </x:row>
    <x:row r="163">
      <x:c r="A163" s="191" t="str">
        <x:v>CTA-LMFT-MQB-0162</x:v>
      </x:c>
      <x:c r="B163" s="192" t="str">
        <x:v>LMFT-WB10-QB-Q009</x:v>
      </x:c>
      <x:c r="C163" s="193" t="n">
        <x:v>46228</x:v>
      </x:c>
      <x:c r="D163" s="192" t="str">
        <x:v>Imported into LMFT master inventory</x:v>
      </x:c>
      <x:c r="E163" s="192" t="str">
        <x:v>LMFT Workbook 10 Question Bank</x:v>
      </x:c>
      <x:c r="F163" s="192" t="str">
        <x:v>1.0</x:v>
      </x:c>
      <x:c r="G163" s="192" t="n">
        <x:v>1</x:v>
      </x:c>
      <x:c r="H163" s="192" t="str">
        <x:v>Clinical Training Academy</x:v>
      </x:c>
      <x:c r="I163" s="194" t="str">
        <x:v>Source wording preserved; no silent item-content revision during inventory build.</x:v>
      </x:c>
    </x:row>
    <x:row r="164">
      <x:c r="A164" s="191" t="str">
        <x:v>CTA-LMFT-MQB-0163</x:v>
      </x:c>
      <x:c r="B164" s="192" t="str">
        <x:v>LMFT-WB10-QB-Q010</x:v>
      </x:c>
      <x:c r="C164" s="193" t="n">
        <x:v>46228</x:v>
      </x:c>
      <x:c r="D164" s="192" t="str">
        <x:v>Imported into LMFT master inventory</x:v>
      </x:c>
      <x:c r="E164" s="192" t="str">
        <x:v>LMFT Workbook 10 Question Bank</x:v>
      </x:c>
      <x:c r="F164" s="192" t="str">
        <x:v>1.0</x:v>
      </x:c>
      <x:c r="G164" s="192" t="n">
        <x:v>1</x:v>
      </x:c>
      <x:c r="H164" s="192" t="str">
        <x:v>Clinical Training Academy</x:v>
      </x:c>
      <x:c r="I164" s="194" t="str">
        <x:v>Source wording preserved; no silent item-content revision during inventory build.</x:v>
      </x:c>
    </x:row>
    <x:row r="165">
      <x:c r="A165" s="191" t="str">
        <x:v>CTA-LMFT-MQB-0164</x:v>
      </x:c>
      <x:c r="B165" s="192" t="str">
        <x:v>LMFT-WB10-QB-Q011</x:v>
      </x:c>
      <x:c r="C165" s="193" t="n">
        <x:v>46228</x:v>
      </x:c>
      <x:c r="D165" s="192" t="str">
        <x:v>Imported into LMFT master inventory</x:v>
      </x:c>
      <x:c r="E165" s="192" t="str">
        <x:v>LMFT Workbook 10 Question Bank</x:v>
      </x:c>
      <x:c r="F165" s="192" t="str">
        <x:v>1.0</x:v>
      </x:c>
      <x:c r="G165" s="192" t="n">
        <x:v>1</x:v>
      </x:c>
      <x:c r="H165" s="192" t="str">
        <x:v>Clinical Training Academy</x:v>
      </x:c>
      <x:c r="I165" s="194" t="str">
        <x:v>Source wording preserved; no silent item-content revision during inventory build.</x:v>
      </x:c>
    </x:row>
    <x:row r="166">
      <x:c r="A166" s="191" t="str">
        <x:v>CTA-LMFT-MQB-0165</x:v>
      </x:c>
      <x:c r="B166" s="192" t="str">
        <x:v>LMFT-WB10-QB-Q012</x:v>
      </x:c>
      <x:c r="C166" s="193" t="n">
        <x:v>46228</x:v>
      </x:c>
      <x:c r="D166" s="192" t="str">
        <x:v>Imported into LMFT master inventory</x:v>
      </x:c>
      <x:c r="E166" s="192" t="str">
        <x:v>LMFT Workbook 10 Question Bank</x:v>
      </x:c>
      <x:c r="F166" s="192" t="str">
        <x:v>1.0</x:v>
      </x:c>
      <x:c r="G166" s="192" t="n">
        <x:v>1</x:v>
      </x:c>
      <x:c r="H166" s="192" t="str">
        <x:v>Clinical Training Academy</x:v>
      </x:c>
      <x:c r="I166" s="194" t="str">
        <x:v>Source wording preserved; no silent item-content revision during inventory build.</x:v>
      </x:c>
    </x:row>
    <x:row r="167">
      <x:c r="A167" s="191" t="str">
        <x:v>CTA-LMFT-MQB-0166</x:v>
      </x:c>
      <x:c r="B167" s="192" t="str">
        <x:v>LMFT-WB10-QB-Q013</x:v>
      </x:c>
      <x:c r="C167" s="193" t="n">
        <x:v>46228</x:v>
      </x:c>
      <x:c r="D167" s="192" t="str">
        <x:v>Imported into LMFT master inventory</x:v>
      </x:c>
      <x:c r="E167" s="192" t="str">
        <x:v>LMFT Workbook 10 Question Bank</x:v>
      </x:c>
      <x:c r="F167" s="192" t="str">
        <x:v>1.0</x:v>
      </x:c>
      <x:c r="G167" s="192" t="n">
        <x:v>1</x:v>
      </x:c>
      <x:c r="H167" s="192" t="str">
        <x:v>Clinical Training Academy</x:v>
      </x:c>
      <x:c r="I167" s="194" t="str">
        <x:v>Source wording preserved; no silent item-content revision during inventory build.</x:v>
      </x:c>
    </x:row>
    <x:row r="168">
      <x:c r="A168" s="191" t="str">
        <x:v>CTA-LMFT-MQB-0167</x:v>
      </x:c>
      <x:c r="B168" s="192" t="str">
        <x:v>LMFT-WB10-QB-Q014</x:v>
      </x:c>
      <x:c r="C168" s="193" t="n">
        <x:v>46228</x:v>
      </x:c>
      <x:c r="D168" s="192" t="str">
        <x:v>Imported into LMFT master inventory</x:v>
      </x:c>
      <x:c r="E168" s="192" t="str">
        <x:v>LMFT Workbook 10 Question Bank</x:v>
      </x:c>
      <x:c r="F168" s="192" t="str">
        <x:v>1.0</x:v>
      </x:c>
      <x:c r="G168" s="192" t="n">
        <x:v>1</x:v>
      </x:c>
      <x:c r="H168" s="192" t="str">
        <x:v>Clinical Training Academy</x:v>
      </x:c>
      <x:c r="I168" s="194" t="str">
        <x:v>Source wording preserved; no silent item-content revision during inventory build.</x:v>
      </x:c>
    </x:row>
    <x:row r="169">
      <x:c r="A169" s="191" t="str">
        <x:v>CTA-LMFT-MQB-0168</x:v>
      </x:c>
      <x:c r="B169" s="192" t="str">
        <x:v>LMFT-WB10-QB-Q015</x:v>
      </x:c>
      <x:c r="C169" s="193" t="n">
        <x:v>46228</x:v>
      </x:c>
      <x:c r="D169" s="192" t="str">
        <x:v>Imported into LMFT master inventory</x:v>
      </x:c>
      <x:c r="E169" s="192" t="str">
        <x:v>LMFT Workbook 10 Question Bank</x:v>
      </x:c>
      <x:c r="F169" s="192" t="str">
        <x:v>1.0</x:v>
      </x:c>
      <x:c r="G169" s="192" t="n">
        <x:v>1</x:v>
      </x:c>
      <x:c r="H169" s="192" t="str">
        <x:v>Clinical Training Academy</x:v>
      </x:c>
      <x:c r="I169" s="194" t="str">
        <x:v>Source wording preserved; no silent item-content revision during inventory build.</x:v>
      </x:c>
    </x:row>
    <x:row r="170">
      <x:c r="A170" s="191" t="str">
        <x:v>CTA-LMFT-MQB-0169</x:v>
      </x:c>
      <x:c r="B170" s="192" t="str">
        <x:v>LMFT-WB10-QB-Q016</x:v>
      </x:c>
      <x:c r="C170" s="193" t="n">
        <x:v>46228</x:v>
      </x:c>
      <x:c r="D170" s="192" t="str">
        <x:v>Imported into LMFT master inventory</x:v>
      </x:c>
      <x:c r="E170" s="192" t="str">
        <x:v>LMFT Workbook 10 Question Bank</x:v>
      </x:c>
      <x:c r="F170" s="192" t="str">
        <x:v>1.0</x:v>
      </x:c>
      <x:c r="G170" s="192" t="n">
        <x:v>1</x:v>
      </x:c>
      <x:c r="H170" s="192" t="str">
        <x:v>Clinical Training Academy</x:v>
      </x:c>
      <x:c r="I170" s="194" t="str">
        <x:v>Source wording preserved; no silent item-content revision during inventory build.</x:v>
      </x:c>
    </x:row>
    <x:row r="171">
      <x:c r="A171" s="191" t="str">
        <x:v>CTA-LMFT-MQB-0170</x:v>
      </x:c>
      <x:c r="B171" s="192" t="str">
        <x:v>LMFT-WB10-QB-Q017</x:v>
      </x:c>
      <x:c r="C171" s="193" t="n">
        <x:v>46228</x:v>
      </x:c>
      <x:c r="D171" s="192" t="str">
        <x:v>Imported into LMFT master inventory</x:v>
      </x:c>
      <x:c r="E171" s="192" t="str">
        <x:v>LMFT Workbook 10 Question Bank</x:v>
      </x:c>
      <x:c r="F171" s="192" t="str">
        <x:v>1.0</x:v>
      </x:c>
      <x:c r="G171" s="192" t="n">
        <x:v>1</x:v>
      </x:c>
      <x:c r="H171" s="192" t="str">
        <x:v>Clinical Training Academy</x:v>
      </x:c>
      <x:c r="I171" s="194" t="str">
        <x:v>Source wording preserved; no silent item-content revision during inventory build.</x:v>
      </x:c>
    </x:row>
    <x:row r="172">
      <x:c r="A172" s="191" t="str">
        <x:v>CTA-LMFT-MQB-0171</x:v>
      </x:c>
      <x:c r="B172" s="192" t="str">
        <x:v>LMFT-WB11-QB-Q001</x:v>
      </x:c>
      <x:c r="C172" s="193" t="n">
        <x:v>46228</x:v>
      </x:c>
      <x:c r="D172" s="192" t="str">
        <x:v>Imported into LMFT master inventory</x:v>
      </x:c>
      <x:c r="E172" s="192" t="str">
        <x:v>LMFT Workbook 11 Question Bank</x:v>
      </x:c>
      <x:c r="F172" s="192" t="str">
        <x:v>1.0</x:v>
      </x:c>
      <x:c r="G172" s="192" t="n">
        <x:v>1</x:v>
      </x:c>
      <x:c r="H172" s="192" t="str">
        <x:v>Clinical Training Academy</x:v>
      </x:c>
      <x:c r="I172" s="194" t="str">
        <x:v>Source wording preserved; no silent item-content revision during inventory build.</x:v>
      </x:c>
    </x:row>
    <x:row r="173">
      <x:c r="A173" s="191" t="str">
        <x:v>CTA-LMFT-MQB-0172</x:v>
      </x:c>
      <x:c r="B173" s="192" t="str">
        <x:v>LMFT-WB11-QB-Q002</x:v>
      </x:c>
      <x:c r="C173" s="193" t="n">
        <x:v>46228</x:v>
      </x:c>
      <x:c r="D173" s="192" t="str">
        <x:v>Imported into LMFT master inventory</x:v>
      </x:c>
      <x:c r="E173" s="192" t="str">
        <x:v>LMFT Workbook 11 Question Bank</x:v>
      </x:c>
      <x:c r="F173" s="192" t="str">
        <x:v>1.0</x:v>
      </x:c>
      <x:c r="G173" s="192" t="n">
        <x:v>1</x:v>
      </x:c>
      <x:c r="H173" s="192" t="str">
        <x:v>Clinical Training Academy</x:v>
      </x:c>
      <x:c r="I173" s="194" t="str">
        <x:v>Source wording preserved; no silent item-content revision during inventory build.</x:v>
      </x:c>
    </x:row>
    <x:row r="174">
      <x:c r="A174" s="191" t="str">
        <x:v>CTA-LMFT-MQB-0173</x:v>
      </x:c>
      <x:c r="B174" s="192" t="str">
        <x:v>LMFT-WB11-QB-Q003</x:v>
      </x:c>
      <x:c r="C174" s="193" t="n">
        <x:v>46228</x:v>
      </x:c>
      <x:c r="D174" s="192" t="str">
        <x:v>Imported into LMFT master inventory</x:v>
      </x:c>
      <x:c r="E174" s="192" t="str">
        <x:v>LMFT Workbook 11 Question Bank</x:v>
      </x:c>
      <x:c r="F174" s="192" t="str">
        <x:v>1.0</x:v>
      </x:c>
      <x:c r="G174" s="192" t="n">
        <x:v>1</x:v>
      </x:c>
      <x:c r="H174" s="192" t="str">
        <x:v>Clinical Training Academy</x:v>
      </x:c>
      <x:c r="I174" s="194" t="str">
        <x:v>Source wording preserved; no silent item-content revision during inventory build.</x:v>
      </x:c>
    </x:row>
    <x:row r="175">
      <x:c r="A175" s="191" t="str">
        <x:v>CTA-LMFT-MQB-0174</x:v>
      </x:c>
      <x:c r="B175" s="192" t="str">
        <x:v>LMFT-WB11-QB-Q004</x:v>
      </x:c>
      <x:c r="C175" s="193" t="n">
        <x:v>46228</x:v>
      </x:c>
      <x:c r="D175" s="192" t="str">
        <x:v>Imported into LMFT master inventory</x:v>
      </x:c>
      <x:c r="E175" s="192" t="str">
        <x:v>LMFT Workbook 11 Question Bank</x:v>
      </x:c>
      <x:c r="F175" s="192" t="str">
        <x:v>1.0</x:v>
      </x:c>
      <x:c r="G175" s="192" t="n">
        <x:v>1</x:v>
      </x:c>
      <x:c r="H175" s="192" t="str">
        <x:v>Clinical Training Academy</x:v>
      </x:c>
      <x:c r="I175" s="194" t="str">
        <x:v>Source wording preserved; no silent item-content revision during inventory build.</x:v>
      </x:c>
    </x:row>
    <x:row r="176">
      <x:c r="A176" s="191" t="str">
        <x:v>CTA-LMFT-MQB-0175</x:v>
      </x:c>
      <x:c r="B176" s="192" t="str">
        <x:v>LMFT-WB11-QB-Q005</x:v>
      </x:c>
      <x:c r="C176" s="193" t="n">
        <x:v>46228</x:v>
      </x:c>
      <x:c r="D176" s="192" t="str">
        <x:v>Imported into LMFT master inventory</x:v>
      </x:c>
      <x:c r="E176" s="192" t="str">
        <x:v>LMFT Workbook 11 Question Bank</x:v>
      </x:c>
      <x:c r="F176" s="192" t="str">
        <x:v>1.0</x:v>
      </x:c>
      <x:c r="G176" s="192" t="n">
        <x:v>1</x:v>
      </x:c>
      <x:c r="H176" s="192" t="str">
        <x:v>Clinical Training Academy</x:v>
      </x:c>
      <x:c r="I176" s="194" t="str">
        <x:v>Source wording preserved; no silent item-content revision during inventory build.</x:v>
      </x:c>
    </x:row>
    <x:row r="177">
      <x:c r="A177" s="191" t="str">
        <x:v>CTA-LMFT-MQB-0176</x:v>
      </x:c>
      <x:c r="B177" s="192" t="str">
        <x:v>LMFT-WB11-QB-Q006</x:v>
      </x:c>
      <x:c r="C177" s="193" t="n">
        <x:v>46228</x:v>
      </x:c>
      <x:c r="D177" s="192" t="str">
        <x:v>Imported into LMFT master inventory</x:v>
      </x:c>
      <x:c r="E177" s="192" t="str">
        <x:v>LMFT Workbook 11 Question Bank</x:v>
      </x:c>
      <x:c r="F177" s="192" t="str">
        <x:v>1.0</x:v>
      </x:c>
      <x:c r="G177" s="192" t="n">
        <x:v>1</x:v>
      </x:c>
      <x:c r="H177" s="192" t="str">
        <x:v>Clinical Training Academy</x:v>
      </x:c>
      <x:c r="I177" s="194" t="str">
        <x:v>Source wording preserved; no silent item-content revision during inventory build.</x:v>
      </x:c>
    </x:row>
    <x:row r="178">
      <x:c r="A178" s="191" t="str">
        <x:v>CTA-LMFT-MQB-0177</x:v>
      </x:c>
      <x:c r="B178" s="192" t="str">
        <x:v>LMFT-WB11-QB-Q007</x:v>
      </x:c>
      <x:c r="C178" s="193" t="n">
        <x:v>46228</x:v>
      </x:c>
      <x:c r="D178" s="192" t="str">
        <x:v>Imported into LMFT master inventory</x:v>
      </x:c>
      <x:c r="E178" s="192" t="str">
        <x:v>LMFT Workbook 11 Question Bank</x:v>
      </x:c>
      <x:c r="F178" s="192" t="str">
        <x:v>1.0</x:v>
      </x:c>
      <x:c r="G178" s="192" t="n">
        <x:v>1</x:v>
      </x:c>
      <x:c r="H178" s="192" t="str">
        <x:v>Clinical Training Academy</x:v>
      </x:c>
      <x:c r="I178" s="194" t="str">
        <x:v>Source wording preserved; no silent item-content revision during inventory build.</x:v>
      </x:c>
    </x:row>
    <x:row r="179">
      <x:c r="A179" s="191" t="str">
        <x:v>CTA-LMFT-MQB-0178</x:v>
      </x:c>
      <x:c r="B179" s="192" t="str">
        <x:v>LMFT-WB11-QB-Q008</x:v>
      </x:c>
      <x:c r="C179" s="193" t="n">
        <x:v>46228</x:v>
      </x:c>
      <x:c r="D179" s="192" t="str">
        <x:v>Imported into LMFT master inventory</x:v>
      </x:c>
      <x:c r="E179" s="192" t="str">
        <x:v>LMFT Workbook 11 Question Bank</x:v>
      </x:c>
      <x:c r="F179" s="192" t="str">
        <x:v>1.0</x:v>
      </x:c>
      <x:c r="G179" s="192" t="n">
        <x:v>1</x:v>
      </x:c>
      <x:c r="H179" s="192" t="str">
        <x:v>Clinical Training Academy</x:v>
      </x:c>
      <x:c r="I179" s="194" t="str">
        <x:v>Source wording preserved; no silent item-content revision during inventory build.</x:v>
      </x:c>
    </x:row>
    <x:row r="180">
      <x:c r="A180" s="191" t="str">
        <x:v>CTA-LMFT-MQB-0179</x:v>
      </x:c>
      <x:c r="B180" s="192" t="str">
        <x:v>LMFT-WB11-QB-Q009</x:v>
      </x:c>
      <x:c r="C180" s="193" t="n">
        <x:v>46228</x:v>
      </x:c>
      <x:c r="D180" s="192" t="str">
        <x:v>Imported into LMFT master inventory</x:v>
      </x:c>
      <x:c r="E180" s="192" t="str">
        <x:v>LMFT Workbook 11 Question Bank</x:v>
      </x:c>
      <x:c r="F180" s="192" t="str">
        <x:v>1.0</x:v>
      </x:c>
      <x:c r="G180" s="192" t="n">
        <x:v>1</x:v>
      </x:c>
      <x:c r="H180" s="192" t="str">
        <x:v>Clinical Training Academy</x:v>
      </x:c>
      <x:c r="I180" s="194" t="str">
        <x:v>Source wording preserved; no silent item-content revision during inventory build.</x:v>
      </x:c>
    </x:row>
    <x:row r="181">
      <x:c r="A181" s="191" t="str">
        <x:v>CTA-LMFT-MQB-0180</x:v>
      </x:c>
      <x:c r="B181" s="192" t="str">
        <x:v>LMFT-WB11-QB-Q010</x:v>
      </x:c>
      <x:c r="C181" s="193" t="n">
        <x:v>46228</x:v>
      </x:c>
      <x:c r="D181" s="192" t="str">
        <x:v>Imported into LMFT master inventory</x:v>
      </x:c>
      <x:c r="E181" s="192" t="str">
        <x:v>LMFT Workbook 11 Question Bank</x:v>
      </x:c>
      <x:c r="F181" s="192" t="str">
        <x:v>1.0</x:v>
      </x:c>
      <x:c r="G181" s="192" t="n">
        <x:v>1</x:v>
      </x:c>
      <x:c r="H181" s="192" t="str">
        <x:v>Clinical Training Academy</x:v>
      </x:c>
      <x:c r="I181" s="194" t="str">
        <x:v>Source wording preserved; no silent item-content revision during inventory build.</x:v>
      </x:c>
    </x:row>
    <x:row r="182">
      <x:c r="A182" s="191" t="str">
        <x:v>CTA-LMFT-MQB-0181</x:v>
      </x:c>
      <x:c r="B182" s="192" t="str">
        <x:v>LMFT-WB11-QB-Q011</x:v>
      </x:c>
      <x:c r="C182" s="193" t="n">
        <x:v>46228</x:v>
      </x:c>
      <x:c r="D182" s="192" t="str">
        <x:v>Imported into LMFT master inventory</x:v>
      </x:c>
      <x:c r="E182" s="192" t="str">
        <x:v>LMFT Workbook 11 Question Bank</x:v>
      </x:c>
      <x:c r="F182" s="192" t="str">
        <x:v>1.0</x:v>
      </x:c>
      <x:c r="G182" s="192" t="n">
        <x:v>1</x:v>
      </x:c>
      <x:c r="H182" s="192" t="str">
        <x:v>Clinical Training Academy</x:v>
      </x:c>
      <x:c r="I182" s="194" t="str">
        <x:v>Source wording preserved; no silent item-content revision during inventory build.</x:v>
      </x:c>
    </x:row>
    <x:row r="183">
      <x:c r="A183" s="191" t="str">
        <x:v>CTA-LMFT-MQB-0182</x:v>
      </x:c>
      <x:c r="B183" s="192" t="str">
        <x:v>LMFT-WB11-QB-Q012</x:v>
      </x:c>
      <x:c r="C183" s="193" t="n">
        <x:v>46228</x:v>
      </x:c>
      <x:c r="D183" s="192" t="str">
        <x:v>Imported into LMFT master inventory</x:v>
      </x:c>
      <x:c r="E183" s="192" t="str">
        <x:v>LMFT Workbook 11 Question Bank</x:v>
      </x:c>
      <x:c r="F183" s="192" t="str">
        <x:v>1.0</x:v>
      </x:c>
      <x:c r="G183" s="192" t="n">
        <x:v>1</x:v>
      </x:c>
      <x:c r="H183" s="192" t="str">
        <x:v>Clinical Training Academy</x:v>
      </x:c>
      <x:c r="I183" s="194" t="str">
        <x:v>Source wording preserved; no silent item-content revision during inventory build.</x:v>
      </x:c>
    </x:row>
    <x:row r="184">
      <x:c r="A184" s="191" t="str">
        <x:v>CTA-LMFT-MQB-0183</x:v>
      </x:c>
      <x:c r="B184" s="192" t="str">
        <x:v>LMFT-WB11-QB-Q013</x:v>
      </x:c>
      <x:c r="C184" s="193" t="n">
        <x:v>46228</x:v>
      </x:c>
      <x:c r="D184" s="192" t="str">
        <x:v>Imported into LMFT master inventory</x:v>
      </x:c>
      <x:c r="E184" s="192" t="str">
        <x:v>LMFT Workbook 11 Question Bank</x:v>
      </x:c>
      <x:c r="F184" s="192" t="str">
        <x:v>1.0</x:v>
      </x:c>
      <x:c r="G184" s="192" t="n">
        <x:v>1</x:v>
      </x:c>
      <x:c r="H184" s="192" t="str">
        <x:v>Clinical Training Academy</x:v>
      </x:c>
      <x:c r="I184" s="194" t="str">
        <x:v>Source wording preserved; no silent item-content revision during inventory build.</x:v>
      </x:c>
    </x:row>
    <x:row r="185">
      <x:c r="A185" s="191" t="str">
        <x:v>CTA-LMFT-MQB-0184</x:v>
      </x:c>
      <x:c r="B185" s="192" t="str">
        <x:v>LMFT-WB11-QB-Q014</x:v>
      </x:c>
      <x:c r="C185" s="193" t="n">
        <x:v>46228</x:v>
      </x:c>
      <x:c r="D185" s="192" t="str">
        <x:v>Imported into LMFT master inventory</x:v>
      </x:c>
      <x:c r="E185" s="192" t="str">
        <x:v>LMFT Workbook 11 Question Bank</x:v>
      </x:c>
      <x:c r="F185" s="192" t="str">
        <x:v>1.0</x:v>
      </x:c>
      <x:c r="G185" s="192" t="n">
        <x:v>1</x:v>
      </x:c>
      <x:c r="H185" s="192" t="str">
        <x:v>Clinical Training Academy</x:v>
      </x:c>
      <x:c r="I185" s="194" t="str">
        <x:v>Source wording preserved; no silent item-content revision during inventory build.</x:v>
      </x:c>
    </x:row>
    <x:row r="186">
      <x:c r="A186" s="191" t="str">
        <x:v>CTA-LMFT-MQB-0185</x:v>
      </x:c>
      <x:c r="B186" s="192" t="str">
        <x:v>LMFT-WB11-QB-Q015</x:v>
      </x:c>
      <x:c r="C186" s="193" t="n">
        <x:v>46228</x:v>
      </x:c>
      <x:c r="D186" s="192" t="str">
        <x:v>Imported into LMFT master inventory</x:v>
      </x:c>
      <x:c r="E186" s="192" t="str">
        <x:v>LMFT Workbook 11 Question Bank</x:v>
      </x:c>
      <x:c r="F186" s="192" t="str">
        <x:v>1.0</x:v>
      </x:c>
      <x:c r="G186" s="192" t="n">
        <x:v>1</x:v>
      </x:c>
      <x:c r="H186" s="192" t="str">
        <x:v>Clinical Training Academy</x:v>
      </x:c>
      <x:c r="I186" s="194" t="str">
        <x:v>Source wording preserved; no silent item-content revision during inventory build.</x:v>
      </x:c>
    </x:row>
    <x:row r="187">
      <x:c r="A187" s="191" t="str">
        <x:v>CTA-LMFT-MQB-0186</x:v>
      </x:c>
      <x:c r="B187" s="192" t="str">
        <x:v>LMFT-WB11-QB-Q016</x:v>
      </x:c>
      <x:c r="C187" s="193" t="n">
        <x:v>46228</x:v>
      </x:c>
      <x:c r="D187" s="192" t="str">
        <x:v>Imported into LMFT master inventory</x:v>
      </x:c>
      <x:c r="E187" s="192" t="str">
        <x:v>LMFT Workbook 11 Question Bank</x:v>
      </x:c>
      <x:c r="F187" s="192" t="str">
        <x:v>1.0</x:v>
      </x:c>
      <x:c r="G187" s="192" t="n">
        <x:v>1</x:v>
      </x:c>
      <x:c r="H187" s="192" t="str">
        <x:v>Clinical Training Academy</x:v>
      </x:c>
      <x:c r="I187" s="194" t="str">
        <x:v>Source wording preserved; no silent item-content revision during inventory build.</x:v>
      </x:c>
    </x:row>
    <x:row r="188">
      <x:c r="A188" s="191" t="str">
        <x:v>CTA-LMFT-MQB-0187</x:v>
      </x:c>
      <x:c r="B188" s="192" t="str">
        <x:v>LMFT-WB11-QB-Q017</x:v>
      </x:c>
      <x:c r="C188" s="193" t="n">
        <x:v>46228</x:v>
      </x:c>
      <x:c r="D188" s="192" t="str">
        <x:v>Imported into LMFT master inventory</x:v>
      </x:c>
      <x:c r="E188" s="192" t="str">
        <x:v>LMFT Workbook 11 Question Bank</x:v>
      </x:c>
      <x:c r="F188" s="192" t="str">
        <x:v>1.0</x:v>
      </x:c>
      <x:c r="G188" s="192" t="n">
        <x:v>1</x:v>
      </x:c>
      <x:c r="H188" s="192" t="str">
        <x:v>Clinical Training Academy</x:v>
      </x:c>
      <x:c r="I188" s="194" t="str">
        <x:v>Source wording preserved; no silent item-content revision during inventory build.</x:v>
      </x:c>
    </x:row>
    <x:row r="189">
      <x:c r="A189" s="191" t="str">
        <x:v>CTA-LMFT-MQB-0188</x:v>
      </x:c>
      <x:c r="B189" s="192" t="str">
        <x:v>LMFT-WB12-QB-Q001</x:v>
      </x:c>
      <x:c r="C189" s="193" t="n">
        <x:v>46228</x:v>
      </x:c>
      <x:c r="D189" s="192" t="str">
        <x:v>Imported into LMFT master inventory</x:v>
      </x:c>
      <x:c r="E189" s="192" t="str">
        <x:v>LMFT Workbook 12 Question Bank</x:v>
      </x:c>
      <x:c r="F189" s="192" t="str">
        <x:v>1.0</x:v>
      </x:c>
      <x:c r="G189" s="192" t="n">
        <x:v>1</x:v>
      </x:c>
      <x:c r="H189" s="192" t="str">
        <x:v>Clinical Training Academy</x:v>
      </x:c>
      <x:c r="I189" s="194" t="str">
        <x:v>Source wording preserved; no silent item-content revision during inventory build.</x:v>
      </x:c>
    </x:row>
    <x:row r="190">
      <x:c r="A190" s="191" t="str">
        <x:v>CTA-LMFT-MQB-0189</x:v>
      </x:c>
      <x:c r="B190" s="192" t="str">
        <x:v>LMFT-WB12-QB-Q002</x:v>
      </x:c>
      <x:c r="C190" s="193" t="n">
        <x:v>46228</x:v>
      </x:c>
      <x:c r="D190" s="192" t="str">
        <x:v>Imported into LMFT master inventory</x:v>
      </x:c>
      <x:c r="E190" s="192" t="str">
        <x:v>LMFT Workbook 12 Question Bank</x:v>
      </x:c>
      <x:c r="F190" s="192" t="str">
        <x:v>1.0</x:v>
      </x:c>
      <x:c r="G190" s="192" t="n">
        <x:v>1</x:v>
      </x:c>
      <x:c r="H190" s="192" t="str">
        <x:v>Clinical Training Academy</x:v>
      </x:c>
      <x:c r="I190" s="194" t="str">
        <x:v>Source wording preserved; no silent item-content revision during inventory build.</x:v>
      </x:c>
    </x:row>
    <x:row r="191">
      <x:c r="A191" s="191" t="str">
        <x:v>CTA-LMFT-MQB-0190</x:v>
      </x:c>
      <x:c r="B191" s="192" t="str">
        <x:v>LMFT-WB12-QB-Q003</x:v>
      </x:c>
      <x:c r="C191" s="193" t="n">
        <x:v>46228</x:v>
      </x:c>
      <x:c r="D191" s="192" t="str">
        <x:v>Imported into LMFT master inventory</x:v>
      </x:c>
      <x:c r="E191" s="192" t="str">
        <x:v>LMFT Workbook 12 Question Bank</x:v>
      </x:c>
      <x:c r="F191" s="192" t="str">
        <x:v>1.0</x:v>
      </x:c>
      <x:c r="G191" s="192" t="n">
        <x:v>1</x:v>
      </x:c>
      <x:c r="H191" s="192" t="str">
        <x:v>Clinical Training Academy</x:v>
      </x:c>
      <x:c r="I191" s="194" t="str">
        <x:v>Source wording preserved; no silent item-content revision during inventory build.</x:v>
      </x:c>
    </x:row>
    <x:row r="192">
      <x:c r="A192" s="191" t="str">
        <x:v>CTA-LMFT-MQB-0191</x:v>
      </x:c>
      <x:c r="B192" s="192" t="str">
        <x:v>LMFT-WB12-QB-Q004</x:v>
      </x:c>
      <x:c r="C192" s="193" t="n">
        <x:v>46228</x:v>
      </x:c>
      <x:c r="D192" s="192" t="str">
        <x:v>Imported into LMFT master inventory</x:v>
      </x:c>
      <x:c r="E192" s="192" t="str">
        <x:v>LMFT Workbook 12 Question Bank</x:v>
      </x:c>
      <x:c r="F192" s="192" t="str">
        <x:v>1.0</x:v>
      </x:c>
      <x:c r="G192" s="192" t="n">
        <x:v>1</x:v>
      </x:c>
      <x:c r="H192" s="192" t="str">
        <x:v>Clinical Training Academy</x:v>
      </x:c>
      <x:c r="I192" s="194" t="str">
        <x:v>Source wording preserved; no silent item-content revision during inventory build.</x:v>
      </x:c>
    </x:row>
    <x:row r="193">
      <x:c r="A193" s="191" t="str">
        <x:v>CTA-LMFT-MQB-0192</x:v>
      </x:c>
      <x:c r="B193" s="192" t="str">
        <x:v>LMFT-WB12-QB-Q005</x:v>
      </x:c>
      <x:c r="C193" s="193" t="n">
        <x:v>46228</x:v>
      </x:c>
      <x:c r="D193" s="192" t="str">
        <x:v>Imported into LMFT master inventory</x:v>
      </x:c>
      <x:c r="E193" s="192" t="str">
        <x:v>LMFT Workbook 12 Question Bank</x:v>
      </x:c>
      <x:c r="F193" s="192" t="str">
        <x:v>1.0</x:v>
      </x:c>
      <x:c r="G193" s="192" t="n">
        <x:v>1</x:v>
      </x:c>
      <x:c r="H193" s="192" t="str">
        <x:v>Clinical Training Academy</x:v>
      </x:c>
      <x:c r="I193" s="194" t="str">
        <x:v>Source wording preserved; no silent item-content revision during inventory build.</x:v>
      </x:c>
    </x:row>
    <x:row r="194">
      <x:c r="A194" s="191" t="str">
        <x:v>CTA-LMFT-MQB-0193</x:v>
      </x:c>
      <x:c r="B194" s="192" t="str">
        <x:v>LMFT-WB12-QB-Q006</x:v>
      </x:c>
      <x:c r="C194" s="193" t="n">
        <x:v>46228</x:v>
      </x:c>
      <x:c r="D194" s="192" t="str">
        <x:v>Imported into LMFT master inventory</x:v>
      </x:c>
      <x:c r="E194" s="192" t="str">
        <x:v>LMFT Workbook 12 Question Bank</x:v>
      </x:c>
      <x:c r="F194" s="192" t="str">
        <x:v>1.0</x:v>
      </x:c>
      <x:c r="G194" s="192" t="n">
        <x:v>1</x:v>
      </x:c>
      <x:c r="H194" s="192" t="str">
        <x:v>Clinical Training Academy</x:v>
      </x:c>
      <x:c r="I194" s="194" t="str">
        <x:v>Source wording preserved; no silent item-content revision during inventory build.</x:v>
      </x:c>
    </x:row>
    <x:row r="195">
      <x:c r="A195" s="191" t="str">
        <x:v>CTA-LMFT-MQB-0194</x:v>
      </x:c>
      <x:c r="B195" s="192" t="str">
        <x:v>LMFT-WB12-QB-Q007</x:v>
      </x:c>
      <x:c r="C195" s="193" t="n">
        <x:v>46228</x:v>
      </x:c>
      <x:c r="D195" s="192" t="str">
        <x:v>Imported into LMFT master inventory</x:v>
      </x:c>
      <x:c r="E195" s="192" t="str">
        <x:v>LMFT Workbook 12 Question Bank</x:v>
      </x:c>
      <x:c r="F195" s="192" t="str">
        <x:v>1.0</x:v>
      </x:c>
      <x:c r="G195" s="192" t="n">
        <x:v>1</x:v>
      </x:c>
      <x:c r="H195" s="192" t="str">
        <x:v>Clinical Training Academy</x:v>
      </x:c>
      <x:c r="I195" s="194" t="str">
        <x:v>Source wording preserved; no silent item-content revision during inventory build.</x:v>
      </x:c>
    </x:row>
    <x:row r="196">
      <x:c r="A196" s="191" t="str">
        <x:v>CTA-LMFT-MQB-0195</x:v>
      </x:c>
      <x:c r="B196" s="192" t="str">
        <x:v>LMFT-WB12-QB-Q008</x:v>
      </x:c>
      <x:c r="C196" s="193" t="n">
        <x:v>46228</x:v>
      </x:c>
      <x:c r="D196" s="192" t="str">
        <x:v>Imported into LMFT master inventory</x:v>
      </x:c>
      <x:c r="E196" s="192" t="str">
        <x:v>LMFT Workbook 12 Question Bank</x:v>
      </x:c>
      <x:c r="F196" s="192" t="str">
        <x:v>1.0</x:v>
      </x:c>
      <x:c r="G196" s="192" t="n">
        <x:v>1</x:v>
      </x:c>
      <x:c r="H196" s="192" t="str">
        <x:v>Clinical Training Academy</x:v>
      </x:c>
      <x:c r="I196" s="194" t="str">
        <x:v>Source wording preserved; no silent item-content revision during inventory build.</x:v>
      </x:c>
    </x:row>
    <x:row r="197">
      <x:c r="A197" s="191" t="str">
        <x:v>CTA-LMFT-MQB-0196</x:v>
      </x:c>
      <x:c r="B197" s="192" t="str">
        <x:v>LMFT-WB12-QB-Q009</x:v>
      </x:c>
      <x:c r="C197" s="193" t="n">
        <x:v>46228</x:v>
      </x:c>
      <x:c r="D197" s="192" t="str">
        <x:v>Imported into LMFT master inventory</x:v>
      </x:c>
      <x:c r="E197" s="192" t="str">
        <x:v>LMFT Workbook 12 Question Bank</x:v>
      </x:c>
      <x:c r="F197" s="192" t="str">
        <x:v>1.0</x:v>
      </x:c>
      <x:c r="G197" s="192" t="n">
        <x:v>1</x:v>
      </x:c>
      <x:c r="H197" s="192" t="str">
        <x:v>Clinical Training Academy</x:v>
      </x:c>
      <x:c r="I197" s="194" t="str">
        <x:v>Source wording preserved; no silent item-content revision during inventory build.</x:v>
      </x:c>
    </x:row>
    <x:row r="198">
      <x:c r="A198" s="191" t="str">
        <x:v>CTA-LMFT-MQB-0197</x:v>
      </x:c>
      <x:c r="B198" s="192" t="str">
        <x:v>LMFT-WB12-QB-Q010</x:v>
      </x:c>
      <x:c r="C198" s="193" t="n">
        <x:v>46228</x:v>
      </x:c>
      <x:c r="D198" s="192" t="str">
        <x:v>Imported into LMFT master inventory</x:v>
      </x:c>
      <x:c r="E198" s="192" t="str">
        <x:v>LMFT Workbook 12 Question Bank</x:v>
      </x:c>
      <x:c r="F198" s="192" t="str">
        <x:v>1.0</x:v>
      </x:c>
      <x:c r="G198" s="192" t="n">
        <x:v>1</x:v>
      </x:c>
      <x:c r="H198" s="192" t="str">
        <x:v>Clinical Training Academy</x:v>
      </x:c>
      <x:c r="I198" s="194" t="str">
        <x:v>Source wording preserved; no silent item-content revision during inventory build.</x:v>
      </x:c>
    </x:row>
    <x:row r="199">
      <x:c r="A199" s="191" t="str">
        <x:v>CTA-LMFT-MQB-0198</x:v>
      </x:c>
      <x:c r="B199" s="192" t="str">
        <x:v>LMFT-WB12-QB-Q011</x:v>
      </x:c>
      <x:c r="C199" s="193" t="n">
        <x:v>46228</x:v>
      </x:c>
      <x:c r="D199" s="192" t="str">
        <x:v>Imported into LMFT master inventory</x:v>
      </x:c>
      <x:c r="E199" s="192" t="str">
        <x:v>LMFT Workbook 12 Question Bank</x:v>
      </x:c>
      <x:c r="F199" s="192" t="str">
        <x:v>1.0</x:v>
      </x:c>
      <x:c r="G199" s="192" t="n">
        <x:v>1</x:v>
      </x:c>
      <x:c r="H199" s="192" t="str">
        <x:v>Clinical Training Academy</x:v>
      </x:c>
      <x:c r="I199" s="194" t="str">
        <x:v>Source wording preserved; no silent item-content revision during inventory build.</x:v>
      </x:c>
    </x:row>
    <x:row r="200">
      <x:c r="A200" s="191" t="str">
        <x:v>CTA-LMFT-MQB-0199</x:v>
      </x:c>
      <x:c r="B200" s="192" t="str">
        <x:v>LMFT-WB12-QB-Q012</x:v>
      </x:c>
      <x:c r="C200" s="193" t="n">
        <x:v>46228</x:v>
      </x:c>
      <x:c r="D200" s="192" t="str">
        <x:v>Imported into LMFT master inventory</x:v>
      </x:c>
      <x:c r="E200" s="192" t="str">
        <x:v>LMFT Workbook 12 Question Bank</x:v>
      </x:c>
      <x:c r="F200" s="192" t="str">
        <x:v>1.0</x:v>
      </x:c>
      <x:c r="G200" s="192" t="n">
        <x:v>1</x:v>
      </x:c>
      <x:c r="H200" s="192" t="str">
        <x:v>Clinical Training Academy</x:v>
      </x:c>
      <x:c r="I200" s="194" t="str">
        <x:v>Source wording preserved; no silent item-content revision during inventory build.</x:v>
      </x:c>
    </x:row>
    <x:row r="201">
      <x:c r="A201" s="191" t="str">
        <x:v>CTA-LMFT-MQB-0200</x:v>
      </x:c>
      <x:c r="B201" s="192" t="str">
        <x:v>LMFT-WB12-QB-Q013</x:v>
      </x:c>
      <x:c r="C201" s="193" t="n">
        <x:v>46228</x:v>
      </x:c>
      <x:c r="D201" s="192" t="str">
        <x:v>Imported into LMFT master inventory</x:v>
      </x:c>
      <x:c r="E201" s="192" t="str">
        <x:v>LMFT Workbook 12 Question Bank</x:v>
      </x:c>
      <x:c r="F201" s="192" t="str">
        <x:v>1.0</x:v>
      </x:c>
      <x:c r="G201" s="192" t="n">
        <x:v>1</x:v>
      </x:c>
      <x:c r="H201" s="192" t="str">
        <x:v>Clinical Training Academy</x:v>
      </x:c>
      <x:c r="I201" s="194" t="str">
        <x:v>Source wording preserved; no silent item-content revision during inventory build.</x:v>
      </x:c>
    </x:row>
    <x:row r="202">
      <x:c r="A202" s="191" t="str">
        <x:v>CTA-LMFT-MQB-0201</x:v>
      </x:c>
      <x:c r="B202" s="192" t="str">
        <x:v>LMFT-WB12-QB-Q014</x:v>
      </x:c>
      <x:c r="C202" s="193" t="n">
        <x:v>46228</x:v>
      </x:c>
      <x:c r="D202" s="192" t="str">
        <x:v>Imported into LMFT master inventory</x:v>
      </x:c>
      <x:c r="E202" s="192" t="str">
        <x:v>LMFT Workbook 12 Question Bank</x:v>
      </x:c>
      <x:c r="F202" s="192" t="str">
        <x:v>1.0</x:v>
      </x:c>
      <x:c r="G202" s="192" t="n">
        <x:v>1</x:v>
      </x:c>
      <x:c r="H202" s="192" t="str">
        <x:v>Clinical Training Academy</x:v>
      </x:c>
      <x:c r="I202" s="194" t="str">
        <x:v>Source wording preserved; no silent item-content revision during inventory build.</x:v>
      </x:c>
    </x:row>
    <x:row r="203">
      <x:c r="A203" s="191" t="str">
        <x:v>CTA-LMFT-MQB-0202</x:v>
      </x:c>
      <x:c r="B203" s="192" t="str">
        <x:v>LMFT-WB12-QB-Q015</x:v>
      </x:c>
      <x:c r="C203" s="193" t="n">
        <x:v>46228</x:v>
      </x:c>
      <x:c r="D203" s="192" t="str">
        <x:v>Imported into LMFT master inventory</x:v>
      </x:c>
      <x:c r="E203" s="192" t="str">
        <x:v>LMFT Workbook 12 Question Bank</x:v>
      </x:c>
      <x:c r="F203" s="192" t="str">
        <x:v>1.0</x:v>
      </x:c>
      <x:c r="G203" s="192" t="n">
        <x:v>1</x:v>
      </x:c>
      <x:c r="H203" s="192" t="str">
        <x:v>Clinical Training Academy</x:v>
      </x:c>
      <x:c r="I203" s="194" t="str">
        <x:v>Source wording preserved; no silent item-content revision during inventory build.</x:v>
      </x:c>
    </x:row>
    <x:row r="204">
      <x:c r="A204" s="191" t="str">
        <x:v>CTA-LMFT-MQB-0203</x:v>
      </x:c>
      <x:c r="B204" s="192" t="str">
        <x:v>LMFT-WB12-QB-Q016</x:v>
      </x:c>
      <x:c r="C204" s="193" t="n">
        <x:v>46228</x:v>
      </x:c>
      <x:c r="D204" s="192" t="str">
        <x:v>Imported into LMFT master inventory</x:v>
      </x:c>
      <x:c r="E204" s="192" t="str">
        <x:v>LMFT Workbook 12 Question Bank</x:v>
      </x:c>
      <x:c r="F204" s="192" t="str">
        <x:v>1.0</x:v>
      </x:c>
      <x:c r="G204" s="192" t="n">
        <x:v>1</x:v>
      </x:c>
      <x:c r="H204" s="192" t="str">
        <x:v>Clinical Training Academy</x:v>
      </x:c>
      <x:c r="I204" s="194" t="str">
        <x:v>Source wording preserved; no silent item-content revision during inventory build.</x:v>
      </x:c>
    </x:row>
    <x:row r="205">
      <x:c r="A205" s="191" t="str">
        <x:v>CTA-LMFT-MQB-0204</x:v>
      </x:c>
      <x:c r="B205" s="192" t="str">
        <x:v>LMFT-WB12-QB-Q017</x:v>
      </x:c>
      <x:c r="C205" s="193" t="n">
        <x:v>46228</x:v>
      </x:c>
      <x:c r="D205" s="192" t="str">
        <x:v>Imported into LMFT master inventory</x:v>
      </x:c>
      <x:c r="E205" s="192" t="str">
        <x:v>LMFT Workbook 12 Question Bank</x:v>
      </x:c>
      <x:c r="F205" s="192" t="str">
        <x:v>1.0</x:v>
      </x:c>
      <x:c r="G205" s="192" t="n">
        <x:v>1</x:v>
      </x:c>
      <x:c r="H205" s="192" t="str">
        <x:v>Clinical Training Academy</x:v>
      </x:c>
      <x:c r="I205" s="194" t="str">
        <x:v>Source wording preserved; no silent item-content revision during inventory build.</x:v>
      </x:c>
    </x:row>
    <x:row r="206">
      <x:c r="A206" s="191" t="str">
        <x:v>CTA-LMFT-MQB-0205</x:v>
      </x:c>
      <x:c r="B206" s="192" t="str">
        <x:v>LMFT-MQB-FA-CR-005</x:v>
      </x:c>
      <x:c r="C206" s="193" t="n">
        <x:v>46228</x:v>
      </x:c>
      <x:c r="D206" s="192" t="str">
        <x:v>Imported into LMFT master inventory</x:v>
      </x:c>
      <x:c r="E206" s="192" t="str">
        <x:v>LMFT Comprehensive Simulation Form A</x:v>
      </x:c>
      <x:c r="F206" s="192" t="str">
        <x:v>1.0</x:v>
      </x:c>
      <x:c r="G206" s="192" t="n">
        <x:v>1</x:v>
      </x:c>
      <x:c r="H206" s="192" t="str">
        <x:v>Clinical Training Academy</x:v>
      </x:c>
      <x:c r="I206" s="194" t="str">
        <x:v>Source wording preserved; no silent item-content revision during inventory build.</x:v>
      </x:c>
    </x:row>
    <x:row r="207">
      <x:c r="A207" s="191" t="str">
        <x:v>CTA-LMFT-MQB-0206</x:v>
      </x:c>
      <x:c r="B207" s="192" t="str">
        <x:v>LMFT-MQB-FA-CP-009</x:v>
      </x:c>
      <x:c r="C207" s="193" t="n">
        <x:v>46228</x:v>
      </x:c>
      <x:c r="D207" s="192" t="str">
        <x:v>Imported into LMFT master inventory</x:v>
      </x:c>
      <x:c r="E207" s="192" t="str">
        <x:v>LMFT Comprehensive Simulation Form A</x:v>
      </x:c>
      <x:c r="F207" s="192" t="str">
        <x:v>1.0</x:v>
      </x:c>
      <x:c r="G207" s="192" t="n">
        <x:v>1</x:v>
      </x:c>
      <x:c r="H207" s="192" t="str">
        <x:v>Clinical Training Academy</x:v>
      </x:c>
      <x:c r="I207" s="194" t="str">
        <x:v>Source wording preserved; no silent item-content revision during inventory build.</x:v>
      </x:c>
    </x:row>
    <x:row r="208">
      <x:c r="A208" s="191" t="str">
        <x:v>CTA-LMFT-MQB-0207</x:v>
      </x:c>
      <x:c r="B208" s="192" t="str">
        <x:v>LMFT-MQB-FA-DI-001</x:v>
      </x:c>
      <x:c r="C208" s="193" t="n">
        <x:v>46228</x:v>
      </x:c>
      <x:c r="D208" s="192" t="str">
        <x:v>Imported into LMFT master inventory</x:v>
      </x:c>
      <x:c r="E208" s="192" t="str">
        <x:v>LMFT Comprehensive Simulation Form A</x:v>
      </x:c>
      <x:c r="F208" s="192" t="str">
        <x:v>1.0</x:v>
      </x:c>
      <x:c r="G208" s="192" t="n">
        <x:v>1</x:v>
      </x:c>
      <x:c r="H208" s="192" t="str">
        <x:v>Clinical Training Academy</x:v>
      </x:c>
      <x:c r="I208" s="194" t="str">
        <x:v>Source wording preserved; no silent item-content revision during inventory build.</x:v>
      </x:c>
    </x:row>
    <x:row r="209">
      <x:c r="A209" s="191" t="str">
        <x:v>CTA-LMFT-MQB-0208</x:v>
      </x:c>
      <x:c r="B209" s="192" t="str">
        <x:v>LMFT-MQB-FA-CE-028</x:v>
      </x:c>
      <x:c r="C209" s="193" t="n">
        <x:v>46228</x:v>
      </x:c>
      <x:c r="D209" s="192" t="str">
        <x:v>Imported into LMFT master inventory</x:v>
      </x:c>
      <x:c r="E209" s="192" t="str">
        <x:v>LMFT Comprehensive Simulation Form A</x:v>
      </x:c>
      <x:c r="F209" s="192" t="str">
        <x:v>1.0</x:v>
      </x:c>
      <x:c r="G209" s="192" t="n">
        <x:v>1</x:v>
      </x:c>
      <x:c r="H209" s="192" t="str">
        <x:v>Clinical Training Academy</x:v>
      </x:c>
      <x:c r="I209" s="194" t="str">
        <x:v>Source wording preserved; no silent item-content revision during inventory build.</x:v>
      </x:c>
    </x:row>
    <x:row r="210">
      <x:c r="A210" s="191" t="str">
        <x:v>CTA-LMFT-MQB-0209</x:v>
      </x:c>
      <x:c r="B210" s="192" t="str">
        <x:v>LMFT-MQB-FA-CE-014</x:v>
      </x:c>
      <x:c r="C210" s="193" t="n">
        <x:v>46228</x:v>
      </x:c>
      <x:c r="D210" s="192" t="str">
        <x:v>Imported into LMFT master inventory</x:v>
      </x:c>
      <x:c r="E210" s="192" t="str">
        <x:v>LMFT Comprehensive Simulation Form A</x:v>
      </x:c>
      <x:c r="F210" s="192" t="str">
        <x:v>1.0</x:v>
      </x:c>
      <x:c r="G210" s="192" t="n">
        <x:v>1</x:v>
      </x:c>
      <x:c r="H210" s="192" t="str">
        <x:v>Clinical Training Academy</x:v>
      </x:c>
      <x:c r="I210" s="194" t="str">
        <x:v>Source wording preserved; no silent item-content revision during inventory build.</x:v>
      </x:c>
    </x:row>
    <x:row r="211">
      <x:c r="A211" s="191" t="str">
        <x:v>CTA-LMFT-MQB-0210</x:v>
      </x:c>
      <x:c r="B211" s="192" t="str">
        <x:v>LMFT-MQB-FA-TX-003</x:v>
      </x:c>
      <x:c r="C211" s="193" t="n">
        <x:v>46228</x:v>
      </x:c>
      <x:c r="D211" s="192" t="str">
        <x:v>Imported into LMFT master inventory</x:v>
      </x:c>
      <x:c r="E211" s="192" t="str">
        <x:v>LMFT Comprehensive Simulation Form A</x:v>
      </x:c>
      <x:c r="F211" s="192" t="str">
        <x:v>1.0</x:v>
      </x:c>
      <x:c r="G211" s="192" t="n">
        <x:v>1</x:v>
      </x:c>
      <x:c r="H211" s="192" t="str">
        <x:v>Clinical Training Academy</x:v>
      </x:c>
      <x:c r="I211" s="194" t="str">
        <x:v>Source wording preserved; no silent item-content revision during inventory build.</x:v>
      </x:c>
    </x:row>
    <x:row r="212">
      <x:c r="A212" s="191" t="str">
        <x:v>CTA-LMFT-MQB-0211</x:v>
      </x:c>
      <x:c r="B212" s="192" t="str">
        <x:v>LMFT-MQB-FA-CR-008</x:v>
      </x:c>
      <x:c r="C212" s="193" t="n">
        <x:v>46228</x:v>
      </x:c>
      <x:c r="D212" s="192" t="str">
        <x:v>Imported into LMFT master inventory</x:v>
      </x:c>
      <x:c r="E212" s="192" t="str">
        <x:v>LMFT Comprehensive Simulation Form A</x:v>
      </x:c>
      <x:c r="F212" s="192" t="str">
        <x:v>1.0</x:v>
      </x:c>
      <x:c r="G212" s="192" t="n">
        <x:v>1</x:v>
      </x:c>
      <x:c r="H212" s="192" t="str">
        <x:v>Clinical Training Academy</x:v>
      </x:c>
      <x:c r="I212" s="194" t="str">
        <x:v>Source wording preserved; no silent item-content revision during inventory build.</x:v>
      </x:c>
    </x:row>
    <x:row r="213">
      <x:c r="A213" s="191" t="str">
        <x:v>CTA-LMFT-MQB-0212</x:v>
      </x:c>
      <x:c r="B213" s="192" t="str">
        <x:v>LMFT-MQB-FA-CE-002</x:v>
      </x:c>
      <x:c r="C213" s="193" t="n">
        <x:v>46228</x:v>
      </x:c>
      <x:c r="D213" s="192" t="str">
        <x:v>Imported into LMFT master inventory</x:v>
      </x:c>
      <x:c r="E213" s="192" t="str">
        <x:v>LMFT Comprehensive Simulation Form A</x:v>
      </x:c>
      <x:c r="F213" s="192" t="str">
        <x:v>1.0</x:v>
      </x:c>
      <x:c r="G213" s="192" t="n">
        <x:v>1</x:v>
      </x:c>
      <x:c r="H213" s="192" t="str">
        <x:v>Clinical Training Academy</x:v>
      </x:c>
      <x:c r="I213" s="194" t="str">
        <x:v>Source wording preserved; no silent item-content revision during inventory build.</x:v>
      </x:c>
    </x:row>
    <x:row r="214">
      <x:c r="A214" s="191" t="str">
        <x:v>CTA-LMFT-MQB-0213</x:v>
      </x:c>
      <x:c r="B214" s="192" t="str">
        <x:v>LMFT-MQB-FA-CE-020</x:v>
      </x:c>
      <x:c r="C214" s="193" t="n">
        <x:v>46228</x:v>
      </x:c>
      <x:c r="D214" s="192" t="str">
        <x:v>Imported into LMFT master inventory</x:v>
      </x:c>
      <x:c r="E214" s="192" t="str">
        <x:v>LMFT Comprehensive Simulation Form A</x:v>
      </x:c>
      <x:c r="F214" s="192" t="str">
        <x:v>1.0</x:v>
      </x:c>
      <x:c r="G214" s="192" t="n">
        <x:v>1</x:v>
      </x:c>
      <x:c r="H214" s="192" t="str">
        <x:v>Clinical Training Academy</x:v>
      </x:c>
      <x:c r="I214" s="194" t="str">
        <x:v>Source wording preserved; no silent item-content revision during inventory build.</x:v>
      </x:c>
    </x:row>
    <x:row r="215">
      <x:c r="A215" s="191" t="str">
        <x:v>CTA-LMFT-MQB-0214</x:v>
      </x:c>
      <x:c r="B215" s="192" t="str">
        <x:v>LMFT-MQB-FA-LE-011</x:v>
      </x:c>
      <x:c r="C215" s="193" t="n">
        <x:v>46228</x:v>
      </x:c>
      <x:c r="D215" s="192" t="str">
        <x:v>Imported into LMFT master inventory</x:v>
      </x:c>
      <x:c r="E215" s="192" t="str">
        <x:v>LMFT Comprehensive Simulation Form A</x:v>
      </x:c>
      <x:c r="F215" s="192" t="str">
        <x:v>1.0</x:v>
      </x:c>
      <x:c r="G215" s="192" t="n">
        <x:v>1</x:v>
      </x:c>
      <x:c r="H215" s="192" t="str">
        <x:v>Clinical Training Academy</x:v>
      </x:c>
      <x:c r="I215" s="194" t="str">
        <x:v>Source wording preserved; no silent item-content revision during inventory build.</x:v>
      </x:c>
    </x:row>
    <x:row r="216">
      <x:c r="A216" s="191" t="str">
        <x:v>CTA-LMFT-MQB-0215</x:v>
      </x:c>
      <x:c r="B216" s="192" t="str">
        <x:v>LMFT-MQB-FA-TX-034</x:v>
      </x:c>
      <x:c r="C216" s="193" t="n">
        <x:v>46228</x:v>
      </x:c>
      <x:c r="D216" s="192" t="str">
        <x:v>Imported into LMFT master inventory</x:v>
      </x:c>
      <x:c r="E216" s="192" t="str">
        <x:v>LMFT Comprehensive Simulation Form A</x:v>
      </x:c>
      <x:c r="F216" s="192" t="str">
        <x:v>1.0</x:v>
      </x:c>
      <x:c r="G216" s="192" t="n">
        <x:v>1</x:v>
      </x:c>
      <x:c r="H216" s="192" t="str">
        <x:v>Clinical Training Academy</x:v>
      </x:c>
      <x:c r="I216" s="194" t="str">
        <x:v>Source wording preserved; no silent item-content revision during inventory build.</x:v>
      </x:c>
    </x:row>
    <x:row r="217">
      <x:c r="A217" s="191" t="str">
        <x:v>CTA-LMFT-MQB-0216</x:v>
      </x:c>
      <x:c r="B217" s="192" t="str">
        <x:v>LMFT-MQB-FA-LE-012</x:v>
      </x:c>
      <x:c r="C217" s="193" t="n">
        <x:v>46228</x:v>
      </x:c>
      <x:c r="D217" s="192" t="str">
        <x:v>Imported into LMFT master inventory</x:v>
      </x:c>
      <x:c r="E217" s="192" t="str">
        <x:v>LMFT Comprehensive Simulation Form A</x:v>
      </x:c>
      <x:c r="F217" s="192" t="str">
        <x:v>1.0</x:v>
      </x:c>
      <x:c r="G217" s="192" t="n">
        <x:v>1</x:v>
      </x:c>
      <x:c r="H217" s="192" t="str">
        <x:v>Clinical Training Academy</x:v>
      </x:c>
      <x:c r="I217" s="194" t="str">
        <x:v>Source wording preserved; no silent item-content revision during inventory build.</x:v>
      </x:c>
    </x:row>
    <x:row r="218">
      <x:c r="A218" s="191" t="str">
        <x:v>CTA-LMFT-MQB-0217</x:v>
      </x:c>
      <x:c r="B218" s="192" t="str">
        <x:v>LMFT-MQB-FA-CR-012</x:v>
      </x:c>
      <x:c r="C218" s="193" t="n">
        <x:v>46228</x:v>
      </x:c>
      <x:c r="D218" s="192" t="str">
        <x:v>Imported into LMFT master inventory</x:v>
      </x:c>
      <x:c r="E218" s="192" t="str">
        <x:v>LMFT Comprehensive Simulation Form A</x:v>
      </x:c>
      <x:c r="F218" s="192" t="str">
        <x:v>1.0</x:v>
      </x:c>
      <x:c r="G218" s="192" t="n">
        <x:v>1</x:v>
      </x:c>
      <x:c r="H218" s="192" t="str">
        <x:v>Clinical Training Academy</x:v>
      </x:c>
      <x:c r="I218" s="194" t="str">
        <x:v>Source wording preserved; no silent item-content revision during inventory build.</x:v>
      </x:c>
    </x:row>
    <x:row r="219">
      <x:c r="A219" s="191" t="str">
        <x:v>CTA-LMFT-MQB-0218</x:v>
      </x:c>
      <x:c r="B219" s="192" t="str">
        <x:v>LMFT-MQB-FA-LE-003</x:v>
      </x:c>
      <x:c r="C219" s="193" t="n">
        <x:v>46228</x:v>
      </x:c>
      <x:c r="D219" s="192" t="str">
        <x:v>Imported into LMFT master inventory</x:v>
      </x:c>
      <x:c r="E219" s="192" t="str">
        <x:v>LMFT Comprehensive Simulation Form A</x:v>
      </x:c>
      <x:c r="F219" s="192" t="str">
        <x:v>1.0</x:v>
      </x:c>
      <x:c r="G219" s="192" t="n">
        <x:v>1</x:v>
      </x:c>
      <x:c r="H219" s="192" t="str">
        <x:v>Clinical Training Academy</x:v>
      </x:c>
      <x:c r="I219" s="194" t="str">
        <x:v>Source wording preserved; no silent item-content revision during inventory build.</x:v>
      </x:c>
    </x:row>
    <x:row r="220">
      <x:c r="A220" s="191" t="str">
        <x:v>CTA-LMFT-MQB-0219</x:v>
      </x:c>
      <x:c r="B220" s="192" t="str">
        <x:v>LMFT-MQB-FA-CE-037</x:v>
      </x:c>
      <x:c r="C220" s="193" t="n">
        <x:v>46228</x:v>
      </x:c>
      <x:c r="D220" s="192" t="str">
        <x:v>Imported into LMFT master inventory</x:v>
      </x:c>
      <x:c r="E220" s="192" t="str">
        <x:v>LMFT Comprehensive Simulation Form A</x:v>
      </x:c>
      <x:c r="F220" s="192" t="str">
        <x:v>1.0</x:v>
      </x:c>
      <x:c r="G220" s="192" t="n">
        <x:v>1</x:v>
      </x:c>
      <x:c r="H220" s="192" t="str">
        <x:v>Clinical Training Academy</x:v>
      </x:c>
      <x:c r="I220" s="194" t="str">
        <x:v>Source wording preserved; no silent item-content revision during inventory build.</x:v>
      </x:c>
    </x:row>
    <x:row r="221">
      <x:c r="A221" s="191" t="str">
        <x:v>CTA-LMFT-MQB-0220</x:v>
      </x:c>
      <x:c r="B221" s="192" t="str">
        <x:v>LMFT-MQB-FA-TX-008</x:v>
      </x:c>
      <x:c r="C221" s="193" t="n">
        <x:v>46228</x:v>
      </x:c>
      <x:c r="D221" s="192" t="str">
        <x:v>Imported into LMFT master inventory</x:v>
      </x:c>
      <x:c r="E221" s="192" t="str">
        <x:v>LMFT Comprehensive Simulation Form A</x:v>
      </x:c>
      <x:c r="F221" s="192" t="str">
        <x:v>1.0</x:v>
      </x:c>
      <x:c r="G221" s="192" t="n">
        <x:v>1</x:v>
      </x:c>
      <x:c r="H221" s="192" t="str">
        <x:v>Clinical Training Academy</x:v>
      </x:c>
      <x:c r="I221" s="194" t="str">
        <x:v>Source wording preserved; no silent item-content revision during inventory build.</x:v>
      </x:c>
    </x:row>
    <x:row r="222">
      <x:c r="A222" s="191" t="str">
        <x:v>CTA-LMFT-MQB-0221</x:v>
      </x:c>
      <x:c r="B222" s="192" t="str">
        <x:v>LMFT-MQB-FA-DI-007</x:v>
      </x:c>
      <x:c r="C222" s="193" t="n">
        <x:v>46228</x:v>
      </x:c>
      <x:c r="D222" s="192" t="str">
        <x:v>Imported into LMFT master inventory</x:v>
      </x:c>
      <x:c r="E222" s="192" t="str">
        <x:v>LMFT Comprehensive Simulation Form A</x:v>
      </x:c>
      <x:c r="F222" s="192" t="str">
        <x:v>1.0</x:v>
      </x:c>
      <x:c r="G222" s="192" t="n">
        <x:v>1</x:v>
      </x:c>
      <x:c r="H222" s="192" t="str">
        <x:v>Clinical Training Academy</x:v>
      </x:c>
      <x:c r="I222" s="194" t="str">
        <x:v>Source wording preserved; no silent item-content revision during inventory build.</x:v>
      </x:c>
    </x:row>
    <x:row r="223">
      <x:c r="A223" s="191" t="str">
        <x:v>CTA-LMFT-MQB-0222</x:v>
      </x:c>
      <x:c r="B223" s="192" t="str">
        <x:v>LMFT-MQB-FA-CE-024</x:v>
      </x:c>
      <x:c r="C223" s="193" t="n">
        <x:v>46228</x:v>
      </x:c>
      <x:c r="D223" s="192" t="str">
        <x:v>Imported into LMFT master inventory</x:v>
      </x:c>
      <x:c r="E223" s="192" t="str">
        <x:v>LMFT Comprehensive Simulation Form A</x:v>
      </x:c>
      <x:c r="F223" s="192" t="str">
        <x:v>1.0</x:v>
      </x:c>
      <x:c r="G223" s="192" t="n">
        <x:v>1</x:v>
      </x:c>
      <x:c r="H223" s="192" t="str">
        <x:v>Clinical Training Academy</x:v>
      </x:c>
      <x:c r="I223" s="194" t="str">
        <x:v>Source wording preserved; no silent item-content revision during inventory build.</x:v>
      </x:c>
    </x:row>
    <x:row r="224">
      <x:c r="A224" s="191" t="str">
        <x:v>CTA-LMFT-MQB-0223</x:v>
      </x:c>
      <x:c r="B224" s="192" t="str">
        <x:v>LMFT-MQB-FA-TX-040</x:v>
      </x:c>
      <x:c r="C224" s="193" t="n">
        <x:v>46228</x:v>
      </x:c>
      <x:c r="D224" s="192" t="str">
        <x:v>Imported into LMFT master inventory</x:v>
      </x:c>
      <x:c r="E224" s="192" t="str">
        <x:v>LMFT Comprehensive Simulation Form A</x:v>
      </x:c>
      <x:c r="F224" s="192" t="str">
        <x:v>1.0</x:v>
      </x:c>
      <x:c r="G224" s="192" t="n">
        <x:v>1</x:v>
      </x:c>
      <x:c r="H224" s="192" t="str">
        <x:v>Clinical Training Academy</x:v>
      </x:c>
      <x:c r="I224" s="194" t="str">
        <x:v>Source wording preserved; no silent item-content revision during inventory build.</x:v>
      </x:c>
    </x:row>
    <x:row r="225">
      <x:c r="A225" s="191" t="str">
        <x:v>CTA-LMFT-MQB-0224</x:v>
      </x:c>
      <x:c r="B225" s="192" t="str">
        <x:v>LMFT-MQB-FA-TX-014</x:v>
      </x:c>
      <x:c r="C225" s="193" t="n">
        <x:v>46228</x:v>
      </x:c>
      <x:c r="D225" s="192" t="str">
        <x:v>Imported into LMFT master inventory</x:v>
      </x:c>
      <x:c r="E225" s="192" t="str">
        <x:v>LMFT Comprehensive Simulation Form A</x:v>
      </x:c>
      <x:c r="F225" s="192" t="str">
        <x:v>1.0</x:v>
      </x:c>
      <x:c r="G225" s="192" t="n">
        <x:v>1</x:v>
      </x:c>
      <x:c r="H225" s="192" t="str">
        <x:v>Clinical Training Academy</x:v>
      </x:c>
      <x:c r="I225" s="194" t="str">
        <x:v>Source wording preserved; no silent item-content revision during inventory build.</x:v>
      </x:c>
    </x:row>
    <x:row r="226">
      <x:c r="A226" s="191" t="str">
        <x:v>CTA-LMFT-MQB-0225</x:v>
      </x:c>
      <x:c r="B226" s="192" t="str">
        <x:v>LMFT-MQB-FA-CR-002</x:v>
      </x:c>
      <x:c r="C226" s="193" t="n">
        <x:v>46228</x:v>
      </x:c>
      <x:c r="D226" s="192" t="str">
        <x:v>Imported into LMFT master inventory</x:v>
      </x:c>
      <x:c r="E226" s="192" t="str">
        <x:v>LMFT Comprehensive Simulation Form A</x:v>
      </x:c>
      <x:c r="F226" s="192" t="str">
        <x:v>1.0</x:v>
      </x:c>
      <x:c r="G226" s="192" t="n">
        <x:v>1</x:v>
      </x:c>
      <x:c r="H226" s="192" t="str">
        <x:v>Clinical Training Academy</x:v>
      </x:c>
      <x:c r="I226" s="194" t="str">
        <x:v>Source wording preserved; no silent item-content revision during inventory build.</x:v>
      </x:c>
    </x:row>
    <x:row r="227">
      <x:c r="A227" s="191" t="str">
        <x:v>CTA-LMFT-MQB-0226</x:v>
      </x:c>
      <x:c r="B227" s="192" t="str">
        <x:v>LMFT-MQB-FA-CR-016</x:v>
      </x:c>
      <x:c r="C227" s="193" t="n">
        <x:v>46228</x:v>
      </x:c>
      <x:c r="D227" s="192" t="str">
        <x:v>Imported into LMFT master inventory</x:v>
      </x:c>
      <x:c r="E227" s="192" t="str">
        <x:v>LMFT Comprehensive Simulation Form A</x:v>
      </x:c>
      <x:c r="F227" s="192" t="str">
        <x:v>1.0</x:v>
      </x:c>
      <x:c r="G227" s="192" t="n">
        <x:v>1</x:v>
      </x:c>
      <x:c r="H227" s="192" t="str">
        <x:v>Clinical Training Academy</x:v>
      </x:c>
      <x:c r="I227" s="194" t="str">
        <x:v>Source wording preserved; no silent item-content revision during inventory build.</x:v>
      </x:c>
    </x:row>
    <x:row r="228">
      <x:c r="A228" s="191" t="str">
        <x:v>CTA-LMFT-MQB-0227</x:v>
      </x:c>
      <x:c r="B228" s="192" t="str">
        <x:v>LMFT-MQB-FA-CE-009</x:v>
      </x:c>
      <x:c r="C228" s="193" t="n">
        <x:v>46228</x:v>
      </x:c>
      <x:c r="D228" s="192" t="str">
        <x:v>Imported into LMFT master inventory</x:v>
      </x:c>
      <x:c r="E228" s="192" t="str">
        <x:v>LMFT Comprehensive Simulation Form A</x:v>
      </x:c>
      <x:c r="F228" s="192" t="str">
        <x:v>1.0</x:v>
      </x:c>
      <x:c r="G228" s="192" t="n">
        <x:v>1</x:v>
      </x:c>
      <x:c r="H228" s="192" t="str">
        <x:v>Clinical Training Academy</x:v>
      </x:c>
      <x:c r="I228" s="194" t="str">
        <x:v>Source wording preserved; no silent item-content revision during inventory build.</x:v>
      </x:c>
    </x:row>
    <x:row r="229">
      <x:c r="A229" s="191" t="str">
        <x:v>CTA-LMFT-MQB-0228</x:v>
      </x:c>
      <x:c r="B229" s="192" t="str">
        <x:v>LMFT-MQB-FA-CP-011</x:v>
      </x:c>
      <x:c r="C229" s="193" t="n">
        <x:v>46228</x:v>
      </x:c>
      <x:c r="D229" s="192" t="str">
        <x:v>Imported into LMFT master inventory</x:v>
      </x:c>
      <x:c r="E229" s="192" t="str">
        <x:v>LMFT Comprehensive Simulation Form A</x:v>
      </x:c>
      <x:c r="F229" s="192" t="str">
        <x:v>1.0</x:v>
      </x:c>
      <x:c r="G229" s="192" t="n">
        <x:v>1</x:v>
      </x:c>
      <x:c r="H229" s="192" t="str">
        <x:v>Clinical Training Academy</x:v>
      </x:c>
      <x:c r="I229" s="194" t="str">
        <x:v>Source wording preserved; no silent item-content revision during inventory build.</x:v>
      </x:c>
    </x:row>
    <x:row r="230">
      <x:c r="A230" s="191" t="str">
        <x:v>CTA-LMFT-MQB-0229</x:v>
      </x:c>
      <x:c r="B230" s="192" t="str">
        <x:v>LMFT-MQB-FA-TX-015</x:v>
      </x:c>
      <x:c r="C230" s="193" t="n">
        <x:v>46228</x:v>
      </x:c>
      <x:c r="D230" s="192" t="str">
        <x:v>Imported into LMFT master inventory</x:v>
      </x:c>
      <x:c r="E230" s="192" t="str">
        <x:v>LMFT Comprehensive Simulation Form A</x:v>
      </x:c>
      <x:c r="F230" s="192" t="str">
        <x:v>1.0</x:v>
      </x:c>
      <x:c r="G230" s="192" t="n">
        <x:v>1</x:v>
      </x:c>
      <x:c r="H230" s="192" t="str">
        <x:v>Clinical Training Academy</x:v>
      </x:c>
      <x:c r="I230" s="194" t="str">
        <x:v>Source wording preserved; no silent item-content revision during inventory build.</x:v>
      </x:c>
    </x:row>
    <x:row r="231">
      <x:c r="A231" s="191" t="str">
        <x:v>CTA-LMFT-MQB-0230</x:v>
      </x:c>
      <x:c r="B231" s="192" t="str">
        <x:v>LMFT-MQB-FA-CE-034</x:v>
      </x:c>
      <x:c r="C231" s="193" t="n">
        <x:v>46228</x:v>
      </x:c>
      <x:c r="D231" s="192" t="str">
        <x:v>Imported into LMFT master inventory</x:v>
      </x:c>
      <x:c r="E231" s="192" t="str">
        <x:v>LMFT Comprehensive Simulation Form A</x:v>
      </x:c>
      <x:c r="F231" s="192" t="str">
        <x:v>1.0</x:v>
      </x:c>
      <x:c r="G231" s="192" t="n">
        <x:v>1</x:v>
      </x:c>
      <x:c r="H231" s="192" t="str">
        <x:v>Clinical Training Academy</x:v>
      </x:c>
      <x:c r="I231" s="194" t="str">
        <x:v>Source wording preserved; no silent item-content revision during inventory build.</x:v>
      </x:c>
    </x:row>
    <x:row r="232">
      <x:c r="A232" s="191" t="str">
        <x:v>CTA-LMFT-MQB-0231</x:v>
      </x:c>
      <x:c r="B232" s="192" t="str">
        <x:v>LMFT-MQB-FA-TX-013</x:v>
      </x:c>
      <x:c r="C232" s="193" t="n">
        <x:v>46228</x:v>
      </x:c>
      <x:c r="D232" s="192" t="str">
        <x:v>Imported into LMFT master inventory</x:v>
      </x:c>
      <x:c r="E232" s="192" t="str">
        <x:v>LMFT Comprehensive Simulation Form A</x:v>
      </x:c>
      <x:c r="F232" s="192" t="str">
        <x:v>1.0</x:v>
      </x:c>
      <x:c r="G232" s="192" t="n">
        <x:v>1</x:v>
      </x:c>
      <x:c r="H232" s="192" t="str">
        <x:v>Clinical Training Academy</x:v>
      </x:c>
      <x:c r="I232" s="194" t="str">
        <x:v>Source wording preserved; no silent item-content revision during inventory build.</x:v>
      </x:c>
    </x:row>
    <x:row r="233">
      <x:c r="A233" s="191" t="str">
        <x:v>CTA-LMFT-MQB-0232</x:v>
      </x:c>
      <x:c r="B233" s="192" t="str">
        <x:v>LMFT-MQB-FA-LE-002</x:v>
      </x:c>
      <x:c r="C233" s="193" t="n">
        <x:v>46228</x:v>
      </x:c>
      <x:c r="D233" s="192" t="str">
        <x:v>Imported into LMFT master inventory</x:v>
      </x:c>
      <x:c r="E233" s="192" t="str">
        <x:v>LMFT Comprehensive Simulation Form A</x:v>
      </x:c>
      <x:c r="F233" s="192" t="str">
        <x:v>1.0</x:v>
      </x:c>
      <x:c r="G233" s="192" t="n">
        <x:v>1</x:v>
      </x:c>
      <x:c r="H233" s="192" t="str">
        <x:v>Clinical Training Academy</x:v>
      </x:c>
      <x:c r="I233" s="194" t="str">
        <x:v>Source wording preserved; no silent item-content revision during inventory build.</x:v>
      </x:c>
    </x:row>
    <x:row r="234">
      <x:c r="A234" s="191" t="str">
        <x:v>CTA-LMFT-MQB-0233</x:v>
      </x:c>
      <x:c r="B234" s="192" t="str">
        <x:v>LMFT-MQB-FA-TX-020</x:v>
      </x:c>
      <x:c r="C234" s="193" t="n">
        <x:v>46228</x:v>
      </x:c>
      <x:c r="D234" s="192" t="str">
        <x:v>Imported into LMFT master inventory</x:v>
      </x:c>
      <x:c r="E234" s="192" t="str">
        <x:v>LMFT Comprehensive Simulation Form A</x:v>
      </x:c>
      <x:c r="F234" s="192" t="str">
        <x:v>1.0</x:v>
      </x:c>
      <x:c r="G234" s="192" t="n">
        <x:v>1</x:v>
      </x:c>
      <x:c r="H234" s="192" t="str">
        <x:v>Clinical Training Academy</x:v>
      </x:c>
      <x:c r="I234" s="194" t="str">
        <x:v>Source wording preserved; no silent item-content revision during inventory build.</x:v>
      </x:c>
    </x:row>
    <x:row r="235">
      <x:c r="A235" s="191" t="str">
        <x:v>CTA-LMFT-MQB-0234</x:v>
      </x:c>
      <x:c r="B235" s="192" t="str">
        <x:v>LMFT-MQB-FA-DI-005</x:v>
      </x:c>
      <x:c r="C235" s="193" t="n">
        <x:v>46228</x:v>
      </x:c>
      <x:c r="D235" s="192" t="str">
        <x:v>Imported into LMFT master inventory</x:v>
      </x:c>
      <x:c r="E235" s="192" t="str">
        <x:v>LMFT Comprehensive Simulation Form A</x:v>
      </x:c>
      <x:c r="F235" s="192" t="str">
        <x:v>1.0</x:v>
      </x:c>
      <x:c r="G235" s="192" t="n">
        <x:v>1</x:v>
      </x:c>
      <x:c r="H235" s="192" t="str">
        <x:v>Clinical Training Academy</x:v>
      </x:c>
      <x:c r="I235" s="194" t="str">
        <x:v>Source wording preserved; no silent item-content revision during inventory build.</x:v>
      </x:c>
    </x:row>
    <x:row r="236">
      <x:c r="A236" s="191" t="str">
        <x:v>CTA-LMFT-MQB-0235</x:v>
      </x:c>
      <x:c r="B236" s="192" t="str">
        <x:v>LMFT-MQB-FA-TX-041</x:v>
      </x:c>
      <x:c r="C236" s="193" t="n">
        <x:v>46228</x:v>
      </x:c>
      <x:c r="D236" s="192" t="str">
        <x:v>Imported into LMFT master inventory</x:v>
      </x:c>
      <x:c r="E236" s="192" t="str">
        <x:v>LMFT Comprehensive Simulation Form A</x:v>
      </x:c>
      <x:c r="F236" s="192" t="str">
        <x:v>1.0</x:v>
      </x:c>
      <x:c r="G236" s="192" t="n">
        <x:v>1</x:v>
      </x:c>
      <x:c r="H236" s="192" t="str">
        <x:v>Clinical Training Academy</x:v>
      </x:c>
      <x:c r="I236" s="194" t="str">
        <x:v>Source wording preserved; no silent item-content revision during inventory build.</x:v>
      </x:c>
    </x:row>
    <x:row r="237">
      <x:c r="A237" s="191" t="str">
        <x:v>CTA-LMFT-MQB-0236</x:v>
      </x:c>
      <x:c r="B237" s="192" t="str">
        <x:v>LMFT-MQB-FA-CP-013</x:v>
      </x:c>
      <x:c r="C237" s="193" t="n">
        <x:v>46228</x:v>
      </x:c>
      <x:c r="D237" s="192" t="str">
        <x:v>Imported into LMFT master inventory</x:v>
      </x:c>
      <x:c r="E237" s="192" t="str">
        <x:v>LMFT Comprehensive Simulation Form A</x:v>
      </x:c>
      <x:c r="F237" s="192" t="str">
        <x:v>1.0</x:v>
      </x:c>
      <x:c r="G237" s="192" t="n">
        <x:v>1</x:v>
      </x:c>
      <x:c r="H237" s="192" t="str">
        <x:v>Clinical Training Academy</x:v>
      </x:c>
      <x:c r="I237" s="194" t="str">
        <x:v>Source wording preserved; no silent item-content revision during inventory build.</x:v>
      </x:c>
    </x:row>
    <x:row r="238">
      <x:c r="A238" s="191" t="str">
        <x:v>CTA-LMFT-MQB-0237</x:v>
      </x:c>
      <x:c r="B238" s="192" t="str">
        <x:v>LMFT-MQB-FA-LE-015</x:v>
      </x:c>
      <x:c r="C238" s="193" t="n">
        <x:v>46228</x:v>
      </x:c>
      <x:c r="D238" s="192" t="str">
        <x:v>Imported into LMFT master inventory</x:v>
      </x:c>
      <x:c r="E238" s="192" t="str">
        <x:v>LMFT Comprehensive Simulation Form A</x:v>
      </x:c>
      <x:c r="F238" s="192" t="str">
        <x:v>1.0</x:v>
      </x:c>
      <x:c r="G238" s="192" t="n">
        <x:v>1</x:v>
      </x:c>
      <x:c r="H238" s="192" t="str">
        <x:v>Clinical Training Academy</x:v>
      </x:c>
      <x:c r="I238" s="194" t="str">
        <x:v>Source wording preserved; no silent item-content revision during inventory build.</x:v>
      </x:c>
    </x:row>
    <x:row r="239">
      <x:c r="A239" s="191" t="str">
        <x:v>CTA-LMFT-MQB-0238</x:v>
      </x:c>
      <x:c r="B239" s="192" t="str">
        <x:v>LMFT-MQB-FA-TX-029</x:v>
      </x:c>
      <x:c r="C239" s="193" t="n">
        <x:v>46228</x:v>
      </x:c>
      <x:c r="D239" s="192" t="str">
        <x:v>Imported into LMFT master inventory</x:v>
      </x:c>
      <x:c r="E239" s="192" t="str">
        <x:v>LMFT Comprehensive Simulation Form A</x:v>
      </x:c>
      <x:c r="F239" s="192" t="str">
        <x:v>1.0</x:v>
      </x:c>
      <x:c r="G239" s="192" t="n">
        <x:v>1</x:v>
      </x:c>
      <x:c r="H239" s="192" t="str">
        <x:v>Clinical Training Academy</x:v>
      </x:c>
      <x:c r="I239" s="194" t="str">
        <x:v>Source wording preserved; no silent item-content revision during inventory build.</x:v>
      </x:c>
    </x:row>
    <x:row r="240">
      <x:c r="A240" s="191" t="str">
        <x:v>CTA-LMFT-MQB-0239</x:v>
      </x:c>
      <x:c r="B240" s="192" t="str">
        <x:v>LMFT-MQB-FA-DI-009</x:v>
      </x:c>
      <x:c r="C240" s="193" t="n">
        <x:v>46228</x:v>
      </x:c>
      <x:c r="D240" s="192" t="str">
        <x:v>Imported into LMFT master inventory</x:v>
      </x:c>
      <x:c r="E240" s="192" t="str">
        <x:v>LMFT Comprehensive Simulation Form A</x:v>
      </x:c>
      <x:c r="F240" s="192" t="str">
        <x:v>1.0</x:v>
      </x:c>
      <x:c r="G240" s="192" t="n">
        <x:v>1</x:v>
      </x:c>
      <x:c r="H240" s="192" t="str">
        <x:v>Clinical Training Academy</x:v>
      </x:c>
      <x:c r="I240" s="194" t="str">
        <x:v>Source wording preserved; no silent item-content revision during inventory build.</x:v>
      </x:c>
    </x:row>
    <x:row r="241">
      <x:c r="A241" s="191" t="str">
        <x:v>CTA-LMFT-MQB-0240</x:v>
      </x:c>
      <x:c r="B241" s="192" t="str">
        <x:v>LMFT-MQB-FA-TX-032</x:v>
      </x:c>
      <x:c r="C241" s="193" t="n">
        <x:v>46228</x:v>
      </x:c>
      <x:c r="D241" s="192" t="str">
        <x:v>Imported into LMFT master inventory</x:v>
      </x:c>
      <x:c r="E241" s="192" t="str">
        <x:v>LMFT Comprehensive Simulation Form A</x:v>
      </x:c>
      <x:c r="F241" s="192" t="str">
        <x:v>1.0</x:v>
      </x:c>
      <x:c r="G241" s="192" t="n">
        <x:v>1</x:v>
      </x:c>
      <x:c r="H241" s="192" t="str">
        <x:v>Clinical Training Academy</x:v>
      </x:c>
      <x:c r="I241" s="194" t="str">
        <x:v>Source wording preserved; no silent item-content revision during inventory build.</x:v>
      </x:c>
    </x:row>
    <x:row r="242">
      <x:c r="A242" s="191" t="str">
        <x:v>CTA-LMFT-MQB-0241</x:v>
      </x:c>
      <x:c r="B242" s="192" t="str">
        <x:v>LMFT-MQB-FA-CE-029</x:v>
      </x:c>
      <x:c r="C242" s="193" t="n">
        <x:v>46228</x:v>
      </x:c>
      <x:c r="D242" s="192" t="str">
        <x:v>Imported into LMFT master inventory</x:v>
      </x:c>
      <x:c r="E242" s="192" t="str">
        <x:v>LMFT Comprehensive Simulation Form A</x:v>
      </x:c>
      <x:c r="F242" s="192" t="str">
        <x:v>1.0</x:v>
      </x:c>
      <x:c r="G242" s="192" t="n">
        <x:v>1</x:v>
      </x:c>
      <x:c r="H242" s="192" t="str">
        <x:v>Clinical Training Academy</x:v>
      </x:c>
      <x:c r="I242" s="194" t="str">
        <x:v>Source wording preserved; no silent item-content revision during inventory build.</x:v>
      </x:c>
    </x:row>
    <x:row r="243">
      <x:c r="A243" s="191" t="str">
        <x:v>CTA-LMFT-MQB-0242</x:v>
      </x:c>
      <x:c r="B243" s="192" t="str">
        <x:v>LMFT-MQB-FA-LE-013</x:v>
      </x:c>
      <x:c r="C243" s="193" t="n">
        <x:v>46228</x:v>
      </x:c>
      <x:c r="D243" s="192" t="str">
        <x:v>Imported into LMFT master inventory</x:v>
      </x:c>
      <x:c r="E243" s="192" t="str">
        <x:v>LMFT Comprehensive Simulation Form A</x:v>
      </x:c>
      <x:c r="F243" s="192" t="str">
        <x:v>1.0</x:v>
      </x:c>
      <x:c r="G243" s="192" t="n">
        <x:v>1</x:v>
      </x:c>
      <x:c r="H243" s="192" t="str">
        <x:v>Clinical Training Academy</x:v>
      </x:c>
      <x:c r="I243" s="194" t="str">
        <x:v>Source wording preserved; no silent item-content revision during inventory build.</x:v>
      </x:c>
    </x:row>
    <x:row r="244">
      <x:c r="A244" s="191" t="str">
        <x:v>CTA-LMFT-MQB-0243</x:v>
      </x:c>
      <x:c r="B244" s="192" t="str">
        <x:v>LMFT-MQB-FA-TX-036</x:v>
      </x:c>
      <x:c r="C244" s="193" t="n">
        <x:v>46228</x:v>
      </x:c>
      <x:c r="D244" s="192" t="str">
        <x:v>Imported into LMFT master inventory</x:v>
      </x:c>
      <x:c r="E244" s="192" t="str">
        <x:v>LMFT Comprehensive Simulation Form A</x:v>
      </x:c>
      <x:c r="F244" s="192" t="str">
        <x:v>1.0</x:v>
      </x:c>
      <x:c r="G244" s="192" t="n">
        <x:v>1</x:v>
      </x:c>
      <x:c r="H244" s="192" t="str">
        <x:v>Clinical Training Academy</x:v>
      </x:c>
      <x:c r="I244" s="194" t="str">
        <x:v>Source wording preserved; no silent item-content revision during inventory build.</x:v>
      </x:c>
    </x:row>
    <x:row r="245">
      <x:c r="A245" s="191" t="str">
        <x:v>CTA-LMFT-MQB-0244</x:v>
      </x:c>
      <x:c r="B245" s="192" t="str">
        <x:v>LMFT-MQB-FA-DI-006</x:v>
      </x:c>
      <x:c r="C245" s="193" t="n">
        <x:v>46228</x:v>
      </x:c>
      <x:c r="D245" s="192" t="str">
        <x:v>Imported into LMFT master inventory</x:v>
      </x:c>
      <x:c r="E245" s="192" t="str">
        <x:v>LMFT Comprehensive Simulation Form A</x:v>
      </x:c>
      <x:c r="F245" s="192" t="str">
        <x:v>1.0</x:v>
      </x:c>
      <x:c r="G245" s="192" t="n">
        <x:v>1</x:v>
      </x:c>
      <x:c r="H245" s="192" t="str">
        <x:v>Clinical Training Academy</x:v>
      </x:c>
      <x:c r="I245" s="194" t="str">
        <x:v>Source wording preserved; no silent item-content revision during inventory build.</x:v>
      </x:c>
    </x:row>
    <x:row r="246">
      <x:c r="A246" s="191" t="str">
        <x:v>CTA-LMFT-MQB-0245</x:v>
      </x:c>
      <x:c r="B246" s="192" t="str">
        <x:v>LMFT-MQB-FA-LE-010</x:v>
      </x:c>
      <x:c r="C246" s="193" t="n">
        <x:v>46228</x:v>
      </x:c>
      <x:c r="D246" s="192" t="str">
        <x:v>Imported into LMFT master inventory</x:v>
      </x:c>
      <x:c r="E246" s="192" t="str">
        <x:v>LMFT Comprehensive Simulation Form A</x:v>
      </x:c>
      <x:c r="F246" s="192" t="str">
        <x:v>1.0</x:v>
      </x:c>
      <x:c r="G246" s="192" t="n">
        <x:v>1</x:v>
      </x:c>
      <x:c r="H246" s="192" t="str">
        <x:v>Clinical Training Academy</x:v>
      </x:c>
      <x:c r="I246" s="194" t="str">
        <x:v>Source wording preserved; no silent item-content revision during inventory build.</x:v>
      </x:c>
    </x:row>
    <x:row r="247">
      <x:c r="A247" s="191" t="str">
        <x:v>CTA-LMFT-MQB-0246</x:v>
      </x:c>
      <x:c r="B247" s="192" t="str">
        <x:v>LMFT-MQB-FA-CE-027</x:v>
      </x:c>
      <x:c r="C247" s="193" t="n">
        <x:v>46228</x:v>
      </x:c>
      <x:c r="D247" s="192" t="str">
        <x:v>Imported into LMFT master inventory</x:v>
      </x:c>
      <x:c r="E247" s="192" t="str">
        <x:v>LMFT Comprehensive Simulation Form A</x:v>
      </x:c>
      <x:c r="F247" s="192" t="str">
        <x:v>1.0</x:v>
      </x:c>
      <x:c r="G247" s="192" t="n">
        <x:v>1</x:v>
      </x:c>
      <x:c r="H247" s="192" t="str">
        <x:v>Clinical Training Academy</x:v>
      </x:c>
      <x:c r="I247" s="194" t="str">
        <x:v>Source wording preserved; no silent item-content revision during inventory build.</x:v>
      </x:c>
    </x:row>
    <x:row r="248">
      <x:c r="A248" s="191" t="str">
        <x:v>CTA-LMFT-MQB-0247</x:v>
      </x:c>
      <x:c r="B248" s="192" t="str">
        <x:v>LMFT-MQB-FA-CE-019</x:v>
      </x:c>
      <x:c r="C248" s="193" t="n">
        <x:v>46228</x:v>
      </x:c>
      <x:c r="D248" s="192" t="str">
        <x:v>Imported into LMFT master inventory</x:v>
      </x:c>
      <x:c r="E248" s="192" t="str">
        <x:v>LMFT Comprehensive Simulation Form A</x:v>
      </x:c>
      <x:c r="F248" s="192" t="str">
        <x:v>1.0</x:v>
      </x:c>
      <x:c r="G248" s="192" t="n">
        <x:v>1</x:v>
      </x:c>
      <x:c r="H248" s="192" t="str">
        <x:v>Clinical Training Academy</x:v>
      </x:c>
      <x:c r="I248" s="194" t="str">
        <x:v>Source wording preserved; no silent item-content revision during inventory build.</x:v>
      </x:c>
    </x:row>
    <x:row r="249">
      <x:c r="A249" s="191" t="str">
        <x:v>CTA-LMFT-MQB-0248</x:v>
      </x:c>
      <x:c r="B249" s="192" t="str">
        <x:v>LMFT-MQB-FA-CP-015</x:v>
      </x:c>
      <x:c r="C249" s="193" t="n">
        <x:v>46228</x:v>
      </x:c>
      <x:c r="D249" s="192" t="str">
        <x:v>Imported into LMFT master inventory</x:v>
      </x:c>
      <x:c r="E249" s="192" t="str">
        <x:v>LMFT Comprehensive Simulation Form A</x:v>
      </x:c>
      <x:c r="F249" s="192" t="str">
        <x:v>1.0</x:v>
      </x:c>
      <x:c r="G249" s="192" t="n">
        <x:v>1</x:v>
      </x:c>
      <x:c r="H249" s="192" t="str">
        <x:v>Clinical Training Academy</x:v>
      </x:c>
      <x:c r="I249" s="194" t="str">
        <x:v>Source wording preserved; no silent item-content revision during inventory build.</x:v>
      </x:c>
    </x:row>
    <x:row r="250">
      <x:c r="A250" s="191" t="str">
        <x:v>CTA-LMFT-MQB-0249</x:v>
      </x:c>
      <x:c r="B250" s="192" t="str">
        <x:v>LMFT-MQB-FA-CR-007</x:v>
      </x:c>
      <x:c r="C250" s="193" t="n">
        <x:v>46228</x:v>
      </x:c>
      <x:c r="D250" s="192" t="str">
        <x:v>Imported into LMFT master inventory</x:v>
      </x:c>
      <x:c r="E250" s="192" t="str">
        <x:v>LMFT Comprehensive Simulation Form A</x:v>
      </x:c>
      <x:c r="F250" s="192" t="str">
        <x:v>1.0</x:v>
      </x:c>
      <x:c r="G250" s="192" t="n">
        <x:v>1</x:v>
      </x:c>
      <x:c r="H250" s="192" t="str">
        <x:v>Clinical Training Academy</x:v>
      </x:c>
      <x:c r="I250" s="194" t="str">
        <x:v>Source wording preserved; no silent item-content revision during inventory build.</x:v>
      </x:c>
    </x:row>
    <x:row r="251">
      <x:c r="A251" s="191" t="str">
        <x:v>CTA-LMFT-MQB-0250</x:v>
      </x:c>
      <x:c r="B251" s="192" t="str">
        <x:v>LMFT-MQB-FA-CE-041</x:v>
      </x:c>
      <x:c r="C251" s="193" t="n">
        <x:v>46228</x:v>
      </x:c>
      <x:c r="D251" s="192" t="str">
        <x:v>Imported into LMFT master inventory</x:v>
      </x:c>
      <x:c r="E251" s="192" t="str">
        <x:v>LMFT Comprehensive Simulation Form A</x:v>
      </x:c>
      <x:c r="F251" s="192" t="str">
        <x:v>1.0</x:v>
      </x:c>
      <x:c r="G251" s="192" t="n">
        <x:v>1</x:v>
      </x:c>
      <x:c r="H251" s="192" t="str">
        <x:v>Clinical Training Academy</x:v>
      </x:c>
      <x:c r="I251" s="194" t="str">
        <x:v>Source wording preserved; no silent item-content revision during inventory build.</x:v>
      </x:c>
    </x:row>
    <x:row r="252">
      <x:c r="A252" s="191" t="str">
        <x:v>CTA-LMFT-MQB-0251</x:v>
      </x:c>
      <x:c r="B252" s="192" t="str">
        <x:v>LMFT-MQB-FA-CP-012</x:v>
      </x:c>
      <x:c r="C252" s="193" t="n">
        <x:v>46228</x:v>
      </x:c>
      <x:c r="D252" s="192" t="str">
        <x:v>Imported into LMFT master inventory</x:v>
      </x:c>
      <x:c r="E252" s="192" t="str">
        <x:v>LMFT Comprehensive Simulation Form A</x:v>
      </x:c>
      <x:c r="F252" s="192" t="str">
        <x:v>1.0</x:v>
      </x:c>
      <x:c r="G252" s="192" t="n">
        <x:v>1</x:v>
      </x:c>
      <x:c r="H252" s="192" t="str">
        <x:v>Clinical Training Academy</x:v>
      </x:c>
      <x:c r="I252" s="194" t="str">
        <x:v>Source wording preserved; no silent item-content revision during inventory build.</x:v>
      </x:c>
    </x:row>
    <x:row r="253">
      <x:c r="A253" s="191" t="str">
        <x:v>CTA-LMFT-MQB-0252</x:v>
      </x:c>
      <x:c r="B253" s="192" t="str">
        <x:v>LMFT-MQB-FA-CE-021</x:v>
      </x:c>
      <x:c r="C253" s="193" t="n">
        <x:v>46228</x:v>
      </x:c>
      <x:c r="D253" s="192" t="str">
        <x:v>Imported into LMFT master inventory</x:v>
      </x:c>
      <x:c r="E253" s="192" t="str">
        <x:v>LMFT Comprehensive Simulation Form A</x:v>
      </x:c>
      <x:c r="F253" s="192" t="str">
        <x:v>1.0</x:v>
      </x:c>
      <x:c r="G253" s="192" t="n">
        <x:v>1</x:v>
      </x:c>
      <x:c r="H253" s="192" t="str">
        <x:v>Clinical Training Academy</x:v>
      </x:c>
      <x:c r="I253" s="194" t="str">
        <x:v>Source wording preserved; no silent item-content revision during inventory build.</x:v>
      </x:c>
    </x:row>
    <x:row r="254">
      <x:c r="A254" s="191" t="str">
        <x:v>CTA-LMFT-MQB-0253</x:v>
      </x:c>
      <x:c r="B254" s="192" t="str">
        <x:v>LMFT-MQB-FA-LE-006</x:v>
      </x:c>
      <x:c r="C254" s="193" t="n">
        <x:v>46228</x:v>
      </x:c>
      <x:c r="D254" s="192" t="str">
        <x:v>Imported into LMFT master inventory</x:v>
      </x:c>
      <x:c r="E254" s="192" t="str">
        <x:v>LMFT Comprehensive Simulation Form A</x:v>
      </x:c>
      <x:c r="F254" s="192" t="str">
        <x:v>1.0</x:v>
      </x:c>
      <x:c r="G254" s="192" t="n">
        <x:v>1</x:v>
      </x:c>
      <x:c r="H254" s="192" t="str">
        <x:v>Clinical Training Academy</x:v>
      </x:c>
      <x:c r="I254" s="194" t="str">
        <x:v>Source wording preserved; no silent item-content revision during inventory build.</x:v>
      </x:c>
    </x:row>
    <x:row r="255">
      <x:c r="A255" s="191" t="str">
        <x:v>CTA-LMFT-MQB-0254</x:v>
      </x:c>
      <x:c r="B255" s="192" t="str">
        <x:v>LMFT-MQB-FA-CE-031</x:v>
      </x:c>
      <x:c r="C255" s="193" t="n">
        <x:v>46228</x:v>
      </x:c>
      <x:c r="D255" s="192" t="str">
        <x:v>Imported into LMFT master inventory</x:v>
      </x:c>
      <x:c r="E255" s="192" t="str">
        <x:v>LMFT Comprehensive Simulation Form A</x:v>
      </x:c>
      <x:c r="F255" s="192" t="str">
        <x:v>1.0</x:v>
      </x:c>
      <x:c r="G255" s="192" t="n">
        <x:v>1</x:v>
      </x:c>
      <x:c r="H255" s="192" t="str">
        <x:v>Clinical Training Academy</x:v>
      </x:c>
      <x:c r="I255" s="194" t="str">
        <x:v>Source wording preserved; no silent item-content revision during inventory build.</x:v>
      </x:c>
    </x:row>
    <x:row r="256">
      <x:c r="A256" s="191" t="str">
        <x:v>CTA-LMFT-MQB-0255</x:v>
      </x:c>
      <x:c r="B256" s="192" t="str">
        <x:v>LMFT-MQB-FA-TX-009</x:v>
      </x:c>
      <x:c r="C256" s="193" t="n">
        <x:v>46228</x:v>
      </x:c>
      <x:c r="D256" s="192" t="str">
        <x:v>Imported into LMFT master inventory</x:v>
      </x:c>
      <x:c r="E256" s="192" t="str">
        <x:v>LMFT Comprehensive Simulation Form A</x:v>
      </x:c>
      <x:c r="F256" s="192" t="str">
        <x:v>1.0</x:v>
      </x:c>
      <x:c r="G256" s="192" t="n">
        <x:v>1</x:v>
      </x:c>
      <x:c r="H256" s="192" t="str">
        <x:v>Clinical Training Academy</x:v>
      </x:c>
      <x:c r="I256" s="194" t="str">
        <x:v>Source wording preserved; no silent item-content revision during inventory build.</x:v>
      </x:c>
    </x:row>
    <x:row r="257">
      <x:c r="A257" s="191" t="str">
        <x:v>CTA-LMFT-MQB-0256</x:v>
      </x:c>
      <x:c r="B257" s="192" t="str">
        <x:v>LMFT-MQB-FA-CR-013</x:v>
      </x:c>
      <x:c r="C257" s="193" t="n">
        <x:v>46228</x:v>
      </x:c>
      <x:c r="D257" s="192" t="str">
        <x:v>Imported into LMFT master inventory</x:v>
      </x:c>
      <x:c r="E257" s="192" t="str">
        <x:v>LMFT Comprehensive Simulation Form A</x:v>
      </x:c>
      <x:c r="F257" s="192" t="str">
        <x:v>1.0</x:v>
      </x:c>
      <x:c r="G257" s="192" t="n">
        <x:v>1</x:v>
      </x:c>
      <x:c r="H257" s="192" t="str">
        <x:v>Clinical Training Academy</x:v>
      </x:c>
      <x:c r="I257" s="194" t="str">
        <x:v>Source wording preserved; no silent item-content revision during inventory build.</x:v>
      </x:c>
    </x:row>
    <x:row r="258">
      <x:c r="A258" s="191" t="str">
        <x:v>CTA-LMFT-MQB-0257</x:v>
      </x:c>
      <x:c r="B258" s="192" t="str">
        <x:v>LMFT-MQB-FA-CE-011</x:v>
      </x:c>
      <x:c r="C258" s="193" t="n">
        <x:v>46228</x:v>
      </x:c>
      <x:c r="D258" s="192" t="str">
        <x:v>Imported into LMFT master inventory</x:v>
      </x:c>
      <x:c r="E258" s="192" t="str">
        <x:v>LMFT Comprehensive Simulation Form A</x:v>
      </x:c>
      <x:c r="F258" s="192" t="str">
        <x:v>1.0</x:v>
      </x:c>
      <x:c r="G258" s="192" t="n">
        <x:v>1</x:v>
      </x:c>
      <x:c r="H258" s="192" t="str">
        <x:v>Clinical Training Academy</x:v>
      </x:c>
      <x:c r="I258" s="194" t="str">
        <x:v>Source wording preserved; no silent item-content revision during inventory build.</x:v>
      </x:c>
    </x:row>
    <x:row r="259">
      <x:c r="A259" s="191" t="str">
        <x:v>CTA-LMFT-MQB-0258</x:v>
      </x:c>
      <x:c r="B259" s="192" t="str">
        <x:v>LMFT-MQB-FA-TX-030</x:v>
      </x:c>
      <x:c r="C259" s="193" t="n">
        <x:v>46228</x:v>
      </x:c>
      <x:c r="D259" s="192" t="str">
        <x:v>Imported into LMFT master inventory</x:v>
      </x:c>
      <x:c r="E259" s="192" t="str">
        <x:v>LMFT Comprehensive Simulation Form A</x:v>
      </x:c>
      <x:c r="F259" s="192" t="str">
        <x:v>1.0</x:v>
      </x:c>
      <x:c r="G259" s="192" t="n">
        <x:v>1</x:v>
      </x:c>
      <x:c r="H259" s="192" t="str">
        <x:v>Clinical Training Academy</x:v>
      </x:c>
      <x:c r="I259" s="194" t="str">
        <x:v>Source wording preserved; no silent item-content revision during inventory build.</x:v>
      </x:c>
    </x:row>
    <x:row r="260">
      <x:c r="A260" s="191" t="str">
        <x:v>CTA-LMFT-MQB-0259</x:v>
      </x:c>
      <x:c r="B260" s="192" t="str">
        <x:v>LMFT-MQB-FA-LE-004</x:v>
      </x:c>
      <x:c r="C260" s="193" t="n">
        <x:v>46228</x:v>
      </x:c>
      <x:c r="D260" s="192" t="str">
        <x:v>Imported into LMFT master inventory</x:v>
      </x:c>
      <x:c r="E260" s="192" t="str">
        <x:v>LMFT Comprehensive Simulation Form A</x:v>
      </x:c>
      <x:c r="F260" s="192" t="str">
        <x:v>1.0</x:v>
      </x:c>
      <x:c r="G260" s="192" t="n">
        <x:v>1</x:v>
      </x:c>
      <x:c r="H260" s="192" t="str">
        <x:v>Clinical Training Academy</x:v>
      </x:c>
      <x:c r="I260" s="194" t="str">
        <x:v>Source wording preserved; no silent item-content revision during inventory build.</x:v>
      </x:c>
    </x:row>
    <x:row r="261">
      <x:c r="A261" s="191" t="str">
        <x:v>CTA-LMFT-MQB-0260</x:v>
      </x:c>
      <x:c r="B261" s="192" t="str">
        <x:v>LMFT-MQB-FA-TX-039</x:v>
      </x:c>
      <x:c r="C261" s="193" t="n">
        <x:v>46228</x:v>
      </x:c>
      <x:c r="D261" s="192" t="str">
        <x:v>Imported into LMFT master inventory</x:v>
      </x:c>
      <x:c r="E261" s="192" t="str">
        <x:v>LMFT Comprehensive Simulation Form A</x:v>
      </x:c>
      <x:c r="F261" s="192" t="str">
        <x:v>1.0</x:v>
      </x:c>
      <x:c r="G261" s="192" t="n">
        <x:v>1</x:v>
      </x:c>
      <x:c r="H261" s="192" t="str">
        <x:v>Clinical Training Academy</x:v>
      </x:c>
      <x:c r="I261" s="194" t="str">
        <x:v>Source wording preserved; no silent item-content revision during inventory build.</x:v>
      </x:c>
    </x:row>
    <x:row r="262">
      <x:c r="A262" s="191" t="str">
        <x:v>CTA-LMFT-MQB-0261</x:v>
      </x:c>
      <x:c r="B262" s="192" t="str">
        <x:v>LMFT-MQB-FA-CE-032</x:v>
      </x:c>
      <x:c r="C262" s="193" t="n">
        <x:v>46228</x:v>
      </x:c>
      <x:c r="D262" s="192" t="str">
        <x:v>Imported into LMFT master inventory</x:v>
      </x:c>
      <x:c r="E262" s="192" t="str">
        <x:v>LMFT Comprehensive Simulation Form A</x:v>
      </x:c>
      <x:c r="F262" s="192" t="str">
        <x:v>1.0</x:v>
      </x:c>
      <x:c r="G262" s="192" t="n">
        <x:v>1</x:v>
      </x:c>
      <x:c r="H262" s="192" t="str">
        <x:v>Clinical Training Academy</x:v>
      </x:c>
      <x:c r="I262" s="194" t="str">
        <x:v>Source wording preserved; no silent item-content revision during inventory build.</x:v>
      </x:c>
    </x:row>
    <x:row r="263">
      <x:c r="A263" s="191" t="str">
        <x:v>CTA-LMFT-MQB-0262</x:v>
      </x:c>
      <x:c r="B263" s="192" t="str">
        <x:v>LMFT-MQB-FA-CR-010</x:v>
      </x:c>
      <x:c r="C263" s="193" t="n">
        <x:v>46228</x:v>
      </x:c>
      <x:c r="D263" s="192" t="str">
        <x:v>Imported into LMFT master inventory</x:v>
      </x:c>
      <x:c r="E263" s="192" t="str">
        <x:v>LMFT Comprehensive Simulation Form A</x:v>
      </x:c>
      <x:c r="F263" s="192" t="str">
        <x:v>1.0</x:v>
      </x:c>
      <x:c r="G263" s="192" t="n">
        <x:v>1</x:v>
      </x:c>
      <x:c r="H263" s="192" t="str">
        <x:v>Clinical Training Academy</x:v>
      </x:c>
      <x:c r="I263" s="194" t="str">
        <x:v>Source wording preserved; no silent item-content revision during inventory build.</x:v>
      </x:c>
    </x:row>
    <x:row r="264">
      <x:c r="A264" s="191" t="str">
        <x:v>CTA-LMFT-MQB-0263</x:v>
      </x:c>
      <x:c r="B264" s="192" t="str">
        <x:v>LMFT-MQB-FA-TX-016</x:v>
      </x:c>
      <x:c r="C264" s="193" t="n">
        <x:v>46228</x:v>
      </x:c>
      <x:c r="D264" s="192" t="str">
        <x:v>Imported into LMFT master inventory</x:v>
      </x:c>
      <x:c r="E264" s="192" t="str">
        <x:v>LMFT Comprehensive Simulation Form A</x:v>
      </x:c>
      <x:c r="F264" s="192" t="str">
        <x:v>1.0</x:v>
      </x:c>
      <x:c r="G264" s="192" t="n">
        <x:v>1</x:v>
      </x:c>
      <x:c r="H264" s="192" t="str">
        <x:v>Clinical Training Academy</x:v>
      </x:c>
      <x:c r="I264" s="194" t="str">
        <x:v>Source wording preserved; no silent item-content revision during inventory build.</x:v>
      </x:c>
    </x:row>
    <x:row r="265">
      <x:c r="A265" s="191" t="str">
        <x:v>CTA-LMFT-MQB-0264</x:v>
      </x:c>
      <x:c r="B265" s="192" t="str">
        <x:v>LMFT-MQB-FA-CE-003</x:v>
      </x:c>
      <x:c r="C265" s="193" t="n">
        <x:v>46228</x:v>
      </x:c>
      <x:c r="D265" s="192" t="str">
        <x:v>Imported into LMFT master inventory</x:v>
      </x:c>
      <x:c r="E265" s="192" t="str">
        <x:v>LMFT Comprehensive Simulation Form A</x:v>
      </x:c>
      <x:c r="F265" s="192" t="str">
        <x:v>1.0</x:v>
      </x:c>
      <x:c r="G265" s="192" t="n">
        <x:v>1</x:v>
      </x:c>
      <x:c r="H265" s="192" t="str">
        <x:v>Clinical Training Academy</x:v>
      </x:c>
      <x:c r="I265" s="194" t="str">
        <x:v>Source wording preserved; no silent item-content revision during inventory build.</x:v>
      </x:c>
    </x:row>
    <x:row r="266">
      <x:c r="A266" s="191" t="str">
        <x:v>CTA-LMFT-MQB-0265</x:v>
      </x:c>
      <x:c r="B266" s="192" t="str">
        <x:v>LMFT-MQB-FA-CR-001</x:v>
      </x:c>
      <x:c r="C266" s="193" t="n">
        <x:v>46228</x:v>
      </x:c>
      <x:c r="D266" s="192" t="str">
        <x:v>Imported into LMFT master inventory</x:v>
      </x:c>
      <x:c r="E266" s="192" t="str">
        <x:v>LMFT Comprehensive Simulation Form A</x:v>
      </x:c>
      <x:c r="F266" s="192" t="str">
        <x:v>1.0</x:v>
      </x:c>
      <x:c r="G266" s="192" t="n">
        <x:v>1</x:v>
      </x:c>
      <x:c r="H266" s="192" t="str">
        <x:v>Clinical Training Academy</x:v>
      </x:c>
      <x:c r="I266" s="194" t="str">
        <x:v>Source wording preserved; no silent item-content revision during inventory build.</x:v>
      </x:c>
    </x:row>
    <x:row r="267">
      <x:c r="A267" s="191" t="str">
        <x:v>CTA-LMFT-MQB-0266</x:v>
      </x:c>
      <x:c r="B267" s="192" t="str">
        <x:v>LMFT-MQB-FA-CE-005</x:v>
      </x:c>
      <x:c r="C267" s="193" t="n">
        <x:v>46228</x:v>
      </x:c>
      <x:c r="D267" s="192" t="str">
        <x:v>Imported into LMFT master inventory</x:v>
      </x:c>
      <x:c r="E267" s="192" t="str">
        <x:v>LMFT Comprehensive Simulation Form A</x:v>
      </x:c>
      <x:c r="F267" s="192" t="str">
        <x:v>1.0</x:v>
      </x:c>
      <x:c r="G267" s="192" t="n">
        <x:v>1</x:v>
      </x:c>
      <x:c r="H267" s="192" t="str">
        <x:v>Clinical Training Academy</x:v>
      </x:c>
      <x:c r="I267" s="194" t="str">
        <x:v>Source wording preserved; no silent item-content revision during inventory build.</x:v>
      </x:c>
    </x:row>
    <x:row r="268">
      <x:c r="A268" s="191" t="str">
        <x:v>CTA-LMFT-MQB-0267</x:v>
      </x:c>
      <x:c r="B268" s="192" t="str">
        <x:v>LMFT-MQB-FA-TX-043</x:v>
      </x:c>
      <x:c r="C268" s="193" t="n">
        <x:v>46228</x:v>
      </x:c>
      <x:c r="D268" s="192" t="str">
        <x:v>Imported into LMFT master inventory</x:v>
      </x:c>
      <x:c r="E268" s="192" t="str">
        <x:v>LMFT Comprehensive Simulation Form A</x:v>
      </x:c>
      <x:c r="F268" s="192" t="str">
        <x:v>1.0</x:v>
      </x:c>
      <x:c r="G268" s="192" t="n">
        <x:v>1</x:v>
      </x:c>
      <x:c r="H268" s="192" t="str">
        <x:v>Clinical Training Academy</x:v>
      </x:c>
      <x:c r="I268" s="194" t="str">
        <x:v>Source wording preserved; no silent item-content revision during inventory build.</x:v>
      </x:c>
    </x:row>
    <x:row r="269">
      <x:c r="A269" s="191" t="str">
        <x:v>CTA-LMFT-MQB-0268</x:v>
      </x:c>
      <x:c r="B269" s="192" t="str">
        <x:v>LMFT-MQB-FA-CE-001</x:v>
      </x:c>
      <x:c r="C269" s="193" t="n">
        <x:v>46228</x:v>
      </x:c>
      <x:c r="D269" s="192" t="str">
        <x:v>Imported into LMFT master inventory</x:v>
      </x:c>
      <x:c r="E269" s="192" t="str">
        <x:v>LMFT Comprehensive Simulation Form A</x:v>
      </x:c>
      <x:c r="F269" s="192" t="str">
        <x:v>1.0</x:v>
      </x:c>
      <x:c r="G269" s="192" t="n">
        <x:v>1</x:v>
      </x:c>
      <x:c r="H269" s="192" t="str">
        <x:v>Clinical Training Academy</x:v>
      </x:c>
      <x:c r="I269" s="194" t="str">
        <x:v>Source wording preserved; no silent item-content revision during inventory build.</x:v>
      </x:c>
    </x:row>
    <x:row r="270">
      <x:c r="A270" s="191" t="str">
        <x:v>CTA-LMFT-MQB-0269</x:v>
      </x:c>
      <x:c r="B270" s="192" t="str">
        <x:v>LMFT-MQB-FA-TX-010</x:v>
      </x:c>
      <x:c r="C270" s="193" t="n">
        <x:v>46228</x:v>
      </x:c>
      <x:c r="D270" s="192" t="str">
        <x:v>Imported into LMFT master inventory</x:v>
      </x:c>
      <x:c r="E270" s="192" t="str">
        <x:v>LMFT Comprehensive Simulation Form A</x:v>
      </x:c>
      <x:c r="F270" s="192" t="str">
        <x:v>1.0</x:v>
      </x:c>
      <x:c r="G270" s="192" t="n">
        <x:v>1</x:v>
      </x:c>
      <x:c r="H270" s="192" t="str">
        <x:v>Clinical Training Academy</x:v>
      </x:c>
      <x:c r="I270" s="194" t="str">
        <x:v>Source wording preserved; no silent item-content revision during inventory build.</x:v>
      </x:c>
    </x:row>
    <x:row r="271">
      <x:c r="A271" s="191" t="str">
        <x:v>CTA-LMFT-MQB-0270</x:v>
      </x:c>
      <x:c r="B271" s="192" t="str">
        <x:v>LMFT-MQB-FA-CE-010</x:v>
      </x:c>
      <x:c r="C271" s="193" t="n">
        <x:v>46228</x:v>
      </x:c>
      <x:c r="D271" s="192" t="str">
        <x:v>Imported into LMFT master inventory</x:v>
      </x:c>
      <x:c r="E271" s="192" t="str">
        <x:v>LMFT Comprehensive Simulation Form A</x:v>
      </x:c>
      <x:c r="F271" s="192" t="str">
        <x:v>1.0</x:v>
      </x:c>
      <x:c r="G271" s="192" t="n">
        <x:v>1</x:v>
      </x:c>
      <x:c r="H271" s="192" t="str">
        <x:v>Clinical Training Academy</x:v>
      </x:c>
      <x:c r="I271" s="194" t="str">
        <x:v>Source wording preserved; no silent item-content revision during inventory build.</x:v>
      </x:c>
    </x:row>
    <x:row r="272">
      <x:c r="A272" s="191" t="str">
        <x:v>CTA-LMFT-MQB-0271</x:v>
      </x:c>
      <x:c r="B272" s="192" t="str">
        <x:v>LMFT-MQB-FA-TX-038</x:v>
      </x:c>
      <x:c r="C272" s="193" t="n">
        <x:v>46228</x:v>
      </x:c>
      <x:c r="D272" s="192" t="str">
        <x:v>Imported into LMFT master inventory</x:v>
      </x:c>
      <x:c r="E272" s="192" t="str">
        <x:v>LMFT Comprehensive Simulation Form A</x:v>
      </x:c>
      <x:c r="F272" s="192" t="str">
        <x:v>1.0</x:v>
      </x:c>
      <x:c r="G272" s="192" t="n">
        <x:v>1</x:v>
      </x:c>
      <x:c r="H272" s="192" t="str">
        <x:v>Clinical Training Academy</x:v>
      </x:c>
      <x:c r="I272" s="194" t="str">
        <x:v>Source wording preserved; no silent item-content revision during inventory build.</x:v>
      </x:c>
    </x:row>
    <x:row r="273">
      <x:c r="A273" s="191" t="str">
        <x:v>CTA-LMFT-MQB-0272</x:v>
      </x:c>
      <x:c r="B273" s="192" t="str">
        <x:v>LMFT-MQB-FA-CR-011</x:v>
      </x:c>
      <x:c r="C273" s="193" t="n">
        <x:v>46228</x:v>
      </x:c>
      <x:c r="D273" s="192" t="str">
        <x:v>Imported into LMFT master inventory</x:v>
      </x:c>
      <x:c r="E273" s="192" t="str">
        <x:v>LMFT Comprehensive Simulation Form A</x:v>
      </x:c>
      <x:c r="F273" s="192" t="str">
        <x:v>1.0</x:v>
      </x:c>
      <x:c r="G273" s="192" t="n">
        <x:v>1</x:v>
      </x:c>
      <x:c r="H273" s="192" t="str">
        <x:v>Clinical Training Academy</x:v>
      </x:c>
      <x:c r="I273" s="194" t="str">
        <x:v>Source wording preserved; no silent item-content revision during inventory build.</x:v>
      </x:c>
    </x:row>
    <x:row r="274">
      <x:c r="A274" s="191" t="str">
        <x:v>CTA-LMFT-MQB-0273</x:v>
      </x:c>
      <x:c r="B274" s="192" t="str">
        <x:v>LMFT-MQB-FA-CR-004</x:v>
      </x:c>
      <x:c r="C274" s="193" t="n">
        <x:v>46228</x:v>
      </x:c>
      <x:c r="D274" s="192" t="str">
        <x:v>Imported into LMFT master inventory</x:v>
      </x:c>
      <x:c r="E274" s="192" t="str">
        <x:v>LMFT Comprehensive Simulation Form A</x:v>
      </x:c>
      <x:c r="F274" s="192" t="str">
        <x:v>1.0</x:v>
      </x:c>
      <x:c r="G274" s="192" t="n">
        <x:v>1</x:v>
      </x:c>
      <x:c r="H274" s="192" t="str">
        <x:v>Clinical Training Academy</x:v>
      </x:c>
      <x:c r="I274" s="194" t="str">
        <x:v>Source wording preserved; no silent item-content revision during inventory build.</x:v>
      </x:c>
    </x:row>
    <x:row r="275">
      <x:c r="A275" s="191" t="str">
        <x:v>CTA-LMFT-MQB-0274</x:v>
      </x:c>
      <x:c r="B275" s="192" t="str">
        <x:v>LMFT-MQB-FA-DI-014</x:v>
      </x:c>
      <x:c r="C275" s="193" t="n">
        <x:v>46228</x:v>
      </x:c>
      <x:c r="D275" s="192" t="str">
        <x:v>Imported into LMFT master inventory</x:v>
      </x:c>
      <x:c r="E275" s="192" t="str">
        <x:v>LMFT Comprehensive Simulation Form A</x:v>
      </x:c>
      <x:c r="F275" s="192" t="str">
        <x:v>1.0</x:v>
      </x:c>
      <x:c r="G275" s="192" t="n">
        <x:v>1</x:v>
      </x:c>
      <x:c r="H275" s="192" t="str">
        <x:v>Clinical Training Academy</x:v>
      </x:c>
      <x:c r="I275" s="194" t="str">
        <x:v>Source wording preserved; no silent item-content revision during inventory build.</x:v>
      </x:c>
    </x:row>
    <x:row r="276">
      <x:c r="A276" s="191" t="str">
        <x:v>CTA-LMFT-MQB-0275</x:v>
      </x:c>
      <x:c r="B276" s="192" t="str">
        <x:v>LMFT-MQB-FA-DI-016</x:v>
      </x:c>
      <x:c r="C276" s="193" t="n">
        <x:v>46228</x:v>
      </x:c>
      <x:c r="D276" s="192" t="str">
        <x:v>Imported into LMFT master inventory</x:v>
      </x:c>
      <x:c r="E276" s="192" t="str">
        <x:v>LMFT Comprehensive Simulation Form A</x:v>
      </x:c>
      <x:c r="F276" s="192" t="str">
        <x:v>1.0</x:v>
      </x:c>
      <x:c r="G276" s="192" t="n">
        <x:v>1</x:v>
      </x:c>
      <x:c r="H276" s="192" t="str">
        <x:v>Clinical Training Academy</x:v>
      </x:c>
      <x:c r="I276" s="194" t="str">
        <x:v>Source wording preserved; no silent item-content revision during inventory build.</x:v>
      </x:c>
    </x:row>
    <x:row r="277">
      <x:c r="A277" s="191" t="str">
        <x:v>CTA-LMFT-MQB-0276</x:v>
      </x:c>
      <x:c r="B277" s="192" t="str">
        <x:v>LMFT-MQB-FA-LE-014</x:v>
      </x:c>
      <x:c r="C277" s="193" t="n">
        <x:v>46228</x:v>
      </x:c>
      <x:c r="D277" s="192" t="str">
        <x:v>Imported into LMFT master inventory</x:v>
      </x:c>
      <x:c r="E277" s="192" t="str">
        <x:v>LMFT Comprehensive Simulation Form A</x:v>
      </x:c>
      <x:c r="F277" s="192" t="str">
        <x:v>1.0</x:v>
      </x:c>
      <x:c r="G277" s="192" t="n">
        <x:v>1</x:v>
      </x:c>
      <x:c r="H277" s="192" t="str">
        <x:v>Clinical Training Academy</x:v>
      </x:c>
      <x:c r="I277" s="194" t="str">
        <x:v>Source wording preserved; no silent item-content revision during inventory build.</x:v>
      </x:c>
    </x:row>
    <x:row r="278">
      <x:c r="A278" s="191" t="str">
        <x:v>CTA-LMFT-MQB-0277</x:v>
      </x:c>
      <x:c r="B278" s="192" t="str">
        <x:v>LMFT-MQB-FA-LE-007</x:v>
      </x:c>
      <x:c r="C278" s="193" t="n">
        <x:v>46228</x:v>
      </x:c>
      <x:c r="D278" s="192" t="str">
        <x:v>Imported into LMFT master inventory</x:v>
      </x:c>
      <x:c r="E278" s="192" t="str">
        <x:v>LMFT Comprehensive Simulation Form A</x:v>
      </x:c>
      <x:c r="F278" s="192" t="str">
        <x:v>1.0</x:v>
      </x:c>
      <x:c r="G278" s="192" t="n">
        <x:v>1</x:v>
      </x:c>
      <x:c r="H278" s="192" t="str">
        <x:v>Clinical Training Academy</x:v>
      </x:c>
      <x:c r="I278" s="194" t="str">
        <x:v>Source wording preserved; no silent item-content revision during inventory build.</x:v>
      </x:c>
    </x:row>
    <x:row r="279">
      <x:c r="A279" s="191" t="str">
        <x:v>CTA-LMFT-MQB-0278</x:v>
      </x:c>
      <x:c r="B279" s="192" t="str">
        <x:v>LMFT-MQB-FA-TX-004</x:v>
      </x:c>
      <x:c r="C279" s="193" t="n">
        <x:v>46228</x:v>
      </x:c>
      <x:c r="D279" s="192" t="str">
        <x:v>Imported into LMFT master inventory</x:v>
      </x:c>
      <x:c r="E279" s="192" t="str">
        <x:v>LMFT Comprehensive Simulation Form A</x:v>
      </x:c>
      <x:c r="F279" s="192" t="str">
        <x:v>1.0</x:v>
      </x:c>
      <x:c r="G279" s="192" t="n">
        <x:v>1</x:v>
      </x:c>
      <x:c r="H279" s="192" t="str">
        <x:v>Clinical Training Academy</x:v>
      </x:c>
      <x:c r="I279" s="194" t="str">
        <x:v>Source wording preserved; no silent item-content revision during inventory build.</x:v>
      </x:c>
    </x:row>
    <x:row r="280">
      <x:c r="A280" s="191" t="str">
        <x:v>CTA-LMFT-MQB-0279</x:v>
      </x:c>
      <x:c r="B280" s="192" t="str">
        <x:v>LMFT-MQB-FA-CE-039</x:v>
      </x:c>
      <x:c r="C280" s="193" t="n">
        <x:v>46228</x:v>
      </x:c>
      <x:c r="D280" s="192" t="str">
        <x:v>Imported into LMFT master inventory</x:v>
      </x:c>
      <x:c r="E280" s="192" t="str">
        <x:v>LMFT Comprehensive Simulation Form A</x:v>
      </x:c>
      <x:c r="F280" s="192" t="str">
        <x:v>1.0</x:v>
      </x:c>
      <x:c r="G280" s="192" t="n">
        <x:v>1</x:v>
      </x:c>
      <x:c r="H280" s="192" t="str">
        <x:v>Clinical Training Academy</x:v>
      </x:c>
      <x:c r="I280" s="194" t="str">
        <x:v>Source wording preserved; no silent item-content revision during inventory build.</x:v>
      </x:c>
    </x:row>
    <x:row r="281">
      <x:c r="A281" s="191" t="str">
        <x:v>CTA-LMFT-MQB-0280</x:v>
      </x:c>
      <x:c r="B281" s="192" t="str">
        <x:v>LMFT-MQB-FA-CE-036</x:v>
      </x:c>
      <x:c r="C281" s="193" t="n">
        <x:v>46228</x:v>
      </x:c>
      <x:c r="D281" s="192" t="str">
        <x:v>Imported into LMFT master inventory</x:v>
      </x:c>
      <x:c r="E281" s="192" t="str">
        <x:v>LMFT Comprehensive Simulation Form A</x:v>
      </x:c>
      <x:c r="F281" s="192" t="str">
        <x:v>1.0</x:v>
      </x:c>
      <x:c r="G281" s="192" t="n">
        <x:v>1</x:v>
      </x:c>
      <x:c r="H281" s="192" t="str">
        <x:v>Clinical Training Academy</x:v>
      </x:c>
      <x:c r="I281" s="194" t="str">
        <x:v>Source wording preserved; no silent item-content revision during inventory build.</x:v>
      </x:c>
    </x:row>
    <x:row r="282">
      <x:c r="A282" s="191" t="str">
        <x:v>CTA-LMFT-MQB-0281</x:v>
      </x:c>
      <x:c r="B282" s="192" t="str">
        <x:v>LMFT-MQB-FA-DI-017</x:v>
      </x:c>
      <x:c r="C282" s="193" t="n">
        <x:v>46228</x:v>
      </x:c>
      <x:c r="D282" s="192" t="str">
        <x:v>Imported into LMFT master inventory</x:v>
      </x:c>
      <x:c r="E282" s="192" t="str">
        <x:v>LMFT Comprehensive Simulation Form A</x:v>
      </x:c>
      <x:c r="F282" s="192" t="str">
        <x:v>1.0</x:v>
      </x:c>
      <x:c r="G282" s="192" t="n">
        <x:v>1</x:v>
      </x:c>
      <x:c r="H282" s="192" t="str">
        <x:v>Clinical Training Academy</x:v>
      </x:c>
      <x:c r="I282" s="194" t="str">
        <x:v>Source wording preserved; no silent item-content revision during inventory build.</x:v>
      </x:c>
    </x:row>
    <x:row r="283">
      <x:c r="A283" s="191" t="str">
        <x:v>CTA-LMFT-MQB-0282</x:v>
      </x:c>
      <x:c r="B283" s="192" t="str">
        <x:v>LMFT-MQB-FA-DI-004</x:v>
      </x:c>
      <x:c r="C283" s="193" t="n">
        <x:v>46228</x:v>
      </x:c>
      <x:c r="D283" s="192" t="str">
        <x:v>Imported into LMFT master inventory</x:v>
      </x:c>
      <x:c r="E283" s="192" t="str">
        <x:v>LMFT Comprehensive Simulation Form A</x:v>
      </x:c>
      <x:c r="F283" s="192" t="str">
        <x:v>1.0</x:v>
      </x:c>
      <x:c r="G283" s="192" t="n">
        <x:v>1</x:v>
      </x:c>
      <x:c r="H283" s="192" t="str">
        <x:v>Clinical Training Academy</x:v>
      </x:c>
      <x:c r="I283" s="194" t="str">
        <x:v>Source wording preserved; no silent item-content revision during inventory build.</x:v>
      </x:c>
    </x:row>
    <x:row r="284">
      <x:c r="A284" s="191" t="str">
        <x:v>CTA-LMFT-MQB-0283</x:v>
      </x:c>
      <x:c r="B284" s="192" t="str">
        <x:v>LMFT-MQB-FA-TX-002</x:v>
      </x:c>
      <x:c r="C284" s="193" t="n">
        <x:v>46228</x:v>
      </x:c>
      <x:c r="D284" s="192" t="str">
        <x:v>Imported into LMFT master inventory</x:v>
      </x:c>
      <x:c r="E284" s="192" t="str">
        <x:v>LMFT Comprehensive Simulation Form A</x:v>
      </x:c>
      <x:c r="F284" s="192" t="str">
        <x:v>1.0</x:v>
      </x:c>
      <x:c r="G284" s="192" t="n">
        <x:v>1</x:v>
      </x:c>
      <x:c r="H284" s="192" t="str">
        <x:v>Clinical Training Academy</x:v>
      </x:c>
      <x:c r="I284" s="194" t="str">
        <x:v>Source wording preserved; no silent item-content revision during inventory build.</x:v>
      </x:c>
    </x:row>
    <x:row r="285">
      <x:c r="A285" s="191" t="str">
        <x:v>CTA-LMFT-MQB-0284</x:v>
      </x:c>
      <x:c r="B285" s="192" t="str">
        <x:v>LMFT-MQB-FA-CE-035</x:v>
      </x:c>
      <x:c r="C285" s="193" t="n">
        <x:v>46228</x:v>
      </x:c>
      <x:c r="D285" s="192" t="str">
        <x:v>Imported into LMFT master inventory</x:v>
      </x:c>
      <x:c r="E285" s="192" t="str">
        <x:v>LMFT Comprehensive Simulation Form A</x:v>
      </x:c>
      <x:c r="F285" s="192" t="str">
        <x:v>1.0</x:v>
      </x:c>
      <x:c r="G285" s="192" t="n">
        <x:v>1</x:v>
      </x:c>
      <x:c r="H285" s="192" t="str">
        <x:v>Clinical Training Academy</x:v>
      </x:c>
      <x:c r="I285" s="194" t="str">
        <x:v>Source wording preserved; no silent item-content revision during inventory build.</x:v>
      </x:c>
    </x:row>
    <x:row r="286">
      <x:c r="A286" s="191" t="str">
        <x:v>CTA-LMFT-MQB-0285</x:v>
      </x:c>
      <x:c r="B286" s="192" t="str">
        <x:v>LMFT-MQB-FA-TX-006</x:v>
      </x:c>
      <x:c r="C286" s="193" t="n">
        <x:v>46228</x:v>
      </x:c>
      <x:c r="D286" s="192" t="str">
        <x:v>Imported into LMFT master inventory</x:v>
      </x:c>
      <x:c r="E286" s="192" t="str">
        <x:v>LMFT Comprehensive Simulation Form A</x:v>
      </x:c>
      <x:c r="F286" s="192" t="str">
        <x:v>1.0</x:v>
      </x:c>
      <x:c r="G286" s="192" t="n">
        <x:v>1</x:v>
      </x:c>
      <x:c r="H286" s="192" t="str">
        <x:v>Clinical Training Academy</x:v>
      </x:c>
      <x:c r="I286" s="194" t="str">
        <x:v>Source wording preserved; no silent item-content revision during inventory build.</x:v>
      </x:c>
    </x:row>
    <x:row r="287">
      <x:c r="A287" s="191" t="str">
        <x:v>CTA-LMFT-MQB-0286</x:v>
      </x:c>
      <x:c r="B287" s="192" t="str">
        <x:v>LMFT-MQB-FA-CP-018</x:v>
      </x:c>
      <x:c r="C287" s="193" t="n">
        <x:v>46228</x:v>
      </x:c>
      <x:c r="D287" s="192" t="str">
        <x:v>Imported into LMFT master inventory</x:v>
      </x:c>
      <x:c r="E287" s="192" t="str">
        <x:v>LMFT Comprehensive Simulation Form A</x:v>
      </x:c>
      <x:c r="F287" s="192" t="str">
        <x:v>1.0</x:v>
      </x:c>
      <x:c r="G287" s="192" t="n">
        <x:v>1</x:v>
      </x:c>
      <x:c r="H287" s="192" t="str">
        <x:v>Clinical Training Academy</x:v>
      </x:c>
      <x:c r="I287" s="194" t="str">
        <x:v>Source wording preserved; no silent item-content revision during inventory build.</x:v>
      </x:c>
    </x:row>
    <x:row r="288">
      <x:c r="A288" s="191" t="str">
        <x:v>CTA-LMFT-MQB-0287</x:v>
      </x:c>
      <x:c r="B288" s="192" t="str">
        <x:v>LMFT-MQB-FA-CE-004</x:v>
      </x:c>
      <x:c r="C288" s="193" t="n">
        <x:v>46228</x:v>
      </x:c>
      <x:c r="D288" s="192" t="str">
        <x:v>Imported into LMFT master inventory</x:v>
      </x:c>
      <x:c r="E288" s="192" t="str">
        <x:v>LMFT Comprehensive Simulation Form A</x:v>
      </x:c>
      <x:c r="F288" s="192" t="str">
        <x:v>1.0</x:v>
      </x:c>
      <x:c r="G288" s="192" t="n">
        <x:v>1</x:v>
      </x:c>
      <x:c r="H288" s="192" t="str">
        <x:v>Clinical Training Academy</x:v>
      </x:c>
      <x:c r="I288" s="194" t="str">
        <x:v>Source wording preserved; no silent item-content revision during inventory build.</x:v>
      </x:c>
    </x:row>
    <x:row r="289">
      <x:c r="A289" s="191" t="str">
        <x:v>CTA-LMFT-MQB-0288</x:v>
      </x:c>
      <x:c r="B289" s="192" t="str">
        <x:v>LMFT-MQB-FA-TX-025</x:v>
      </x:c>
      <x:c r="C289" s="193" t="n">
        <x:v>46228</x:v>
      </x:c>
      <x:c r="D289" s="192" t="str">
        <x:v>Imported into LMFT master inventory</x:v>
      </x:c>
      <x:c r="E289" s="192" t="str">
        <x:v>LMFT Comprehensive Simulation Form A</x:v>
      </x:c>
      <x:c r="F289" s="192" t="str">
        <x:v>1.0</x:v>
      </x:c>
      <x:c r="G289" s="192" t="n">
        <x:v>1</x:v>
      </x:c>
      <x:c r="H289" s="192" t="str">
        <x:v>Clinical Training Academy</x:v>
      </x:c>
      <x:c r="I289" s="194" t="str">
        <x:v>Source wording preserved; no silent item-content revision during inventory build.</x:v>
      </x:c>
    </x:row>
    <x:row r="290">
      <x:c r="A290" s="191" t="str">
        <x:v>CTA-LMFT-MQB-0289</x:v>
      </x:c>
      <x:c r="B290" s="192" t="str">
        <x:v>LMFT-MQB-FA-DI-015</x:v>
      </x:c>
      <x:c r="C290" s="193" t="n">
        <x:v>46228</x:v>
      </x:c>
      <x:c r="D290" s="192" t="str">
        <x:v>Imported into LMFT master inventory</x:v>
      </x:c>
      <x:c r="E290" s="192" t="str">
        <x:v>LMFT Comprehensive Simulation Form A</x:v>
      </x:c>
      <x:c r="F290" s="192" t="str">
        <x:v>1.0</x:v>
      </x:c>
      <x:c r="G290" s="192" t="n">
        <x:v>1</x:v>
      </x:c>
      <x:c r="H290" s="192" t="str">
        <x:v>Clinical Training Academy</x:v>
      </x:c>
      <x:c r="I290" s="194" t="str">
        <x:v>Source wording preserved; no silent item-content revision during inventory build.</x:v>
      </x:c>
    </x:row>
    <x:row r="291">
      <x:c r="A291" s="191" t="str">
        <x:v>CTA-LMFT-MQB-0290</x:v>
      </x:c>
      <x:c r="B291" s="192" t="str">
        <x:v>LMFT-MQB-FA-CP-014</x:v>
      </x:c>
      <x:c r="C291" s="193" t="n">
        <x:v>46228</x:v>
      </x:c>
      <x:c r="D291" s="192" t="str">
        <x:v>Imported into LMFT master inventory</x:v>
      </x:c>
      <x:c r="E291" s="192" t="str">
        <x:v>LMFT Comprehensive Simulation Form A</x:v>
      </x:c>
      <x:c r="F291" s="192" t="str">
        <x:v>1.0</x:v>
      </x:c>
      <x:c r="G291" s="192" t="n">
        <x:v>1</x:v>
      </x:c>
      <x:c r="H291" s="192" t="str">
        <x:v>Clinical Training Academy</x:v>
      </x:c>
      <x:c r="I291" s="194" t="str">
        <x:v>Source wording preserved; no silent item-content revision during inventory build.</x:v>
      </x:c>
    </x:row>
    <x:row r="292">
      <x:c r="A292" s="191" t="str">
        <x:v>CTA-LMFT-MQB-0291</x:v>
      </x:c>
      <x:c r="B292" s="192" t="str">
        <x:v>LMFT-MQB-FA-CP-005</x:v>
      </x:c>
      <x:c r="C292" s="193" t="n">
        <x:v>46228</x:v>
      </x:c>
      <x:c r="D292" s="192" t="str">
        <x:v>Imported into LMFT master inventory</x:v>
      </x:c>
      <x:c r="E292" s="192" t="str">
        <x:v>LMFT Comprehensive Simulation Form A</x:v>
      </x:c>
      <x:c r="F292" s="192" t="str">
        <x:v>1.0</x:v>
      </x:c>
      <x:c r="G292" s="192" t="n">
        <x:v>1</x:v>
      </x:c>
      <x:c r="H292" s="192" t="str">
        <x:v>Clinical Training Academy</x:v>
      </x:c>
      <x:c r="I292" s="194" t="str">
        <x:v>Source wording preserved; no silent item-content revision during inventory build.</x:v>
      </x:c>
    </x:row>
    <x:row r="293">
      <x:c r="A293" s="191" t="str">
        <x:v>CTA-LMFT-MQB-0292</x:v>
      </x:c>
      <x:c r="B293" s="192" t="str">
        <x:v>LMFT-MQB-FA-CE-018</x:v>
      </x:c>
      <x:c r="C293" s="193" t="n">
        <x:v>46228</x:v>
      </x:c>
      <x:c r="D293" s="192" t="str">
        <x:v>Imported into LMFT master inventory</x:v>
      </x:c>
      <x:c r="E293" s="192" t="str">
        <x:v>LMFT Comprehensive Simulation Form A</x:v>
      </x:c>
      <x:c r="F293" s="192" t="str">
        <x:v>1.0</x:v>
      </x:c>
      <x:c r="G293" s="192" t="n">
        <x:v>1</x:v>
      </x:c>
      <x:c r="H293" s="192" t="str">
        <x:v>Clinical Training Academy</x:v>
      </x:c>
      <x:c r="I293" s="194" t="str">
        <x:v>Source wording preserved; no silent item-content revision during inventory build.</x:v>
      </x:c>
    </x:row>
    <x:row r="294">
      <x:c r="A294" s="191" t="str">
        <x:v>CTA-LMFT-MQB-0293</x:v>
      </x:c>
      <x:c r="B294" s="192" t="str">
        <x:v>LMFT-MQB-FA-TX-023</x:v>
      </x:c>
      <x:c r="C294" s="193" t="n">
        <x:v>46228</x:v>
      </x:c>
      <x:c r="D294" s="192" t="str">
        <x:v>Imported into LMFT master inventory</x:v>
      </x:c>
      <x:c r="E294" s="192" t="str">
        <x:v>LMFT Comprehensive Simulation Form A</x:v>
      </x:c>
      <x:c r="F294" s="192" t="str">
        <x:v>1.0</x:v>
      </x:c>
      <x:c r="G294" s="192" t="n">
        <x:v>1</x:v>
      </x:c>
      <x:c r="H294" s="192" t="str">
        <x:v>Clinical Training Academy</x:v>
      </x:c>
      <x:c r="I294" s="194" t="str">
        <x:v>Source wording preserved; no silent item-content revision during inventory build.</x:v>
      </x:c>
    </x:row>
    <x:row r="295">
      <x:c r="A295" s="191" t="str">
        <x:v>CTA-LMFT-MQB-0294</x:v>
      </x:c>
      <x:c r="B295" s="192" t="str">
        <x:v>LMFT-MQB-FA-CE-033</x:v>
      </x:c>
      <x:c r="C295" s="193" t="n">
        <x:v>46228</x:v>
      </x:c>
      <x:c r="D295" s="192" t="str">
        <x:v>Imported into LMFT master inventory</x:v>
      </x:c>
      <x:c r="E295" s="192" t="str">
        <x:v>LMFT Comprehensive Simulation Form A</x:v>
      </x:c>
      <x:c r="F295" s="192" t="str">
        <x:v>1.0</x:v>
      </x:c>
      <x:c r="G295" s="192" t="n">
        <x:v>1</x:v>
      </x:c>
      <x:c r="H295" s="192" t="str">
        <x:v>Clinical Training Academy</x:v>
      </x:c>
      <x:c r="I295" s="194" t="str">
        <x:v>Source wording preserved; no silent item-content revision during inventory build.</x:v>
      </x:c>
    </x:row>
    <x:row r="296">
      <x:c r="A296" s="191" t="str">
        <x:v>CTA-LMFT-MQB-0295</x:v>
      </x:c>
      <x:c r="B296" s="192" t="str">
        <x:v>LMFT-MQB-FA-TX-021</x:v>
      </x:c>
      <x:c r="C296" s="193" t="n">
        <x:v>46228</x:v>
      </x:c>
      <x:c r="D296" s="192" t="str">
        <x:v>Imported into LMFT master inventory</x:v>
      </x:c>
      <x:c r="E296" s="192" t="str">
        <x:v>LMFT Comprehensive Simulation Form A</x:v>
      </x:c>
      <x:c r="F296" s="192" t="str">
        <x:v>1.0</x:v>
      </x:c>
      <x:c r="G296" s="192" t="n">
        <x:v>1</x:v>
      </x:c>
      <x:c r="H296" s="192" t="str">
        <x:v>Clinical Training Academy</x:v>
      </x:c>
      <x:c r="I296" s="194" t="str">
        <x:v>Source wording preserved; no silent item-content revision during inventory build.</x:v>
      </x:c>
    </x:row>
    <x:row r="297">
      <x:c r="A297" s="191" t="str">
        <x:v>CTA-LMFT-MQB-0296</x:v>
      </x:c>
      <x:c r="B297" s="192" t="str">
        <x:v>LMFT-MQB-FA-DI-003</x:v>
      </x:c>
      <x:c r="C297" s="193" t="n">
        <x:v>46228</x:v>
      </x:c>
      <x:c r="D297" s="192" t="str">
        <x:v>Imported into LMFT master inventory</x:v>
      </x:c>
      <x:c r="E297" s="192" t="str">
        <x:v>LMFT Comprehensive Simulation Form A</x:v>
      </x:c>
      <x:c r="F297" s="192" t="str">
        <x:v>1.0</x:v>
      </x:c>
      <x:c r="G297" s="192" t="n">
        <x:v>1</x:v>
      </x:c>
      <x:c r="H297" s="192" t="str">
        <x:v>Clinical Training Academy</x:v>
      </x:c>
      <x:c r="I297" s="194" t="str">
        <x:v>Source wording preserved; no silent item-content revision during inventory build.</x:v>
      </x:c>
    </x:row>
    <x:row r="298">
      <x:c r="A298" s="191" t="str">
        <x:v>CTA-LMFT-MQB-0297</x:v>
      </x:c>
      <x:c r="B298" s="192" t="str">
        <x:v>LMFT-MQB-FA-CP-010</x:v>
      </x:c>
      <x:c r="C298" s="193" t="n">
        <x:v>46228</x:v>
      </x:c>
      <x:c r="D298" s="192" t="str">
        <x:v>Imported into LMFT master inventory</x:v>
      </x:c>
      <x:c r="E298" s="192" t="str">
        <x:v>LMFT Comprehensive Simulation Form A</x:v>
      </x:c>
      <x:c r="F298" s="192" t="str">
        <x:v>1.0</x:v>
      </x:c>
      <x:c r="G298" s="192" t="n">
        <x:v>1</x:v>
      </x:c>
      <x:c r="H298" s="192" t="str">
        <x:v>Clinical Training Academy</x:v>
      </x:c>
      <x:c r="I298" s="194" t="str">
        <x:v>Source wording preserved; no silent item-content revision during inventory build.</x:v>
      </x:c>
    </x:row>
    <x:row r="299">
      <x:c r="A299" s="191" t="str">
        <x:v>CTA-LMFT-MQB-0298</x:v>
      </x:c>
      <x:c r="B299" s="192" t="str">
        <x:v>LMFT-MQB-FA-CR-003</x:v>
      </x:c>
      <x:c r="C299" s="193" t="n">
        <x:v>46228</x:v>
      </x:c>
      <x:c r="D299" s="192" t="str">
        <x:v>Imported into LMFT master inventory</x:v>
      </x:c>
      <x:c r="E299" s="192" t="str">
        <x:v>LMFT Comprehensive Simulation Form A</x:v>
      </x:c>
      <x:c r="F299" s="192" t="str">
        <x:v>1.0</x:v>
      </x:c>
      <x:c r="G299" s="192" t="n">
        <x:v>1</x:v>
      </x:c>
      <x:c r="H299" s="192" t="str">
        <x:v>Clinical Training Academy</x:v>
      </x:c>
      <x:c r="I299" s="194" t="str">
        <x:v>Source wording preserved; no silent item-content revision during inventory build.</x:v>
      </x:c>
    </x:row>
    <x:row r="300">
      <x:c r="A300" s="191" t="str">
        <x:v>CTA-LMFT-MQB-0299</x:v>
      </x:c>
      <x:c r="B300" s="192" t="str">
        <x:v>LMFT-MQB-FA-TX-022</x:v>
      </x:c>
      <x:c r="C300" s="193" t="n">
        <x:v>46228</x:v>
      </x:c>
      <x:c r="D300" s="192" t="str">
        <x:v>Imported into LMFT master inventory</x:v>
      </x:c>
      <x:c r="E300" s="192" t="str">
        <x:v>LMFT Comprehensive Simulation Form A</x:v>
      </x:c>
      <x:c r="F300" s="192" t="str">
        <x:v>1.0</x:v>
      </x:c>
      <x:c r="G300" s="192" t="n">
        <x:v>1</x:v>
      </x:c>
      <x:c r="H300" s="192" t="str">
        <x:v>Clinical Training Academy</x:v>
      </x:c>
      <x:c r="I300" s="194" t="str">
        <x:v>Source wording preserved; no silent item-content revision during inventory build.</x:v>
      </x:c>
    </x:row>
    <x:row r="301">
      <x:c r="A301" s="191" t="str">
        <x:v>CTA-LMFT-MQB-0300</x:v>
      </x:c>
      <x:c r="B301" s="192" t="str">
        <x:v>LMFT-MQB-FA-TX-005</x:v>
      </x:c>
      <x:c r="C301" s="193" t="n">
        <x:v>46228</x:v>
      </x:c>
      <x:c r="D301" s="192" t="str">
        <x:v>Imported into LMFT master inventory</x:v>
      </x:c>
      <x:c r="E301" s="192" t="str">
        <x:v>LMFT Comprehensive Simulation Form A</x:v>
      </x:c>
      <x:c r="F301" s="192" t="str">
        <x:v>1.0</x:v>
      </x:c>
      <x:c r="G301" s="192" t="n">
        <x:v>1</x:v>
      </x:c>
      <x:c r="H301" s="192" t="str">
        <x:v>Clinical Training Academy</x:v>
      </x:c>
      <x:c r="I301" s="194" t="str">
        <x:v>Source wording preserved; no silent item-content revision during inventory build.</x:v>
      </x:c>
    </x:row>
    <x:row r="302">
      <x:c r="A302" s="191" t="str">
        <x:v>CTA-LMFT-MQB-0301</x:v>
      </x:c>
      <x:c r="B302" s="192" t="str">
        <x:v>LMFT-MQB-FA-CE-026</x:v>
      </x:c>
      <x:c r="C302" s="193" t="n">
        <x:v>46228</x:v>
      </x:c>
      <x:c r="D302" s="192" t="str">
        <x:v>Imported into LMFT master inventory</x:v>
      </x:c>
      <x:c r="E302" s="192" t="str">
        <x:v>LMFT Comprehensive Simulation Form A</x:v>
      </x:c>
      <x:c r="F302" s="192" t="str">
        <x:v>1.0</x:v>
      </x:c>
      <x:c r="G302" s="192" t="n">
        <x:v>1</x:v>
      </x:c>
      <x:c r="H302" s="192" t="str">
        <x:v>Clinical Training Academy</x:v>
      </x:c>
      <x:c r="I302" s="194" t="str">
        <x:v>Source wording preserved; no silent item-content revision during inventory build.</x:v>
      </x:c>
    </x:row>
    <x:row r="303">
      <x:c r="A303" s="191" t="str">
        <x:v>CTA-LMFT-MQB-0302</x:v>
      </x:c>
      <x:c r="B303" s="192" t="str">
        <x:v>LMFT-MQB-FA-CR-006</x:v>
      </x:c>
      <x:c r="C303" s="193" t="n">
        <x:v>46228</x:v>
      </x:c>
      <x:c r="D303" s="192" t="str">
        <x:v>Imported into LMFT master inventory</x:v>
      </x:c>
      <x:c r="E303" s="192" t="str">
        <x:v>LMFT Comprehensive Simulation Form A</x:v>
      </x:c>
      <x:c r="F303" s="192" t="str">
        <x:v>1.0</x:v>
      </x:c>
      <x:c r="G303" s="192" t="n">
        <x:v>1</x:v>
      </x:c>
      <x:c r="H303" s="192" t="str">
        <x:v>Clinical Training Academy</x:v>
      </x:c>
      <x:c r="I303" s="194" t="str">
        <x:v>Source wording preserved; no silent item-content revision during inventory build.</x:v>
      </x:c>
    </x:row>
    <x:row r="304">
      <x:c r="A304" s="191" t="str">
        <x:v>CTA-LMFT-MQB-0303</x:v>
      </x:c>
      <x:c r="B304" s="192" t="str">
        <x:v>LMFT-MQB-FA-LE-009</x:v>
      </x:c>
      <x:c r="C304" s="193" t="n">
        <x:v>46228</x:v>
      </x:c>
      <x:c r="D304" s="192" t="str">
        <x:v>Imported into LMFT master inventory</x:v>
      </x:c>
      <x:c r="E304" s="192" t="str">
        <x:v>LMFT Comprehensive Simulation Form A</x:v>
      </x:c>
      <x:c r="F304" s="192" t="str">
        <x:v>1.0</x:v>
      </x:c>
      <x:c r="G304" s="192" t="n">
        <x:v>1</x:v>
      </x:c>
      <x:c r="H304" s="192" t="str">
        <x:v>Clinical Training Academy</x:v>
      </x:c>
      <x:c r="I304" s="194" t="str">
        <x:v>Source wording preserved; no silent item-content revision during inventory build.</x:v>
      </x:c>
    </x:row>
    <x:row r="305">
      <x:c r="A305" s="191" t="str">
        <x:v>CTA-LMFT-MQB-0304</x:v>
      </x:c>
      <x:c r="B305" s="192" t="str">
        <x:v>LMFT-MQB-FA-TX-035</x:v>
      </x:c>
      <x:c r="C305" s="193" t="n">
        <x:v>46228</x:v>
      </x:c>
      <x:c r="D305" s="192" t="str">
        <x:v>Imported into LMFT master inventory</x:v>
      </x:c>
      <x:c r="E305" s="192" t="str">
        <x:v>LMFT Comprehensive Simulation Form A</x:v>
      </x:c>
      <x:c r="F305" s="192" t="str">
        <x:v>1.0</x:v>
      </x:c>
      <x:c r="G305" s="192" t="n">
        <x:v>1</x:v>
      </x:c>
      <x:c r="H305" s="192" t="str">
        <x:v>Clinical Training Academy</x:v>
      </x:c>
      <x:c r="I305" s="194" t="str">
        <x:v>Source wording preserved; no silent item-content revision during inventory build.</x:v>
      </x:c>
    </x:row>
    <x:row r="306">
      <x:c r="A306" s="191" t="str">
        <x:v>CTA-LMFT-MQB-0305</x:v>
      </x:c>
      <x:c r="B306" s="192" t="str">
        <x:v>LMFT-MQB-FA-CE-038</x:v>
      </x:c>
      <x:c r="C306" s="193" t="n">
        <x:v>46228</x:v>
      </x:c>
      <x:c r="D306" s="192" t="str">
        <x:v>Imported into LMFT master inventory</x:v>
      </x:c>
      <x:c r="E306" s="192" t="str">
        <x:v>LMFT Comprehensive Simulation Form A</x:v>
      </x:c>
      <x:c r="F306" s="192" t="str">
        <x:v>1.0</x:v>
      </x:c>
      <x:c r="G306" s="192" t="n">
        <x:v>1</x:v>
      </x:c>
      <x:c r="H306" s="192" t="str">
        <x:v>Clinical Training Academy</x:v>
      </x:c>
      <x:c r="I306" s="194" t="str">
        <x:v>Source wording preserved; no silent item-content revision during inventory build.</x:v>
      </x:c>
    </x:row>
    <x:row r="307">
      <x:c r="A307" s="191" t="str">
        <x:v>CTA-LMFT-MQB-0306</x:v>
      </x:c>
      <x:c r="B307" s="192" t="str">
        <x:v>LMFT-MQB-FA-TX-018</x:v>
      </x:c>
      <x:c r="C307" s="193" t="n">
        <x:v>46228</x:v>
      </x:c>
      <x:c r="D307" s="192" t="str">
        <x:v>Imported into LMFT master inventory</x:v>
      </x:c>
      <x:c r="E307" s="192" t="str">
        <x:v>LMFT Comprehensive Simulation Form A</x:v>
      </x:c>
      <x:c r="F307" s="192" t="str">
        <x:v>1.0</x:v>
      </x:c>
      <x:c r="G307" s="192" t="n">
        <x:v>1</x:v>
      </x:c>
      <x:c r="H307" s="192" t="str">
        <x:v>Clinical Training Academy</x:v>
      </x:c>
      <x:c r="I307" s="194" t="str">
        <x:v>Source wording preserved; no silent item-content revision during inventory build.</x:v>
      </x:c>
    </x:row>
    <x:row r="308">
      <x:c r="A308" s="191" t="str">
        <x:v>CTA-LMFT-MQB-0307</x:v>
      </x:c>
      <x:c r="B308" s="192" t="str">
        <x:v>LMFT-MQB-FA-DI-011</x:v>
      </x:c>
      <x:c r="C308" s="193" t="n">
        <x:v>46228</x:v>
      </x:c>
      <x:c r="D308" s="192" t="str">
        <x:v>Imported into LMFT master inventory</x:v>
      </x:c>
      <x:c r="E308" s="192" t="str">
        <x:v>LMFT Comprehensive Simulation Form A</x:v>
      </x:c>
      <x:c r="F308" s="192" t="str">
        <x:v>1.0</x:v>
      </x:c>
      <x:c r="G308" s="192" t="n">
        <x:v>1</x:v>
      </x:c>
      <x:c r="H308" s="192" t="str">
        <x:v>Clinical Training Academy</x:v>
      </x:c>
      <x:c r="I308" s="194" t="str">
        <x:v>Source wording preserved; no silent item-content revision during inventory build.</x:v>
      </x:c>
    </x:row>
    <x:row r="309">
      <x:c r="A309" s="191" t="str">
        <x:v>CTA-LMFT-MQB-0308</x:v>
      </x:c>
      <x:c r="B309" s="192" t="str">
        <x:v>LMFT-MQB-FA-TX-001</x:v>
      </x:c>
      <x:c r="C309" s="193" t="n">
        <x:v>46228</x:v>
      </x:c>
      <x:c r="D309" s="192" t="str">
        <x:v>Imported into LMFT master inventory</x:v>
      </x:c>
      <x:c r="E309" s="192" t="str">
        <x:v>LMFT Comprehensive Simulation Form A</x:v>
      </x:c>
      <x:c r="F309" s="192" t="str">
        <x:v>1.0</x:v>
      </x:c>
      <x:c r="G309" s="192" t="n">
        <x:v>1</x:v>
      </x:c>
      <x:c r="H309" s="192" t="str">
        <x:v>Clinical Training Academy</x:v>
      </x:c>
      <x:c r="I309" s="194" t="str">
        <x:v>Source wording preserved; no silent item-content revision during inventory build.</x:v>
      </x:c>
    </x:row>
    <x:row r="310">
      <x:c r="A310" s="191" t="str">
        <x:v>CTA-LMFT-MQB-0309</x:v>
      </x:c>
      <x:c r="B310" s="192" t="str">
        <x:v>LMFT-MQB-FA-CE-006</x:v>
      </x:c>
      <x:c r="C310" s="193" t="n">
        <x:v>46228</x:v>
      </x:c>
      <x:c r="D310" s="192" t="str">
        <x:v>Imported into LMFT master inventory</x:v>
      </x:c>
      <x:c r="E310" s="192" t="str">
        <x:v>LMFT Comprehensive Simulation Form A</x:v>
      </x:c>
      <x:c r="F310" s="192" t="str">
        <x:v>1.0</x:v>
      </x:c>
      <x:c r="G310" s="192" t="n">
        <x:v>1</x:v>
      </x:c>
      <x:c r="H310" s="192" t="str">
        <x:v>Clinical Training Academy</x:v>
      </x:c>
      <x:c r="I310" s="194" t="str">
        <x:v>Source wording preserved; no silent item-content revision during inventory build.</x:v>
      </x:c>
    </x:row>
    <x:row r="311">
      <x:c r="A311" s="191" t="str">
        <x:v>CTA-LMFT-MQB-0310</x:v>
      </x:c>
      <x:c r="B311" s="192" t="str">
        <x:v>LMFT-MQB-FA-CE-030</x:v>
      </x:c>
      <x:c r="C311" s="193" t="n">
        <x:v>46228</x:v>
      </x:c>
      <x:c r="D311" s="192" t="str">
        <x:v>Imported into LMFT master inventory</x:v>
      </x:c>
      <x:c r="E311" s="192" t="str">
        <x:v>LMFT Comprehensive Simulation Form A</x:v>
      </x:c>
      <x:c r="F311" s="192" t="str">
        <x:v>1.0</x:v>
      </x:c>
      <x:c r="G311" s="192" t="n">
        <x:v>1</x:v>
      </x:c>
      <x:c r="H311" s="192" t="str">
        <x:v>Clinical Training Academy</x:v>
      </x:c>
      <x:c r="I311" s="194" t="str">
        <x:v>Source wording preserved; no silent item-content revision during inventory build.</x:v>
      </x:c>
    </x:row>
    <x:row r="312">
      <x:c r="A312" s="191" t="str">
        <x:v>CTA-LMFT-MQB-0311</x:v>
      </x:c>
      <x:c r="B312" s="192" t="str">
        <x:v>LMFT-MQB-FA-TX-024</x:v>
      </x:c>
      <x:c r="C312" s="193" t="n">
        <x:v>46228</x:v>
      </x:c>
      <x:c r="D312" s="192" t="str">
        <x:v>Imported into LMFT master inventory</x:v>
      </x:c>
      <x:c r="E312" s="192" t="str">
        <x:v>LMFT Comprehensive Simulation Form A</x:v>
      </x:c>
      <x:c r="F312" s="192" t="str">
        <x:v>1.0</x:v>
      </x:c>
      <x:c r="G312" s="192" t="n">
        <x:v>1</x:v>
      </x:c>
      <x:c r="H312" s="192" t="str">
        <x:v>Clinical Training Academy</x:v>
      </x:c>
      <x:c r="I312" s="194" t="str">
        <x:v>Source wording preserved; no silent item-content revision during inventory build.</x:v>
      </x:c>
    </x:row>
    <x:row r="313">
      <x:c r="A313" s="191" t="str">
        <x:v>CTA-LMFT-MQB-0312</x:v>
      </x:c>
      <x:c r="B313" s="192" t="str">
        <x:v>LMFT-MQB-FA-CP-008</x:v>
      </x:c>
      <x:c r="C313" s="193" t="n">
        <x:v>46228</x:v>
      </x:c>
      <x:c r="D313" s="192" t="str">
        <x:v>Imported into LMFT master inventory</x:v>
      </x:c>
      <x:c r="E313" s="192" t="str">
        <x:v>LMFT Comprehensive Simulation Form A</x:v>
      </x:c>
      <x:c r="F313" s="192" t="str">
        <x:v>1.0</x:v>
      </x:c>
      <x:c r="G313" s="192" t="n">
        <x:v>1</x:v>
      </x:c>
      <x:c r="H313" s="192" t="str">
        <x:v>Clinical Training Academy</x:v>
      </x:c>
      <x:c r="I313" s="194" t="str">
        <x:v>Source wording preserved; no silent item-content revision during inventory build.</x:v>
      </x:c>
    </x:row>
    <x:row r="314">
      <x:c r="A314" s="191" t="str">
        <x:v>CTA-LMFT-MQB-0313</x:v>
      </x:c>
      <x:c r="B314" s="192" t="str">
        <x:v>LMFT-MQB-FA-CE-015</x:v>
      </x:c>
      <x:c r="C314" s="193" t="n">
        <x:v>46228</x:v>
      </x:c>
      <x:c r="D314" s="192" t="str">
        <x:v>Imported into LMFT master inventory</x:v>
      </x:c>
      <x:c r="E314" s="192" t="str">
        <x:v>LMFT Comprehensive Simulation Form A</x:v>
      </x:c>
      <x:c r="F314" s="192" t="str">
        <x:v>1.0</x:v>
      </x:c>
      <x:c r="G314" s="192" t="n">
        <x:v>1</x:v>
      </x:c>
      <x:c r="H314" s="192" t="str">
        <x:v>Clinical Training Academy</x:v>
      </x:c>
      <x:c r="I314" s="194" t="str">
        <x:v>Source wording preserved; no silent item-content revision during inventory build.</x:v>
      </x:c>
    </x:row>
    <x:row r="315">
      <x:c r="A315" s="191" t="str">
        <x:v>CTA-LMFT-MQB-0314</x:v>
      </x:c>
      <x:c r="B315" s="192" t="str">
        <x:v>LMFT-MQB-FA-DI-012</x:v>
      </x:c>
      <x:c r="C315" s="193" t="n">
        <x:v>46228</x:v>
      </x:c>
      <x:c r="D315" s="192" t="str">
        <x:v>Imported into LMFT master inventory</x:v>
      </x:c>
      <x:c r="E315" s="192" t="str">
        <x:v>LMFT Comprehensive Simulation Form A</x:v>
      </x:c>
      <x:c r="F315" s="192" t="str">
        <x:v>1.0</x:v>
      </x:c>
      <x:c r="G315" s="192" t="n">
        <x:v>1</x:v>
      </x:c>
      <x:c r="H315" s="192" t="str">
        <x:v>Clinical Training Academy</x:v>
      </x:c>
      <x:c r="I315" s="194" t="str">
        <x:v>Source wording preserved; no silent item-content revision during inventory build.</x:v>
      </x:c>
    </x:row>
    <x:row r="316">
      <x:c r="A316" s="191" t="str">
        <x:v>CTA-LMFT-MQB-0315</x:v>
      </x:c>
      <x:c r="B316" s="192" t="str">
        <x:v>LMFT-MQB-FA-CE-007</x:v>
      </x:c>
      <x:c r="C316" s="193" t="n">
        <x:v>46228</x:v>
      </x:c>
      <x:c r="D316" s="192" t="str">
        <x:v>Imported into LMFT master inventory</x:v>
      </x:c>
      <x:c r="E316" s="192" t="str">
        <x:v>LMFT Comprehensive Simulation Form A</x:v>
      </x:c>
      <x:c r="F316" s="192" t="str">
        <x:v>1.0</x:v>
      </x:c>
      <x:c r="G316" s="192" t="n">
        <x:v>1</x:v>
      </x:c>
      <x:c r="H316" s="192" t="str">
        <x:v>Clinical Training Academy</x:v>
      </x:c>
      <x:c r="I316" s="194" t="str">
        <x:v>Source wording preserved; no silent item-content revision during inventory build.</x:v>
      </x:c>
    </x:row>
    <x:row r="317">
      <x:c r="A317" s="191" t="str">
        <x:v>CTA-LMFT-MQB-0316</x:v>
      </x:c>
      <x:c r="B317" s="192" t="str">
        <x:v>LMFT-MQB-FA-TX-007</x:v>
      </x:c>
      <x:c r="C317" s="193" t="n">
        <x:v>46228</x:v>
      </x:c>
      <x:c r="D317" s="192" t="str">
        <x:v>Imported into LMFT master inventory</x:v>
      </x:c>
      <x:c r="E317" s="192" t="str">
        <x:v>LMFT Comprehensive Simulation Form A</x:v>
      </x:c>
      <x:c r="F317" s="192" t="str">
        <x:v>1.0</x:v>
      </x:c>
      <x:c r="G317" s="192" t="n">
        <x:v>1</x:v>
      </x:c>
      <x:c r="H317" s="192" t="str">
        <x:v>Clinical Training Academy</x:v>
      </x:c>
      <x:c r="I317" s="194" t="str">
        <x:v>Source wording preserved; no silent item-content revision during inventory build.</x:v>
      </x:c>
    </x:row>
    <x:row r="318">
      <x:c r="A318" s="191" t="str">
        <x:v>CTA-LMFT-MQB-0317</x:v>
      </x:c>
      <x:c r="B318" s="192" t="str">
        <x:v>LMFT-MQB-FA-CP-002</x:v>
      </x:c>
      <x:c r="C318" s="193" t="n">
        <x:v>46228</x:v>
      </x:c>
      <x:c r="D318" s="192" t="str">
        <x:v>Imported into LMFT master inventory</x:v>
      </x:c>
      <x:c r="E318" s="192" t="str">
        <x:v>LMFT Comprehensive Simulation Form A</x:v>
      </x:c>
      <x:c r="F318" s="192" t="str">
        <x:v>1.0</x:v>
      </x:c>
      <x:c r="G318" s="192" t="n">
        <x:v>1</x:v>
      </x:c>
      <x:c r="H318" s="192" t="str">
        <x:v>Clinical Training Academy</x:v>
      </x:c>
      <x:c r="I318" s="194" t="str">
        <x:v>Source wording preserved; no silent item-content revision during inventory build.</x:v>
      </x:c>
    </x:row>
    <x:row r="319">
      <x:c r="A319" s="191" t="str">
        <x:v>CTA-LMFT-MQB-0318</x:v>
      </x:c>
      <x:c r="B319" s="192" t="str">
        <x:v>LMFT-MQB-FA-CR-015</x:v>
      </x:c>
      <x:c r="C319" s="193" t="n">
        <x:v>46228</x:v>
      </x:c>
      <x:c r="D319" s="192" t="str">
        <x:v>Imported into LMFT master inventory</x:v>
      </x:c>
      <x:c r="E319" s="192" t="str">
        <x:v>LMFT Comprehensive Simulation Form A</x:v>
      </x:c>
      <x:c r="F319" s="192" t="str">
        <x:v>1.0</x:v>
      </x:c>
      <x:c r="G319" s="192" t="n">
        <x:v>1</x:v>
      </x:c>
      <x:c r="H319" s="192" t="str">
        <x:v>Clinical Training Academy</x:v>
      </x:c>
      <x:c r="I319" s="194" t="str">
        <x:v>Source wording preserved; no silent item-content revision during inventory build.</x:v>
      </x:c>
    </x:row>
    <x:row r="320">
      <x:c r="A320" s="191" t="str">
        <x:v>CTA-LMFT-MQB-0319</x:v>
      </x:c>
      <x:c r="B320" s="192" t="str">
        <x:v>LMFT-MQB-FA-CP-001</x:v>
      </x:c>
      <x:c r="C320" s="193" t="n">
        <x:v>46228</x:v>
      </x:c>
      <x:c r="D320" s="192" t="str">
        <x:v>Imported into LMFT master inventory</x:v>
      </x:c>
      <x:c r="E320" s="192" t="str">
        <x:v>LMFT Comprehensive Simulation Form A</x:v>
      </x:c>
      <x:c r="F320" s="192" t="str">
        <x:v>1.0</x:v>
      </x:c>
      <x:c r="G320" s="192" t="n">
        <x:v>1</x:v>
      </x:c>
      <x:c r="H320" s="192" t="str">
        <x:v>Clinical Training Academy</x:v>
      </x:c>
      <x:c r="I320" s="194" t="str">
        <x:v>Source wording preserved; no silent item-content revision during inventory build.</x:v>
      </x:c>
    </x:row>
    <x:row r="321">
      <x:c r="A321" s="191" t="str">
        <x:v>CTA-LMFT-MQB-0320</x:v>
      </x:c>
      <x:c r="B321" s="192" t="str">
        <x:v>LMFT-MQB-FA-TX-026</x:v>
      </x:c>
      <x:c r="C321" s="193" t="n">
        <x:v>46228</x:v>
      </x:c>
      <x:c r="D321" s="192" t="str">
        <x:v>Imported into LMFT master inventory</x:v>
      </x:c>
      <x:c r="E321" s="192" t="str">
        <x:v>LMFT Comprehensive Simulation Form A</x:v>
      </x:c>
      <x:c r="F321" s="192" t="str">
        <x:v>1.0</x:v>
      </x:c>
      <x:c r="G321" s="192" t="n">
        <x:v>1</x:v>
      </x:c>
      <x:c r="H321" s="192" t="str">
        <x:v>Clinical Training Academy</x:v>
      </x:c>
      <x:c r="I321" s="194" t="str">
        <x:v>Source wording preserved; no silent item-content revision during inventory build.</x:v>
      </x:c>
    </x:row>
    <x:row r="322">
      <x:c r="A322" s="191" t="str">
        <x:v>CTA-LMFT-MQB-0321</x:v>
      </x:c>
      <x:c r="B322" s="192" t="str">
        <x:v>LMFT-MQB-FA-DI-013</x:v>
      </x:c>
      <x:c r="C322" s="193" t="n">
        <x:v>46228</x:v>
      </x:c>
      <x:c r="D322" s="192" t="str">
        <x:v>Imported into LMFT master inventory</x:v>
      </x:c>
      <x:c r="E322" s="192" t="str">
        <x:v>LMFT Comprehensive Simulation Form A</x:v>
      </x:c>
      <x:c r="F322" s="192" t="str">
        <x:v>1.0</x:v>
      </x:c>
      <x:c r="G322" s="192" t="n">
        <x:v>1</x:v>
      </x:c>
      <x:c r="H322" s="192" t="str">
        <x:v>Clinical Training Academy</x:v>
      </x:c>
      <x:c r="I322" s="194" t="str">
        <x:v>Source wording preserved; no silent item-content revision during inventory build.</x:v>
      </x:c>
    </x:row>
    <x:row r="323">
      <x:c r="A323" s="191" t="str">
        <x:v>CTA-LMFT-MQB-0322</x:v>
      </x:c>
      <x:c r="B323" s="192" t="str">
        <x:v>LMFT-MQB-FA-CP-003</x:v>
      </x:c>
      <x:c r="C323" s="193" t="n">
        <x:v>46228</x:v>
      </x:c>
      <x:c r="D323" s="192" t="str">
        <x:v>Imported into LMFT master inventory</x:v>
      </x:c>
      <x:c r="E323" s="192" t="str">
        <x:v>LMFT Comprehensive Simulation Form A</x:v>
      </x:c>
      <x:c r="F323" s="192" t="str">
        <x:v>1.0</x:v>
      </x:c>
      <x:c r="G323" s="192" t="n">
        <x:v>1</x:v>
      </x:c>
      <x:c r="H323" s="192" t="str">
        <x:v>Clinical Training Academy</x:v>
      </x:c>
      <x:c r="I323" s="194" t="str">
        <x:v>Source wording preserved; no silent item-content revision during inventory build.</x:v>
      </x:c>
    </x:row>
    <x:row r="324">
      <x:c r="A324" s="191" t="str">
        <x:v>CTA-LMFT-MQB-0323</x:v>
      </x:c>
      <x:c r="B324" s="192" t="str">
        <x:v>LMFT-MQB-FA-LE-008</x:v>
      </x:c>
      <x:c r="C324" s="193" t="n">
        <x:v>46228</x:v>
      </x:c>
      <x:c r="D324" s="192" t="str">
        <x:v>Imported into LMFT master inventory</x:v>
      </x:c>
      <x:c r="E324" s="192" t="str">
        <x:v>LMFT Comprehensive Simulation Form A</x:v>
      </x:c>
      <x:c r="F324" s="192" t="str">
        <x:v>1.0</x:v>
      </x:c>
      <x:c r="G324" s="192" t="n">
        <x:v>1</x:v>
      </x:c>
      <x:c r="H324" s="192" t="str">
        <x:v>Clinical Training Academy</x:v>
      </x:c>
      <x:c r="I324" s="194" t="str">
        <x:v>Source wording preserved; no silent item-content revision during inventory build.</x:v>
      </x:c>
    </x:row>
    <x:row r="325">
      <x:c r="A325" s="191" t="str">
        <x:v>CTA-LMFT-MQB-0324</x:v>
      </x:c>
      <x:c r="B325" s="192" t="str">
        <x:v>LMFT-MQB-FA-CE-023</x:v>
      </x:c>
      <x:c r="C325" s="193" t="n">
        <x:v>46228</x:v>
      </x:c>
      <x:c r="D325" s="192" t="str">
        <x:v>Imported into LMFT master inventory</x:v>
      </x:c>
      <x:c r="E325" s="192" t="str">
        <x:v>LMFT Comprehensive Simulation Form A</x:v>
      </x:c>
      <x:c r="F325" s="192" t="str">
        <x:v>1.0</x:v>
      </x:c>
      <x:c r="G325" s="192" t="n">
        <x:v>1</x:v>
      </x:c>
      <x:c r="H325" s="192" t="str">
        <x:v>Clinical Training Academy</x:v>
      </x:c>
      <x:c r="I325" s="194" t="str">
        <x:v>Source wording preserved; no silent item-content revision during inventory build.</x:v>
      </x:c>
    </x:row>
    <x:row r="326">
      <x:c r="A326" s="191" t="str">
        <x:v>CTA-LMFT-MQB-0325</x:v>
      </x:c>
      <x:c r="B326" s="192" t="str">
        <x:v>LMFT-MQB-FA-DI-010</x:v>
      </x:c>
      <x:c r="C326" s="193" t="n">
        <x:v>46228</x:v>
      </x:c>
      <x:c r="D326" s="192" t="str">
        <x:v>Imported into LMFT master inventory</x:v>
      </x:c>
      <x:c r="E326" s="192" t="str">
        <x:v>LMFT Comprehensive Simulation Form A</x:v>
      </x:c>
      <x:c r="F326" s="192" t="str">
        <x:v>1.0</x:v>
      </x:c>
      <x:c r="G326" s="192" t="n">
        <x:v>1</x:v>
      </x:c>
      <x:c r="H326" s="192" t="str">
        <x:v>Clinical Training Academy</x:v>
      </x:c>
      <x:c r="I326" s="194" t="str">
        <x:v>Source wording preserved; no silent item-content revision during inventory build.</x:v>
      </x:c>
    </x:row>
    <x:row r="327">
      <x:c r="A327" s="191" t="str">
        <x:v>CTA-LMFT-MQB-0326</x:v>
      </x:c>
      <x:c r="B327" s="192" t="str">
        <x:v>LMFT-MQB-FA-CE-008</x:v>
      </x:c>
      <x:c r="C327" s="193" t="n">
        <x:v>46228</x:v>
      </x:c>
      <x:c r="D327" s="192" t="str">
        <x:v>Imported into LMFT master inventory</x:v>
      </x:c>
      <x:c r="E327" s="192" t="str">
        <x:v>LMFT Comprehensive Simulation Form A</x:v>
      </x:c>
      <x:c r="F327" s="192" t="str">
        <x:v>1.0</x:v>
      </x:c>
      <x:c r="G327" s="192" t="n">
        <x:v>1</x:v>
      </x:c>
      <x:c r="H327" s="192" t="str">
        <x:v>Clinical Training Academy</x:v>
      </x:c>
      <x:c r="I327" s="194" t="str">
        <x:v>Source wording preserved; no silent item-content revision during inventory build.</x:v>
      </x:c>
    </x:row>
    <x:row r="328">
      <x:c r="A328" s="191" t="str">
        <x:v>CTA-LMFT-MQB-0327</x:v>
      </x:c>
      <x:c r="B328" s="192" t="str">
        <x:v>LMFT-MQB-FA-CE-040</x:v>
      </x:c>
      <x:c r="C328" s="193" t="n">
        <x:v>46228</x:v>
      </x:c>
      <x:c r="D328" s="192" t="str">
        <x:v>Imported into LMFT master inventory</x:v>
      </x:c>
      <x:c r="E328" s="192" t="str">
        <x:v>LMFT Comprehensive Simulation Form A</x:v>
      </x:c>
      <x:c r="F328" s="192" t="str">
        <x:v>1.0</x:v>
      </x:c>
      <x:c r="G328" s="192" t="n">
        <x:v>1</x:v>
      </x:c>
      <x:c r="H328" s="192" t="str">
        <x:v>Clinical Training Academy</x:v>
      </x:c>
      <x:c r="I328" s="194" t="str">
        <x:v>Source wording preserved; no silent item-content revision during inventory build.</x:v>
      </x:c>
    </x:row>
    <x:row r="329">
      <x:c r="A329" s="191" t="str">
        <x:v>CTA-LMFT-MQB-0328</x:v>
      </x:c>
      <x:c r="B329" s="192" t="str">
        <x:v>LMFT-MQB-FA-TX-012</x:v>
      </x:c>
      <x:c r="C329" s="193" t="n">
        <x:v>46228</x:v>
      </x:c>
      <x:c r="D329" s="192" t="str">
        <x:v>Imported into LMFT master inventory</x:v>
      </x:c>
      <x:c r="E329" s="192" t="str">
        <x:v>LMFT Comprehensive Simulation Form A</x:v>
      </x:c>
      <x:c r="F329" s="192" t="str">
        <x:v>1.0</x:v>
      </x:c>
      <x:c r="G329" s="192" t="n">
        <x:v>1</x:v>
      </x:c>
      <x:c r="H329" s="192" t="str">
        <x:v>Clinical Training Academy</x:v>
      </x:c>
      <x:c r="I329" s="194" t="str">
        <x:v>Source wording preserved; no silent item-content revision during inventory build.</x:v>
      </x:c>
    </x:row>
    <x:row r="330">
      <x:c r="A330" s="191" t="str">
        <x:v>CTA-LMFT-MQB-0329</x:v>
      </x:c>
      <x:c r="B330" s="192" t="str">
        <x:v>LMFT-MQB-FA-CE-017</x:v>
      </x:c>
      <x:c r="C330" s="193" t="n">
        <x:v>46228</x:v>
      </x:c>
      <x:c r="D330" s="192" t="str">
        <x:v>Imported into LMFT master inventory</x:v>
      </x:c>
      <x:c r="E330" s="192" t="str">
        <x:v>LMFT Comprehensive Simulation Form A</x:v>
      </x:c>
      <x:c r="F330" s="192" t="str">
        <x:v>1.0</x:v>
      </x:c>
      <x:c r="G330" s="192" t="n">
        <x:v>1</x:v>
      </x:c>
      <x:c r="H330" s="192" t="str">
        <x:v>Clinical Training Academy</x:v>
      </x:c>
      <x:c r="I330" s="194" t="str">
        <x:v>Source wording preserved; no silent item-content revision during inventory build.</x:v>
      </x:c>
    </x:row>
    <x:row r="331">
      <x:c r="A331" s="191" t="str">
        <x:v>CTA-LMFT-MQB-0330</x:v>
      </x:c>
      <x:c r="B331" s="192" t="str">
        <x:v>LMFT-MQB-FA-CE-022</x:v>
      </x:c>
      <x:c r="C331" s="193" t="n">
        <x:v>46228</x:v>
      </x:c>
      <x:c r="D331" s="192" t="str">
        <x:v>Imported into LMFT master inventory</x:v>
      </x:c>
      <x:c r="E331" s="192" t="str">
        <x:v>LMFT Comprehensive Simulation Form A</x:v>
      </x:c>
      <x:c r="F331" s="192" t="str">
        <x:v>1.0</x:v>
      </x:c>
      <x:c r="G331" s="192" t="n">
        <x:v>1</x:v>
      </x:c>
      <x:c r="H331" s="192" t="str">
        <x:v>Clinical Training Academy</x:v>
      </x:c>
      <x:c r="I331" s="194" t="str">
        <x:v>Source wording preserved; no silent item-content revision during inventory build.</x:v>
      </x:c>
    </x:row>
    <x:row r="332">
      <x:c r="A332" s="191" t="str">
        <x:v>CTA-LMFT-MQB-0331</x:v>
      </x:c>
      <x:c r="B332" s="192" t="str">
        <x:v>LMFT-MQB-FA-TX-033</x:v>
      </x:c>
      <x:c r="C332" s="193" t="n">
        <x:v>46228</x:v>
      </x:c>
      <x:c r="D332" s="192" t="str">
        <x:v>Imported into LMFT master inventory</x:v>
      </x:c>
      <x:c r="E332" s="192" t="str">
        <x:v>LMFT Comprehensive Simulation Form A</x:v>
      </x:c>
      <x:c r="F332" s="192" t="str">
        <x:v>1.0</x:v>
      </x:c>
      <x:c r="G332" s="192" t="n">
        <x:v>1</x:v>
      </x:c>
      <x:c r="H332" s="192" t="str">
        <x:v>Clinical Training Academy</x:v>
      </x:c>
      <x:c r="I332" s="194" t="str">
        <x:v>Source wording preserved; no silent item-content revision during inventory build.</x:v>
      </x:c>
    </x:row>
    <x:row r="333">
      <x:c r="A333" s="191" t="str">
        <x:v>CTA-LMFT-MQB-0332</x:v>
      </x:c>
      <x:c r="B333" s="192" t="str">
        <x:v>LMFT-MQB-FA-CR-009</x:v>
      </x:c>
      <x:c r="C333" s="193" t="n">
        <x:v>46228</x:v>
      </x:c>
      <x:c r="D333" s="192" t="str">
        <x:v>Imported into LMFT master inventory</x:v>
      </x:c>
      <x:c r="E333" s="192" t="str">
        <x:v>LMFT Comprehensive Simulation Form A</x:v>
      </x:c>
      <x:c r="F333" s="192" t="str">
        <x:v>1.0</x:v>
      </x:c>
      <x:c r="G333" s="192" t="n">
        <x:v>1</x:v>
      </x:c>
      <x:c r="H333" s="192" t="str">
        <x:v>Clinical Training Academy</x:v>
      </x:c>
      <x:c r="I333" s="194" t="str">
        <x:v>Source wording preserved; no silent item-content revision during inventory build.</x:v>
      </x:c>
    </x:row>
    <x:row r="334">
      <x:c r="A334" s="191" t="str">
        <x:v>CTA-LMFT-MQB-0333</x:v>
      </x:c>
      <x:c r="B334" s="192" t="str">
        <x:v>LMFT-MQB-FA-TX-037</x:v>
      </x:c>
      <x:c r="C334" s="193" t="n">
        <x:v>46228</x:v>
      </x:c>
      <x:c r="D334" s="192" t="str">
        <x:v>Imported into LMFT master inventory</x:v>
      </x:c>
      <x:c r="E334" s="192" t="str">
        <x:v>LMFT Comprehensive Simulation Form A</x:v>
      </x:c>
      <x:c r="F334" s="192" t="str">
        <x:v>1.0</x:v>
      </x:c>
      <x:c r="G334" s="192" t="n">
        <x:v>1</x:v>
      </x:c>
      <x:c r="H334" s="192" t="str">
        <x:v>Clinical Training Academy</x:v>
      </x:c>
      <x:c r="I334" s="194" t="str">
        <x:v>Source wording preserved; no silent item-content revision during inventory build.</x:v>
      </x:c>
    </x:row>
    <x:row r="335">
      <x:c r="A335" s="191" t="str">
        <x:v>CTA-LMFT-MQB-0334</x:v>
      </x:c>
      <x:c r="B335" s="192" t="str">
        <x:v>LMFT-MQB-FA-CE-025</x:v>
      </x:c>
      <x:c r="C335" s="193" t="n">
        <x:v>46228</x:v>
      </x:c>
      <x:c r="D335" s="192" t="str">
        <x:v>Imported into LMFT master inventory</x:v>
      </x:c>
      <x:c r="E335" s="192" t="str">
        <x:v>LMFT Comprehensive Simulation Form A</x:v>
      </x:c>
      <x:c r="F335" s="192" t="str">
        <x:v>1.0</x:v>
      </x:c>
      <x:c r="G335" s="192" t="n">
        <x:v>1</x:v>
      </x:c>
      <x:c r="H335" s="192" t="str">
        <x:v>Clinical Training Academy</x:v>
      </x:c>
      <x:c r="I335" s="194" t="str">
        <x:v>Source wording preserved; no silent item-content revision during inventory build.</x:v>
      </x:c>
    </x:row>
    <x:row r="336">
      <x:c r="A336" s="191" t="str">
        <x:v>CTA-LMFT-MQB-0335</x:v>
      </x:c>
      <x:c r="B336" s="192" t="str">
        <x:v>LMFT-MQB-FA-TX-011</x:v>
      </x:c>
      <x:c r="C336" s="193" t="n">
        <x:v>46228</x:v>
      </x:c>
      <x:c r="D336" s="192" t="str">
        <x:v>Imported into LMFT master inventory</x:v>
      </x:c>
      <x:c r="E336" s="192" t="str">
        <x:v>LMFT Comprehensive Simulation Form A</x:v>
      </x:c>
      <x:c r="F336" s="192" t="str">
        <x:v>1.0</x:v>
      </x:c>
      <x:c r="G336" s="192" t="n">
        <x:v>1</x:v>
      </x:c>
      <x:c r="H336" s="192" t="str">
        <x:v>Clinical Training Academy</x:v>
      </x:c>
      <x:c r="I336" s="194" t="str">
        <x:v>Source wording preserved; no silent item-content revision during inventory build.</x:v>
      </x:c>
    </x:row>
    <x:row r="337">
      <x:c r="A337" s="191" t="str">
        <x:v>CTA-LMFT-MQB-0336</x:v>
      </x:c>
      <x:c r="B337" s="192" t="str">
        <x:v>LMFT-MQB-FA-LE-001</x:v>
      </x:c>
      <x:c r="C337" s="193" t="n">
        <x:v>46228</x:v>
      </x:c>
      <x:c r="D337" s="192" t="str">
        <x:v>Imported into LMFT master inventory</x:v>
      </x:c>
      <x:c r="E337" s="192" t="str">
        <x:v>LMFT Comprehensive Simulation Form A</x:v>
      </x:c>
      <x:c r="F337" s="192" t="str">
        <x:v>1.0</x:v>
      </x:c>
      <x:c r="G337" s="192" t="n">
        <x:v>1</x:v>
      </x:c>
      <x:c r="H337" s="192" t="str">
        <x:v>Clinical Training Academy</x:v>
      </x:c>
      <x:c r="I337" s="194" t="str">
        <x:v>Source wording preserved; no silent item-content revision during inventory build.</x:v>
      </x:c>
    </x:row>
    <x:row r="338">
      <x:c r="A338" s="191" t="str">
        <x:v>CTA-LMFT-MQB-0337</x:v>
      </x:c>
      <x:c r="B338" s="192" t="str">
        <x:v>LMFT-MQB-FA-CP-004</x:v>
      </x:c>
      <x:c r="C338" s="193" t="n">
        <x:v>46228</x:v>
      </x:c>
      <x:c r="D338" s="192" t="str">
        <x:v>Imported into LMFT master inventory</x:v>
      </x:c>
      <x:c r="E338" s="192" t="str">
        <x:v>LMFT Comprehensive Simulation Form A</x:v>
      </x:c>
      <x:c r="F338" s="192" t="str">
        <x:v>1.0</x:v>
      </x:c>
      <x:c r="G338" s="192" t="n">
        <x:v>1</x:v>
      </x:c>
      <x:c r="H338" s="192" t="str">
        <x:v>Clinical Training Academy</x:v>
      </x:c>
      <x:c r="I338" s="194" t="str">
        <x:v>Source wording preserved; no silent item-content revision during inventory build.</x:v>
      </x:c>
    </x:row>
    <x:row r="339">
      <x:c r="A339" s="191" t="str">
        <x:v>CTA-LMFT-MQB-0338</x:v>
      </x:c>
      <x:c r="B339" s="192" t="str">
        <x:v>LMFT-MQB-FA-CR-014</x:v>
      </x:c>
      <x:c r="C339" s="193" t="n">
        <x:v>46228</x:v>
      </x:c>
      <x:c r="D339" s="192" t="str">
        <x:v>Imported into LMFT master inventory</x:v>
      </x:c>
      <x:c r="E339" s="192" t="str">
        <x:v>LMFT Comprehensive Simulation Form A</x:v>
      </x:c>
      <x:c r="F339" s="192" t="str">
        <x:v>1.0</x:v>
      </x:c>
      <x:c r="G339" s="192" t="n">
        <x:v>1</x:v>
      </x:c>
      <x:c r="H339" s="192" t="str">
        <x:v>Clinical Training Academy</x:v>
      </x:c>
      <x:c r="I339" s="194" t="str">
        <x:v>Source wording preserved; no silent item-content revision during inventory build.</x:v>
      </x:c>
    </x:row>
    <x:row r="340">
      <x:c r="A340" s="191" t="str">
        <x:v>CTA-LMFT-MQB-0339</x:v>
      </x:c>
      <x:c r="B340" s="192" t="str">
        <x:v>LMFT-MQB-FA-LE-005</x:v>
      </x:c>
      <x:c r="C340" s="193" t="n">
        <x:v>46228</x:v>
      </x:c>
      <x:c r="D340" s="192" t="str">
        <x:v>Imported into LMFT master inventory</x:v>
      </x:c>
      <x:c r="E340" s="192" t="str">
        <x:v>LMFT Comprehensive Simulation Form A</x:v>
      </x:c>
      <x:c r="F340" s="192" t="str">
        <x:v>1.0</x:v>
      </x:c>
      <x:c r="G340" s="192" t="n">
        <x:v>1</x:v>
      </x:c>
      <x:c r="H340" s="192" t="str">
        <x:v>Clinical Training Academy</x:v>
      </x:c>
      <x:c r="I340" s="194" t="str">
        <x:v>Source wording preserved; no silent item-content revision during inventory build.</x:v>
      </x:c>
    </x:row>
    <x:row r="341">
      <x:c r="A341" s="191" t="str">
        <x:v>CTA-LMFT-MQB-0340</x:v>
      </x:c>
      <x:c r="B341" s="192" t="str">
        <x:v>LMFT-MQB-FA-DI-008</x:v>
      </x:c>
      <x:c r="C341" s="193" t="n">
        <x:v>46228</x:v>
      </x:c>
      <x:c r="D341" s="192" t="str">
        <x:v>Imported into LMFT master inventory</x:v>
      </x:c>
      <x:c r="E341" s="192" t="str">
        <x:v>LMFT Comprehensive Simulation Form A</x:v>
      </x:c>
      <x:c r="F341" s="192" t="str">
        <x:v>1.0</x:v>
      </x:c>
      <x:c r="G341" s="192" t="n">
        <x:v>1</x:v>
      </x:c>
      <x:c r="H341" s="192" t="str">
        <x:v>Clinical Training Academy</x:v>
      </x:c>
      <x:c r="I341" s="194" t="str">
        <x:v>Source wording preserved; no silent item-content revision during inventory build.</x:v>
      </x:c>
    </x:row>
    <x:row r="342">
      <x:c r="A342" s="191" t="str">
        <x:v>CTA-LMFT-MQB-0341</x:v>
      </x:c>
      <x:c r="B342" s="192" t="str">
        <x:v>LMFT-MQB-FA-CP-017</x:v>
      </x:c>
      <x:c r="C342" s="193" t="n">
        <x:v>46228</x:v>
      </x:c>
      <x:c r="D342" s="192" t="str">
        <x:v>Imported into LMFT master inventory</x:v>
      </x:c>
      <x:c r="E342" s="192" t="str">
        <x:v>LMFT Comprehensive Simulation Form A</x:v>
      </x:c>
      <x:c r="F342" s="192" t="str">
        <x:v>1.0</x:v>
      </x:c>
      <x:c r="G342" s="192" t="n">
        <x:v>1</x:v>
      </x:c>
      <x:c r="H342" s="192" t="str">
        <x:v>Clinical Training Academy</x:v>
      </x:c>
      <x:c r="I342" s="194" t="str">
        <x:v>Source wording preserved; no silent item-content revision during inventory build.</x:v>
      </x:c>
    </x:row>
    <x:row r="343">
      <x:c r="A343" s="191" t="str">
        <x:v>CTA-LMFT-MQB-0342</x:v>
      </x:c>
      <x:c r="B343" s="192" t="str">
        <x:v>LMFT-MQB-FA-TX-017</x:v>
      </x:c>
      <x:c r="C343" s="193" t="n">
        <x:v>46228</x:v>
      </x:c>
      <x:c r="D343" s="192" t="str">
        <x:v>Imported into LMFT master inventory</x:v>
      </x:c>
      <x:c r="E343" s="192" t="str">
        <x:v>LMFT Comprehensive Simulation Form A</x:v>
      </x:c>
      <x:c r="F343" s="192" t="str">
        <x:v>1.0</x:v>
      </x:c>
      <x:c r="G343" s="192" t="n">
        <x:v>1</x:v>
      </x:c>
      <x:c r="H343" s="192" t="str">
        <x:v>Clinical Training Academy</x:v>
      </x:c>
      <x:c r="I343" s="194" t="str">
        <x:v>Source wording preserved; no silent item-content revision during inventory build.</x:v>
      </x:c>
    </x:row>
    <x:row r="344">
      <x:c r="A344" s="191" t="str">
        <x:v>CTA-LMFT-MQB-0343</x:v>
      </x:c>
      <x:c r="B344" s="192" t="str">
        <x:v>LMFT-MQB-FA-CP-016</x:v>
      </x:c>
      <x:c r="C344" s="193" t="n">
        <x:v>46228</x:v>
      </x:c>
      <x:c r="D344" s="192" t="str">
        <x:v>Imported into LMFT master inventory</x:v>
      </x:c>
      <x:c r="E344" s="192" t="str">
        <x:v>LMFT Comprehensive Simulation Form A</x:v>
      </x:c>
      <x:c r="F344" s="192" t="str">
        <x:v>1.0</x:v>
      </x:c>
      <x:c r="G344" s="192" t="n">
        <x:v>1</x:v>
      </x:c>
      <x:c r="H344" s="192" t="str">
        <x:v>Clinical Training Academy</x:v>
      </x:c>
      <x:c r="I344" s="194" t="str">
        <x:v>Source wording preserved; no silent item-content revision during inventory build.</x:v>
      </x:c>
    </x:row>
    <x:row r="345">
      <x:c r="A345" s="191" t="str">
        <x:v>CTA-LMFT-MQB-0344</x:v>
      </x:c>
      <x:c r="B345" s="192" t="str">
        <x:v>LMFT-MQB-FA-CP-006</x:v>
      </x:c>
      <x:c r="C345" s="193" t="n">
        <x:v>46228</x:v>
      </x:c>
      <x:c r="D345" s="192" t="str">
        <x:v>Imported into LMFT master inventory</x:v>
      </x:c>
      <x:c r="E345" s="192" t="str">
        <x:v>LMFT Comprehensive Simulation Form A</x:v>
      </x:c>
      <x:c r="F345" s="192" t="str">
        <x:v>1.0</x:v>
      </x:c>
      <x:c r="G345" s="192" t="n">
        <x:v>1</x:v>
      </x:c>
      <x:c r="H345" s="192" t="str">
        <x:v>Clinical Training Academy</x:v>
      </x:c>
      <x:c r="I345" s="194" t="str">
        <x:v>Source wording preserved; no silent item-content revision during inventory build.</x:v>
      </x:c>
    </x:row>
    <x:row r="346">
      <x:c r="A346" s="191" t="str">
        <x:v>CTA-LMFT-MQB-0345</x:v>
      </x:c>
      <x:c r="B346" s="192" t="str">
        <x:v>LMFT-MQB-FA-CE-016</x:v>
      </x:c>
      <x:c r="C346" s="193" t="n">
        <x:v>46228</x:v>
      </x:c>
      <x:c r="D346" s="192" t="str">
        <x:v>Imported into LMFT master inventory</x:v>
      </x:c>
      <x:c r="E346" s="192" t="str">
        <x:v>LMFT Comprehensive Simulation Form A</x:v>
      </x:c>
      <x:c r="F346" s="192" t="str">
        <x:v>1.0</x:v>
      </x:c>
      <x:c r="G346" s="192" t="n">
        <x:v>1</x:v>
      </x:c>
      <x:c r="H346" s="192" t="str">
        <x:v>Clinical Training Academy</x:v>
      </x:c>
      <x:c r="I346" s="194" t="str">
        <x:v>Source wording preserved; no silent item-content revision during inventory build.</x:v>
      </x:c>
    </x:row>
    <x:row r="347">
      <x:c r="A347" s="191" t="str">
        <x:v>CTA-LMFT-MQB-0346</x:v>
      </x:c>
      <x:c r="B347" s="192" t="str">
        <x:v>LMFT-MQB-FA-TX-019</x:v>
      </x:c>
      <x:c r="C347" s="193" t="n">
        <x:v>46228</x:v>
      </x:c>
      <x:c r="D347" s="192" t="str">
        <x:v>Imported into LMFT master inventory</x:v>
      </x:c>
      <x:c r="E347" s="192" t="str">
        <x:v>LMFT Comprehensive Simulation Form A</x:v>
      </x:c>
      <x:c r="F347" s="192" t="str">
        <x:v>1.0</x:v>
      </x:c>
      <x:c r="G347" s="192" t="n">
        <x:v>1</x:v>
      </x:c>
      <x:c r="H347" s="192" t="str">
        <x:v>Clinical Training Academy</x:v>
      </x:c>
      <x:c r="I347" s="194" t="str">
        <x:v>Source wording preserved; no silent item-content revision during inventory build.</x:v>
      </x:c>
    </x:row>
    <x:row r="348">
      <x:c r="A348" s="191" t="str">
        <x:v>CTA-LMFT-MQB-0347</x:v>
      </x:c>
      <x:c r="B348" s="192" t="str">
        <x:v>LMFT-MQB-FA-DI-002</x:v>
      </x:c>
      <x:c r="C348" s="193" t="n">
        <x:v>46228</x:v>
      </x:c>
      <x:c r="D348" s="192" t="str">
        <x:v>Imported into LMFT master inventory</x:v>
      </x:c>
      <x:c r="E348" s="192" t="str">
        <x:v>LMFT Comprehensive Simulation Form A</x:v>
      </x:c>
      <x:c r="F348" s="192" t="str">
        <x:v>1.0</x:v>
      </x:c>
      <x:c r="G348" s="192" t="n">
        <x:v>1</x:v>
      </x:c>
      <x:c r="H348" s="192" t="str">
        <x:v>Clinical Training Academy</x:v>
      </x:c>
      <x:c r="I348" s="194" t="str">
        <x:v>Source wording preserved; no silent item-content revision during inventory build.</x:v>
      </x:c>
    </x:row>
    <x:row r="349">
      <x:c r="A349" s="191" t="str">
        <x:v>CTA-LMFT-MQB-0348</x:v>
      </x:c>
      <x:c r="B349" s="192" t="str">
        <x:v>LMFT-MQB-FA-TX-031</x:v>
      </x:c>
      <x:c r="C349" s="193" t="n">
        <x:v>46228</x:v>
      </x:c>
      <x:c r="D349" s="192" t="str">
        <x:v>Imported into LMFT master inventory</x:v>
      </x:c>
      <x:c r="E349" s="192" t="str">
        <x:v>LMFT Comprehensive Simulation Form A</x:v>
      </x:c>
      <x:c r="F349" s="192" t="str">
        <x:v>1.0</x:v>
      </x:c>
      <x:c r="G349" s="192" t="n">
        <x:v>1</x:v>
      </x:c>
      <x:c r="H349" s="192" t="str">
        <x:v>Clinical Training Academy</x:v>
      </x:c>
      <x:c r="I349" s="194" t="str">
        <x:v>Source wording preserved; no silent item-content revision during inventory build.</x:v>
      </x:c>
    </x:row>
    <x:row r="350">
      <x:c r="A350" s="191" t="str">
        <x:v>CTA-LMFT-MQB-0349</x:v>
      </x:c>
      <x:c r="B350" s="192" t="str">
        <x:v>LMFT-MQB-FA-CE-012</x:v>
      </x:c>
      <x:c r="C350" s="193" t="n">
        <x:v>46228</x:v>
      </x:c>
      <x:c r="D350" s="192" t="str">
        <x:v>Imported into LMFT master inventory</x:v>
      </x:c>
      <x:c r="E350" s="192" t="str">
        <x:v>LMFT Comprehensive Simulation Form A</x:v>
      </x:c>
      <x:c r="F350" s="192" t="str">
        <x:v>1.0</x:v>
      </x:c>
      <x:c r="G350" s="192" t="n">
        <x:v>1</x:v>
      </x:c>
      <x:c r="H350" s="192" t="str">
        <x:v>Clinical Training Academy</x:v>
      </x:c>
      <x:c r="I350" s="194" t="str">
        <x:v>Source wording preserved; no silent item-content revision during inventory build.</x:v>
      </x:c>
    </x:row>
    <x:row r="351">
      <x:c r="A351" s="191" t="str">
        <x:v>CTA-LMFT-MQB-0350</x:v>
      </x:c>
      <x:c r="B351" s="192" t="str">
        <x:v>LMFT-MQB-FA-TX-042</x:v>
      </x:c>
      <x:c r="C351" s="193" t="n">
        <x:v>46228</x:v>
      </x:c>
      <x:c r="D351" s="192" t="str">
        <x:v>Imported into LMFT master inventory</x:v>
      </x:c>
      <x:c r="E351" s="192" t="str">
        <x:v>LMFT Comprehensive Simulation Form A</x:v>
      </x:c>
      <x:c r="F351" s="192" t="str">
        <x:v>1.0</x:v>
      </x:c>
      <x:c r="G351" s="192" t="n">
        <x:v>1</x:v>
      </x:c>
      <x:c r="H351" s="192" t="str">
        <x:v>Clinical Training Academy</x:v>
      </x:c>
      <x:c r="I351" s="194" t="str">
        <x:v>Source wording preserved; no silent item-content revision during inventory build.</x:v>
      </x:c>
    </x:row>
    <x:row r="352">
      <x:c r="A352" s="191" t="str">
        <x:v>CTA-LMFT-MQB-0351</x:v>
      </x:c>
      <x:c r="B352" s="192" t="str">
        <x:v>LMFT-MQB-FA-CE-013</x:v>
      </x:c>
      <x:c r="C352" s="193" t="n">
        <x:v>46228</x:v>
      </x:c>
      <x:c r="D352" s="192" t="str">
        <x:v>Imported into LMFT master inventory</x:v>
      </x:c>
      <x:c r="E352" s="192" t="str">
        <x:v>LMFT Comprehensive Simulation Form A</x:v>
      </x:c>
      <x:c r="F352" s="192" t="str">
        <x:v>1.0</x:v>
      </x:c>
      <x:c r="G352" s="192" t="n">
        <x:v>1</x:v>
      </x:c>
      <x:c r="H352" s="192" t="str">
        <x:v>Clinical Training Academy</x:v>
      </x:c>
      <x:c r="I352" s="194" t="str">
        <x:v>Source wording preserved; no silent item-content revision during inventory build.</x:v>
      </x:c>
    </x:row>
    <x:row r="353">
      <x:c r="A353" s="191" t="str">
        <x:v>CTA-LMFT-MQB-0352</x:v>
      </x:c>
      <x:c r="B353" s="192" t="str">
        <x:v>LMFT-MQB-FA-TX-028</x:v>
      </x:c>
      <x:c r="C353" s="193" t="n">
        <x:v>46228</x:v>
      </x:c>
      <x:c r="D353" s="192" t="str">
        <x:v>Imported into LMFT master inventory</x:v>
      </x:c>
      <x:c r="E353" s="192" t="str">
        <x:v>LMFT Comprehensive Simulation Form A</x:v>
      </x:c>
      <x:c r="F353" s="192" t="str">
        <x:v>1.0</x:v>
      </x:c>
      <x:c r="G353" s="192" t="n">
        <x:v>1</x:v>
      </x:c>
      <x:c r="H353" s="192" t="str">
        <x:v>Clinical Training Academy</x:v>
      </x:c>
      <x:c r="I353" s="194" t="str">
        <x:v>Source wording preserved; no silent item-content revision during inventory build.</x:v>
      </x:c>
    </x:row>
    <x:row r="354">
      <x:c r="A354" s="191" t="str">
        <x:v>CTA-LMFT-MQB-0353</x:v>
      </x:c>
      <x:c r="B354" s="192" t="str">
        <x:v>LMFT-MQB-FA-TX-027</x:v>
      </x:c>
      <x:c r="C354" s="193" t="n">
        <x:v>46228</x:v>
      </x:c>
      <x:c r="D354" s="192" t="str">
        <x:v>Imported into LMFT master inventory</x:v>
      </x:c>
      <x:c r="E354" s="192" t="str">
        <x:v>LMFT Comprehensive Simulation Form A</x:v>
      </x:c>
      <x:c r="F354" s="192" t="str">
        <x:v>1.0</x:v>
      </x:c>
      <x:c r="G354" s="192" t="n">
        <x:v>1</x:v>
      </x:c>
      <x:c r="H354" s="192" t="str">
        <x:v>Clinical Training Academy</x:v>
      </x:c>
      <x:c r="I354" s="194" t="str">
        <x:v>Source wording preserved; no silent item-content revision during inventory build.</x:v>
      </x:c>
    </x:row>
    <x:row r="355">
      <x:c r="A355" s="191" t="str">
        <x:v>CTA-LMFT-MQB-0354</x:v>
      </x:c>
      <x:c r="B355" s="192" t="str">
        <x:v>LMFT-MQB-FA-CP-007</x:v>
      </x:c>
      <x:c r="C355" s="193" t="n">
        <x:v>46228</x:v>
      </x:c>
      <x:c r="D355" s="192" t="str">
        <x:v>Imported into LMFT master inventory</x:v>
      </x:c>
      <x:c r="E355" s="192" t="str">
        <x:v>LMFT Comprehensive Simulation Form A</x:v>
      </x:c>
      <x:c r="F355" s="192" t="str">
        <x:v>1.0</x:v>
      </x:c>
      <x:c r="G355" s="192" t="n">
        <x:v>1</x:v>
      </x:c>
      <x:c r="H355" s="192" t="str">
        <x:v>Clinical Training Academy</x:v>
      </x:c>
      <x:c r="I355" s="194" t="str">
        <x:v>Source wording preserved; no silent item-content revision during inventory build.</x:v>
      </x:c>
    </x:row>
    <x:row r="356">
      <x:c r="A356" s="191" t="str">
        <x:v>CTA-LMFT-MQB-0355</x:v>
      </x:c>
      <x:c r="B356" s="192" t="str">
        <x:v>LMFT-MQB-FB-CP-010</x:v>
      </x:c>
      <x:c r="C356" s="193" t="n">
        <x:v>46228</x:v>
      </x:c>
      <x:c r="D356" s="192" t="str">
        <x:v>Imported into LMFT master inventory</x:v>
      </x:c>
      <x:c r="E356" s="192" t="str">
        <x:v>LMFT Comprehensive Simulation Form B</x:v>
      </x:c>
      <x:c r="F356" s="192" t="str">
        <x:v>1.0</x:v>
      </x:c>
      <x:c r="G356" s="192" t="n">
        <x:v>1</x:v>
      </x:c>
      <x:c r="H356" s="192" t="str">
        <x:v>Clinical Training Academy</x:v>
      </x:c>
      <x:c r="I356" s="194" t="str">
        <x:v>Source wording preserved; no silent item-content revision during inventory build.</x:v>
      </x:c>
    </x:row>
    <x:row r="357">
      <x:c r="A357" s="191" t="str">
        <x:v>CTA-LMFT-MQB-0356</x:v>
      </x:c>
      <x:c r="B357" s="192" t="str">
        <x:v>LMFT-MQB-FB-CE-020</x:v>
      </x:c>
      <x:c r="C357" s="193" t="n">
        <x:v>46228</x:v>
      </x:c>
      <x:c r="D357" s="192" t="str">
        <x:v>Imported into LMFT master inventory</x:v>
      </x:c>
      <x:c r="E357" s="192" t="str">
        <x:v>LMFT Comprehensive Simulation Form B</x:v>
      </x:c>
      <x:c r="F357" s="192" t="str">
        <x:v>1.0</x:v>
      </x:c>
      <x:c r="G357" s="192" t="n">
        <x:v>1</x:v>
      </x:c>
      <x:c r="H357" s="192" t="str">
        <x:v>Clinical Training Academy</x:v>
      </x:c>
      <x:c r="I357" s="194" t="str">
        <x:v>Source wording preserved; no silent item-content revision during inventory build.</x:v>
      </x:c>
    </x:row>
    <x:row r="358">
      <x:c r="A358" s="191" t="str">
        <x:v>CTA-LMFT-MQB-0357</x:v>
      </x:c>
      <x:c r="B358" s="192" t="str">
        <x:v>LMFT-MQB-FB-LE-015</x:v>
      </x:c>
      <x:c r="C358" s="193" t="n">
        <x:v>46228</x:v>
      </x:c>
      <x:c r="D358" s="192" t="str">
        <x:v>Imported into LMFT master inventory</x:v>
      </x:c>
      <x:c r="E358" s="192" t="str">
        <x:v>LMFT Comprehensive Simulation Form B</x:v>
      </x:c>
      <x:c r="F358" s="192" t="str">
        <x:v>1.0</x:v>
      </x:c>
      <x:c r="G358" s="192" t="n">
        <x:v>1</x:v>
      </x:c>
      <x:c r="H358" s="192" t="str">
        <x:v>Clinical Training Academy</x:v>
      </x:c>
      <x:c r="I358" s="194" t="str">
        <x:v>Source wording preserved; no silent item-content revision during inventory build.</x:v>
      </x:c>
    </x:row>
    <x:row r="359">
      <x:c r="A359" s="191" t="str">
        <x:v>CTA-LMFT-MQB-0358</x:v>
      </x:c>
      <x:c r="B359" s="192" t="str">
        <x:v>LMFT-MQB-FB-TX-035</x:v>
      </x:c>
      <x:c r="C359" s="193" t="n">
        <x:v>46228</x:v>
      </x:c>
      <x:c r="D359" s="192" t="str">
        <x:v>Imported into LMFT master inventory</x:v>
      </x:c>
      <x:c r="E359" s="192" t="str">
        <x:v>LMFT Comprehensive Simulation Form B</x:v>
      </x:c>
      <x:c r="F359" s="192" t="str">
        <x:v>1.0</x:v>
      </x:c>
      <x:c r="G359" s="192" t="n">
        <x:v>1</x:v>
      </x:c>
      <x:c r="H359" s="192" t="str">
        <x:v>Clinical Training Academy</x:v>
      </x:c>
      <x:c r="I359" s="194" t="str">
        <x:v>Source wording preserved; no silent item-content revision during inventory build.</x:v>
      </x:c>
    </x:row>
    <x:row r="360">
      <x:c r="A360" s="191" t="str">
        <x:v>CTA-LMFT-MQB-0359</x:v>
      </x:c>
      <x:c r="B360" s="192" t="str">
        <x:v>LMFT-MQB-FB-TX-025</x:v>
      </x:c>
      <x:c r="C360" s="193" t="n">
        <x:v>46228</x:v>
      </x:c>
      <x:c r="D360" s="192" t="str">
        <x:v>Imported into LMFT master inventory</x:v>
      </x:c>
      <x:c r="E360" s="192" t="str">
        <x:v>LMFT Comprehensive Simulation Form B</x:v>
      </x:c>
      <x:c r="F360" s="192" t="str">
        <x:v>1.0</x:v>
      </x:c>
      <x:c r="G360" s="192" t="n">
        <x:v>1</x:v>
      </x:c>
      <x:c r="H360" s="192" t="str">
        <x:v>Clinical Training Academy</x:v>
      </x:c>
      <x:c r="I360" s="194" t="str">
        <x:v>Source wording preserved; no silent item-content revision during inventory build.</x:v>
      </x:c>
    </x:row>
    <x:row r="361">
      <x:c r="A361" s="191" t="str">
        <x:v>CTA-LMFT-MQB-0360</x:v>
      </x:c>
      <x:c r="B361" s="192" t="str">
        <x:v>LMFT-MQB-FB-CP-004</x:v>
      </x:c>
      <x:c r="C361" s="193" t="n">
        <x:v>46228</x:v>
      </x:c>
      <x:c r="D361" s="192" t="str">
        <x:v>Imported into LMFT master inventory</x:v>
      </x:c>
      <x:c r="E361" s="192" t="str">
        <x:v>LMFT Comprehensive Simulation Form B</x:v>
      </x:c>
      <x:c r="F361" s="192" t="str">
        <x:v>1.0</x:v>
      </x:c>
      <x:c r="G361" s="192" t="n">
        <x:v>1</x:v>
      </x:c>
      <x:c r="H361" s="192" t="str">
        <x:v>Clinical Training Academy</x:v>
      </x:c>
      <x:c r="I361" s="194" t="str">
        <x:v>Source wording preserved; no silent item-content revision during inventory build.</x:v>
      </x:c>
    </x:row>
    <x:row r="362">
      <x:c r="A362" s="191" t="str">
        <x:v>CTA-LMFT-MQB-0361</x:v>
      </x:c>
      <x:c r="B362" s="192" t="str">
        <x:v>LMFT-MQB-FB-CR-008</x:v>
      </x:c>
      <x:c r="C362" s="193" t="n">
        <x:v>46228</x:v>
      </x:c>
      <x:c r="D362" s="192" t="str">
        <x:v>Imported into LMFT master inventory</x:v>
      </x:c>
      <x:c r="E362" s="192" t="str">
        <x:v>LMFT Comprehensive Simulation Form B</x:v>
      </x:c>
      <x:c r="F362" s="192" t="str">
        <x:v>1.0</x:v>
      </x:c>
      <x:c r="G362" s="192" t="n">
        <x:v>1</x:v>
      </x:c>
      <x:c r="H362" s="192" t="str">
        <x:v>Clinical Training Academy</x:v>
      </x:c>
      <x:c r="I362" s="194" t="str">
        <x:v>Source wording preserved; no silent item-content revision during inventory build.</x:v>
      </x:c>
    </x:row>
    <x:row r="363">
      <x:c r="A363" s="191" t="str">
        <x:v>CTA-LMFT-MQB-0362</x:v>
      </x:c>
      <x:c r="B363" s="192" t="str">
        <x:v>LMFT-MQB-FB-LE-010</x:v>
      </x:c>
      <x:c r="C363" s="193" t="n">
        <x:v>46228</x:v>
      </x:c>
      <x:c r="D363" s="192" t="str">
        <x:v>Imported into LMFT master inventory</x:v>
      </x:c>
      <x:c r="E363" s="192" t="str">
        <x:v>LMFT Comprehensive Simulation Form B</x:v>
      </x:c>
      <x:c r="F363" s="192" t="str">
        <x:v>1.0</x:v>
      </x:c>
      <x:c r="G363" s="192" t="n">
        <x:v>1</x:v>
      </x:c>
      <x:c r="H363" s="192" t="str">
        <x:v>Clinical Training Academy</x:v>
      </x:c>
      <x:c r="I363" s="194" t="str">
        <x:v>Source wording preserved; no silent item-content revision during inventory build.</x:v>
      </x:c>
    </x:row>
    <x:row r="364">
      <x:c r="A364" s="191" t="str">
        <x:v>CTA-LMFT-MQB-0363</x:v>
      </x:c>
      <x:c r="B364" s="192" t="str">
        <x:v>LMFT-MQB-FB-CR-013</x:v>
      </x:c>
      <x:c r="C364" s="193" t="n">
        <x:v>46228</x:v>
      </x:c>
      <x:c r="D364" s="192" t="str">
        <x:v>Imported into LMFT master inventory</x:v>
      </x:c>
      <x:c r="E364" s="192" t="str">
        <x:v>LMFT Comprehensive Simulation Form B</x:v>
      </x:c>
      <x:c r="F364" s="192" t="str">
        <x:v>1.0</x:v>
      </x:c>
      <x:c r="G364" s="192" t="n">
        <x:v>1</x:v>
      </x:c>
      <x:c r="H364" s="192" t="str">
        <x:v>Clinical Training Academy</x:v>
      </x:c>
      <x:c r="I364" s="194" t="str">
        <x:v>Source wording preserved; no silent item-content revision during inventory build.</x:v>
      </x:c>
    </x:row>
    <x:row r="365">
      <x:c r="A365" s="191" t="str">
        <x:v>CTA-LMFT-MQB-0364</x:v>
      </x:c>
      <x:c r="B365" s="192" t="str">
        <x:v>LMFT-MQB-FB-CE-001</x:v>
      </x:c>
      <x:c r="C365" s="193" t="n">
        <x:v>46228</x:v>
      </x:c>
      <x:c r="D365" s="192" t="str">
        <x:v>Imported into LMFT master inventory</x:v>
      </x:c>
      <x:c r="E365" s="192" t="str">
        <x:v>LMFT Comprehensive Simulation Form B</x:v>
      </x:c>
      <x:c r="F365" s="192" t="str">
        <x:v>1.0</x:v>
      </x:c>
      <x:c r="G365" s="192" t="n">
        <x:v>1</x:v>
      </x:c>
      <x:c r="H365" s="192" t="str">
        <x:v>Clinical Training Academy</x:v>
      </x:c>
      <x:c r="I365" s="194" t="str">
        <x:v>Source wording preserved; no silent item-content revision during inventory build.</x:v>
      </x:c>
    </x:row>
    <x:row r="366">
      <x:c r="A366" s="191" t="str">
        <x:v>CTA-LMFT-MQB-0365</x:v>
      </x:c>
      <x:c r="B366" s="192" t="str">
        <x:v>LMFT-MQB-FB-CE-015</x:v>
      </x:c>
      <x:c r="C366" s="193" t="n">
        <x:v>46228</x:v>
      </x:c>
      <x:c r="D366" s="192" t="str">
        <x:v>Imported into LMFT master inventory</x:v>
      </x:c>
      <x:c r="E366" s="192" t="str">
        <x:v>LMFT Comprehensive Simulation Form B</x:v>
      </x:c>
      <x:c r="F366" s="192" t="str">
        <x:v>1.0</x:v>
      </x:c>
      <x:c r="G366" s="192" t="n">
        <x:v>1</x:v>
      </x:c>
      <x:c r="H366" s="192" t="str">
        <x:v>Clinical Training Academy</x:v>
      </x:c>
      <x:c r="I366" s="194" t="str">
        <x:v>Source wording preserved; no silent item-content revision during inventory build.</x:v>
      </x:c>
    </x:row>
    <x:row r="367">
      <x:c r="A367" s="191" t="str">
        <x:v>CTA-LMFT-MQB-0366</x:v>
      </x:c>
      <x:c r="B367" s="192" t="str">
        <x:v>LMFT-MQB-FB-CP-017</x:v>
      </x:c>
      <x:c r="C367" s="193" t="n">
        <x:v>46228</x:v>
      </x:c>
      <x:c r="D367" s="192" t="str">
        <x:v>Imported into LMFT master inventory</x:v>
      </x:c>
      <x:c r="E367" s="192" t="str">
        <x:v>LMFT Comprehensive Simulation Form B</x:v>
      </x:c>
      <x:c r="F367" s="192" t="str">
        <x:v>1.0</x:v>
      </x:c>
      <x:c r="G367" s="192" t="n">
        <x:v>1</x:v>
      </x:c>
      <x:c r="H367" s="192" t="str">
        <x:v>Clinical Training Academy</x:v>
      </x:c>
      <x:c r="I367" s="194" t="str">
        <x:v>Source wording preserved; no silent item-content revision during inventory build.</x:v>
      </x:c>
    </x:row>
    <x:row r="368">
      <x:c r="A368" s="191" t="str">
        <x:v>CTA-LMFT-MQB-0367</x:v>
      </x:c>
      <x:c r="B368" s="192" t="str">
        <x:v>LMFT-MQB-FB-TX-028</x:v>
      </x:c>
      <x:c r="C368" s="193" t="n">
        <x:v>46228</x:v>
      </x:c>
      <x:c r="D368" s="192" t="str">
        <x:v>Imported into LMFT master inventory</x:v>
      </x:c>
      <x:c r="E368" s="192" t="str">
        <x:v>LMFT Comprehensive Simulation Form B</x:v>
      </x:c>
      <x:c r="F368" s="192" t="str">
        <x:v>1.0</x:v>
      </x:c>
      <x:c r="G368" s="192" t="n">
        <x:v>1</x:v>
      </x:c>
      <x:c r="H368" s="192" t="str">
        <x:v>Clinical Training Academy</x:v>
      </x:c>
      <x:c r="I368" s="194" t="str">
        <x:v>Source wording preserved; no silent item-content revision during inventory build.</x:v>
      </x:c>
    </x:row>
    <x:row r="369">
      <x:c r="A369" s="191" t="str">
        <x:v>CTA-LMFT-MQB-0368</x:v>
      </x:c>
      <x:c r="B369" s="192" t="str">
        <x:v>LMFT-MQB-FB-CE-012</x:v>
      </x:c>
      <x:c r="C369" s="193" t="n">
        <x:v>46228</x:v>
      </x:c>
      <x:c r="D369" s="192" t="str">
        <x:v>Imported into LMFT master inventory</x:v>
      </x:c>
      <x:c r="E369" s="192" t="str">
        <x:v>LMFT Comprehensive Simulation Form B</x:v>
      </x:c>
      <x:c r="F369" s="192" t="str">
        <x:v>1.0</x:v>
      </x:c>
      <x:c r="G369" s="192" t="n">
        <x:v>1</x:v>
      </x:c>
      <x:c r="H369" s="192" t="str">
        <x:v>Clinical Training Academy</x:v>
      </x:c>
      <x:c r="I369" s="194" t="str">
        <x:v>Source wording preserved; no silent item-content revision during inventory build.</x:v>
      </x:c>
    </x:row>
    <x:row r="370">
      <x:c r="A370" s="191" t="str">
        <x:v>CTA-LMFT-MQB-0369</x:v>
      </x:c>
      <x:c r="B370" s="192" t="str">
        <x:v>LMFT-MQB-FB-CE-008</x:v>
      </x:c>
      <x:c r="C370" s="193" t="n">
        <x:v>46228</x:v>
      </x:c>
      <x:c r="D370" s="192" t="str">
        <x:v>Imported into LMFT master inventory</x:v>
      </x:c>
      <x:c r="E370" s="192" t="str">
        <x:v>LMFT Comprehensive Simulation Form B</x:v>
      </x:c>
      <x:c r="F370" s="192" t="str">
        <x:v>1.0</x:v>
      </x:c>
      <x:c r="G370" s="192" t="n">
        <x:v>1</x:v>
      </x:c>
      <x:c r="H370" s="192" t="str">
        <x:v>Clinical Training Academy</x:v>
      </x:c>
      <x:c r="I370" s="194" t="str">
        <x:v>Source wording preserved; no silent item-content revision during inventory build.</x:v>
      </x:c>
    </x:row>
    <x:row r="371">
      <x:c r="A371" s="191" t="str">
        <x:v>CTA-LMFT-MQB-0370</x:v>
      </x:c>
      <x:c r="B371" s="192" t="str">
        <x:v>LMFT-MQB-FB-DI-009</x:v>
      </x:c>
      <x:c r="C371" s="193" t="n">
        <x:v>46228</x:v>
      </x:c>
      <x:c r="D371" s="192" t="str">
        <x:v>Imported into LMFT master inventory</x:v>
      </x:c>
      <x:c r="E371" s="192" t="str">
        <x:v>LMFT Comprehensive Simulation Form B</x:v>
      </x:c>
      <x:c r="F371" s="192" t="str">
        <x:v>1.0</x:v>
      </x:c>
      <x:c r="G371" s="192" t="n">
        <x:v>1</x:v>
      </x:c>
      <x:c r="H371" s="192" t="str">
        <x:v>Clinical Training Academy</x:v>
      </x:c>
      <x:c r="I371" s="194" t="str">
        <x:v>Source wording preserved; no silent item-content revision during inventory build.</x:v>
      </x:c>
    </x:row>
    <x:row r="372">
      <x:c r="A372" s="191" t="str">
        <x:v>CTA-LMFT-MQB-0371</x:v>
      </x:c>
      <x:c r="B372" s="192" t="str">
        <x:v>LMFT-MQB-FB-CE-027</x:v>
      </x:c>
      <x:c r="C372" s="193" t="n">
        <x:v>46228</x:v>
      </x:c>
      <x:c r="D372" s="192" t="str">
        <x:v>Imported into LMFT master inventory</x:v>
      </x:c>
      <x:c r="E372" s="192" t="str">
        <x:v>LMFT Comprehensive Simulation Form B</x:v>
      </x:c>
      <x:c r="F372" s="192" t="str">
        <x:v>1.0</x:v>
      </x:c>
      <x:c r="G372" s="192" t="n">
        <x:v>1</x:v>
      </x:c>
      <x:c r="H372" s="192" t="str">
        <x:v>Clinical Training Academy</x:v>
      </x:c>
      <x:c r="I372" s="194" t="str">
        <x:v>Source wording preserved; no silent item-content revision during inventory build.</x:v>
      </x:c>
    </x:row>
    <x:row r="373">
      <x:c r="A373" s="191" t="str">
        <x:v>CTA-LMFT-MQB-0372</x:v>
      </x:c>
      <x:c r="B373" s="192" t="str">
        <x:v>LMFT-MQB-FB-LE-009</x:v>
      </x:c>
      <x:c r="C373" s="193" t="n">
        <x:v>46228</x:v>
      </x:c>
      <x:c r="D373" s="192" t="str">
        <x:v>Imported into LMFT master inventory</x:v>
      </x:c>
      <x:c r="E373" s="192" t="str">
        <x:v>LMFT Comprehensive Simulation Form B</x:v>
      </x:c>
      <x:c r="F373" s="192" t="str">
        <x:v>1.0</x:v>
      </x:c>
      <x:c r="G373" s="192" t="n">
        <x:v>1</x:v>
      </x:c>
      <x:c r="H373" s="192" t="str">
        <x:v>Clinical Training Academy</x:v>
      </x:c>
      <x:c r="I373" s="194" t="str">
        <x:v>Source wording preserved; no silent item-content revision during inventory build.</x:v>
      </x:c>
    </x:row>
    <x:row r="374">
      <x:c r="A374" s="191" t="str">
        <x:v>CTA-LMFT-MQB-0373</x:v>
      </x:c>
      <x:c r="B374" s="192" t="str">
        <x:v>LMFT-MQB-FB-TX-032</x:v>
      </x:c>
      <x:c r="C374" s="193" t="n">
        <x:v>46228</x:v>
      </x:c>
      <x:c r="D374" s="192" t="str">
        <x:v>Imported into LMFT master inventory</x:v>
      </x:c>
      <x:c r="E374" s="192" t="str">
        <x:v>LMFT Comprehensive Simulation Form B</x:v>
      </x:c>
      <x:c r="F374" s="192" t="str">
        <x:v>1.0</x:v>
      </x:c>
      <x:c r="G374" s="192" t="n">
        <x:v>1</x:v>
      </x:c>
      <x:c r="H374" s="192" t="str">
        <x:v>Clinical Training Academy</x:v>
      </x:c>
      <x:c r="I374" s="194" t="str">
        <x:v>Source wording preserved; no silent item-content revision during inventory build.</x:v>
      </x:c>
    </x:row>
    <x:row r="375">
      <x:c r="A375" s="191" t="str">
        <x:v>CTA-LMFT-MQB-0374</x:v>
      </x:c>
      <x:c r="B375" s="192" t="str">
        <x:v>LMFT-MQB-FB-CE-026</x:v>
      </x:c>
      <x:c r="C375" s="193" t="n">
        <x:v>46228</x:v>
      </x:c>
      <x:c r="D375" s="192" t="str">
        <x:v>Imported into LMFT master inventory</x:v>
      </x:c>
      <x:c r="E375" s="192" t="str">
        <x:v>LMFT Comprehensive Simulation Form B</x:v>
      </x:c>
      <x:c r="F375" s="192" t="str">
        <x:v>1.0</x:v>
      </x:c>
      <x:c r="G375" s="192" t="n">
        <x:v>1</x:v>
      </x:c>
      <x:c r="H375" s="192" t="str">
        <x:v>Clinical Training Academy</x:v>
      </x:c>
      <x:c r="I375" s="194" t="str">
        <x:v>Source wording preserved; no silent item-content revision during inventory build.</x:v>
      </x:c>
    </x:row>
    <x:row r="376">
      <x:c r="A376" s="191" t="str">
        <x:v>CTA-LMFT-MQB-0375</x:v>
      </x:c>
      <x:c r="B376" s="192" t="str">
        <x:v>LMFT-MQB-FB-CR-016</x:v>
      </x:c>
      <x:c r="C376" s="193" t="n">
        <x:v>46228</x:v>
      </x:c>
      <x:c r="D376" s="192" t="str">
        <x:v>Imported into LMFT master inventory</x:v>
      </x:c>
      <x:c r="E376" s="192" t="str">
        <x:v>LMFT Comprehensive Simulation Form B</x:v>
      </x:c>
      <x:c r="F376" s="192" t="str">
        <x:v>1.0</x:v>
      </x:c>
      <x:c r="G376" s="192" t="n">
        <x:v>1</x:v>
      </x:c>
      <x:c r="H376" s="192" t="str">
        <x:v>Clinical Training Academy</x:v>
      </x:c>
      <x:c r="I376" s="194" t="str">
        <x:v>Source wording preserved; no silent item-content revision during inventory build.</x:v>
      </x:c>
    </x:row>
    <x:row r="377">
      <x:c r="A377" s="191" t="str">
        <x:v>CTA-LMFT-MQB-0376</x:v>
      </x:c>
      <x:c r="B377" s="192" t="str">
        <x:v>LMFT-MQB-FB-LE-006</x:v>
      </x:c>
      <x:c r="C377" s="193" t="n">
        <x:v>46228</x:v>
      </x:c>
      <x:c r="D377" s="192" t="str">
        <x:v>Imported into LMFT master inventory</x:v>
      </x:c>
      <x:c r="E377" s="192" t="str">
        <x:v>LMFT Comprehensive Simulation Form B</x:v>
      </x:c>
      <x:c r="F377" s="192" t="str">
        <x:v>1.0</x:v>
      </x:c>
      <x:c r="G377" s="192" t="n">
        <x:v>1</x:v>
      </x:c>
      <x:c r="H377" s="192" t="str">
        <x:v>Clinical Training Academy</x:v>
      </x:c>
      <x:c r="I377" s="194" t="str">
        <x:v>Source wording preserved; no silent item-content revision during inventory build.</x:v>
      </x:c>
    </x:row>
    <x:row r="378">
      <x:c r="A378" s="191" t="str">
        <x:v>CTA-LMFT-MQB-0377</x:v>
      </x:c>
      <x:c r="B378" s="192" t="str">
        <x:v>LMFT-MQB-FB-TX-019</x:v>
      </x:c>
      <x:c r="C378" s="193" t="n">
        <x:v>46228</x:v>
      </x:c>
      <x:c r="D378" s="192" t="str">
        <x:v>Imported into LMFT master inventory</x:v>
      </x:c>
      <x:c r="E378" s="192" t="str">
        <x:v>LMFT Comprehensive Simulation Form B</x:v>
      </x:c>
      <x:c r="F378" s="192" t="str">
        <x:v>1.0</x:v>
      </x:c>
      <x:c r="G378" s="192" t="n">
        <x:v>1</x:v>
      </x:c>
      <x:c r="H378" s="192" t="str">
        <x:v>Clinical Training Academy</x:v>
      </x:c>
      <x:c r="I378" s="194" t="str">
        <x:v>Source wording preserved; no silent item-content revision during inventory build.</x:v>
      </x:c>
    </x:row>
    <x:row r="379">
      <x:c r="A379" s="191" t="str">
        <x:v>CTA-LMFT-MQB-0378</x:v>
      </x:c>
      <x:c r="B379" s="192" t="str">
        <x:v>LMFT-MQB-FB-CE-003</x:v>
      </x:c>
      <x:c r="C379" s="193" t="n">
        <x:v>46228</x:v>
      </x:c>
      <x:c r="D379" s="192" t="str">
        <x:v>Imported into LMFT master inventory</x:v>
      </x:c>
      <x:c r="E379" s="192" t="str">
        <x:v>LMFT Comprehensive Simulation Form B</x:v>
      </x:c>
      <x:c r="F379" s="192" t="str">
        <x:v>1.0</x:v>
      </x:c>
      <x:c r="G379" s="192" t="n">
        <x:v>1</x:v>
      </x:c>
      <x:c r="H379" s="192" t="str">
        <x:v>Clinical Training Academy</x:v>
      </x:c>
      <x:c r="I379" s="194" t="str">
        <x:v>Source wording preserved; no silent item-content revision during inventory build.</x:v>
      </x:c>
    </x:row>
    <x:row r="380">
      <x:c r="A380" s="191" t="str">
        <x:v>CTA-LMFT-MQB-0379</x:v>
      </x:c>
      <x:c r="B380" s="192" t="str">
        <x:v>LMFT-MQB-FB-TX-024</x:v>
      </x:c>
      <x:c r="C380" s="193" t="n">
        <x:v>46228</x:v>
      </x:c>
      <x:c r="D380" s="192" t="str">
        <x:v>Imported into LMFT master inventory</x:v>
      </x:c>
      <x:c r="E380" s="192" t="str">
        <x:v>LMFT Comprehensive Simulation Form B</x:v>
      </x:c>
      <x:c r="F380" s="192" t="str">
        <x:v>1.0</x:v>
      </x:c>
      <x:c r="G380" s="192" t="n">
        <x:v>1</x:v>
      </x:c>
      <x:c r="H380" s="192" t="str">
        <x:v>Clinical Training Academy</x:v>
      </x:c>
      <x:c r="I380" s="194" t="str">
        <x:v>Source wording preserved; no silent item-content revision during inventory build.</x:v>
      </x:c>
    </x:row>
    <x:row r="381">
      <x:c r="A381" s="191" t="str">
        <x:v>CTA-LMFT-MQB-0380</x:v>
      </x:c>
      <x:c r="B381" s="192" t="str">
        <x:v>LMFT-MQB-FB-LE-011</x:v>
      </x:c>
      <x:c r="C381" s="193" t="n">
        <x:v>46228</x:v>
      </x:c>
      <x:c r="D381" s="192" t="str">
        <x:v>Imported into LMFT master inventory</x:v>
      </x:c>
      <x:c r="E381" s="192" t="str">
        <x:v>LMFT Comprehensive Simulation Form B</x:v>
      </x:c>
      <x:c r="F381" s="192" t="str">
        <x:v>1.0</x:v>
      </x:c>
      <x:c r="G381" s="192" t="n">
        <x:v>1</x:v>
      </x:c>
      <x:c r="H381" s="192" t="str">
        <x:v>Clinical Training Academy</x:v>
      </x:c>
      <x:c r="I381" s="194" t="str">
        <x:v>Source wording preserved; no silent item-content revision during inventory build.</x:v>
      </x:c>
    </x:row>
    <x:row r="382">
      <x:c r="A382" s="191" t="str">
        <x:v>CTA-LMFT-MQB-0381</x:v>
      </x:c>
      <x:c r="B382" s="192" t="str">
        <x:v>LMFT-MQB-FB-CR-014</x:v>
      </x:c>
      <x:c r="C382" s="193" t="n">
        <x:v>46228</x:v>
      </x:c>
      <x:c r="D382" s="192" t="str">
        <x:v>Imported into LMFT master inventory</x:v>
      </x:c>
      <x:c r="E382" s="192" t="str">
        <x:v>LMFT Comprehensive Simulation Form B</x:v>
      </x:c>
      <x:c r="F382" s="192" t="str">
        <x:v>1.0</x:v>
      </x:c>
      <x:c r="G382" s="192" t="n">
        <x:v>1</x:v>
      </x:c>
      <x:c r="H382" s="192" t="str">
        <x:v>Clinical Training Academy</x:v>
      </x:c>
      <x:c r="I382" s="194" t="str">
        <x:v>Source wording preserved; no silent item-content revision during inventory build.</x:v>
      </x:c>
    </x:row>
    <x:row r="383">
      <x:c r="A383" s="191" t="str">
        <x:v>CTA-LMFT-MQB-0382</x:v>
      </x:c>
      <x:c r="B383" s="192" t="str">
        <x:v>LMFT-MQB-FB-CE-032</x:v>
      </x:c>
      <x:c r="C383" s="193" t="n">
        <x:v>46228</x:v>
      </x:c>
      <x:c r="D383" s="192" t="str">
        <x:v>Imported into LMFT master inventory</x:v>
      </x:c>
      <x:c r="E383" s="192" t="str">
        <x:v>LMFT Comprehensive Simulation Form B</x:v>
      </x:c>
      <x:c r="F383" s="192" t="str">
        <x:v>1.0</x:v>
      </x:c>
      <x:c r="G383" s="192" t="n">
        <x:v>1</x:v>
      </x:c>
      <x:c r="H383" s="192" t="str">
        <x:v>Clinical Training Academy</x:v>
      </x:c>
      <x:c r="I383" s="194" t="str">
        <x:v>Source wording preserved; no silent item-content revision during inventory build.</x:v>
      </x:c>
    </x:row>
    <x:row r="384">
      <x:c r="A384" s="191" t="str">
        <x:v>CTA-LMFT-MQB-0383</x:v>
      </x:c>
      <x:c r="B384" s="192" t="str">
        <x:v>LMFT-MQB-FB-CP-001</x:v>
      </x:c>
      <x:c r="C384" s="193" t="n">
        <x:v>46228</x:v>
      </x:c>
      <x:c r="D384" s="192" t="str">
        <x:v>Imported into LMFT master inventory</x:v>
      </x:c>
      <x:c r="E384" s="192" t="str">
        <x:v>LMFT Comprehensive Simulation Form B</x:v>
      </x:c>
      <x:c r="F384" s="192" t="str">
        <x:v>1.0</x:v>
      </x:c>
      <x:c r="G384" s="192" t="n">
        <x:v>1</x:v>
      </x:c>
      <x:c r="H384" s="192" t="str">
        <x:v>Clinical Training Academy</x:v>
      </x:c>
      <x:c r="I384" s="194" t="str">
        <x:v>Source wording preserved; no silent item-content revision during inventory build.</x:v>
      </x:c>
    </x:row>
    <x:row r="385">
      <x:c r="A385" s="191" t="str">
        <x:v>CTA-LMFT-MQB-0384</x:v>
      </x:c>
      <x:c r="B385" s="192" t="str">
        <x:v>LMFT-MQB-FB-LE-013</x:v>
      </x:c>
      <x:c r="C385" s="193" t="n">
        <x:v>46228</x:v>
      </x:c>
      <x:c r="D385" s="192" t="str">
        <x:v>Imported into LMFT master inventory</x:v>
      </x:c>
      <x:c r="E385" s="192" t="str">
        <x:v>LMFT Comprehensive Simulation Form B</x:v>
      </x:c>
      <x:c r="F385" s="192" t="str">
        <x:v>1.0</x:v>
      </x:c>
      <x:c r="G385" s="192" t="n">
        <x:v>1</x:v>
      </x:c>
      <x:c r="H385" s="192" t="str">
        <x:v>Clinical Training Academy</x:v>
      </x:c>
      <x:c r="I385" s="194" t="str">
        <x:v>Source wording preserved; no silent item-content revision during inventory build.</x:v>
      </x:c>
    </x:row>
    <x:row r="386">
      <x:c r="A386" s="191" t="str">
        <x:v>CTA-LMFT-MQB-0385</x:v>
      </x:c>
      <x:c r="B386" s="192" t="str">
        <x:v>LMFT-MQB-FB-CE-006</x:v>
      </x:c>
      <x:c r="C386" s="193" t="n">
        <x:v>46228</x:v>
      </x:c>
      <x:c r="D386" s="192" t="str">
        <x:v>Imported into LMFT master inventory</x:v>
      </x:c>
      <x:c r="E386" s="192" t="str">
        <x:v>LMFT Comprehensive Simulation Form B</x:v>
      </x:c>
      <x:c r="F386" s="192" t="str">
        <x:v>1.0</x:v>
      </x:c>
      <x:c r="G386" s="192" t="n">
        <x:v>1</x:v>
      </x:c>
      <x:c r="H386" s="192" t="str">
        <x:v>Clinical Training Academy</x:v>
      </x:c>
      <x:c r="I386" s="194" t="str">
        <x:v>Source wording preserved; no silent item-content revision during inventory build.</x:v>
      </x:c>
    </x:row>
    <x:row r="387">
      <x:c r="A387" s="191" t="str">
        <x:v>CTA-LMFT-MQB-0386</x:v>
      </x:c>
      <x:c r="B387" s="192" t="str">
        <x:v>LMFT-MQB-FB-TX-018</x:v>
      </x:c>
      <x:c r="C387" s="193" t="n">
        <x:v>46228</x:v>
      </x:c>
      <x:c r="D387" s="192" t="str">
        <x:v>Imported into LMFT master inventory</x:v>
      </x:c>
      <x:c r="E387" s="192" t="str">
        <x:v>LMFT Comprehensive Simulation Form B</x:v>
      </x:c>
      <x:c r="F387" s="192" t="str">
        <x:v>1.0</x:v>
      </x:c>
      <x:c r="G387" s="192" t="n">
        <x:v>1</x:v>
      </x:c>
      <x:c r="H387" s="192" t="str">
        <x:v>Clinical Training Academy</x:v>
      </x:c>
      <x:c r="I387" s="194" t="str">
        <x:v>Source wording preserved; no silent item-content revision during inventory build.</x:v>
      </x:c>
    </x:row>
    <x:row r="388">
      <x:c r="A388" s="191" t="str">
        <x:v>CTA-LMFT-MQB-0387</x:v>
      </x:c>
      <x:c r="B388" s="192" t="str">
        <x:v>LMFT-MQB-FB-CE-041</x:v>
      </x:c>
      <x:c r="C388" s="193" t="n">
        <x:v>46228</x:v>
      </x:c>
      <x:c r="D388" s="192" t="str">
        <x:v>Imported into LMFT master inventory</x:v>
      </x:c>
      <x:c r="E388" s="192" t="str">
        <x:v>LMFT Comprehensive Simulation Form B</x:v>
      </x:c>
      <x:c r="F388" s="192" t="str">
        <x:v>1.0</x:v>
      </x:c>
      <x:c r="G388" s="192" t="n">
        <x:v>1</x:v>
      </x:c>
      <x:c r="H388" s="192" t="str">
        <x:v>Clinical Training Academy</x:v>
      </x:c>
      <x:c r="I388" s="194" t="str">
        <x:v>Source wording preserved; no silent item-content revision during inventory build.</x:v>
      </x:c>
    </x:row>
    <x:row r="389">
      <x:c r="A389" s="191" t="str">
        <x:v>CTA-LMFT-MQB-0388</x:v>
      </x:c>
      <x:c r="B389" s="192" t="str">
        <x:v>LMFT-MQB-FB-LE-003</x:v>
      </x:c>
      <x:c r="C389" s="193" t="n">
        <x:v>46228</x:v>
      </x:c>
      <x:c r="D389" s="192" t="str">
        <x:v>Imported into LMFT master inventory</x:v>
      </x:c>
      <x:c r="E389" s="192" t="str">
        <x:v>LMFT Comprehensive Simulation Form B</x:v>
      </x:c>
      <x:c r="F389" s="192" t="str">
        <x:v>1.0</x:v>
      </x:c>
      <x:c r="G389" s="192" t="n">
        <x:v>1</x:v>
      </x:c>
      <x:c r="H389" s="192" t="str">
        <x:v>Clinical Training Academy</x:v>
      </x:c>
      <x:c r="I389" s="194" t="str">
        <x:v>Source wording preserved; no silent item-content revision during inventory build.</x:v>
      </x:c>
    </x:row>
    <x:row r="390">
      <x:c r="A390" s="191" t="str">
        <x:v>CTA-LMFT-MQB-0389</x:v>
      </x:c>
      <x:c r="B390" s="192" t="str">
        <x:v>LMFT-MQB-FB-TX-021</x:v>
      </x:c>
      <x:c r="C390" s="193" t="n">
        <x:v>46228</x:v>
      </x:c>
      <x:c r="D390" s="192" t="str">
        <x:v>Imported into LMFT master inventory</x:v>
      </x:c>
      <x:c r="E390" s="192" t="str">
        <x:v>LMFT Comprehensive Simulation Form B</x:v>
      </x:c>
      <x:c r="F390" s="192" t="str">
        <x:v>1.0</x:v>
      </x:c>
      <x:c r="G390" s="192" t="n">
        <x:v>1</x:v>
      </x:c>
      <x:c r="H390" s="192" t="str">
        <x:v>Clinical Training Academy</x:v>
      </x:c>
      <x:c r="I390" s="194" t="str">
        <x:v>Source wording preserved; no silent item-content revision during inventory build.</x:v>
      </x:c>
    </x:row>
    <x:row r="391">
      <x:c r="A391" s="191" t="str">
        <x:v>CTA-LMFT-MQB-0390</x:v>
      </x:c>
      <x:c r="B391" s="192" t="str">
        <x:v>LMFT-MQB-FB-LE-004</x:v>
      </x:c>
      <x:c r="C391" s="193" t="n">
        <x:v>46228</x:v>
      </x:c>
      <x:c r="D391" s="192" t="str">
        <x:v>Imported into LMFT master inventory</x:v>
      </x:c>
      <x:c r="E391" s="192" t="str">
        <x:v>LMFT Comprehensive Simulation Form B</x:v>
      </x:c>
      <x:c r="F391" s="192" t="str">
        <x:v>1.0</x:v>
      </x:c>
      <x:c r="G391" s="192" t="n">
        <x:v>1</x:v>
      </x:c>
      <x:c r="H391" s="192" t="str">
        <x:v>Clinical Training Academy</x:v>
      </x:c>
      <x:c r="I391" s="194" t="str">
        <x:v>Source wording preserved; no silent item-content revision during inventory build.</x:v>
      </x:c>
    </x:row>
    <x:row r="392">
      <x:c r="A392" s="191" t="str">
        <x:v>CTA-LMFT-MQB-0391</x:v>
      </x:c>
      <x:c r="B392" s="192" t="str">
        <x:v>LMFT-MQB-FB-TX-004</x:v>
      </x:c>
      <x:c r="C392" s="193" t="n">
        <x:v>46228</x:v>
      </x:c>
      <x:c r="D392" s="192" t="str">
        <x:v>Imported into LMFT master inventory</x:v>
      </x:c>
      <x:c r="E392" s="192" t="str">
        <x:v>LMFT Comprehensive Simulation Form B</x:v>
      </x:c>
      <x:c r="F392" s="192" t="str">
        <x:v>1.0</x:v>
      </x:c>
      <x:c r="G392" s="192" t="n">
        <x:v>1</x:v>
      </x:c>
      <x:c r="H392" s="192" t="str">
        <x:v>Clinical Training Academy</x:v>
      </x:c>
      <x:c r="I392" s="194" t="str">
        <x:v>Source wording preserved; no silent item-content revision during inventory build.</x:v>
      </x:c>
    </x:row>
    <x:row r="393">
      <x:c r="A393" s="191" t="str">
        <x:v>CTA-LMFT-MQB-0392</x:v>
      </x:c>
      <x:c r="B393" s="192" t="str">
        <x:v>LMFT-MQB-FB-TX-009</x:v>
      </x:c>
      <x:c r="C393" s="193" t="n">
        <x:v>46228</x:v>
      </x:c>
      <x:c r="D393" s="192" t="str">
        <x:v>Imported into LMFT master inventory</x:v>
      </x:c>
      <x:c r="E393" s="192" t="str">
        <x:v>LMFT Comprehensive Simulation Form B</x:v>
      </x:c>
      <x:c r="F393" s="192" t="str">
        <x:v>1.0</x:v>
      </x:c>
      <x:c r="G393" s="192" t="n">
        <x:v>1</x:v>
      </x:c>
      <x:c r="H393" s="192" t="str">
        <x:v>Clinical Training Academy</x:v>
      </x:c>
      <x:c r="I393" s="194" t="str">
        <x:v>Source wording preserved; no silent item-content revision during inventory build.</x:v>
      </x:c>
    </x:row>
    <x:row r="394">
      <x:c r="A394" s="191" t="str">
        <x:v>CTA-LMFT-MQB-0393</x:v>
      </x:c>
      <x:c r="B394" s="192" t="str">
        <x:v>LMFT-MQB-FB-DI-014</x:v>
      </x:c>
      <x:c r="C394" s="193" t="n">
        <x:v>46228</x:v>
      </x:c>
      <x:c r="D394" s="192" t="str">
        <x:v>Imported into LMFT master inventory</x:v>
      </x:c>
      <x:c r="E394" s="192" t="str">
        <x:v>LMFT Comprehensive Simulation Form B</x:v>
      </x:c>
      <x:c r="F394" s="192" t="str">
        <x:v>1.0</x:v>
      </x:c>
      <x:c r="G394" s="192" t="n">
        <x:v>1</x:v>
      </x:c>
      <x:c r="H394" s="192" t="str">
        <x:v>Clinical Training Academy</x:v>
      </x:c>
      <x:c r="I394" s="194" t="str">
        <x:v>Source wording preserved; no silent item-content revision during inventory build.</x:v>
      </x:c>
    </x:row>
    <x:row r="395">
      <x:c r="A395" s="191" t="str">
        <x:v>CTA-LMFT-MQB-0394</x:v>
      </x:c>
      <x:c r="B395" s="192" t="str">
        <x:v>LMFT-MQB-FB-TX-003</x:v>
      </x:c>
      <x:c r="C395" s="193" t="n">
        <x:v>46228</x:v>
      </x:c>
      <x:c r="D395" s="192" t="str">
        <x:v>Imported into LMFT master inventory</x:v>
      </x:c>
      <x:c r="E395" s="192" t="str">
        <x:v>LMFT Comprehensive Simulation Form B</x:v>
      </x:c>
      <x:c r="F395" s="192" t="str">
        <x:v>1.0</x:v>
      </x:c>
      <x:c r="G395" s="192" t="n">
        <x:v>1</x:v>
      </x:c>
      <x:c r="H395" s="192" t="str">
        <x:v>Clinical Training Academy</x:v>
      </x:c>
      <x:c r="I395" s="194" t="str">
        <x:v>Source wording preserved; no silent item-content revision during inventory build.</x:v>
      </x:c>
    </x:row>
    <x:row r="396">
      <x:c r="A396" s="191" t="str">
        <x:v>CTA-LMFT-MQB-0395</x:v>
      </x:c>
      <x:c r="B396" s="192" t="str">
        <x:v>LMFT-MQB-FB-DI-007</x:v>
      </x:c>
      <x:c r="C396" s="193" t="n">
        <x:v>46228</x:v>
      </x:c>
      <x:c r="D396" s="192" t="str">
        <x:v>Imported into LMFT master inventory</x:v>
      </x:c>
      <x:c r="E396" s="192" t="str">
        <x:v>LMFT Comprehensive Simulation Form B</x:v>
      </x:c>
      <x:c r="F396" s="192" t="str">
        <x:v>1.0</x:v>
      </x:c>
      <x:c r="G396" s="192" t="n">
        <x:v>1</x:v>
      </x:c>
      <x:c r="H396" s="192" t="str">
        <x:v>Clinical Training Academy</x:v>
      </x:c>
      <x:c r="I396" s="194" t="str">
        <x:v>Source wording preserved; no silent item-content revision during inventory build.</x:v>
      </x:c>
    </x:row>
    <x:row r="397">
      <x:c r="A397" s="191" t="str">
        <x:v>CTA-LMFT-MQB-0396</x:v>
      </x:c>
      <x:c r="B397" s="192" t="str">
        <x:v>LMFT-MQB-FB-DI-013</x:v>
      </x:c>
      <x:c r="C397" s="193" t="n">
        <x:v>46228</x:v>
      </x:c>
      <x:c r="D397" s="192" t="str">
        <x:v>Imported into LMFT master inventory</x:v>
      </x:c>
      <x:c r="E397" s="192" t="str">
        <x:v>LMFT Comprehensive Simulation Form B</x:v>
      </x:c>
      <x:c r="F397" s="192" t="str">
        <x:v>1.0</x:v>
      </x:c>
      <x:c r="G397" s="192" t="n">
        <x:v>1</x:v>
      </x:c>
      <x:c r="H397" s="192" t="str">
        <x:v>Clinical Training Academy</x:v>
      </x:c>
      <x:c r="I397" s="194" t="str">
        <x:v>Source wording preserved; no silent item-content revision during inventory build.</x:v>
      </x:c>
    </x:row>
    <x:row r="398">
      <x:c r="A398" s="191" t="str">
        <x:v>CTA-LMFT-MQB-0397</x:v>
      </x:c>
      <x:c r="B398" s="192" t="str">
        <x:v>LMFT-MQB-FB-TX-016</x:v>
      </x:c>
      <x:c r="C398" s="193" t="n">
        <x:v>46228</x:v>
      </x:c>
      <x:c r="D398" s="192" t="str">
        <x:v>Imported into LMFT master inventory</x:v>
      </x:c>
      <x:c r="E398" s="192" t="str">
        <x:v>LMFT Comprehensive Simulation Form B</x:v>
      </x:c>
      <x:c r="F398" s="192" t="str">
        <x:v>1.0</x:v>
      </x:c>
      <x:c r="G398" s="192" t="n">
        <x:v>1</x:v>
      </x:c>
      <x:c r="H398" s="192" t="str">
        <x:v>Clinical Training Academy</x:v>
      </x:c>
      <x:c r="I398" s="194" t="str">
        <x:v>Source wording preserved; no silent item-content revision during inventory build.</x:v>
      </x:c>
    </x:row>
    <x:row r="399">
      <x:c r="A399" s="191" t="str">
        <x:v>CTA-LMFT-MQB-0398</x:v>
      </x:c>
      <x:c r="B399" s="192" t="str">
        <x:v>LMFT-MQB-FB-DI-008</x:v>
      </x:c>
      <x:c r="C399" s="193" t="n">
        <x:v>46228</x:v>
      </x:c>
      <x:c r="D399" s="192" t="str">
        <x:v>Imported into LMFT master inventory</x:v>
      </x:c>
      <x:c r="E399" s="192" t="str">
        <x:v>LMFT Comprehensive Simulation Form B</x:v>
      </x:c>
      <x:c r="F399" s="192" t="str">
        <x:v>1.0</x:v>
      </x:c>
      <x:c r="G399" s="192" t="n">
        <x:v>1</x:v>
      </x:c>
      <x:c r="H399" s="192" t="str">
        <x:v>Clinical Training Academy</x:v>
      </x:c>
      <x:c r="I399" s="194" t="str">
        <x:v>Source wording preserved; no silent item-content revision during inventory build.</x:v>
      </x:c>
    </x:row>
    <x:row r="400">
      <x:c r="A400" s="191" t="str">
        <x:v>CTA-LMFT-MQB-0399</x:v>
      </x:c>
      <x:c r="B400" s="192" t="str">
        <x:v>LMFT-MQB-FB-CE-033</x:v>
      </x:c>
      <x:c r="C400" s="193" t="n">
        <x:v>46228</x:v>
      </x:c>
      <x:c r="D400" s="192" t="str">
        <x:v>Imported into LMFT master inventory</x:v>
      </x:c>
      <x:c r="E400" s="192" t="str">
        <x:v>LMFT Comprehensive Simulation Form B</x:v>
      </x:c>
      <x:c r="F400" s="192" t="str">
        <x:v>1.0</x:v>
      </x:c>
      <x:c r="G400" s="192" t="n">
        <x:v>1</x:v>
      </x:c>
      <x:c r="H400" s="192" t="str">
        <x:v>Clinical Training Academy</x:v>
      </x:c>
      <x:c r="I400" s="194" t="str">
        <x:v>Source wording preserved; no silent item-content revision during inventory build.</x:v>
      </x:c>
    </x:row>
    <x:row r="401">
      <x:c r="A401" s="191" t="str">
        <x:v>CTA-LMFT-MQB-0400</x:v>
      </x:c>
      <x:c r="B401" s="192" t="str">
        <x:v>LMFT-MQB-FB-TX-043</x:v>
      </x:c>
      <x:c r="C401" s="193" t="n">
        <x:v>46228</x:v>
      </x:c>
      <x:c r="D401" s="192" t="str">
        <x:v>Imported into LMFT master inventory</x:v>
      </x:c>
      <x:c r="E401" s="192" t="str">
        <x:v>LMFT Comprehensive Simulation Form B</x:v>
      </x:c>
      <x:c r="F401" s="192" t="str">
        <x:v>1.0</x:v>
      </x:c>
      <x:c r="G401" s="192" t="n">
        <x:v>1</x:v>
      </x:c>
      <x:c r="H401" s="192" t="str">
        <x:v>Clinical Training Academy</x:v>
      </x:c>
      <x:c r="I401" s="194" t="str">
        <x:v>Source wording preserved; no silent item-content revision during inventory build.</x:v>
      </x:c>
    </x:row>
    <x:row r="402">
      <x:c r="A402" s="191" t="str">
        <x:v>CTA-LMFT-MQB-0401</x:v>
      </x:c>
      <x:c r="B402" s="192" t="str">
        <x:v>LMFT-MQB-FB-TX-007</x:v>
      </x:c>
      <x:c r="C402" s="193" t="n">
        <x:v>46228</x:v>
      </x:c>
      <x:c r="D402" s="192" t="str">
        <x:v>Imported into LMFT master inventory</x:v>
      </x:c>
      <x:c r="E402" s="192" t="str">
        <x:v>LMFT Comprehensive Simulation Form B</x:v>
      </x:c>
      <x:c r="F402" s="192" t="str">
        <x:v>1.0</x:v>
      </x:c>
      <x:c r="G402" s="192" t="n">
        <x:v>1</x:v>
      </x:c>
      <x:c r="H402" s="192" t="str">
        <x:v>Clinical Training Academy</x:v>
      </x:c>
      <x:c r="I402" s="194" t="str">
        <x:v>Source wording preserved; no silent item-content revision during inventory build.</x:v>
      </x:c>
    </x:row>
    <x:row r="403">
      <x:c r="A403" s="191" t="str">
        <x:v>CTA-LMFT-MQB-0402</x:v>
      </x:c>
      <x:c r="B403" s="192" t="str">
        <x:v>LMFT-MQB-FB-CR-015</x:v>
      </x:c>
      <x:c r="C403" s="193" t="n">
        <x:v>46228</x:v>
      </x:c>
      <x:c r="D403" s="192" t="str">
        <x:v>Imported into LMFT master inventory</x:v>
      </x:c>
      <x:c r="E403" s="192" t="str">
        <x:v>LMFT Comprehensive Simulation Form B</x:v>
      </x:c>
      <x:c r="F403" s="192" t="str">
        <x:v>1.0</x:v>
      </x:c>
      <x:c r="G403" s="192" t="n">
        <x:v>1</x:v>
      </x:c>
      <x:c r="H403" s="192" t="str">
        <x:v>Clinical Training Academy</x:v>
      </x:c>
      <x:c r="I403" s="194" t="str">
        <x:v>Source wording preserved; no silent item-content revision during inventory build.</x:v>
      </x:c>
    </x:row>
    <x:row r="404">
      <x:c r="A404" s="191" t="str">
        <x:v>CTA-LMFT-MQB-0403</x:v>
      </x:c>
      <x:c r="B404" s="192" t="str">
        <x:v>LMFT-MQB-FB-CE-038</x:v>
      </x:c>
      <x:c r="C404" s="193" t="n">
        <x:v>46228</x:v>
      </x:c>
      <x:c r="D404" s="192" t="str">
        <x:v>Imported into LMFT master inventory</x:v>
      </x:c>
      <x:c r="E404" s="192" t="str">
        <x:v>LMFT Comprehensive Simulation Form B</x:v>
      </x:c>
      <x:c r="F404" s="192" t="str">
        <x:v>1.0</x:v>
      </x:c>
      <x:c r="G404" s="192" t="n">
        <x:v>1</x:v>
      </x:c>
      <x:c r="H404" s="192" t="str">
        <x:v>Clinical Training Academy</x:v>
      </x:c>
      <x:c r="I404" s="194" t="str">
        <x:v>Source wording preserved; no silent item-content revision during inventory build.</x:v>
      </x:c>
    </x:row>
    <x:row r="405">
      <x:c r="A405" s="191" t="str">
        <x:v>CTA-LMFT-MQB-0404</x:v>
      </x:c>
      <x:c r="B405" s="192" t="str">
        <x:v>LMFT-MQB-FB-CE-007</x:v>
      </x:c>
      <x:c r="C405" s="193" t="n">
        <x:v>46228</x:v>
      </x:c>
      <x:c r="D405" s="192" t="str">
        <x:v>Imported into LMFT master inventory</x:v>
      </x:c>
      <x:c r="E405" s="192" t="str">
        <x:v>LMFT Comprehensive Simulation Form B</x:v>
      </x:c>
      <x:c r="F405" s="192" t="str">
        <x:v>1.0</x:v>
      </x:c>
      <x:c r="G405" s="192" t="n">
        <x:v>1</x:v>
      </x:c>
      <x:c r="H405" s="192" t="str">
        <x:v>Clinical Training Academy</x:v>
      </x:c>
      <x:c r="I405" s="194" t="str">
        <x:v>Source wording preserved; no silent item-content revision during inventory build.</x:v>
      </x:c>
    </x:row>
    <x:row r="406">
      <x:c r="A406" s="191" t="str">
        <x:v>CTA-LMFT-MQB-0405</x:v>
      </x:c>
      <x:c r="B406" s="192" t="str">
        <x:v>LMFT-MQB-FB-TX-030</x:v>
      </x:c>
      <x:c r="C406" s="193" t="n">
        <x:v>46228</x:v>
      </x:c>
      <x:c r="D406" s="192" t="str">
        <x:v>Imported into LMFT master inventory</x:v>
      </x:c>
      <x:c r="E406" s="192" t="str">
        <x:v>LMFT Comprehensive Simulation Form B</x:v>
      </x:c>
      <x:c r="F406" s="192" t="str">
        <x:v>1.0</x:v>
      </x:c>
      <x:c r="G406" s="192" t="n">
        <x:v>1</x:v>
      </x:c>
      <x:c r="H406" s="192" t="str">
        <x:v>Clinical Training Academy</x:v>
      </x:c>
      <x:c r="I406" s="194" t="str">
        <x:v>Source wording preserved; no silent item-content revision during inventory build.</x:v>
      </x:c>
    </x:row>
    <x:row r="407">
      <x:c r="A407" s="191" t="str">
        <x:v>CTA-LMFT-MQB-0406</x:v>
      </x:c>
      <x:c r="B407" s="192" t="str">
        <x:v>LMFT-MQB-FB-CE-037</x:v>
      </x:c>
      <x:c r="C407" s="193" t="n">
        <x:v>46228</x:v>
      </x:c>
      <x:c r="D407" s="192" t="str">
        <x:v>Imported into LMFT master inventory</x:v>
      </x:c>
      <x:c r="E407" s="192" t="str">
        <x:v>LMFT Comprehensive Simulation Form B</x:v>
      </x:c>
      <x:c r="F407" s="192" t="str">
        <x:v>1.0</x:v>
      </x:c>
      <x:c r="G407" s="192" t="n">
        <x:v>1</x:v>
      </x:c>
      <x:c r="H407" s="192" t="str">
        <x:v>Clinical Training Academy</x:v>
      </x:c>
      <x:c r="I407" s="194" t="str">
        <x:v>Source wording preserved; no silent item-content revision during inventory build.</x:v>
      </x:c>
    </x:row>
    <x:row r="408">
      <x:c r="A408" s="191" t="str">
        <x:v>CTA-LMFT-MQB-0407</x:v>
      </x:c>
      <x:c r="B408" s="192" t="str">
        <x:v>LMFT-MQB-FB-CP-014</x:v>
      </x:c>
      <x:c r="C408" s="193" t="n">
        <x:v>46228</x:v>
      </x:c>
      <x:c r="D408" s="192" t="str">
        <x:v>Imported into LMFT master inventory</x:v>
      </x:c>
      <x:c r="E408" s="192" t="str">
        <x:v>LMFT Comprehensive Simulation Form B</x:v>
      </x:c>
      <x:c r="F408" s="192" t="str">
        <x:v>1.0</x:v>
      </x:c>
      <x:c r="G408" s="192" t="n">
        <x:v>1</x:v>
      </x:c>
      <x:c r="H408" s="192" t="str">
        <x:v>Clinical Training Academy</x:v>
      </x:c>
      <x:c r="I408" s="194" t="str">
        <x:v>Source wording preserved; no silent item-content revision during inventory build.</x:v>
      </x:c>
    </x:row>
    <x:row r="409">
      <x:c r="A409" s="191" t="str">
        <x:v>CTA-LMFT-MQB-0408</x:v>
      </x:c>
      <x:c r="B409" s="192" t="str">
        <x:v>LMFT-MQB-FB-TX-012</x:v>
      </x:c>
      <x:c r="C409" s="193" t="n">
        <x:v>46228</x:v>
      </x:c>
      <x:c r="D409" s="192" t="str">
        <x:v>Imported into LMFT master inventory</x:v>
      </x:c>
      <x:c r="E409" s="192" t="str">
        <x:v>LMFT Comprehensive Simulation Form B</x:v>
      </x:c>
      <x:c r="F409" s="192" t="str">
        <x:v>1.0</x:v>
      </x:c>
      <x:c r="G409" s="192" t="n">
        <x:v>1</x:v>
      </x:c>
      <x:c r="H409" s="192" t="str">
        <x:v>Clinical Training Academy</x:v>
      </x:c>
      <x:c r="I409" s="194" t="str">
        <x:v>Source wording preserved; no silent item-content revision during inventory build.</x:v>
      </x:c>
    </x:row>
    <x:row r="410">
      <x:c r="A410" s="191" t="str">
        <x:v>CTA-LMFT-MQB-0409</x:v>
      </x:c>
      <x:c r="B410" s="192" t="str">
        <x:v>LMFT-MQB-FB-CE-039</x:v>
      </x:c>
      <x:c r="C410" s="193" t="n">
        <x:v>46228</x:v>
      </x:c>
      <x:c r="D410" s="192" t="str">
        <x:v>Imported into LMFT master inventory</x:v>
      </x:c>
      <x:c r="E410" s="192" t="str">
        <x:v>LMFT Comprehensive Simulation Form B</x:v>
      </x:c>
      <x:c r="F410" s="192" t="str">
        <x:v>1.0</x:v>
      </x:c>
      <x:c r="G410" s="192" t="n">
        <x:v>1</x:v>
      </x:c>
      <x:c r="H410" s="192" t="str">
        <x:v>Clinical Training Academy</x:v>
      </x:c>
      <x:c r="I410" s="194" t="str">
        <x:v>Source wording preserved; no silent item-content revision during inventory build.</x:v>
      </x:c>
    </x:row>
    <x:row r="411">
      <x:c r="A411" s="191" t="str">
        <x:v>CTA-LMFT-MQB-0410</x:v>
      </x:c>
      <x:c r="B411" s="192" t="str">
        <x:v>LMFT-MQB-FB-LE-005</x:v>
      </x:c>
      <x:c r="C411" s="193" t="n">
        <x:v>46228</x:v>
      </x:c>
      <x:c r="D411" s="192" t="str">
        <x:v>Imported into LMFT master inventory</x:v>
      </x:c>
      <x:c r="E411" s="192" t="str">
        <x:v>LMFT Comprehensive Simulation Form B</x:v>
      </x:c>
      <x:c r="F411" s="192" t="str">
        <x:v>1.0</x:v>
      </x:c>
      <x:c r="G411" s="192" t="n">
        <x:v>1</x:v>
      </x:c>
      <x:c r="H411" s="192" t="str">
        <x:v>Clinical Training Academy</x:v>
      </x:c>
      <x:c r="I411" s="194" t="str">
        <x:v>Source wording preserved; no silent item-content revision during inventory build.</x:v>
      </x:c>
    </x:row>
    <x:row r="412">
      <x:c r="A412" s="191" t="str">
        <x:v>CTA-LMFT-MQB-0411</x:v>
      </x:c>
      <x:c r="B412" s="192" t="str">
        <x:v>LMFT-MQB-FB-CE-023</x:v>
      </x:c>
      <x:c r="C412" s="193" t="n">
        <x:v>46228</x:v>
      </x:c>
      <x:c r="D412" s="192" t="str">
        <x:v>Imported into LMFT master inventory</x:v>
      </x:c>
      <x:c r="E412" s="192" t="str">
        <x:v>LMFT Comprehensive Simulation Form B</x:v>
      </x:c>
      <x:c r="F412" s="192" t="str">
        <x:v>1.0</x:v>
      </x:c>
      <x:c r="G412" s="192" t="n">
        <x:v>1</x:v>
      </x:c>
      <x:c r="H412" s="192" t="str">
        <x:v>Clinical Training Academy</x:v>
      </x:c>
      <x:c r="I412" s="194" t="str">
        <x:v>Source wording preserved; no silent item-content revision during inventory build.</x:v>
      </x:c>
    </x:row>
    <x:row r="413">
      <x:c r="A413" s="191" t="str">
        <x:v>CTA-LMFT-MQB-0412</x:v>
      </x:c>
      <x:c r="B413" s="192" t="str">
        <x:v>LMFT-MQB-FB-CR-006</x:v>
      </x:c>
      <x:c r="C413" s="193" t="n">
        <x:v>46228</x:v>
      </x:c>
      <x:c r="D413" s="192" t="str">
        <x:v>Imported into LMFT master inventory</x:v>
      </x:c>
      <x:c r="E413" s="192" t="str">
        <x:v>LMFT Comprehensive Simulation Form B</x:v>
      </x:c>
      <x:c r="F413" s="192" t="str">
        <x:v>1.0</x:v>
      </x:c>
      <x:c r="G413" s="192" t="n">
        <x:v>1</x:v>
      </x:c>
      <x:c r="H413" s="192" t="str">
        <x:v>Clinical Training Academy</x:v>
      </x:c>
      <x:c r="I413" s="194" t="str">
        <x:v>Source wording preserved; no silent item-content revision during inventory build.</x:v>
      </x:c>
    </x:row>
    <x:row r="414">
      <x:c r="A414" s="191" t="str">
        <x:v>CTA-LMFT-MQB-0413</x:v>
      </x:c>
      <x:c r="B414" s="192" t="str">
        <x:v>LMFT-MQB-FB-TX-006</x:v>
      </x:c>
      <x:c r="C414" s="193" t="n">
        <x:v>46228</x:v>
      </x:c>
      <x:c r="D414" s="192" t="str">
        <x:v>Imported into LMFT master inventory</x:v>
      </x:c>
      <x:c r="E414" s="192" t="str">
        <x:v>LMFT Comprehensive Simulation Form B</x:v>
      </x:c>
      <x:c r="F414" s="192" t="str">
        <x:v>1.0</x:v>
      </x:c>
      <x:c r="G414" s="192" t="n">
        <x:v>1</x:v>
      </x:c>
      <x:c r="H414" s="192" t="str">
        <x:v>Clinical Training Academy</x:v>
      </x:c>
      <x:c r="I414" s="194" t="str">
        <x:v>Source wording preserved; no silent item-content revision during inventory build.</x:v>
      </x:c>
    </x:row>
    <x:row r="415">
      <x:c r="A415" s="191" t="str">
        <x:v>CTA-LMFT-MQB-0414</x:v>
      </x:c>
      <x:c r="B415" s="192" t="str">
        <x:v>LMFT-MQB-FB-CE-004</x:v>
      </x:c>
      <x:c r="C415" s="193" t="n">
        <x:v>46228</x:v>
      </x:c>
      <x:c r="D415" s="192" t="str">
        <x:v>Imported into LMFT master inventory</x:v>
      </x:c>
      <x:c r="E415" s="192" t="str">
        <x:v>LMFT Comprehensive Simulation Form B</x:v>
      </x:c>
      <x:c r="F415" s="192" t="str">
        <x:v>1.0</x:v>
      </x:c>
      <x:c r="G415" s="192" t="n">
        <x:v>1</x:v>
      </x:c>
      <x:c r="H415" s="192" t="str">
        <x:v>Clinical Training Academy</x:v>
      </x:c>
      <x:c r="I415" s="194" t="str">
        <x:v>Source wording preserved; no silent item-content revision during inventory build.</x:v>
      </x:c>
    </x:row>
    <x:row r="416">
      <x:c r="A416" s="191" t="str">
        <x:v>CTA-LMFT-MQB-0415</x:v>
      </x:c>
      <x:c r="B416" s="192" t="str">
        <x:v>LMFT-MQB-FB-CP-003</x:v>
      </x:c>
      <x:c r="C416" s="193" t="n">
        <x:v>46228</x:v>
      </x:c>
      <x:c r="D416" s="192" t="str">
        <x:v>Imported into LMFT master inventory</x:v>
      </x:c>
      <x:c r="E416" s="192" t="str">
        <x:v>LMFT Comprehensive Simulation Form B</x:v>
      </x:c>
      <x:c r="F416" s="192" t="str">
        <x:v>1.0</x:v>
      </x:c>
      <x:c r="G416" s="192" t="n">
        <x:v>1</x:v>
      </x:c>
      <x:c r="H416" s="192" t="str">
        <x:v>Clinical Training Academy</x:v>
      </x:c>
      <x:c r="I416" s="194" t="str">
        <x:v>Source wording preserved; no silent item-content revision during inventory build.</x:v>
      </x:c>
    </x:row>
    <x:row r="417">
      <x:c r="A417" s="191" t="str">
        <x:v>CTA-LMFT-MQB-0416</x:v>
      </x:c>
      <x:c r="B417" s="192" t="str">
        <x:v>LMFT-MQB-FB-TX-013</x:v>
      </x:c>
      <x:c r="C417" s="193" t="n">
        <x:v>46228</x:v>
      </x:c>
      <x:c r="D417" s="192" t="str">
        <x:v>Imported into LMFT master inventory</x:v>
      </x:c>
      <x:c r="E417" s="192" t="str">
        <x:v>LMFT Comprehensive Simulation Form B</x:v>
      </x:c>
      <x:c r="F417" s="192" t="str">
        <x:v>1.0</x:v>
      </x:c>
      <x:c r="G417" s="192" t="n">
        <x:v>1</x:v>
      </x:c>
      <x:c r="H417" s="192" t="str">
        <x:v>Clinical Training Academy</x:v>
      </x:c>
      <x:c r="I417" s="194" t="str">
        <x:v>Source wording preserved; no silent item-content revision during inventory build.</x:v>
      </x:c>
    </x:row>
    <x:row r="418">
      <x:c r="A418" s="191" t="str">
        <x:v>CTA-LMFT-MQB-0417</x:v>
      </x:c>
      <x:c r="B418" s="192" t="str">
        <x:v>LMFT-MQB-FB-CE-018</x:v>
      </x:c>
      <x:c r="C418" s="193" t="n">
        <x:v>46228</x:v>
      </x:c>
      <x:c r="D418" s="192" t="str">
        <x:v>Imported into LMFT master inventory</x:v>
      </x:c>
      <x:c r="E418" s="192" t="str">
        <x:v>LMFT Comprehensive Simulation Form B</x:v>
      </x:c>
      <x:c r="F418" s="192" t="str">
        <x:v>1.0</x:v>
      </x:c>
      <x:c r="G418" s="192" t="n">
        <x:v>1</x:v>
      </x:c>
      <x:c r="H418" s="192" t="str">
        <x:v>Clinical Training Academy</x:v>
      </x:c>
      <x:c r="I418" s="194" t="str">
        <x:v>Source wording preserved; no silent item-content revision during inventory build.</x:v>
      </x:c>
    </x:row>
    <x:row r="419">
      <x:c r="A419" s="191" t="str">
        <x:v>CTA-LMFT-MQB-0418</x:v>
      </x:c>
      <x:c r="B419" s="192" t="str">
        <x:v>LMFT-MQB-FB-CR-009</x:v>
      </x:c>
      <x:c r="C419" s="193" t="n">
        <x:v>46228</x:v>
      </x:c>
      <x:c r="D419" s="192" t="str">
        <x:v>Imported into LMFT master inventory</x:v>
      </x:c>
      <x:c r="E419" s="192" t="str">
        <x:v>LMFT Comprehensive Simulation Form B</x:v>
      </x:c>
      <x:c r="F419" s="192" t="str">
        <x:v>1.0</x:v>
      </x:c>
      <x:c r="G419" s="192" t="n">
        <x:v>1</x:v>
      </x:c>
      <x:c r="H419" s="192" t="str">
        <x:v>Clinical Training Academy</x:v>
      </x:c>
      <x:c r="I419" s="194" t="str">
        <x:v>Source wording preserved; no silent item-content revision during inventory build.</x:v>
      </x:c>
    </x:row>
    <x:row r="420">
      <x:c r="A420" s="191" t="str">
        <x:v>CTA-LMFT-MQB-0419</x:v>
      </x:c>
      <x:c r="B420" s="192" t="str">
        <x:v>LMFT-MQB-FB-LE-001</x:v>
      </x:c>
      <x:c r="C420" s="193" t="n">
        <x:v>46228</x:v>
      </x:c>
      <x:c r="D420" s="192" t="str">
        <x:v>Imported into LMFT master inventory</x:v>
      </x:c>
      <x:c r="E420" s="192" t="str">
        <x:v>LMFT Comprehensive Simulation Form B</x:v>
      </x:c>
      <x:c r="F420" s="192" t="str">
        <x:v>1.0</x:v>
      </x:c>
      <x:c r="G420" s="192" t="n">
        <x:v>1</x:v>
      </x:c>
      <x:c r="H420" s="192" t="str">
        <x:v>Clinical Training Academy</x:v>
      </x:c>
      <x:c r="I420" s="194" t="str">
        <x:v>Source wording preserved; no silent item-content revision during inventory build.</x:v>
      </x:c>
    </x:row>
    <x:row r="421">
      <x:c r="A421" s="191" t="str">
        <x:v>CTA-LMFT-MQB-0420</x:v>
      </x:c>
      <x:c r="B421" s="192" t="str">
        <x:v>LMFT-MQB-FB-CP-002</x:v>
      </x:c>
      <x:c r="C421" s="193" t="n">
        <x:v>46228</x:v>
      </x:c>
      <x:c r="D421" s="192" t="str">
        <x:v>Imported into LMFT master inventory</x:v>
      </x:c>
      <x:c r="E421" s="192" t="str">
        <x:v>LMFT Comprehensive Simulation Form B</x:v>
      </x:c>
      <x:c r="F421" s="192" t="str">
        <x:v>1.0</x:v>
      </x:c>
      <x:c r="G421" s="192" t="n">
        <x:v>1</x:v>
      </x:c>
      <x:c r="H421" s="192" t="str">
        <x:v>Clinical Training Academy</x:v>
      </x:c>
      <x:c r="I421" s="194" t="str">
        <x:v>Source wording preserved; no silent item-content revision during inventory build.</x:v>
      </x:c>
    </x:row>
    <x:row r="422">
      <x:c r="A422" s="191" t="str">
        <x:v>CTA-LMFT-MQB-0421</x:v>
      </x:c>
      <x:c r="B422" s="192" t="str">
        <x:v>LMFT-MQB-FB-LE-002</x:v>
      </x:c>
      <x:c r="C422" s="193" t="n">
        <x:v>46228</x:v>
      </x:c>
      <x:c r="D422" s="192" t="str">
        <x:v>Imported into LMFT master inventory</x:v>
      </x:c>
      <x:c r="E422" s="192" t="str">
        <x:v>LMFT Comprehensive Simulation Form B</x:v>
      </x:c>
      <x:c r="F422" s="192" t="str">
        <x:v>1.0</x:v>
      </x:c>
      <x:c r="G422" s="192" t="n">
        <x:v>1</x:v>
      </x:c>
      <x:c r="H422" s="192" t="str">
        <x:v>Clinical Training Academy</x:v>
      </x:c>
      <x:c r="I422" s="194" t="str">
        <x:v>Source wording preserved; no silent item-content revision during inventory build.</x:v>
      </x:c>
    </x:row>
    <x:row r="423">
      <x:c r="A423" s="191" t="str">
        <x:v>CTA-LMFT-MQB-0422</x:v>
      </x:c>
      <x:c r="B423" s="192" t="str">
        <x:v>LMFT-MQB-FB-CE-024</x:v>
      </x:c>
      <x:c r="C423" s="193" t="n">
        <x:v>46228</x:v>
      </x:c>
      <x:c r="D423" s="192" t="str">
        <x:v>Imported into LMFT master inventory</x:v>
      </x:c>
      <x:c r="E423" s="192" t="str">
        <x:v>LMFT Comprehensive Simulation Form B</x:v>
      </x:c>
      <x:c r="F423" s="192" t="str">
        <x:v>1.0</x:v>
      </x:c>
      <x:c r="G423" s="192" t="n">
        <x:v>1</x:v>
      </x:c>
      <x:c r="H423" s="192" t="str">
        <x:v>Clinical Training Academy</x:v>
      </x:c>
      <x:c r="I423" s="194" t="str">
        <x:v>Source wording preserved; no silent item-content revision during inventory build.</x:v>
      </x:c>
    </x:row>
    <x:row r="424">
      <x:c r="A424" s="191" t="str">
        <x:v>CTA-LMFT-MQB-0423</x:v>
      </x:c>
      <x:c r="B424" s="192" t="str">
        <x:v>LMFT-MQB-FB-CR-004</x:v>
      </x:c>
      <x:c r="C424" s="193" t="n">
        <x:v>46228</x:v>
      </x:c>
      <x:c r="D424" s="192" t="str">
        <x:v>Imported into LMFT master inventory</x:v>
      </x:c>
      <x:c r="E424" s="192" t="str">
        <x:v>LMFT Comprehensive Simulation Form B</x:v>
      </x:c>
      <x:c r="F424" s="192" t="str">
        <x:v>1.0</x:v>
      </x:c>
      <x:c r="G424" s="192" t="n">
        <x:v>1</x:v>
      </x:c>
      <x:c r="H424" s="192" t="str">
        <x:v>Clinical Training Academy</x:v>
      </x:c>
      <x:c r="I424" s="194" t="str">
        <x:v>Source wording preserved; no silent item-content revision during inventory build.</x:v>
      </x:c>
    </x:row>
    <x:row r="425">
      <x:c r="A425" s="191" t="str">
        <x:v>CTA-LMFT-MQB-0424</x:v>
      </x:c>
      <x:c r="B425" s="192" t="str">
        <x:v>LMFT-MQB-FB-TX-011</x:v>
      </x:c>
      <x:c r="C425" s="193" t="n">
        <x:v>46228</x:v>
      </x:c>
      <x:c r="D425" s="192" t="str">
        <x:v>Imported into LMFT master inventory</x:v>
      </x:c>
      <x:c r="E425" s="192" t="str">
        <x:v>LMFT Comprehensive Simulation Form B</x:v>
      </x:c>
      <x:c r="F425" s="192" t="str">
        <x:v>1.0</x:v>
      </x:c>
      <x:c r="G425" s="192" t="n">
        <x:v>1</x:v>
      </x:c>
      <x:c r="H425" s="192" t="str">
        <x:v>Clinical Training Academy</x:v>
      </x:c>
      <x:c r="I425" s="194" t="str">
        <x:v>Source wording preserved; no silent item-content revision during inventory build.</x:v>
      </x:c>
    </x:row>
    <x:row r="426">
      <x:c r="A426" s="191" t="str">
        <x:v>CTA-LMFT-MQB-0425</x:v>
      </x:c>
      <x:c r="B426" s="192" t="str">
        <x:v>LMFT-MQB-FB-LE-008</x:v>
      </x:c>
      <x:c r="C426" s="193" t="n">
        <x:v>46228</x:v>
      </x:c>
      <x:c r="D426" s="192" t="str">
        <x:v>Imported into LMFT master inventory</x:v>
      </x:c>
      <x:c r="E426" s="192" t="str">
        <x:v>LMFT Comprehensive Simulation Form B</x:v>
      </x:c>
      <x:c r="F426" s="192" t="str">
        <x:v>1.0</x:v>
      </x:c>
      <x:c r="G426" s="192" t="n">
        <x:v>1</x:v>
      </x:c>
      <x:c r="H426" s="192" t="str">
        <x:v>Clinical Training Academy</x:v>
      </x:c>
      <x:c r="I426" s="194" t="str">
        <x:v>Source wording preserved; no silent item-content revision during inventory build.</x:v>
      </x:c>
    </x:row>
    <x:row r="427">
      <x:c r="A427" s="191" t="str">
        <x:v>CTA-LMFT-MQB-0426</x:v>
      </x:c>
      <x:c r="B427" s="192" t="str">
        <x:v>LMFT-MQB-FB-DI-006</x:v>
      </x:c>
      <x:c r="C427" s="193" t="n">
        <x:v>46228</x:v>
      </x:c>
      <x:c r="D427" s="192" t="str">
        <x:v>Imported into LMFT master inventory</x:v>
      </x:c>
      <x:c r="E427" s="192" t="str">
        <x:v>LMFT Comprehensive Simulation Form B</x:v>
      </x:c>
      <x:c r="F427" s="192" t="str">
        <x:v>1.0</x:v>
      </x:c>
      <x:c r="G427" s="192" t="n">
        <x:v>1</x:v>
      </x:c>
      <x:c r="H427" s="192" t="str">
        <x:v>Clinical Training Academy</x:v>
      </x:c>
      <x:c r="I427" s="194" t="str">
        <x:v>Source wording preserved; no silent item-content revision during inventory build.</x:v>
      </x:c>
    </x:row>
    <x:row r="428">
      <x:c r="A428" s="191" t="str">
        <x:v>CTA-LMFT-MQB-0427</x:v>
      </x:c>
      <x:c r="B428" s="192" t="str">
        <x:v>LMFT-MQB-FB-CE-030</x:v>
      </x:c>
      <x:c r="C428" s="193" t="n">
        <x:v>46228</x:v>
      </x:c>
      <x:c r="D428" s="192" t="str">
        <x:v>Imported into LMFT master inventory</x:v>
      </x:c>
      <x:c r="E428" s="192" t="str">
        <x:v>LMFT Comprehensive Simulation Form B</x:v>
      </x:c>
      <x:c r="F428" s="192" t="str">
        <x:v>1.0</x:v>
      </x:c>
      <x:c r="G428" s="192" t="n">
        <x:v>1</x:v>
      </x:c>
      <x:c r="H428" s="192" t="str">
        <x:v>Clinical Training Academy</x:v>
      </x:c>
      <x:c r="I428" s="194" t="str">
        <x:v>Source wording preserved; no silent item-content revision during inventory build.</x:v>
      </x:c>
    </x:row>
    <x:row r="429">
      <x:c r="A429" s="191" t="str">
        <x:v>CTA-LMFT-MQB-0428</x:v>
      </x:c>
      <x:c r="B429" s="192" t="str">
        <x:v>LMFT-MQB-FB-TX-002</x:v>
      </x:c>
      <x:c r="C429" s="193" t="n">
        <x:v>46228</x:v>
      </x:c>
      <x:c r="D429" s="192" t="str">
        <x:v>Imported into LMFT master inventory</x:v>
      </x:c>
      <x:c r="E429" s="192" t="str">
        <x:v>LMFT Comprehensive Simulation Form B</x:v>
      </x:c>
      <x:c r="F429" s="192" t="str">
        <x:v>1.0</x:v>
      </x:c>
      <x:c r="G429" s="192" t="n">
        <x:v>1</x:v>
      </x:c>
      <x:c r="H429" s="192" t="str">
        <x:v>Clinical Training Academy</x:v>
      </x:c>
      <x:c r="I429" s="194" t="str">
        <x:v>Source wording preserved; no silent item-content revision during inventory build.</x:v>
      </x:c>
    </x:row>
    <x:row r="430">
      <x:c r="A430" s="191" t="str">
        <x:v>CTA-LMFT-MQB-0429</x:v>
      </x:c>
      <x:c r="B430" s="192" t="str">
        <x:v>LMFT-MQB-FB-CE-040</x:v>
      </x:c>
      <x:c r="C430" s="193" t="n">
        <x:v>46228</x:v>
      </x:c>
      <x:c r="D430" s="192" t="str">
        <x:v>Imported into LMFT master inventory</x:v>
      </x:c>
      <x:c r="E430" s="192" t="str">
        <x:v>LMFT Comprehensive Simulation Form B</x:v>
      </x:c>
      <x:c r="F430" s="192" t="str">
        <x:v>1.0</x:v>
      </x:c>
      <x:c r="G430" s="192" t="n">
        <x:v>1</x:v>
      </x:c>
      <x:c r="H430" s="192" t="str">
        <x:v>Clinical Training Academy</x:v>
      </x:c>
      <x:c r="I430" s="194" t="str">
        <x:v>Source wording preserved; no silent item-content revision during inventory build.</x:v>
      </x:c>
    </x:row>
    <x:row r="431">
      <x:c r="A431" s="191" t="str">
        <x:v>CTA-LMFT-MQB-0430</x:v>
      </x:c>
      <x:c r="B431" s="192" t="str">
        <x:v>LMFT-MQB-FB-CE-025</x:v>
      </x:c>
      <x:c r="C431" s="193" t="n">
        <x:v>46228</x:v>
      </x:c>
      <x:c r="D431" s="192" t="str">
        <x:v>Imported into LMFT master inventory</x:v>
      </x:c>
      <x:c r="E431" s="192" t="str">
        <x:v>LMFT Comprehensive Simulation Form B</x:v>
      </x:c>
      <x:c r="F431" s="192" t="str">
        <x:v>1.0</x:v>
      </x:c>
      <x:c r="G431" s="192" t="n">
        <x:v>1</x:v>
      </x:c>
      <x:c r="H431" s="192" t="str">
        <x:v>Clinical Training Academy</x:v>
      </x:c>
      <x:c r="I431" s="194" t="str">
        <x:v>Source wording preserved; no silent item-content revision during inventory build.</x:v>
      </x:c>
    </x:row>
    <x:row r="432">
      <x:c r="A432" s="191" t="str">
        <x:v>CTA-LMFT-MQB-0431</x:v>
      </x:c>
      <x:c r="B432" s="192" t="str">
        <x:v>LMFT-MQB-FB-CP-013</x:v>
      </x:c>
      <x:c r="C432" s="193" t="n">
        <x:v>46228</x:v>
      </x:c>
      <x:c r="D432" s="192" t="str">
        <x:v>Imported into LMFT master inventory</x:v>
      </x:c>
      <x:c r="E432" s="192" t="str">
        <x:v>LMFT Comprehensive Simulation Form B</x:v>
      </x:c>
      <x:c r="F432" s="192" t="str">
        <x:v>1.0</x:v>
      </x:c>
      <x:c r="G432" s="192" t="n">
        <x:v>1</x:v>
      </x:c>
      <x:c r="H432" s="192" t="str">
        <x:v>Clinical Training Academy</x:v>
      </x:c>
      <x:c r="I432" s="194" t="str">
        <x:v>Source wording preserved; no silent item-content revision during inventory build.</x:v>
      </x:c>
    </x:row>
    <x:row r="433">
      <x:c r="A433" s="191" t="str">
        <x:v>CTA-LMFT-MQB-0432</x:v>
      </x:c>
      <x:c r="B433" s="192" t="str">
        <x:v>LMFT-MQB-FB-CR-002</x:v>
      </x:c>
      <x:c r="C433" s="193" t="n">
        <x:v>46228</x:v>
      </x:c>
      <x:c r="D433" s="192" t="str">
        <x:v>Imported into LMFT master inventory</x:v>
      </x:c>
      <x:c r="E433" s="192" t="str">
        <x:v>LMFT Comprehensive Simulation Form B</x:v>
      </x:c>
      <x:c r="F433" s="192" t="str">
        <x:v>1.0</x:v>
      </x:c>
      <x:c r="G433" s="192" t="n">
        <x:v>1</x:v>
      </x:c>
      <x:c r="H433" s="192" t="str">
        <x:v>Clinical Training Academy</x:v>
      </x:c>
      <x:c r="I433" s="194" t="str">
        <x:v>Source wording preserved; no silent item-content revision during inventory build.</x:v>
      </x:c>
    </x:row>
    <x:row r="434">
      <x:c r="A434" s="191" t="str">
        <x:v>CTA-LMFT-MQB-0433</x:v>
      </x:c>
      <x:c r="B434" s="192" t="str">
        <x:v>LMFT-MQB-FB-TX-041</x:v>
      </x:c>
      <x:c r="C434" s="193" t="n">
        <x:v>46228</x:v>
      </x:c>
      <x:c r="D434" s="192" t="str">
        <x:v>Imported into LMFT master inventory</x:v>
      </x:c>
      <x:c r="E434" s="192" t="str">
        <x:v>LMFT Comprehensive Simulation Form B</x:v>
      </x:c>
      <x:c r="F434" s="192" t="str">
        <x:v>1.0</x:v>
      </x:c>
      <x:c r="G434" s="192" t="n">
        <x:v>1</x:v>
      </x:c>
      <x:c r="H434" s="192" t="str">
        <x:v>Clinical Training Academy</x:v>
      </x:c>
      <x:c r="I434" s="194" t="str">
        <x:v>Source wording preserved; no silent item-content revision during inventory build.</x:v>
      </x:c>
    </x:row>
    <x:row r="435">
      <x:c r="A435" s="191" t="str">
        <x:v>CTA-LMFT-MQB-0434</x:v>
      </x:c>
      <x:c r="B435" s="192" t="str">
        <x:v>LMFT-MQB-FB-CP-009</x:v>
      </x:c>
      <x:c r="C435" s="193" t="n">
        <x:v>46228</x:v>
      </x:c>
      <x:c r="D435" s="192" t="str">
        <x:v>Imported into LMFT master inventory</x:v>
      </x:c>
      <x:c r="E435" s="192" t="str">
        <x:v>LMFT Comprehensive Simulation Form B</x:v>
      </x:c>
      <x:c r="F435" s="192" t="str">
        <x:v>1.0</x:v>
      </x:c>
      <x:c r="G435" s="192" t="n">
        <x:v>1</x:v>
      </x:c>
      <x:c r="H435" s="192" t="str">
        <x:v>Clinical Training Academy</x:v>
      </x:c>
      <x:c r="I435" s="194" t="str">
        <x:v>Source wording preserved; no silent item-content revision during inventory build.</x:v>
      </x:c>
    </x:row>
    <x:row r="436">
      <x:c r="A436" s="191" t="str">
        <x:v>CTA-LMFT-MQB-0435</x:v>
      </x:c>
      <x:c r="B436" s="192" t="str">
        <x:v>LMFT-MQB-FB-TX-033</x:v>
      </x:c>
      <x:c r="C436" s="193" t="n">
        <x:v>46228</x:v>
      </x:c>
      <x:c r="D436" s="192" t="str">
        <x:v>Imported into LMFT master inventory</x:v>
      </x:c>
      <x:c r="E436" s="192" t="str">
        <x:v>LMFT Comprehensive Simulation Form B</x:v>
      </x:c>
      <x:c r="F436" s="192" t="str">
        <x:v>1.0</x:v>
      </x:c>
      <x:c r="G436" s="192" t="n">
        <x:v>1</x:v>
      </x:c>
      <x:c r="H436" s="192" t="str">
        <x:v>Clinical Training Academy</x:v>
      </x:c>
      <x:c r="I436" s="194" t="str">
        <x:v>Source wording preserved; no silent item-content revision during inventory build.</x:v>
      </x:c>
    </x:row>
    <x:row r="437">
      <x:c r="A437" s="191" t="str">
        <x:v>CTA-LMFT-MQB-0436</x:v>
      </x:c>
      <x:c r="B437" s="192" t="str">
        <x:v>LMFT-MQB-FB-CE-013</x:v>
      </x:c>
      <x:c r="C437" s="193" t="n">
        <x:v>46228</x:v>
      </x:c>
      <x:c r="D437" s="192" t="str">
        <x:v>Imported into LMFT master inventory</x:v>
      </x:c>
      <x:c r="E437" s="192" t="str">
        <x:v>LMFT Comprehensive Simulation Form B</x:v>
      </x:c>
      <x:c r="F437" s="192" t="str">
        <x:v>1.0</x:v>
      </x:c>
      <x:c r="G437" s="192" t="n">
        <x:v>1</x:v>
      </x:c>
      <x:c r="H437" s="192" t="str">
        <x:v>Clinical Training Academy</x:v>
      </x:c>
      <x:c r="I437" s="194" t="str">
        <x:v>Source wording preserved; no silent item-content revision during inventory build.</x:v>
      </x:c>
    </x:row>
    <x:row r="438">
      <x:c r="A438" s="191" t="str">
        <x:v>CTA-LMFT-MQB-0437</x:v>
      </x:c>
      <x:c r="B438" s="192" t="str">
        <x:v>LMFT-MQB-FB-TX-037</x:v>
      </x:c>
      <x:c r="C438" s="193" t="n">
        <x:v>46228</x:v>
      </x:c>
      <x:c r="D438" s="192" t="str">
        <x:v>Imported into LMFT master inventory</x:v>
      </x:c>
      <x:c r="E438" s="192" t="str">
        <x:v>LMFT Comprehensive Simulation Form B</x:v>
      </x:c>
      <x:c r="F438" s="192" t="str">
        <x:v>1.0</x:v>
      </x:c>
      <x:c r="G438" s="192" t="n">
        <x:v>1</x:v>
      </x:c>
      <x:c r="H438" s="192" t="str">
        <x:v>Clinical Training Academy</x:v>
      </x:c>
      <x:c r="I438" s="194" t="str">
        <x:v>Source wording preserved; no silent item-content revision during inventory build.</x:v>
      </x:c>
    </x:row>
    <x:row r="439">
      <x:c r="A439" s="191" t="str">
        <x:v>CTA-LMFT-MQB-0438</x:v>
      </x:c>
      <x:c r="B439" s="192" t="str">
        <x:v>LMFT-MQB-FB-DI-012</x:v>
      </x:c>
      <x:c r="C439" s="193" t="n">
        <x:v>46228</x:v>
      </x:c>
      <x:c r="D439" s="192" t="str">
        <x:v>Imported into LMFT master inventory</x:v>
      </x:c>
      <x:c r="E439" s="192" t="str">
        <x:v>LMFT Comprehensive Simulation Form B</x:v>
      </x:c>
      <x:c r="F439" s="192" t="str">
        <x:v>1.0</x:v>
      </x:c>
      <x:c r="G439" s="192" t="n">
        <x:v>1</x:v>
      </x:c>
      <x:c r="H439" s="192" t="str">
        <x:v>Clinical Training Academy</x:v>
      </x:c>
      <x:c r="I439" s="194" t="str">
        <x:v>Source wording preserved; no silent item-content revision during inventory build.</x:v>
      </x:c>
    </x:row>
    <x:row r="440">
      <x:c r="A440" s="191" t="str">
        <x:v>CTA-LMFT-MQB-0439</x:v>
      </x:c>
      <x:c r="B440" s="192" t="str">
        <x:v>LMFT-MQB-FB-CE-019</x:v>
      </x:c>
      <x:c r="C440" s="193" t="n">
        <x:v>46228</x:v>
      </x:c>
      <x:c r="D440" s="192" t="str">
        <x:v>Imported into LMFT master inventory</x:v>
      </x:c>
      <x:c r="E440" s="192" t="str">
        <x:v>LMFT Comprehensive Simulation Form B</x:v>
      </x:c>
      <x:c r="F440" s="192" t="str">
        <x:v>1.0</x:v>
      </x:c>
      <x:c r="G440" s="192" t="n">
        <x:v>1</x:v>
      </x:c>
      <x:c r="H440" s="192" t="str">
        <x:v>Clinical Training Academy</x:v>
      </x:c>
      <x:c r="I440" s="194" t="str">
        <x:v>Source wording preserved; no silent item-content revision during inventory build.</x:v>
      </x:c>
    </x:row>
    <x:row r="441">
      <x:c r="A441" s="191" t="str">
        <x:v>CTA-LMFT-MQB-0440</x:v>
      </x:c>
      <x:c r="B441" s="192" t="str">
        <x:v>LMFT-MQB-FB-DI-016</x:v>
      </x:c>
      <x:c r="C441" s="193" t="n">
        <x:v>46228</x:v>
      </x:c>
      <x:c r="D441" s="192" t="str">
        <x:v>Imported into LMFT master inventory</x:v>
      </x:c>
      <x:c r="E441" s="192" t="str">
        <x:v>LMFT Comprehensive Simulation Form B</x:v>
      </x:c>
      <x:c r="F441" s="192" t="str">
        <x:v>1.0</x:v>
      </x:c>
      <x:c r="G441" s="192" t="n">
        <x:v>1</x:v>
      </x:c>
      <x:c r="H441" s="192" t="str">
        <x:v>Clinical Training Academy</x:v>
      </x:c>
      <x:c r="I441" s="194" t="str">
        <x:v>Source wording preserved; no silent item-content revision during inventory build.</x:v>
      </x:c>
    </x:row>
    <x:row r="442">
      <x:c r="A442" s="191" t="str">
        <x:v>CTA-LMFT-MQB-0441</x:v>
      </x:c>
      <x:c r="B442" s="192" t="str">
        <x:v>LMFT-MQB-FB-DI-001</x:v>
      </x:c>
      <x:c r="C442" s="193" t="n">
        <x:v>46228</x:v>
      </x:c>
      <x:c r="D442" s="192" t="str">
        <x:v>Imported into LMFT master inventory</x:v>
      </x:c>
      <x:c r="E442" s="192" t="str">
        <x:v>LMFT Comprehensive Simulation Form B</x:v>
      </x:c>
      <x:c r="F442" s="192" t="str">
        <x:v>1.0</x:v>
      </x:c>
      <x:c r="G442" s="192" t="n">
        <x:v>1</x:v>
      </x:c>
      <x:c r="H442" s="192" t="str">
        <x:v>Clinical Training Academy</x:v>
      </x:c>
      <x:c r="I442" s="194" t="str">
        <x:v>Source wording preserved; no silent item-content revision during inventory build.</x:v>
      </x:c>
    </x:row>
    <x:row r="443">
      <x:c r="A443" s="191" t="str">
        <x:v>CTA-LMFT-MQB-0442</x:v>
      </x:c>
      <x:c r="B443" s="192" t="str">
        <x:v>LMFT-MQB-FB-TX-020</x:v>
      </x:c>
      <x:c r="C443" s="193" t="n">
        <x:v>46228</x:v>
      </x:c>
      <x:c r="D443" s="192" t="str">
        <x:v>Imported into LMFT master inventory</x:v>
      </x:c>
      <x:c r="E443" s="192" t="str">
        <x:v>LMFT Comprehensive Simulation Form B</x:v>
      </x:c>
      <x:c r="F443" s="192" t="str">
        <x:v>1.0</x:v>
      </x:c>
      <x:c r="G443" s="192" t="n">
        <x:v>1</x:v>
      </x:c>
      <x:c r="H443" s="192" t="str">
        <x:v>Clinical Training Academy</x:v>
      </x:c>
      <x:c r="I443" s="194" t="str">
        <x:v>Source wording preserved; no silent item-content revision during inventory build.</x:v>
      </x:c>
    </x:row>
    <x:row r="444">
      <x:c r="A444" s="191" t="str">
        <x:v>CTA-LMFT-MQB-0443</x:v>
      </x:c>
      <x:c r="B444" s="192" t="str">
        <x:v>LMFT-MQB-FB-CE-034</x:v>
      </x:c>
      <x:c r="C444" s="193" t="n">
        <x:v>46228</x:v>
      </x:c>
      <x:c r="D444" s="192" t="str">
        <x:v>Imported into LMFT master inventory</x:v>
      </x:c>
      <x:c r="E444" s="192" t="str">
        <x:v>LMFT Comprehensive Simulation Form B</x:v>
      </x:c>
      <x:c r="F444" s="192" t="str">
        <x:v>1.0</x:v>
      </x:c>
      <x:c r="G444" s="192" t="n">
        <x:v>1</x:v>
      </x:c>
      <x:c r="H444" s="192" t="str">
        <x:v>Clinical Training Academy</x:v>
      </x:c>
      <x:c r="I444" s="194" t="str">
        <x:v>Source wording preserved; no silent item-content revision during inventory build.</x:v>
      </x:c>
    </x:row>
    <x:row r="445">
      <x:c r="A445" s="191" t="str">
        <x:v>CTA-LMFT-MQB-0444</x:v>
      </x:c>
      <x:c r="B445" s="192" t="str">
        <x:v>LMFT-MQB-FB-TX-010</x:v>
      </x:c>
      <x:c r="C445" s="193" t="n">
        <x:v>46228</x:v>
      </x:c>
      <x:c r="D445" s="192" t="str">
        <x:v>Imported into LMFT master inventory</x:v>
      </x:c>
      <x:c r="E445" s="192" t="str">
        <x:v>LMFT Comprehensive Simulation Form B</x:v>
      </x:c>
      <x:c r="F445" s="192" t="str">
        <x:v>1.0</x:v>
      </x:c>
      <x:c r="G445" s="192" t="n">
        <x:v>1</x:v>
      </x:c>
      <x:c r="H445" s="192" t="str">
        <x:v>Clinical Training Academy</x:v>
      </x:c>
      <x:c r="I445" s="194" t="str">
        <x:v>Source wording preserved; no silent item-content revision during inventory build.</x:v>
      </x:c>
    </x:row>
    <x:row r="446">
      <x:c r="A446" s="191" t="str">
        <x:v>CTA-LMFT-MQB-0445</x:v>
      </x:c>
      <x:c r="B446" s="192" t="str">
        <x:v>LMFT-MQB-FB-CE-036</x:v>
      </x:c>
      <x:c r="C446" s="193" t="n">
        <x:v>46228</x:v>
      </x:c>
      <x:c r="D446" s="192" t="str">
        <x:v>Imported into LMFT master inventory</x:v>
      </x:c>
      <x:c r="E446" s="192" t="str">
        <x:v>LMFT Comprehensive Simulation Form B</x:v>
      </x:c>
      <x:c r="F446" s="192" t="str">
        <x:v>1.0</x:v>
      </x:c>
      <x:c r="G446" s="192" t="n">
        <x:v>1</x:v>
      </x:c>
      <x:c r="H446" s="192" t="str">
        <x:v>Clinical Training Academy</x:v>
      </x:c>
      <x:c r="I446" s="194" t="str">
        <x:v>Source wording preserved; no silent item-content revision during inventory build.</x:v>
      </x:c>
    </x:row>
    <x:row r="447">
      <x:c r="A447" s="191" t="str">
        <x:v>CTA-LMFT-MQB-0446</x:v>
      </x:c>
      <x:c r="B447" s="192" t="str">
        <x:v>LMFT-MQB-FB-TX-029</x:v>
      </x:c>
      <x:c r="C447" s="193" t="n">
        <x:v>46228</x:v>
      </x:c>
      <x:c r="D447" s="192" t="str">
        <x:v>Imported into LMFT master inventory</x:v>
      </x:c>
      <x:c r="E447" s="192" t="str">
        <x:v>LMFT Comprehensive Simulation Form B</x:v>
      </x:c>
      <x:c r="F447" s="192" t="str">
        <x:v>1.0</x:v>
      </x:c>
      <x:c r="G447" s="192" t="n">
        <x:v>1</x:v>
      </x:c>
      <x:c r="H447" s="192" t="str">
        <x:v>Clinical Training Academy</x:v>
      </x:c>
      <x:c r="I447" s="194" t="str">
        <x:v>Source wording preserved; no silent item-content revision during inventory build.</x:v>
      </x:c>
    </x:row>
    <x:row r="448">
      <x:c r="A448" s="191" t="str">
        <x:v>CTA-LMFT-MQB-0447</x:v>
      </x:c>
      <x:c r="B448" s="192" t="str">
        <x:v>LMFT-MQB-FB-TX-001</x:v>
      </x:c>
      <x:c r="C448" s="193" t="n">
        <x:v>46228</x:v>
      </x:c>
      <x:c r="D448" s="192" t="str">
        <x:v>Imported into LMFT master inventory</x:v>
      </x:c>
      <x:c r="E448" s="192" t="str">
        <x:v>LMFT Comprehensive Simulation Form B</x:v>
      </x:c>
      <x:c r="F448" s="192" t="str">
        <x:v>1.0</x:v>
      </x:c>
      <x:c r="G448" s="192" t="n">
        <x:v>1</x:v>
      </x:c>
      <x:c r="H448" s="192" t="str">
        <x:v>Clinical Training Academy</x:v>
      </x:c>
      <x:c r="I448" s="194" t="str">
        <x:v>Source wording preserved; no silent item-content revision during inventory build.</x:v>
      </x:c>
    </x:row>
    <x:row r="449">
      <x:c r="A449" s="191" t="str">
        <x:v>CTA-LMFT-MQB-0448</x:v>
      </x:c>
      <x:c r="B449" s="192" t="str">
        <x:v>LMFT-MQB-FB-CP-015</x:v>
      </x:c>
      <x:c r="C449" s="193" t="n">
        <x:v>46228</x:v>
      </x:c>
      <x:c r="D449" s="192" t="str">
        <x:v>Imported into LMFT master inventory</x:v>
      </x:c>
      <x:c r="E449" s="192" t="str">
        <x:v>LMFT Comprehensive Simulation Form B</x:v>
      </x:c>
      <x:c r="F449" s="192" t="str">
        <x:v>1.0</x:v>
      </x:c>
      <x:c r="G449" s="192" t="n">
        <x:v>1</x:v>
      </x:c>
      <x:c r="H449" s="192" t="str">
        <x:v>Clinical Training Academy</x:v>
      </x:c>
      <x:c r="I449" s="194" t="str">
        <x:v>Source wording preserved; no silent item-content revision during inventory build.</x:v>
      </x:c>
    </x:row>
    <x:row r="450">
      <x:c r="A450" s="191" t="str">
        <x:v>CTA-LMFT-MQB-0449</x:v>
      </x:c>
      <x:c r="B450" s="192" t="str">
        <x:v>LMFT-MQB-FB-TX-014</x:v>
      </x:c>
      <x:c r="C450" s="193" t="n">
        <x:v>46228</x:v>
      </x:c>
      <x:c r="D450" s="192" t="str">
        <x:v>Imported into LMFT master inventory</x:v>
      </x:c>
      <x:c r="E450" s="192" t="str">
        <x:v>LMFT Comprehensive Simulation Form B</x:v>
      </x:c>
      <x:c r="F450" s="192" t="str">
        <x:v>1.0</x:v>
      </x:c>
      <x:c r="G450" s="192" t="n">
        <x:v>1</x:v>
      </x:c>
      <x:c r="H450" s="192" t="str">
        <x:v>Clinical Training Academy</x:v>
      </x:c>
      <x:c r="I450" s="194" t="str">
        <x:v>Source wording preserved; no silent item-content revision during inventory build.</x:v>
      </x:c>
    </x:row>
    <x:row r="451">
      <x:c r="A451" s="191" t="str">
        <x:v>CTA-LMFT-MQB-0450</x:v>
      </x:c>
      <x:c r="B451" s="192" t="str">
        <x:v>LMFT-MQB-FB-CE-017</x:v>
      </x:c>
      <x:c r="C451" s="193" t="n">
        <x:v>46228</x:v>
      </x:c>
      <x:c r="D451" s="192" t="str">
        <x:v>Imported into LMFT master inventory</x:v>
      </x:c>
      <x:c r="E451" s="192" t="str">
        <x:v>LMFT Comprehensive Simulation Form B</x:v>
      </x:c>
      <x:c r="F451" s="192" t="str">
        <x:v>1.0</x:v>
      </x:c>
      <x:c r="G451" s="192" t="n">
        <x:v>1</x:v>
      </x:c>
      <x:c r="H451" s="192" t="str">
        <x:v>Clinical Training Academy</x:v>
      </x:c>
      <x:c r="I451" s="194" t="str">
        <x:v>Source wording preserved; no silent item-content revision during inventory build.</x:v>
      </x:c>
    </x:row>
    <x:row r="452">
      <x:c r="A452" s="191" t="str">
        <x:v>CTA-LMFT-MQB-0451</x:v>
      </x:c>
      <x:c r="B452" s="192" t="str">
        <x:v>LMFT-MQB-FB-DI-003</x:v>
      </x:c>
      <x:c r="C452" s="193" t="n">
        <x:v>46228</x:v>
      </x:c>
      <x:c r="D452" s="192" t="str">
        <x:v>Imported into LMFT master inventory</x:v>
      </x:c>
      <x:c r="E452" s="192" t="str">
        <x:v>LMFT Comprehensive Simulation Form B</x:v>
      </x:c>
      <x:c r="F452" s="192" t="str">
        <x:v>1.0</x:v>
      </x:c>
      <x:c r="G452" s="192" t="n">
        <x:v>1</x:v>
      </x:c>
      <x:c r="H452" s="192" t="str">
        <x:v>Clinical Training Academy</x:v>
      </x:c>
      <x:c r="I452" s="194" t="str">
        <x:v>Source wording preserved; no silent item-content revision during inventory build.</x:v>
      </x:c>
    </x:row>
    <x:row r="453">
      <x:c r="A453" s="191" t="str">
        <x:v>CTA-LMFT-MQB-0452</x:v>
      </x:c>
      <x:c r="B453" s="192" t="str">
        <x:v>LMFT-MQB-FB-CE-002</x:v>
      </x:c>
      <x:c r="C453" s="193" t="n">
        <x:v>46228</x:v>
      </x:c>
      <x:c r="D453" s="192" t="str">
        <x:v>Imported into LMFT master inventory</x:v>
      </x:c>
      <x:c r="E453" s="192" t="str">
        <x:v>LMFT Comprehensive Simulation Form B</x:v>
      </x:c>
      <x:c r="F453" s="192" t="str">
        <x:v>1.0</x:v>
      </x:c>
      <x:c r="G453" s="192" t="n">
        <x:v>1</x:v>
      </x:c>
      <x:c r="H453" s="192" t="str">
        <x:v>Clinical Training Academy</x:v>
      </x:c>
      <x:c r="I453" s="194" t="str">
        <x:v>Source wording preserved; no silent item-content revision during inventory build.</x:v>
      </x:c>
    </x:row>
    <x:row r="454">
      <x:c r="A454" s="191" t="str">
        <x:v>CTA-LMFT-MQB-0453</x:v>
      </x:c>
      <x:c r="B454" s="192" t="str">
        <x:v>LMFT-MQB-FB-DI-015</x:v>
      </x:c>
      <x:c r="C454" s="193" t="n">
        <x:v>46228</x:v>
      </x:c>
      <x:c r="D454" s="192" t="str">
        <x:v>Imported into LMFT master inventory</x:v>
      </x:c>
      <x:c r="E454" s="192" t="str">
        <x:v>LMFT Comprehensive Simulation Form B</x:v>
      </x:c>
      <x:c r="F454" s="192" t="str">
        <x:v>1.0</x:v>
      </x:c>
      <x:c r="G454" s="192" t="n">
        <x:v>1</x:v>
      </x:c>
      <x:c r="H454" s="192" t="str">
        <x:v>Clinical Training Academy</x:v>
      </x:c>
      <x:c r="I454" s="194" t="str">
        <x:v>Source wording preserved; no silent item-content revision during inventory build.</x:v>
      </x:c>
    </x:row>
    <x:row r="455">
      <x:c r="A455" s="191" t="str">
        <x:v>CTA-LMFT-MQB-0454</x:v>
      </x:c>
      <x:c r="B455" s="192" t="str">
        <x:v>LMFT-MQB-FB-CR-001</x:v>
      </x:c>
      <x:c r="C455" s="193" t="n">
        <x:v>46228</x:v>
      </x:c>
      <x:c r="D455" s="192" t="str">
        <x:v>Imported into LMFT master inventory</x:v>
      </x:c>
      <x:c r="E455" s="192" t="str">
        <x:v>LMFT Comprehensive Simulation Form B</x:v>
      </x:c>
      <x:c r="F455" s="192" t="str">
        <x:v>1.0</x:v>
      </x:c>
      <x:c r="G455" s="192" t="n">
        <x:v>1</x:v>
      </x:c>
      <x:c r="H455" s="192" t="str">
        <x:v>Clinical Training Academy</x:v>
      </x:c>
      <x:c r="I455" s="194" t="str">
        <x:v>Source wording preserved; no silent item-content revision during inventory build.</x:v>
      </x:c>
    </x:row>
    <x:row r="456">
      <x:c r="A456" s="191" t="str">
        <x:v>CTA-LMFT-MQB-0455</x:v>
      </x:c>
      <x:c r="B456" s="192" t="str">
        <x:v>LMFT-MQB-FB-TX-005</x:v>
      </x:c>
      <x:c r="C456" s="193" t="n">
        <x:v>46228</x:v>
      </x:c>
      <x:c r="D456" s="192" t="str">
        <x:v>Imported into LMFT master inventory</x:v>
      </x:c>
      <x:c r="E456" s="192" t="str">
        <x:v>LMFT Comprehensive Simulation Form B</x:v>
      </x:c>
      <x:c r="F456" s="192" t="str">
        <x:v>1.0</x:v>
      </x:c>
      <x:c r="G456" s="192" t="n">
        <x:v>1</x:v>
      </x:c>
      <x:c r="H456" s="192" t="str">
        <x:v>Clinical Training Academy</x:v>
      </x:c>
      <x:c r="I456" s="194" t="str">
        <x:v>Source wording preserved; no silent item-content revision during inventory build.</x:v>
      </x:c>
    </x:row>
    <x:row r="457">
      <x:c r="A457" s="191" t="str">
        <x:v>CTA-LMFT-MQB-0456</x:v>
      </x:c>
      <x:c r="B457" s="192" t="str">
        <x:v>LMFT-MQB-FB-CE-016</x:v>
      </x:c>
      <x:c r="C457" s="193" t="n">
        <x:v>46228</x:v>
      </x:c>
      <x:c r="D457" s="192" t="str">
        <x:v>Imported into LMFT master inventory</x:v>
      </x:c>
      <x:c r="E457" s="192" t="str">
        <x:v>LMFT Comprehensive Simulation Form B</x:v>
      </x:c>
      <x:c r="F457" s="192" t="str">
        <x:v>1.0</x:v>
      </x:c>
      <x:c r="G457" s="192" t="n">
        <x:v>1</x:v>
      </x:c>
      <x:c r="H457" s="192" t="str">
        <x:v>Clinical Training Academy</x:v>
      </x:c>
      <x:c r="I457" s="194" t="str">
        <x:v>Source wording preserved; no silent item-content revision during inventory build.</x:v>
      </x:c>
    </x:row>
    <x:row r="458">
      <x:c r="A458" s="191" t="str">
        <x:v>CTA-LMFT-MQB-0457</x:v>
      </x:c>
      <x:c r="B458" s="192" t="str">
        <x:v>LMFT-MQB-FB-CR-003</x:v>
      </x:c>
      <x:c r="C458" s="193" t="n">
        <x:v>46228</x:v>
      </x:c>
      <x:c r="D458" s="192" t="str">
        <x:v>Imported into LMFT master inventory</x:v>
      </x:c>
      <x:c r="E458" s="192" t="str">
        <x:v>LMFT Comprehensive Simulation Form B</x:v>
      </x:c>
      <x:c r="F458" s="192" t="str">
        <x:v>1.0</x:v>
      </x:c>
      <x:c r="G458" s="192" t="n">
        <x:v>1</x:v>
      </x:c>
      <x:c r="H458" s="192" t="str">
        <x:v>Clinical Training Academy</x:v>
      </x:c>
      <x:c r="I458" s="194" t="str">
        <x:v>Source wording preserved; no silent item-content revision during inventory build.</x:v>
      </x:c>
    </x:row>
    <x:row r="459">
      <x:c r="A459" s="191" t="str">
        <x:v>CTA-LMFT-MQB-0458</x:v>
      </x:c>
      <x:c r="B459" s="192" t="str">
        <x:v>LMFT-MQB-FB-CR-012</x:v>
      </x:c>
      <x:c r="C459" s="193" t="n">
        <x:v>46228</x:v>
      </x:c>
      <x:c r="D459" s="192" t="str">
        <x:v>Imported into LMFT master inventory</x:v>
      </x:c>
      <x:c r="E459" s="192" t="str">
        <x:v>LMFT Comprehensive Simulation Form B</x:v>
      </x:c>
      <x:c r="F459" s="192" t="str">
        <x:v>1.0</x:v>
      </x:c>
      <x:c r="G459" s="192" t="n">
        <x:v>1</x:v>
      </x:c>
      <x:c r="H459" s="192" t="str">
        <x:v>Clinical Training Academy</x:v>
      </x:c>
      <x:c r="I459" s="194" t="str">
        <x:v>Source wording preserved; no silent item-content revision during inventory build.</x:v>
      </x:c>
    </x:row>
    <x:row r="460">
      <x:c r="A460" s="191" t="str">
        <x:v>CTA-LMFT-MQB-0459</x:v>
      </x:c>
      <x:c r="B460" s="192" t="str">
        <x:v>LMFT-MQB-FB-DI-011</x:v>
      </x:c>
      <x:c r="C460" s="193" t="n">
        <x:v>46228</x:v>
      </x:c>
      <x:c r="D460" s="192" t="str">
        <x:v>Imported into LMFT master inventory</x:v>
      </x:c>
      <x:c r="E460" s="192" t="str">
        <x:v>LMFT Comprehensive Simulation Form B</x:v>
      </x:c>
      <x:c r="F460" s="192" t="str">
        <x:v>1.0</x:v>
      </x:c>
      <x:c r="G460" s="192" t="n">
        <x:v>1</x:v>
      </x:c>
      <x:c r="H460" s="192" t="str">
        <x:v>Clinical Training Academy</x:v>
      </x:c>
      <x:c r="I460" s="194" t="str">
        <x:v>Source wording preserved; no silent item-content revision during inventory build.</x:v>
      </x:c>
    </x:row>
    <x:row r="461">
      <x:c r="A461" s="191" t="str">
        <x:v>CTA-LMFT-MQB-0460</x:v>
      </x:c>
      <x:c r="B461" s="192" t="str">
        <x:v>LMFT-MQB-FB-CP-006</x:v>
      </x:c>
      <x:c r="C461" s="193" t="n">
        <x:v>46228</x:v>
      </x:c>
      <x:c r="D461" s="192" t="str">
        <x:v>Imported into LMFT master inventory</x:v>
      </x:c>
      <x:c r="E461" s="192" t="str">
        <x:v>LMFT Comprehensive Simulation Form B</x:v>
      </x:c>
      <x:c r="F461" s="192" t="str">
        <x:v>1.0</x:v>
      </x:c>
      <x:c r="G461" s="192" t="n">
        <x:v>1</x:v>
      </x:c>
      <x:c r="H461" s="192" t="str">
        <x:v>Clinical Training Academy</x:v>
      </x:c>
      <x:c r="I461" s="194" t="str">
        <x:v>Source wording preserved; no silent item-content revision during inventory build.</x:v>
      </x:c>
    </x:row>
    <x:row r="462">
      <x:c r="A462" s="191" t="str">
        <x:v>CTA-LMFT-MQB-0461</x:v>
      </x:c>
      <x:c r="B462" s="192" t="str">
        <x:v>LMFT-MQB-FB-CP-005</x:v>
      </x:c>
      <x:c r="C462" s="193" t="n">
        <x:v>46228</x:v>
      </x:c>
      <x:c r="D462" s="192" t="str">
        <x:v>Imported into LMFT master inventory</x:v>
      </x:c>
      <x:c r="E462" s="192" t="str">
        <x:v>LMFT Comprehensive Simulation Form B</x:v>
      </x:c>
      <x:c r="F462" s="192" t="str">
        <x:v>1.0</x:v>
      </x:c>
      <x:c r="G462" s="192" t="n">
        <x:v>1</x:v>
      </x:c>
      <x:c r="H462" s="192" t="str">
        <x:v>Clinical Training Academy</x:v>
      </x:c>
      <x:c r="I462" s="194" t="str">
        <x:v>Source wording preserved; no silent item-content revision during inventory build.</x:v>
      </x:c>
    </x:row>
    <x:row r="463">
      <x:c r="A463" s="191" t="str">
        <x:v>CTA-LMFT-MQB-0462</x:v>
      </x:c>
      <x:c r="B463" s="192" t="str">
        <x:v>LMFT-MQB-FB-TX-022</x:v>
      </x:c>
      <x:c r="C463" s="193" t="n">
        <x:v>46228</x:v>
      </x:c>
      <x:c r="D463" s="192" t="str">
        <x:v>Imported into LMFT master inventory</x:v>
      </x:c>
      <x:c r="E463" s="192" t="str">
        <x:v>LMFT Comprehensive Simulation Form B</x:v>
      </x:c>
      <x:c r="F463" s="192" t="str">
        <x:v>1.0</x:v>
      </x:c>
      <x:c r="G463" s="192" t="n">
        <x:v>1</x:v>
      </x:c>
      <x:c r="H463" s="192" t="str">
        <x:v>Clinical Training Academy</x:v>
      </x:c>
      <x:c r="I463" s="194" t="str">
        <x:v>Source wording preserved; no silent item-content revision during inventory build.</x:v>
      </x:c>
    </x:row>
    <x:row r="464">
      <x:c r="A464" s="191" t="str">
        <x:v>CTA-LMFT-MQB-0463</x:v>
      </x:c>
      <x:c r="B464" s="192" t="str">
        <x:v>LMFT-MQB-FB-CE-029</x:v>
      </x:c>
      <x:c r="C464" s="193" t="n">
        <x:v>46228</x:v>
      </x:c>
      <x:c r="D464" s="192" t="str">
        <x:v>Imported into LMFT master inventory</x:v>
      </x:c>
      <x:c r="E464" s="192" t="str">
        <x:v>LMFT Comprehensive Simulation Form B</x:v>
      </x:c>
      <x:c r="F464" s="192" t="str">
        <x:v>1.0</x:v>
      </x:c>
      <x:c r="G464" s="192" t="n">
        <x:v>1</x:v>
      </x:c>
      <x:c r="H464" s="192" t="str">
        <x:v>Clinical Training Academy</x:v>
      </x:c>
      <x:c r="I464" s="194" t="str">
        <x:v>Source wording preserved; no silent item-content revision during inventory build.</x:v>
      </x:c>
    </x:row>
    <x:row r="465">
      <x:c r="A465" s="191" t="str">
        <x:v>CTA-LMFT-MQB-0464</x:v>
      </x:c>
      <x:c r="B465" s="192" t="str">
        <x:v>LMFT-MQB-FB-TX-026</x:v>
      </x:c>
      <x:c r="C465" s="193" t="n">
        <x:v>46228</x:v>
      </x:c>
      <x:c r="D465" s="192" t="str">
        <x:v>Imported into LMFT master inventory</x:v>
      </x:c>
      <x:c r="E465" s="192" t="str">
        <x:v>LMFT Comprehensive Simulation Form B</x:v>
      </x:c>
      <x:c r="F465" s="192" t="str">
        <x:v>1.0</x:v>
      </x:c>
      <x:c r="G465" s="192" t="n">
        <x:v>1</x:v>
      </x:c>
      <x:c r="H465" s="192" t="str">
        <x:v>Clinical Training Academy</x:v>
      </x:c>
      <x:c r="I465" s="194" t="str">
        <x:v>Source wording preserved; no silent item-content revision during inventory build.</x:v>
      </x:c>
    </x:row>
    <x:row r="466">
      <x:c r="A466" s="191" t="str">
        <x:v>CTA-LMFT-MQB-0465</x:v>
      </x:c>
      <x:c r="B466" s="192" t="str">
        <x:v>LMFT-MQB-FB-TX-017</x:v>
      </x:c>
      <x:c r="C466" s="193" t="n">
        <x:v>46228</x:v>
      </x:c>
      <x:c r="D466" s="192" t="str">
        <x:v>Imported into LMFT master inventory</x:v>
      </x:c>
      <x:c r="E466" s="192" t="str">
        <x:v>LMFT Comprehensive Simulation Form B</x:v>
      </x:c>
      <x:c r="F466" s="192" t="str">
        <x:v>1.0</x:v>
      </x:c>
      <x:c r="G466" s="192" t="n">
        <x:v>1</x:v>
      </x:c>
      <x:c r="H466" s="192" t="str">
        <x:v>Clinical Training Academy</x:v>
      </x:c>
      <x:c r="I466" s="194" t="str">
        <x:v>Source wording preserved; no silent item-content revision during inventory build.</x:v>
      </x:c>
    </x:row>
    <x:row r="467">
      <x:c r="A467" s="191" t="str">
        <x:v>CTA-LMFT-MQB-0466</x:v>
      </x:c>
      <x:c r="B467" s="192" t="str">
        <x:v>LMFT-MQB-FB-LE-007</x:v>
      </x:c>
      <x:c r="C467" s="193" t="n">
        <x:v>46228</x:v>
      </x:c>
      <x:c r="D467" s="192" t="str">
        <x:v>Imported into LMFT master inventory</x:v>
      </x:c>
      <x:c r="E467" s="192" t="str">
        <x:v>LMFT Comprehensive Simulation Form B</x:v>
      </x:c>
      <x:c r="F467" s="192" t="str">
        <x:v>1.0</x:v>
      </x:c>
      <x:c r="G467" s="192" t="n">
        <x:v>1</x:v>
      </x:c>
      <x:c r="H467" s="192" t="str">
        <x:v>Clinical Training Academy</x:v>
      </x:c>
      <x:c r="I467" s="194" t="str">
        <x:v>Source wording preserved; no silent item-content revision during inventory build.</x:v>
      </x:c>
    </x:row>
    <x:row r="468">
      <x:c r="A468" s="191" t="str">
        <x:v>CTA-LMFT-MQB-0467</x:v>
      </x:c>
      <x:c r="B468" s="192" t="str">
        <x:v>LMFT-MQB-FB-CP-012</x:v>
      </x:c>
      <x:c r="C468" s="193" t="n">
        <x:v>46228</x:v>
      </x:c>
      <x:c r="D468" s="192" t="str">
        <x:v>Imported into LMFT master inventory</x:v>
      </x:c>
      <x:c r="E468" s="192" t="str">
        <x:v>LMFT Comprehensive Simulation Form B</x:v>
      </x:c>
      <x:c r="F468" s="192" t="str">
        <x:v>1.0</x:v>
      </x:c>
      <x:c r="G468" s="192" t="n">
        <x:v>1</x:v>
      </x:c>
      <x:c r="H468" s="192" t="str">
        <x:v>Clinical Training Academy</x:v>
      </x:c>
      <x:c r="I468" s="194" t="str">
        <x:v>Source wording preserved; no silent item-content revision during inventory build.</x:v>
      </x:c>
    </x:row>
    <x:row r="469">
      <x:c r="A469" s="191" t="str">
        <x:v>CTA-LMFT-MQB-0468</x:v>
      </x:c>
      <x:c r="B469" s="192" t="str">
        <x:v>LMFT-MQB-FB-CR-007</x:v>
      </x:c>
      <x:c r="C469" s="193" t="n">
        <x:v>46228</x:v>
      </x:c>
      <x:c r="D469" s="192" t="str">
        <x:v>Imported into LMFT master inventory</x:v>
      </x:c>
      <x:c r="E469" s="192" t="str">
        <x:v>LMFT Comprehensive Simulation Form B</x:v>
      </x:c>
      <x:c r="F469" s="192" t="str">
        <x:v>1.0</x:v>
      </x:c>
      <x:c r="G469" s="192" t="n">
        <x:v>1</x:v>
      </x:c>
      <x:c r="H469" s="192" t="str">
        <x:v>Clinical Training Academy</x:v>
      </x:c>
      <x:c r="I469" s="194" t="str">
        <x:v>Source wording preserved; no silent item-content revision during inventory build.</x:v>
      </x:c>
    </x:row>
    <x:row r="470">
      <x:c r="A470" s="191" t="str">
        <x:v>CTA-LMFT-MQB-0469</x:v>
      </x:c>
      <x:c r="B470" s="192" t="str">
        <x:v>LMFT-MQB-FB-CE-031</x:v>
      </x:c>
      <x:c r="C470" s="193" t="n">
        <x:v>46228</x:v>
      </x:c>
      <x:c r="D470" s="192" t="str">
        <x:v>Imported into LMFT master inventory</x:v>
      </x:c>
      <x:c r="E470" s="192" t="str">
        <x:v>LMFT Comprehensive Simulation Form B</x:v>
      </x:c>
      <x:c r="F470" s="192" t="str">
        <x:v>1.0</x:v>
      </x:c>
      <x:c r="G470" s="192" t="n">
        <x:v>1</x:v>
      </x:c>
      <x:c r="H470" s="192" t="str">
        <x:v>Clinical Training Academy</x:v>
      </x:c>
      <x:c r="I470" s="194" t="str">
        <x:v>Source wording preserved; no silent item-content revision during inventory build.</x:v>
      </x:c>
    </x:row>
    <x:row r="471">
      <x:c r="A471" s="191" t="str">
        <x:v>CTA-LMFT-MQB-0470</x:v>
      </x:c>
      <x:c r="B471" s="192" t="str">
        <x:v>LMFT-MQB-FB-CR-011</x:v>
      </x:c>
      <x:c r="C471" s="193" t="n">
        <x:v>46228</x:v>
      </x:c>
      <x:c r="D471" s="192" t="str">
        <x:v>Imported into LMFT master inventory</x:v>
      </x:c>
      <x:c r="E471" s="192" t="str">
        <x:v>LMFT Comprehensive Simulation Form B</x:v>
      </x:c>
      <x:c r="F471" s="192" t="str">
        <x:v>1.0</x:v>
      </x:c>
      <x:c r="G471" s="192" t="n">
        <x:v>1</x:v>
      </x:c>
      <x:c r="H471" s="192" t="str">
        <x:v>Clinical Training Academy</x:v>
      </x:c>
      <x:c r="I471" s="194" t="str">
        <x:v>Source wording preserved; no silent item-content revision during inventory build.</x:v>
      </x:c>
    </x:row>
    <x:row r="472">
      <x:c r="A472" s="191" t="str">
        <x:v>CTA-LMFT-MQB-0471</x:v>
      </x:c>
      <x:c r="B472" s="192" t="str">
        <x:v>LMFT-MQB-FB-CE-021</x:v>
      </x:c>
      <x:c r="C472" s="193" t="n">
        <x:v>46228</x:v>
      </x:c>
      <x:c r="D472" s="192" t="str">
        <x:v>Imported into LMFT master inventory</x:v>
      </x:c>
      <x:c r="E472" s="192" t="str">
        <x:v>LMFT Comprehensive Simulation Form B</x:v>
      </x:c>
      <x:c r="F472" s="192" t="str">
        <x:v>1.0</x:v>
      </x:c>
      <x:c r="G472" s="192" t="n">
        <x:v>1</x:v>
      </x:c>
      <x:c r="H472" s="192" t="str">
        <x:v>Clinical Training Academy</x:v>
      </x:c>
      <x:c r="I472" s="194" t="str">
        <x:v>Source wording preserved; no silent item-content revision during inventory build.</x:v>
      </x:c>
    </x:row>
    <x:row r="473">
      <x:c r="A473" s="191" t="str">
        <x:v>CTA-LMFT-MQB-0472</x:v>
      </x:c>
      <x:c r="B473" s="192" t="str">
        <x:v>LMFT-MQB-FB-TX-015</x:v>
      </x:c>
      <x:c r="C473" s="193" t="n">
        <x:v>46228</x:v>
      </x:c>
      <x:c r="D473" s="192" t="str">
        <x:v>Imported into LMFT master inventory</x:v>
      </x:c>
      <x:c r="E473" s="192" t="str">
        <x:v>LMFT Comprehensive Simulation Form B</x:v>
      </x:c>
      <x:c r="F473" s="192" t="str">
        <x:v>1.0</x:v>
      </x:c>
      <x:c r="G473" s="192" t="n">
        <x:v>1</x:v>
      </x:c>
      <x:c r="H473" s="192" t="str">
        <x:v>Clinical Training Academy</x:v>
      </x:c>
      <x:c r="I473" s="194" t="str">
        <x:v>Source wording preserved; no silent item-content revision during inventory build.</x:v>
      </x:c>
    </x:row>
    <x:row r="474">
      <x:c r="A474" s="191" t="str">
        <x:v>CTA-LMFT-MQB-0473</x:v>
      </x:c>
      <x:c r="B474" s="192" t="str">
        <x:v>LMFT-MQB-FB-TX-039</x:v>
      </x:c>
      <x:c r="C474" s="193" t="n">
        <x:v>46228</x:v>
      </x:c>
      <x:c r="D474" s="192" t="str">
        <x:v>Imported into LMFT master inventory</x:v>
      </x:c>
      <x:c r="E474" s="192" t="str">
        <x:v>LMFT Comprehensive Simulation Form B</x:v>
      </x:c>
      <x:c r="F474" s="192" t="str">
        <x:v>1.0</x:v>
      </x:c>
      <x:c r="G474" s="192" t="n">
        <x:v>1</x:v>
      </x:c>
      <x:c r="H474" s="192" t="str">
        <x:v>Clinical Training Academy</x:v>
      </x:c>
      <x:c r="I474" s="194" t="str">
        <x:v>Source wording preserved; no silent item-content revision during inventory build.</x:v>
      </x:c>
    </x:row>
    <x:row r="475">
      <x:c r="A475" s="191" t="str">
        <x:v>CTA-LMFT-MQB-0474</x:v>
      </x:c>
      <x:c r="B475" s="192" t="str">
        <x:v>LMFT-MQB-FB-LE-014</x:v>
      </x:c>
      <x:c r="C475" s="193" t="n">
        <x:v>46228</x:v>
      </x:c>
      <x:c r="D475" s="192" t="str">
        <x:v>Imported into LMFT master inventory</x:v>
      </x:c>
      <x:c r="E475" s="192" t="str">
        <x:v>LMFT Comprehensive Simulation Form B</x:v>
      </x:c>
      <x:c r="F475" s="192" t="str">
        <x:v>1.0</x:v>
      </x:c>
      <x:c r="G475" s="192" t="n">
        <x:v>1</x:v>
      </x:c>
      <x:c r="H475" s="192" t="str">
        <x:v>Clinical Training Academy</x:v>
      </x:c>
      <x:c r="I475" s="194" t="str">
        <x:v>Source wording preserved; no silent item-content revision during inventory build.</x:v>
      </x:c>
    </x:row>
    <x:row r="476">
      <x:c r="A476" s="191" t="str">
        <x:v>CTA-LMFT-MQB-0475</x:v>
      </x:c>
      <x:c r="B476" s="192" t="str">
        <x:v>LMFT-MQB-FB-TX-040</x:v>
      </x:c>
      <x:c r="C476" s="193" t="n">
        <x:v>46228</x:v>
      </x:c>
      <x:c r="D476" s="192" t="str">
        <x:v>Imported into LMFT master inventory</x:v>
      </x:c>
      <x:c r="E476" s="192" t="str">
        <x:v>LMFT Comprehensive Simulation Form B</x:v>
      </x:c>
      <x:c r="F476" s="192" t="str">
        <x:v>1.0</x:v>
      </x:c>
      <x:c r="G476" s="192" t="n">
        <x:v>1</x:v>
      </x:c>
      <x:c r="H476" s="192" t="str">
        <x:v>Clinical Training Academy</x:v>
      </x:c>
      <x:c r="I476" s="194" t="str">
        <x:v>Source wording preserved; no silent item-content revision during inventory build.</x:v>
      </x:c>
    </x:row>
    <x:row r="477">
      <x:c r="A477" s="191" t="str">
        <x:v>CTA-LMFT-MQB-0476</x:v>
      </x:c>
      <x:c r="B477" s="192" t="str">
        <x:v>LMFT-MQB-FB-CP-018</x:v>
      </x:c>
      <x:c r="C477" s="193" t="n">
        <x:v>46228</x:v>
      </x:c>
      <x:c r="D477" s="192" t="str">
        <x:v>Imported into LMFT master inventory</x:v>
      </x:c>
      <x:c r="E477" s="192" t="str">
        <x:v>LMFT Comprehensive Simulation Form B</x:v>
      </x:c>
      <x:c r="F477" s="192" t="str">
        <x:v>1.0</x:v>
      </x:c>
      <x:c r="G477" s="192" t="n">
        <x:v>1</x:v>
      </x:c>
      <x:c r="H477" s="192" t="str">
        <x:v>Clinical Training Academy</x:v>
      </x:c>
      <x:c r="I477" s="194" t="str">
        <x:v>Source wording preserved; no silent item-content revision during inventory build.</x:v>
      </x:c>
    </x:row>
    <x:row r="478">
      <x:c r="A478" s="191" t="str">
        <x:v>CTA-LMFT-MQB-0477</x:v>
      </x:c>
      <x:c r="B478" s="192" t="str">
        <x:v>LMFT-MQB-FB-CE-022</x:v>
      </x:c>
      <x:c r="C478" s="193" t="n">
        <x:v>46228</x:v>
      </x:c>
      <x:c r="D478" s="192" t="str">
        <x:v>Imported into LMFT master inventory</x:v>
      </x:c>
      <x:c r="E478" s="192" t="str">
        <x:v>LMFT Comprehensive Simulation Form B</x:v>
      </x:c>
      <x:c r="F478" s="192" t="str">
        <x:v>1.0</x:v>
      </x:c>
      <x:c r="G478" s="192" t="n">
        <x:v>1</x:v>
      </x:c>
      <x:c r="H478" s="192" t="str">
        <x:v>Clinical Training Academy</x:v>
      </x:c>
      <x:c r="I478" s="194" t="str">
        <x:v>Source wording preserved; no silent item-content revision during inventory build.</x:v>
      </x:c>
    </x:row>
    <x:row r="479">
      <x:c r="A479" s="191" t="str">
        <x:v>CTA-LMFT-MQB-0478</x:v>
      </x:c>
      <x:c r="B479" s="192" t="str">
        <x:v>LMFT-MQB-FB-TX-008</x:v>
      </x:c>
      <x:c r="C479" s="193" t="n">
        <x:v>46228</x:v>
      </x:c>
      <x:c r="D479" s="192" t="str">
        <x:v>Imported into LMFT master inventory</x:v>
      </x:c>
      <x:c r="E479" s="192" t="str">
        <x:v>LMFT Comprehensive Simulation Form B</x:v>
      </x:c>
      <x:c r="F479" s="192" t="str">
        <x:v>1.0</x:v>
      </x:c>
      <x:c r="G479" s="192" t="n">
        <x:v>1</x:v>
      </x:c>
      <x:c r="H479" s="192" t="str">
        <x:v>Clinical Training Academy</x:v>
      </x:c>
      <x:c r="I479" s="194" t="str">
        <x:v>Source wording preserved; no silent item-content revision during inventory build.</x:v>
      </x:c>
    </x:row>
    <x:row r="480">
      <x:c r="A480" s="191" t="str">
        <x:v>CTA-LMFT-MQB-0479</x:v>
      </x:c>
      <x:c r="B480" s="192" t="str">
        <x:v>LMFT-MQB-FB-TX-038</x:v>
      </x:c>
      <x:c r="C480" s="193" t="n">
        <x:v>46228</x:v>
      </x:c>
      <x:c r="D480" s="192" t="str">
        <x:v>Imported into LMFT master inventory</x:v>
      </x:c>
      <x:c r="E480" s="192" t="str">
        <x:v>LMFT Comprehensive Simulation Form B</x:v>
      </x:c>
      <x:c r="F480" s="192" t="str">
        <x:v>1.0</x:v>
      </x:c>
      <x:c r="G480" s="192" t="n">
        <x:v>1</x:v>
      </x:c>
      <x:c r="H480" s="192" t="str">
        <x:v>Clinical Training Academy</x:v>
      </x:c>
      <x:c r="I480" s="194" t="str">
        <x:v>Source wording preserved; no silent item-content revision during inventory build.</x:v>
      </x:c>
    </x:row>
    <x:row r="481">
      <x:c r="A481" s="191" t="str">
        <x:v>CTA-LMFT-MQB-0480</x:v>
      </x:c>
      <x:c r="B481" s="192" t="str">
        <x:v>LMFT-MQB-FB-CE-014</x:v>
      </x:c>
      <x:c r="C481" s="193" t="n">
        <x:v>46228</x:v>
      </x:c>
      <x:c r="D481" s="192" t="str">
        <x:v>Imported into LMFT master inventory</x:v>
      </x:c>
      <x:c r="E481" s="192" t="str">
        <x:v>LMFT Comprehensive Simulation Form B</x:v>
      </x:c>
      <x:c r="F481" s="192" t="str">
        <x:v>1.0</x:v>
      </x:c>
      <x:c r="G481" s="192" t="n">
        <x:v>1</x:v>
      </x:c>
      <x:c r="H481" s="192" t="str">
        <x:v>Clinical Training Academy</x:v>
      </x:c>
      <x:c r="I481" s="194" t="str">
        <x:v>Source wording preserved; no silent item-content revision during inventory build.</x:v>
      </x:c>
    </x:row>
    <x:row r="482">
      <x:c r="A482" s="191" t="str">
        <x:v>CTA-LMFT-MQB-0481</x:v>
      </x:c>
      <x:c r="B482" s="192" t="str">
        <x:v>LMFT-MQB-FB-CR-005</x:v>
      </x:c>
      <x:c r="C482" s="193" t="n">
        <x:v>46228</x:v>
      </x:c>
      <x:c r="D482" s="192" t="str">
        <x:v>Imported into LMFT master inventory</x:v>
      </x:c>
      <x:c r="E482" s="192" t="str">
        <x:v>LMFT Comprehensive Simulation Form B</x:v>
      </x:c>
      <x:c r="F482" s="192" t="str">
        <x:v>1.0</x:v>
      </x:c>
      <x:c r="G482" s="192" t="n">
        <x:v>1</x:v>
      </x:c>
      <x:c r="H482" s="192" t="str">
        <x:v>Clinical Training Academy</x:v>
      </x:c>
      <x:c r="I482" s="194" t="str">
        <x:v>Source wording preserved; no silent item-content revision during inventory build.</x:v>
      </x:c>
    </x:row>
    <x:row r="483">
      <x:c r="A483" s="191" t="str">
        <x:v>CTA-LMFT-MQB-0482</x:v>
      </x:c>
      <x:c r="B483" s="192" t="str">
        <x:v>LMFT-MQB-FB-TX-036</x:v>
      </x:c>
      <x:c r="C483" s="193" t="n">
        <x:v>46228</x:v>
      </x:c>
      <x:c r="D483" s="192" t="str">
        <x:v>Imported into LMFT master inventory</x:v>
      </x:c>
      <x:c r="E483" s="192" t="str">
        <x:v>LMFT Comprehensive Simulation Form B</x:v>
      </x:c>
      <x:c r="F483" s="192" t="str">
        <x:v>1.0</x:v>
      </x:c>
      <x:c r="G483" s="192" t="n">
        <x:v>1</x:v>
      </x:c>
      <x:c r="H483" s="192" t="str">
        <x:v>Clinical Training Academy</x:v>
      </x:c>
      <x:c r="I483" s="194" t="str">
        <x:v>Source wording preserved; no silent item-content revision during inventory build.</x:v>
      </x:c>
    </x:row>
    <x:row r="484">
      <x:c r="A484" s="191" t="str">
        <x:v>CTA-LMFT-MQB-0483</x:v>
      </x:c>
      <x:c r="B484" s="192" t="str">
        <x:v>LMFT-MQB-FB-CE-035</x:v>
      </x:c>
      <x:c r="C484" s="193" t="n">
        <x:v>46228</x:v>
      </x:c>
      <x:c r="D484" s="192" t="str">
        <x:v>Imported into LMFT master inventory</x:v>
      </x:c>
      <x:c r="E484" s="192" t="str">
        <x:v>LMFT Comprehensive Simulation Form B</x:v>
      </x:c>
      <x:c r="F484" s="192" t="str">
        <x:v>1.0</x:v>
      </x:c>
      <x:c r="G484" s="192" t="n">
        <x:v>1</x:v>
      </x:c>
      <x:c r="H484" s="192" t="str">
        <x:v>Clinical Training Academy</x:v>
      </x:c>
      <x:c r="I484" s="194" t="str">
        <x:v>Source wording preserved; no silent item-content revision during inventory build.</x:v>
      </x:c>
    </x:row>
    <x:row r="485">
      <x:c r="A485" s="191" t="str">
        <x:v>CTA-LMFT-MQB-0484</x:v>
      </x:c>
      <x:c r="B485" s="192" t="str">
        <x:v>LMFT-MQB-FB-DI-004</x:v>
      </x:c>
      <x:c r="C485" s="193" t="n">
        <x:v>46228</x:v>
      </x:c>
      <x:c r="D485" s="192" t="str">
        <x:v>Imported into LMFT master inventory</x:v>
      </x:c>
      <x:c r="E485" s="192" t="str">
        <x:v>LMFT Comprehensive Simulation Form B</x:v>
      </x:c>
      <x:c r="F485" s="192" t="str">
        <x:v>1.0</x:v>
      </x:c>
      <x:c r="G485" s="192" t="n">
        <x:v>1</x:v>
      </x:c>
      <x:c r="H485" s="192" t="str">
        <x:v>Clinical Training Academy</x:v>
      </x:c>
      <x:c r="I485" s="194" t="str">
        <x:v>Source wording preserved; no silent item-content revision during inventory build.</x:v>
      </x:c>
    </x:row>
    <x:row r="486">
      <x:c r="A486" s="191" t="str">
        <x:v>CTA-LMFT-MQB-0485</x:v>
      </x:c>
      <x:c r="B486" s="192" t="str">
        <x:v>LMFT-MQB-FB-TX-031</x:v>
      </x:c>
      <x:c r="C486" s="193" t="n">
        <x:v>46228</x:v>
      </x:c>
      <x:c r="D486" s="192" t="str">
        <x:v>Imported into LMFT master inventory</x:v>
      </x:c>
      <x:c r="E486" s="192" t="str">
        <x:v>LMFT Comprehensive Simulation Form B</x:v>
      </x:c>
      <x:c r="F486" s="192" t="str">
        <x:v>1.0</x:v>
      </x:c>
      <x:c r="G486" s="192" t="n">
        <x:v>1</x:v>
      </x:c>
      <x:c r="H486" s="192" t="str">
        <x:v>Clinical Training Academy</x:v>
      </x:c>
      <x:c r="I486" s="194" t="str">
        <x:v>Source wording preserved; no silent item-content revision during inventory build.</x:v>
      </x:c>
    </x:row>
    <x:row r="487">
      <x:c r="A487" s="191" t="str">
        <x:v>CTA-LMFT-MQB-0486</x:v>
      </x:c>
      <x:c r="B487" s="192" t="str">
        <x:v>LMFT-MQB-FB-CE-010</x:v>
      </x:c>
      <x:c r="C487" s="193" t="n">
        <x:v>46228</x:v>
      </x:c>
      <x:c r="D487" s="192" t="str">
        <x:v>Imported into LMFT master inventory</x:v>
      </x:c>
      <x:c r="E487" s="192" t="str">
        <x:v>LMFT Comprehensive Simulation Form B</x:v>
      </x:c>
      <x:c r="F487" s="192" t="str">
        <x:v>1.0</x:v>
      </x:c>
      <x:c r="G487" s="192" t="n">
        <x:v>1</x:v>
      </x:c>
      <x:c r="H487" s="192" t="str">
        <x:v>Clinical Training Academy</x:v>
      </x:c>
      <x:c r="I487" s="194" t="str">
        <x:v>Source wording preserved; no silent item-content revision during inventory build.</x:v>
      </x:c>
    </x:row>
    <x:row r="488">
      <x:c r="A488" s="191" t="str">
        <x:v>CTA-LMFT-MQB-0487</x:v>
      </x:c>
      <x:c r="B488" s="192" t="str">
        <x:v>LMFT-MQB-FB-CP-008</x:v>
      </x:c>
      <x:c r="C488" s="193" t="n">
        <x:v>46228</x:v>
      </x:c>
      <x:c r="D488" s="192" t="str">
        <x:v>Imported into LMFT master inventory</x:v>
      </x:c>
      <x:c r="E488" s="192" t="str">
        <x:v>LMFT Comprehensive Simulation Form B</x:v>
      </x:c>
      <x:c r="F488" s="192" t="str">
        <x:v>1.0</x:v>
      </x:c>
      <x:c r="G488" s="192" t="n">
        <x:v>1</x:v>
      </x:c>
      <x:c r="H488" s="192" t="str">
        <x:v>Clinical Training Academy</x:v>
      </x:c>
      <x:c r="I488" s="194" t="str">
        <x:v>Source wording preserved; no silent item-content revision during inventory build.</x:v>
      </x:c>
    </x:row>
    <x:row r="489">
      <x:c r="A489" s="191" t="str">
        <x:v>CTA-LMFT-MQB-0488</x:v>
      </x:c>
      <x:c r="B489" s="192" t="str">
        <x:v>LMFT-MQB-FB-CR-010</x:v>
      </x:c>
      <x:c r="C489" s="193" t="n">
        <x:v>46228</x:v>
      </x:c>
      <x:c r="D489" s="192" t="str">
        <x:v>Imported into LMFT master inventory</x:v>
      </x:c>
      <x:c r="E489" s="192" t="str">
        <x:v>LMFT Comprehensive Simulation Form B</x:v>
      </x:c>
      <x:c r="F489" s="192" t="str">
        <x:v>1.0</x:v>
      </x:c>
      <x:c r="G489" s="192" t="n">
        <x:v>1</x:v>
      </x:c>
      <x:c r="H489" s="192" t="str">
        <x:v>Clinical Training Academy</x:v>
      </x:c>
      <x:c r="I489" s="194" t="str">
        <x:v>Source wording preserved; no silent item-content revision during inventory build.</x:v>
      </x:c>
    </x:row>
    <x:row r="490">
      <x:c r="A490" s="191" t="str">
        <x:v>CTA-LMFT-MQB-0489</x:v>
      </x:c>
      <x:c r="B490" s="192" t="str">
        <x:v>LMFT-MQB-FB-TX-034</x:v>
      </x:c>
      <x:c r="C490" s="193" t="n">
        <x:v>46228</x:v>
      </x:c>
      <x:c r="D490" s="192" t="str">
        <x:v>Imported into LMFT master inventory</x:v>
      </x:c>
      <x:c r="E490" s="192" t="str">
        <x:v>LMFT Comprehensive Simulation Form B</x:v>
      </x:c>
      <x:c r="F490" s="192" t="str">
        <x:v>1.0</x:v>
      </x:c>
      <x:c r="G490" s="192" t="n">
        <x:v>1</x:v>
      </x:c>
      <x:c r="H490" s="192" t="str">
        <x:v>Clinical Training Academy</x:v>
      </x:c>
      <x:c r="I490" s="194" t="str">
        <x:v>Source wording preserved; no silent item-content revision during inventory build.</x:v>
      </x:c>
    </x:row>
    <x:row r="491">
      <x:c r="A491" s="191" t="str">
        <x:v>CTA-LMFT-MQB-0490</x:v>
      </x:c>
      <x:c r="B491" s="192" t="str">
        <x:v>LMFT-MQB-FB-DI-002</x:v>
      </x:c>
      <x:c r="C491" s="193" t="n">
        <x:v>46228</x:v>
      </x:c>
      <x:c r="D491" s="192" t="str">
        <x:v>Imported into LMFT master inventory</x:v>
      </x:c>
      <x:c r="E491" s="192" t="str">
        <x:v>LMFT Comprehensive Simulation Form B</x:v>
      </x:c>
      <x:c r="F491" s="192" t="str">
        <x:v>1.0</x:v>
      </x:c>
      <x:c r="G491" s="192" t="n">
        <x:v>1</x:v>
      </x:c>
      <x:c r="H491" s="192" t="str">
        <x:v>Clinical Training Academy</x:v>
      </x:c>
      <x:c r="I491" s="194" t="str">
        <x:v>Source wording preserved; no silent item-content revision during inventory build.</x:v>
      </x:c>
    </x:row>
    <x:row r="492">
      <x:c r="A492" s="191" t="str">
        <x:v>CTA-LMFT-MQB-0491</x:v>
      </x:c>
      <x:c r="B492" s="192" t="str">
        <x:v>LMFT-MQB-FB-CE-005</x:v>
      </x:c>
      <x:c r="C492" s="193" t="n">
        <x:v>46228</x:v>
      </x:c>
      <x:c r="D492" s="192" t="str">
        <x:v>Imported into LMFT master inventory</x:v>
      </x:c>
      <x:c r="E492" s="192" t="str">
        <x:v>LMFT Comprehensive Simulation Form B</x:v>
      </x:c>
      <x:c r="F492" s="192" t="str">
        <x:v>1.0</x:v>
      </x:c>
      <x:c r="G492" s="192" t="n">
        <x:v>1</x:v>
      </x:c>
      <x:c r="H492" s="192" t="str">
        <x:v>Clinical Training Academy</x:v>
      </x:c>
      <x:c r="I492" s="194" t="str">
        <x:v>Source wording preserved; no silent item-content revision during inventory build.</x:v>
      </x:c>
    </x:row>
    <x:row r="493">
      <x:c r="A493" s="191" t="str">
        <x:v>CTA-LMFT-MQB-0492</x:v>
      </x:c>
      <x:c r="B493" s="192" t="str">
        <x:v>LMFT-MQB-FB-CE-009</x:v>
      </x:c>
      <x:c r="C493" s="193" t="n">
        <x:v>46228</x:v>
      </x:c>
      <x:c r="D493" s="192" t="str">
        <x:v>Imported into LMFT master inventory</x:v>
      </x:c>
      <x:c r="E493" s="192" t="str">
        <x:v>LMFT Comprehensive Simulation Form B</x:v>
      </x:c>
      <x:c r="F493" s="192" t="str">
        <x:v>1.0</x:v>
      </x:c>
      <x:c r="G493" s="192" t="n">
        <x:v>1</x:v>
      </x:c>
      <x:c r="H493" s="192" t="str">
        <x:v>Clinical Training Academy</x:v>
      </x:c>
      <x:c r="I493" s="194" t="str">
        <x:v>Source wording preserved; no silent item-content revision during inventory build.</x:v>
      </x:c>
    </x:row>
    <x:row r="494">
      <x:c r="A494" s="191" t="str">
        <x:v>CTA-LMFT-MQB-0493</x:v>
      </x:c>
      <x:c r="B494" s="192" t="str">
        <x:v>LMFT-MQB-FB-CP-016</x:v>
      </x:c>
      <x:c r="C494" s="193" t="n">
        <x:v>46228</x:v>
      </x:c>
      <x:c r="D494" s="192" t="str">
        <x:v>Imported into LMFT master inventory</x:v>
      </x:c>
      <x:c r="E494" s="192" t="str">
        <x:v>LMFT Comprehensive Simulation Form B</x:v>
      </x:c>
      <x:c r="F494" s="192" t="str">
        <x:v>1.0</x:v>
      </x:c>
      <x:c r="G494" s="192" t="n">
        <x:v>1</x:v>
      </x:c>
      <x:c r="H494" s="192" t="str">
        <x:v>Clinical Training Academy</x:v>
      </x:c>
      <x:c r="I494" s="194" t="str">
        <x:v>Source wording preserved; no silent item-content revision during inventory build.</x:v>
      </x:c>
    </x:row>
    <x:row r="495">
      <x:c r="A495" s="191" t="str">
        <x:v>CTA-LMFT-MQB-0494</x:v>
      </x:c>
      <x:c r="B495" s="192" t="str">
        <x:v>LMFT-MQB-FB-CP-011</x:v>
      </x:c>
      <x:c r="C495" s="193" t="n">
        <x:v>46228</x:v>
      </x:c>
      <x:c r="D495" s="192" t="str">
        <x:v>Imported into LMFT master inventory</x:v>
      </x:c>
      <x:c r="E495" s="192" t="str">
        <x:v>LMFT Comprehensive Simulation Form B</x:v>
      </x:c>
      <x:c r="F495" s="192" t="str">
        <x:v>1.0</x:v>
      </x:c>
      <x:c r="G495" s="192" t="n">
        <x:v>1</x:v>
      </x:c>
      <x:c r="H495" s="192" t="str">
        <x:v>Clinical Training Academy</x:v>
      </x:c>
      <x:c r="I495" s="194" t="str">
        <x:v>Source wording preserved; no silent item-content revision during inventory build.</x:v>
      </x:c>
    </x:row>
    <x:row r="496">
      <x:c r="A496" s="191" t="str">
        <x:v>CTA-LMFT-MQB-0495</x:v>
      </x:c>
      <x:c r="B496" s="192" t="str">
        <x:v>LMFT-MQB-FB-LE-012</x:v>
      </x:c>
      <x:c r="C496" s="193" t="n">
        <x:v>46228</x:v>
      </x:c>
      <x:c r="D496" s="192" t="str">
        <x:v>Imported into LMFT master inventory</x:v>
      </x:c>
      <x:c r="E496" s="192" t="str">
        <x:v>LMFT Comprehensive Simulation Form B</x:v>
      </x:c>
      <x:c r="F496" s="192" t="str">
        <x:v>1.0</x:v>
      </x:c>
      <x:c r="G496" s="192" t="n">
        <x:v>1</x:v>
      </x:c>
      <x:c r="H496" s="192" t="str">
        <x:v>Clinical Training Academy</x:v>
      </x:c>
      <x:c r="I496" s="194" t="str">
        <x:v>Source wording preserved; no silent item-content revision during inventory build.</x:v>
      </x:c>
    </x:row>
    <x:row r="497">
      <x:c r="A497" s="191" t="str">
        <x:v>CTA-LMFT-MQB-0496</x:v>
      </x:c>
      <x:c r="B497" s="192" t="str">
        <x:v>LMFT-MQB-FB-TX-027</x:v>
      </x:c>
      <x:c r="C497" s="193" t="n">
        <x:v>46228</x:v>
      </x:c>
      <x:c r="D497" s="192" t="str">
        <x:v>Imported into LMFT master inventory</x:v>
      </x:c>
      <x:c r="E497" s="192" t="str">
        <x:v>LMFT Comprehensive Simulation Form B</x:v>
      </x:c>
      <x:c r="F497" s="192" t="str">
        <x:v>1.0</x:v>
      </x:c>
      <x:c r="G497" s="192" t="n">
        <x:v>1</x:v>
      </x:c>
      <x:c r="H497" s="192" t="str">
        <x:v>Clinical Training Academy</x:v>
      </x:c>
      <x:c r="I497" s="194" t="str">
        <x:v>Source wording preserved; no silent item-content revision during inventory build.</x:v>
      </x:c>
    </x:row>
    <x:row r="498">
      <x:c r="A498" s="191" t="str">
        <x:v>CTA-LMFT-MQB-0497</x:v>
      </x:c>
      <x:c r="B498" s="192" t="str">
        <x:v>LMFT-MQB-FB-DI-017</x:v>
      </x:c>
      <x:c r="C498" s="193" t="n">
        <x:v>46228</x:v>
      </x:c>
      <x:c r="D498" s="192" t="str">
        <x:v>Imported into LMFT master inventory</x:v>
      </x:c>
      <x:c r="E498" s="192" t="str">
        <x:v>LMFT Comprehensive Simulation Form B</x:v>
      </x:c>
      <x:c r="F498" s="192" t="str">
        <x:v>1.0</x:v>
      </x:c>
      <x:c r="G498" s="192" t="n">
        <x:v>1</x:v>
      </x:c>
      <x:c r="H498" s="192" t="str">
        <x:v>Clinical Training Academy</x:v>
      </x:c>
      <x:c r="I498" s="194" t="str">
        <x:v>Source wording preserved; no silent item-content revision during inventory build.</x:v>
      </x:c>
    </x:row>
    <x:row r="499">
      <x:c r="A499" s="191" t="str">
        <x:v>CTA-LMFT-MQB-0498</x:v>
      </x:c>
      <x:c r="B499" s="192" t="str">
        <x:v>LMFT-MQB-FB-CP-007</x:v>
      </x:c>
      <x:c r="C499" s="193" t="n">
        <x:v>46228</x:v>
      </x:c>
      <x:c r="D499" s="192" t="str">
        <x:v>Imported into LMFT master inventory</x:v>
      </x:c>
      <x:c r="E499" s="192" t="str">
        <x:v>LMFT Comprehensive Simulation Form B</x:v>
      </x:c>
      <x:c r="F499" s="192" t="str">
        <x:v>1.0</x:v>
      </x:c>
      <x:c r="G499" s="192" t="n">
        <x:v>1</x:v>
      </x:c>
      <x:c r="H499" s="192" t="str">
        <x:v>Clinical Training Academy</x:v>
      </x:c>
      <x:c r="I499" s="194" t="str">
        <x:v>Source wording preserved; no silent item-content revision during inventory build.</x:v>
      </x:c>
    </x:row>
    <x:row r="500">
      <x:c r="A500" s="191" t="str">
        <x:v>CTA-LMFT-MQB-0499</x:v>
      </x:c>
      <x:c r="B500" s="192" t="str">
        <x:v>LMFT-MQB-FB-DI-005</x:v>
      </x:c>
      <x:c r="C500" s="193" t="n">
        <x:v>46228</x:v>
      </x:c>
      <x:c r="D500" s="192" t="str">
        <x:v>Imported into LMFT master inventory</x:v>
      </x:c>
      <x:c r="E500" s="192" t="str">
        <x:v>LMFT Comprehensive Simulation Form B</x:v>
      </x:c>
      <x:c r="F500" s="192" t="str">
        <x:v>1.0</x:v>
      </x:c>
      <x:c r="G500" s="192" t="n">
        <x:v>1</x:v>
      </x:c>
      <x:c r="H500" s="192" t="str">
        <x:v>Clinical Training Academy</x:v>
      </x:c>
      <x:c r="I500" s="194" t="str">
        <x:v>Source wording preserved; no silent item-content revision during inventory build.</x:v>
      </x:c>
    </x:row>
    <x:row r="501">
      <x:c r="A501" s="191" t="str">
        <x:v>CTA-LMFT-MQB-0500</x:v>
      </x:c>
      <x:c r="B501" s="192" t="str">
        <x:v>LMFT-MQB-FB-CE-011</x:v>
      </x:c>
      <x:c r="C501" s="193" t="n">
        <x:v>46228</x:v>
      </x:c>
      <x:c r="D501" s="192" t="str">
        <x:v>Imported into LMFT master inventory</x:v>
      </x:c>
      <x:c r="E501" s="192" t="str">
        <x:v>LMFT Comprehensive Simulation Form B</x:v>
      </x:c>
      <x:c r="F501" s="192" t="str">
        <x:v>1.0</x:v>
      </x:c>
      <x:c r="G501" s="192" t="n">
        <x:v>1</x:v>
      </x:c>
      <x:c r="H501" s="192" t="str">
        <x:v>Clinical Training Academy</x:v>
      </x:c>
      <x:c r="I501" s="194" t="str">
        <x:v>Source wording preserved; no silent item-content revision during inventory build.</x:v>
      </x:c>
    </x:row>
    <x:row r="502">
      <x:c r="A502" s="191" t="str">
        <x:v>CTA-LMFT-MQB-0501</x:v>
      </x:c>
      <x:c r="B502" s="192" t="str">
        <x:v>LMFT-MQB-FB-CE-028</x:v>
      </x:c>
      <x:c r="C502" s="193" t="n">
        <x:v>46228</x:v>
      </x:c>
      <x:c r="D502" s="192" t="str">
        <x:v>Imported into LMFT master inventory</x:v>
      </x:c>
      <x:c r="E502" s="192" t="str">
        <x:v>LMFT Comprehensive Simulation Form B</x:v>
      </x:c>
      <x:c r="F502" s="192" t="str">
        <x:v>1.0</x:v>
      </x:c>
      <x:c r="G502" s="192" t="n">
        <x:v>1</x:v>
      </x:c>
      <x:c r="H502" s="192" t="str">
        <x:v>Clinical Training Academy</x:v>
      </x:c>
      <x:c r="I502" s="194" t="str">
        <x:v>Source wording preserved; no silent item-content revision during inventory build.</x:v>
      </x:c>
    </x:row>
    <x:row r="503">
      <x:c r="A503" s="191" t="str">
        <x:v>CTA-LMFT-MQB-0502</x:v>
      </x:c>
      <x:c r="B503" s="192" t="str">
        <x:v>LMFT-MQB-FB-DI-010</x:v>
      </x:c>
      <x:c r="C503" s="193" t="n">
        <x:v>46228</x:v>
      </x:c>
      <x:c r="D503" s="192" t="str">
        <x:v>Imported into LMFT master inventory</x:v>
      </x:c>
      <x:c r="E503" s="192" t="str">
        <x:v>LMFT Comprehensive Simulation Form B</x:v>
      </x:c>
      <x:c r="F503" s="192" t="str">
        <x:v>1.0</x:v>
      </x:c>
      <x:c r="G503" s="192" t="n">
        <x:v>1</x:v>
      </x:c>
      <x:c r="H503" s="192" t="str">
        <x:v>Clinical Training Academy</x:v>
      </x:c>
      <x:c r="I503" s="194" t="str">
        <x:v>Source wording preserved; no silent item-content revision during inventory build.</x:v>
      </x:c>
    </x:row>
    <x:row r="504">
      <x:c r="A504" s="191" t="str">
        <x:v>CTA-LMFT-MQB-0503</x:v>
      </x:c>
      <x:c r="B504" s="192" t="str">
        <x:v>LMFT-MQB-FB-TX-042</x:v>
      </x:c>
      <x:c r="C504" s="193" t="n">
        <x:v>46228</x:v>
      </x:c>
      <x:c r="D504" s="192" t="str">
        <x:v>Imported into LMFT master inventory</x:v>
      </x:c>
      <x:c r="E504" s="192" t="str">
        <x:v>LMFT Comprehensive Simulation Form B</x:v>
      </x:c>
      <x:c r="F504" s="192" t="str">
        <x:v>1.0</x:v>
      </x:c>
      <x:c r="G504" s="192" t="n">
        <x:v>1</x:v>
      </x:c>
      <x:c r="H504" s="192" t="str">
        <x:v>Clinical Training Academy</x:v>
      </x:c>
      <x:c r="I504" s="194" t="str">
        <x:v>Source wording preserved; no silent item-content revision during inventory build.</x:v>
      </x:c>
    </x:row>
    <x:row r="505">
      <x:c r="A505" s="195" t="str">
        <x:v>CTA-LMFT-MQB-0504</x:v>
      </x:c>
      <x:c r="B505" s="196" t="str">
        <x:v>LMFT-MQB-FB-TX-023</x:v>
      </x:c>
      <x:c r="C505" s="197" t="n">
        <x:v>46228</x:v>
      </x:c>
      <x:c r="D505" s="196" t="str">
        <x:v>Imported into LMFT master inventory</x:v>
      </x:c>
      <x:c r="E505" s="196" t="str">
        <x:v>LMFT Comprehensive Simulation Form B</x:v>
      </x:c>
      <x:c r="F505" s="196" t="str">
        <x:v>1.0</x:v>
      </x:c>
      <x:c r="G505" s="196" t="n">
        <x:v>1</x:v>
      </x:c>
      <x:c r="H505" s="196" t="str">
        <x:v>Clinical Training Academy</x:v>
      </x:c>
      <x:c r="I505" s="198" t="str">
        <x:v>Source wording preserved; no silent item-content revision during inventory build.</x:v>
      </x:c>
    </x:row>
  </x:sheetData>
  <x:pageMargins left="0.7" right="0.7" top="0.75" bottom="0.75" header="0.3" footer="0.3"/>
  <x:tableParts count="1">
    <x:tablePart xmlns:r="http://schemas.openxmlformats.org/officeDocument/2006/relationships" r:id="R95dfedca871a440b"/>
  </x:tableParts>
</x:worksheet>
</file>

<file path=xl/worksheets/sheet10.xml><?xml version="1.0" encoding="utf-8"?>
<x:worksheet xmlns:x="http://schemas.openxmlformats.org/spreadsheetml/2006/main">
  <x:sheetFormatPr defaultRowHeight="15"/>
  <x:cols>
    <x:col min="1" max="1" width="22" hidden="0" customWidth="1"/>
    <x:col min="2" max="2" width="28" hidden="0" customWidth="1"/>
    <x:col min="3" max="3" width="58" hidden="0" customWidth="1"/>
    <x:col min="4" max="4" width="54" hidden="0" customWidth="1"/>
  </x:cols>
  <x:sheetData>
    <x:row r="1">
      <x:c r="A1" s="5" t="str">
        <x:v>LMFT Master Question Bank Taxonomy and Controlled Lists</x:v>
      </x:c>
      <x:c r="B1" s="5"/>
      <x:c r="C1" s="5"/>
      <x:c r="D1" s="5"/>
    </x:row>
    <x:row r="2">
      <x:c r="A2" s="135"/>
      <x:c r="B2" s="135"/>
      <x:c r="C2" s="135"/>
      <x:c r="D2" s="135"/>
    </x:row>
    <x:row r="3">
      <x:c r="A3" s="138" t="str">
        <x:v>Field / List</x:v>
      </x:c>
      <x:c r="B3" s="138" t="str">
        <x:v>Value</x:v>
      </x:c>
      <x:c r="C3" s="138" t="str">
        <x:v>Definition</x:v>
      </x:c>
      <x:c r="D3" s="138" t="str">
        <x:v>Use Note</x:v>
      </x:c>
    </x:row>
    <x:row r="4">
      <x:c r="A4" s="187" t="str">
        <x:v>Approval Status</x:v>
      </x:c>
      <x:c r="B4" s="188" t="str">
        <x:v>Approved</x:v>
      </x:c>
      <x:c r="C4" s="188" t="str">
        <x:v>Cleared for current controlled use.</x:v>
      </x:c>
      <x:c r="D4" s="190" t="str">
        <x:v>Re-review before material revision or new form placement.</x:v>
      </x:c>
    </x:row>
    <x:row r="5">
      <x:c r="A5" s="191" t="str">
        <x:v>Approval Status</x:v>
      </x:c>
      <x:c r="B5" s="192" t="str">
        <x:v>Revise</x:v>
      </x:c>
      <x:c r="C5" s="192" t="str">
        <x:v>Retain the concept but revise wording, distractors, rationale, or metadata.</x:v>
      </x:c>
      <x:c r="D5" s="194" t="str">
        <x:v>Do not release until revision is approved.</x:v>
      </x:c>
    </x:row>
    <x:row r="6">
      <x:c r="A6" s="191" t="str">
        <x:v>Approval Status</x:v>
      </x:c>
      <x:c r="B6" s="192" t="str">
        <x:v>Hold</x:v>
      </x:c>
      <x:c r="C6" s="192" t="str">
        <x:v>Temporarily unavailable pending review.</x:v>
      </x:c>
      <x:c r="D6" s="194" t="str">
        <x:v>Use for legal, clinical, bias, or overlap questions.</x:v>
      </x:c>
    </x:row>
    <x:row r="7">
      <x:c r="A7" s="191" t="str">
        <x:v>Approval Status</x:v>
      </x:c>
      <x:c r="B7" s="192" t="str">
        <x:v>Retire</x:v>
      </x:c>
      <x:c r="C7" s="192" t="str">
        <x:v>Removed from active use while preserving history.</x:v>
      </x:c>
      <x:c r="D7" s="194" t="str">
        <x:v>Do not delete the historical record.</x:v>
      </x:c>
    </x:row>
    <x:row r="8">
      <x:c r="A8" s="191" t="str">
        <x:v>Item Status</x:v>
      </x:c>
      <x:c r="B8" s="192" t="str">
        <x:v>Active</x:v>
      </x:c>
      <x:c r="C8" s="192" t="str">
        <x:v>Currently published or eligible for controlled use.</x:v>
      </x:c>
      <x:c r="D8" s="194" t="str"/>
    </x:row>
    <x:row r="9">
      <x:c r="A9" s="191" t="str">
        <x:v>Item Status</x:v>
      </x:c>
      <x:c r="B9" s="192" t="str">
        <x:v>Reserve</x:v>
      </x:c>
      <x:c r="C9" s="192" t="str">
        <x:v>Not on a current released product but retained for future development.</x:v>
      </x:c>
      <x:c r="D9" s="194" t="str"/>
    </x:row>
    <x:row r="10">
      <x:c r="A10" s="191" t="str">
        <x:v>Item Status</x:v>
      </x:c>
      <x:c r="B10" s="192" t="str">
        <x:v>Retired</x:v>
      </x:c>
      <x:c r="C10" s="192" t="str">
        <x:v>Inactive and not eligible for reuse without formal reinstatement.</x:v>
      </x:c>
      <x:c r="D10" s="194" t="str"/>
    </x:row>
    <x:row r="11">
      <x:c r="A11" s="191" t="str">
        <x:v>CTA Status</x:v>
      </x:c>
      <x:c r="B11" s="192" t="str">
        <x:v>Workbook Bank</x:v>
      </x:c>
      <x:c r="C11" s="192" t="str">
        <x:v>One of the 17 items released with a student workbook.</x:v>
      </x:c>
      <x:c r="D11" s="194" t="str">
        <x:v>Five Easy, seven Moderate, five Difficult per workbook.</x:v>
      </x:c>
    </x:row>
    <x:row r="12">
      <x:c r="A12" s="191" t="str">
        <x:v>CTA Status</x:v>
      </x:c>
      <x:c r="B12" s="192" t="str">
        <x:v>Scored-Style</x:v>
      </x:c>
      <x:c r="C12" s="192" t="str">
        <x:v>Comprehensive-form item counted in CTA educational scoring.</x:v>
      </x:c>
      <x:c r="D12" s="194" t="str">
        <x:v>Not an official psychometric designation.</x:v>
      </x:c>
    </x:row>
    <x:row r="13">
      <x:c r="A13" s="191" t="str">
        <x:v>CTA Status</x:v>
      </x:c>
      <x:c r="B13" s="192" t="str">
        <x:v>Pretest-Style</x:v>
      </x:c>
      <x:c r="C13" s="192" t="str">
        <x:v>Comprehensive-form item excluded from CTA educational scoring.</x:v>
      </x:c>
      <x:c r="D13" s="194" t="str">
        <x:v>Never identify these items in the student exam.</x:v>
      </x:c>
    </x:row>
    <x:row r="14">
      <x:c r="A14" s="191" t="str">
        <x:v>Overlap</x:v>
      </x:c>
      <x:c r="B14" s="192" t="str">
        <x:v>Alternate Form</x:v>
      </x:c>
      <x:c r="C14" s="192" t="str">
        <x:v>Parallel concept retained on a separate comprehensive form.</x:v>
      </x:c>
      <x:c r="D14" s="194" t="str">
        <x:v>Revise paired items together.</x:v>
      </x:c>
    </x:row>
    <x:row r="15">
      <x:c r="A15" s="191" t="str">
        <x:v>Overlap</x:v>
      </x:c>
      <x:c r="B15" s="192" t="str">
        <x:v>Review Candidate</x:v>
      </x:c>
      <x:c r="C15" s="192" t="str">
        <x:v>Similarity threshold indicates a manual comparison is needed.</x:v>
      </x:c>
      <x:c r="D15" s="194" t="str">
        <x:v>Do not auto-delete or auto-merge.</x:v>
      </x:c>
    </x:row>
    <x:row r="16">
      <x:c r="A16" s="191" t="str">
        <x:v>Difficulty</x:v>
      </x:c>
      <x:c r="B16" s="192" t="str">
        <x:v>Easy</x:v>
      </x:c>
      <x:c r="C16" s="192" t="str">
        <x:v>Foundational distinction or direct application.</x:v>
      </x:c>
      <x:c r="D16" s="194" t="str"/>
    </x:row>
    <x:row r="17">
      <x:c r="A17" s="191" t="str">
        <x:v>Difficulty</x:v>
      </x:c>
      <x:c r="B17" s="192" t="str">
        <x:v>Moderate</x:v>
      </x:c>
      <x:c r="C17" s="192" t="str">
        <x:v>Applied or scenario-based reasoning with plausible distractors.</x:v>
      </x:c>
      <x:c r="D17" s="194" t="str"/>
    </x:row>
    <x:row r="18">
      <x:c r="A18" s="191" t="str">
        <x:v>Difficulty</x:v>
      </x:c>
      <x:c r="B18" s="192" t="str">
        <x:v>Difficult</x:v>
      </x:c>
      <x:c r="C18" s="192" t="str">
        <x:v>Integrated reasoning, competing priorities, or complex sequencing.</x:v>
      </x:c>
      <x:c r="D18" s="194" t="str"/>
    </x:row>
    <x:row r="19">
      <x:c r="A19" s="191" t="str">
        <x:v>Reasoning</x:v>
      </x:c>
      <x:c r="B19" s="192" t="str">
        <x:v>Knowledge &amp; Recall</x:v>
      </x:c>
      <x:c r="C19" s="192" t="str">
        <x:v>Direct recognition of a concept, definition, or distinction.</x:v>
      </x:c>
      <x:c r="D19" s="194" t="str"/>
    </x:row>
    <x:row r="20">
      <x:c r="A20" s="191" t="str">
        <x:v>Reasoning</x:v>
      </x:c>
      <x:c r="B20" s="192" t="str">
        <x:v>Application</x:v>
      </x:c>
      <x:c r="C20" s="192" t="str">
        <x:v>Apply a concept to a bounded clinical situation.</x:v>
      </x:c>
      <x:c r="D20" s="194" t="str"/>
    </x:row>
    <x:row r="21">
      <x:c r="A21" s="191" t="str">
        <x:v>Reasoning</x:v>
      </x:c>
      <x:c r="B21" s="192" t="str">
        <x:v>Scenario-Based</x:v>
      </x:c>
      <x:c r="C21" s="192" t="str">
        <x:v>Use timing, sequence, role, safety, or context in a vignette.</x:v>
      </x:c>
      <x:c r="D21" s="194" t="str"/>
    </x:row>
    <x:row r="22">
      <x:c r="A22" s="191" t="str">
        <x:v>Reasoning</x:v>
      </x:c>
      <x:c r="B22" s="192" t="str">
        <x:v>Integrated Clinical Reasoning</x:v>
      </x:c>
      <x:c r="C22" s="192" t="str">
        <x:v>Coordinate multiple clinical, relational, legal, or contextual factors.</x:v>
      </x:c>
      <x:c r="D22" s="194" t="str"/>
    </x:row>
    <x:row r="23">
      <x:c r="A23" s="191" t="str">
        <x:v>Build Principle</x:v>
      </x:c>
      <x:c r="B23" s="192" t="str">
        <x:v>Source Preservation</x:v>
      </x:c>
      <x:c r="C23" s="192" t="str">
        <x:v>Original question wording, options, rationales, and strategy are preserved.</x:v>
      </x:c>
      <x:c r="D23" s="194" t="str">
        <x:v>Inventory flags issues rather than silently correcting them.</x:v>
      </x:c>
    </x:row>
    <x:row r="24">
      <x:c r="A24" s="195" t="str">
        <x:v>Build Principle</x:v>
      </x:c>
      <x:c r="B24" s="196" t="str">
        <x:v>Accuracy Scope</x:v>
      </x:c>
      <x:c r="C24" s="196" t="str">
        <x:v>The inventory is a structural consolidation of approved source files.</x:v>
      </x:c>
      <x:c r="D24" s="198" t="str">
        <x:v>Current-content re-verification is tracked separately.</x:v>
      </x:c>
    </x:row>
  </x:sheetData>
  <x:mergeCells>
    <x:mergeCell ref="A1:D1"/>
  </x:mergeCells>
  <x:pageMargins left="0.7" right="0.7" top="0.75" bottom="0.75" header="0.3" footer="0.3"/>
</x:worksheet>
</file>