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9458e42b5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bf96cdc23374c15"/>
    <x:sheet xmlns:r="http://schemas.openxmlformats.org/officeDocument/2006/relationships" name="Workbook Audit" sheetId="2" r:id="R7a64c587da9a4b6d"/>
    <x:sheet xmlns:r="http://schemas.openxmlformats.org/officeDocument/2006/relationships" name="Findings Register" sheetId="3" r:id="R3af702108c7c4a06"/>
    <x:sheet xmlns:r="http://schemas.openxmlformats.org/officeDocument/2006/relationships" name="Revision Plan" sheetId="4" r:id="Rce18475ae0df4573"/>
    <x:sheet xmlns:r="http://schemas.openxmlformats.org/officeDocument/2006/relationships" name="Source Verification" sheetId="5" r:id="Rd39a40c47bbc41d2"/>
    <x:sheet xmlns:r="http://schemas.openxmlformats.org/officeDocument/2006/relationships" name="Answer Key Analysis" sheetId="6" r:id="Rd78341a2f896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6B6D"/>
      </x:patternFill>
    </x:fill>
    <x:fill>
      <x:patternFill patternType="solid">
        <x:fgColor rgb="FF183B4E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027A48"/>
      </x:font>
      <x:fill>
        <x:patternFill>
          <x:bgColor rgb="FFD1FADF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  <x:dxf>
      <x:font>
        <x:b/>
        <x:color rgb="FFB54708"/>
      </x:font>
      <x:fill>
        <x:patternFill>
          <x:bgColor rgb="FFFEF0C7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  <x:dxf>
      <x:font>
        <x:b/>
        <x:color rgb="FFB54708"/>
      </x:font>
      <x:fill>
        <x:patternFill>
          <x:bgColor rgb="FFFEF0C7"/>
        </x:patternFill>
      </x:fill>
    </x:dxf>
    <x:dxf>
      <x:font>
        <x:b/>
        <x:color rgb="FF027A48"/>
      </x:font>
      <x:fill>
        <x:patternFill>
          <x:bgColor rgb="FFD1FADF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  <x:dxf>
      <x:font>
        <x:b/>
        <x:color rgb="FFB54708"/>
      </x:font>
      <x:fill>
        <x:patternFill>
          <x:bgColor rgb="FFFEF0C7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  <x:dxf>
      <x:font>
        <x:b/>
        <x:color rgb="FFB54708"/>
      </x:font>
      <x:fill>
        <x:patternFill>
          <x:bgColor rgb="FFFE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5aad9d56b4b6a" /><Relationship Type="http://schemas.openxmlformats.org/officeDocument/2006/relationships/theme" Target="/xl/theme/theme1.xml" Id="Rc9a8c75048a4480c" /><Relationship Type="http://schemas.openxmlformats.org/officeDocument/2006/relationships/sharedStrings" Target="/xl/sharedStrings.xml" Id="R0e7129cfd7374031" /><Relationship Type="http://schemas.openxmlformats.org/officeDocument/2006/relationships/worksheet" Target="/xl/worksheets/sheet1.xml" Id="R5bf96cdc23374c15" /><Relationship Type="http://schemas.openxmlformats.org/officeDocument/2006/relationships/worksheet" Target="/xl/worksheets/sheet2.xml" Id="R7a64c587da9a4b6d" /><Relationship Type="http://schemas.openxmlformats.org/officeDocument/2006/relationships/worksheet" Target="/xl/worksheets/sheet3.xml" Id="R3af702108c7c4a06" /><Relationship Type="http://schemas.openxmlformats.org/officeDocument/2006/relationships/worksheet" Target="/xl/worksheets/sheet4.xml" Id="Rce18475ae0df4573" /><Relationship Type="http://schemas.openxmlformats.org/officeDocument/2006/relationships/worksheet" Target="/xl/worksheets/sheet5.xml" Id="Rd39a40c47bbc41d2" /><Relationship Type="http://schemas.openxmlformats.org/officeDocument/2006/relationships/worksheet" Target="/xl/worksheets/sheet6.xml" Id="Rd78341a2f8964e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998b7d01de45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Correct-Answer Position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'Dashboard'!$F$6:$F$9</c:f>
              <c:strCache>
                <c:ptCount val="0"/>
              </c:strCache>
            </c:strRef>
          </c:cat>
          <c:val>
            <c:numRef>
              <c:f>'Dashboard'!$G$6:$G$9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998b7d01de456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bookAuditTable" displayName="WorkbookAuditTable" ref="A1:AC25" headerRowCount="1">
  <x:tableColumns count="29">
    <x:tableColumn id="1" name="Program"/>
    <x:tableColumn id="2" name="Workbook"/>
    <x:tableColumn id="3" name="Title"/>
    <x:tableColumn id="4" name="Version"/>
    <x:tableColumn id="5" name="Word Count"/>
    <x:tableColumn id="6" name="Objectives"/>
    <x:tableColumn id="7" name="Questions"/>
    <x:tableColumn id="8" name="3-Option"/>
    <x:tableColumn id="9" name="4-Option"/>
    <x:tableColumn id="10" name="Key A"/>
    <x:tableColumn id="11" name="Key B"/>
    <x:tableColumn id="12" name="Key C"/>
    <x:tableColumn id="13" name="Key D"/>
    <x:tableColumn id="14" name="Chapter Summary"/>
    <x:tableColumn id="15" name="Affiliation Disclaimer"/>
    <x:tableColumn id="16" name="Canonical Cover"/>
    <x:tableColumn id="17" name="Internal Source References"/>
    <x:tableColumn id="18" name="Publication Control in Student File"/>
    <x:tableColumn id="19" name="A11y High"/>
    <x:tableColumn id="20" name="A11y Medium"/>
    <x:tableColumn id="21" name="Heading Skips"/>
    <x:tableColumn id="22" name="Image Alt Missing"/>
    <x:tableColumn id="23" name="Table Structures for Review"/>
    <x:tableColumn id="24" name="TOC"/>
    <x:tableColumn id="25" name="Page Number"/>
    <x:tableColumn id="26" name="Audit Status"/>
    <x:tableColumn id="27" name="Priority Action"/>
    <x:tableColumn id="28" name="File"/>
    <x:tableColumn id="29" name="Column29"/>
  </x:tableColumns>
  <x:tableStyleInfo name="TableStyleMedium2" showRowStripes="1"/>
</x:table>
</file>

<file path=xl/tables/table2.xml><?xml version="1.0" encoding="utf-8"?>
<x:table xmlns:x="http://schemas.openxmlformats.org/spreadsheetml/2006/main" id="2" name="FindingsTable" displayName="FindingsTable" ref="A1:J13" headerRowCount="1">
  <x:tableColumns count="10">
    <x:tableColumn id="1" name="ID"/>
    <x:tableColumn id="2" name="Priority"/>
    <x:tableColumn id="3" name="Category"/>
    <x:tableColumn id="4" name="Finding"/>
    <x:tableColumn id="5" name="Evidence"/>
    <x:tableColumn id="6" name="Affected"/>
    <x:tableColumn id="7" name="Required Action"/>
    <x:tableColumn id="8" name="Acceptance Criterion"/>
    <x:tableColumn id="9" name="Owner"/>
    <x:tableColumn id="10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RevisionPlanTable" displayName="RevisionPlanTable" ref="A1:G8" headerRowCount="1">
  <x:tableColumns count="7">
    <x:tableColumn id="1" name="Sequence"/>
    <x:tableColumn id="2" name="Workstream"/>
    <x:tableColumn id="3" name="Scope"/>
    <x:tableColumn id="4" name="Required Output"/>
    <x:tableColumn id="5" name="Gate"/>
    <x:tableColumn id="6" name="Owner"/>
    <x:tableColumn id="7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SourceVerificationTable" displayName="SourceVerificationTable" ref="A1:H6" headerRowCount="1">
  <x:tableColumns count="8">
    <x:tableColumn id="1" name="Source"/>
    <x:tableColumn id="2" name="Version / Date"/>
    <x:tableColumn id="3" name="Verified Facts"/>
    <x:tableColumn id="4" name="URL"/>
    <x:tableColumn id="5" name="Recheck"/>
    <x:tableColumn id="6" name="Reviewer"/>
    <x:tableColumn id="7" name="Review Date"/>
    <x:tableColumn id="8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AnswerKeyTable" displayName="AnswerKeyTable" ref="A1:K25" headerRowCount="1">
  <x:tableColumns count="11">
    <x:tableColumn id="1" name="Program"/>
    <x:tableColumn id="2" name="Workbook"/>
    <x:tableColumn id="3" name="Title"/>
    <x:tableColumn id="4" name="Questions"/>
    <x:tableColumn id="5" name="A"/>
    <x:tableColumn id="6" name="B"/>
    <x:tableColumn id="7" name="C"/>
    <x:tableColumn id="8" name="D"/>
    <x:tableColumn id="9" name="Dominant Position"/>
    <x:tableColumn id="10" name="Dominant Share"/>
    <x:tableColumn id="11" name="Risk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4910354f9143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f1bd24b07c4a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636d3104d648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4793d1c4b94c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fe9a8ef01445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081cd8b6104a27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31" hidden="0" customWidth="1"/>
    <x:col min="4" max="4" width="14" hidden="0" customWidth="1"/>
    <x:col min="6" max="6" width="17" hidden="0" customWidth="1"/>
    <x:col min="7" max="7" width="12" hidden="0" customWidth="1"/>
    <x:col min="8" max="8" width="12" hidden="0" customWidth="1"/>
  </x:cols>
  <x:sheetData>
    <x:row r="1" ht="34" customHeight="1">
      <x:c r="A1" s="6" t="str">
        <x:v>CTA LMFT + LCSW 24-Workbook Master QC Audit</x:v>
      </x:c>
      <x:c r="B1" s="6"/>
      <x:c r="C1" s="6"/>
      <x:c r="D1" s="6"/>
      <x:c r="E1" s="6"/>
      <x:c r="F1" s="6"/>
      <x:c r="G1" s="6"/>
      <x:c r="H1" s="6"/>
    </x:row>
    <x:row r="2" ht="34" customHeight="1">
      <x:c r="A2" s="6"/>
      <x:c r="B2" s="6"/>
      <x:c r="C2" s="6"/>
      <x:c r="D2" s="6"/>
      <x:c r="E2" s="6"/>
      <x:c r="F2" s="6"/>
      <x:c r="G2" s="6"/>
      <x:c r="H2" s="6"/>
    </x:row>
    <x:row r="3">
      <x:c r="A3" s="13" t="str">
        <x:v>Internal Admin Resource • Audit Report v1.0 • July 23, 2026</x:v>
      </x:c>
      <x:c r="B3" s="13"/>
      <x:c r="C3" s="13"/>
      <x:c r="D3" s="13"/>
      <x:c r="E3" s="13"/>
      <x:c r="F3" s="13"/>
      <x:c r="G3" s="13"/>
      <x:c r="H3" s="13"/>
    </x:row>
    <x:row r="5">
      <x:c r="A5" s="20" t="str">
        <x:v>Portfolio KPI</x:v>
      </x:c>
      <x:c r="B5" s="20" t="str">
        <x:v>Value</x:v>
      </x:c>
      <x:c r="C5" s="20" t="str">
        <x:v>Publication Signal</x:v>
      </x:c>
      <x:c r="D5" s="20" t="str">
        <x:v>Notes</x:v>
      </x:c>
      <x:c r="F5" s="20" t="str">
        <x:v>Correct Answer</x:v>
      </x:c>
      <x:c r="G5" s="20" t="str">
        <x:v>Count</x:v>
      </x:c>
      <x:c r="H5" s="20" t="str">
        <x:v>Share</x:v>
      </x:c>
    </x:row>
    <x:row r="6">
      <x:c r="A6" s="26" t="str">
        <x:v>Workbooks reviewed</x:v>
      </x:c>
      <x:c r="B6" s="28" t="n">
        <x:f>COUNTA('Workbook Audit'!A2:A25)</x:f>
        <x:v>24</x:v>
      </x:c>
      <x:c r="C6" s="26" t="str">
        <x:v>Complete</x:v>
      </x:c>
      <x:c r="D6" s="26" t="str">
        <x:v>12 LMFT + 12 LCSW</x:v>
      </x:c>
      <x:c r="F6" t="str">
        <x:v>A</x:v>
      </x:c>
      <x:c r="G6" t="n">
        <x:f>SUM('Workbook Audit'!J2:J25)</x:f>
        <x:v>45</x:v>
      </x:c>
      <x:c r="H6" s="30" t="n">
        <x:f>G6/SUM($G$6:$G$9)</x:f>
        <x:v>0.17647058823529413</x:v>
      </x:c>
    </x:row>
    <x:row r="7">
      <x:c r="A7" s="26" t="str">
        <x:v>Current practice questions</x:v>
      </x:c>
      <x:c r="B7" s="28" t="n">
        <x:f>SUM('Workbook Audit'!G2:G25)</x:f>
        <x:v>255</x:v>
      </x:c>
      <x:c r="C7" s="26" t="str">
        <x:v>Complete</x:v>
      </x:c>
      <x:c r="D7" s="26" t="str">
        <x:v>Includes 25-question LCSW mini-mock</x:v>
      </x:c>
      <x:c r="F7" t="str">
        <x:v>B</x:v>
      </x:c>
      <x:c r="G7" t="n">
        <x:f>SUM('Workbook Audit'!K2:K25)</x:f>
        <x:v>160</x:v>
      </x:c>
      <x:c r="H7" s="30" t="n">
        <x:f>G7/SUM($G$6:$G$9)</x:f>
        <x:v>0.6274509803921569</x:v>
      </x:c>
    </x:row>
    <x:row r="8">
      <x:c r="A8" s="26" t="str">
        <x:v>Full rationale sets</x:v>
      </x:c>
      <x:c r="B8" s="28" t="n">
        <x:v>24</x:v>
      </x:c>
      <x:c r="C8" s="26" t="str">
        <x:v>Complete</x:v>
      </x:c>
      <x:c r="D8" s="26" t="str">
        <x:v>Question and rationale counts match in all workbooks</x:v>
      </x:c>
      <x:c r="F8" t="str">
        <x:v>C</x:v>
      </x:c>
      <x:c r="G8" t="n">
        <x:f>SUM('Workbook Audit'!L2:L25)</x:f>
        <x:v>46</x:v>
      </x:c>
      <x:c r="H8" s="30" t="n">
        <x:f>G8/SUM($G$6:$G$9)</x:f>
        <x:v>0.1803921568627451</x:v>
      </x:c>
    </x:row>
    <x:row r="9">
      <x:c r="A9" s="26" t="str">
        <x:v>Objectives over CTA standard</x:v>
      </x:c>
      <x:c r="B9" s="28" t="n">
        <x:f>COUNTIF('Workbook Audit'!F2:F25,"&gt;5")</x:f>
        <x:v>19</x:v>
      </x:c>
      <x:c r="C9" s="26" t="str">
        <x:v>Revise</x:v>
      </x:c>
      <x:c r="D9" s="26" t="str">
        <x:v>CTA standard states 3–5</x:v>
      </x:c>
      <x:c r="F9" t="str">
        <x:v>D</x:v>
      </x:c>
      <x:c r="G9" t="n">
        <x:f>SUM('Workbook Audit'!M2:M25)</x:f>
        <x:v>4</x:v>
      </x:c>
      <x:c r="H9" s="30" t="n">
        <x:f>G9/SUM($G$6:$G$9)</x:f>
        <x:v>0.01568627450980392</x:v>
      </x:c>
    </x:row>
    <x:row r="10">
      <x:c r="A10" s="26" t="str">
        <x:v>Missing Chapter Summary</x:v>
      </x:c>
      <x:c r="B10" s="28" t="n">
        <x:f>COUNTIF('Workbook Audit'!N2:N25,"No")</x:f>
        <x:v>16</x:v>
      </x:c>
      <x:c r="C10" s="26" t="str">
        <x:v>Revise</x:v>
      </x:c>
      <x:c r="D10" s="26" t="str">
        <x:v>Add or formally revise the standard</x:v>
      </x:c>
    </x:row>
    <x:row r="11">
      <x:c r="A11" s="26" t="str">
        <x:v>High accessibility findings</x:v>
      </x:c>
      <x:c r="B11" s="28" t="n">
        <x:v>20</x:v>
      </x:c>
      <x:c r="C11" s="26" t="str">
        <x:v>Hold</x:v>
      </x:c>
      <x:c r="D11" s="26" t="str">
        <x:v>Zero required before release</x:v>
      </x:c>
    </x:row>
    <x:row r="12">
      <x:c r="A12" s="26" t="str">
        <x:v>Medium accessibility findings</x:v>
      </x:c>
      <x:c r="B12" s="28" t="n">
        <x:v>314</x:v>
      </x:c>
      <x:c r="C12" s="26" t="str">
        <x:v>Revise</x:v>
      </x:c>
      <x:c r="D12" s="26" t="str">
        <x:v>Includes table-classification review</x:v>
      </x:c>
    </x:row>
    <x:row r="13">
      <x:c r="A13" s="26" t="str">
        <x:v>Canonical cover names</x:v>
      </x:c>
      <x:c r="B13" s="28" t="n">
        <x:f>COUNTIF('Workbook Audit'!P2:P25,"Yes")</x:f>
        <x:v>17</x:v>
      </x:c>
      <x:c r="C13" s="26" t="str">
        <x:v>Standardize</x:v>
      </x:c>
      <x:c r="D13" s="26" t="str">
        <x:v>Target 24</x:v>
      </x:c>
    </x:row>
    <x:row r="14">
      <x:c r="A14" s="26" t="str">
        <x:v>Explicit non-affiliation notices</x:v>
      </x:c>
      <x:c r="B14" s="28" t="n">
        <x:f>COUNTIF('Workbook Audit'!O2:O25,"Yes")</x:f>
        <x:v>8</x:v>
      </x:c>
      <x:c r="C14" s="26" t="str">
        <x:v>Standardize</x:v>
      </x:c>
      <x:c r="D14" s="26" t="str">
        <x:v>Target 24</x:v>
      </x:c>
    </x:row>
    <x:row r="15">
      <x:c r="A15" s="26" t="str">
        <x:v>TOCs present</x:v>
      </x:c>
      <x:c r="B15" s="28" t="n">
        <x:f>COUNTIF('Workbook Audit'!Z2:Z25,"Yes")</x:f>
        <x:v>0</x:v>
      </x:c>
      <x:c r="C15" s="26" t="str">
        <x:v>Standardize</x:v>
      </x:c>
      <x:c r="D15" s="26" t="str">
        <x:v>Target determined by final template</x:v>
      </x:c>
    </x:row>
    <x:row r="18">
      <x:c r="A18" s="20" t="str">
        <x:v>Readiness Area</x:v>
      </x:c>
      <x:c r="B18" s="20" t="str">
        <x:v>Current Rating</x:v>
      </x:c>
      <x:c r="C18" s="20" t="str">
        <x:v>Required Gate</x:v>
      </x:c>
      <x:c r="D18" s="20" t="str">
        <x:v>Owner</x:v>
      </x:c>
    </x:row>
    <x:row r="19">
      <x:c r="A19" s="26" t="str">
        <x:v>Architecture</x:v>
      </x:c>
      <x:c r="B19" s="26" t="str">
        <x:v>Strong</x:v>
      </x:c>
      <x:c r="C19" s="26" t="str">
        <x:v>Evidence mapping complete</x:v>
      </x:c>
      <x:c r="D19" s="26" t="str"/>
    </x:row>
    <x:row r="20">
      <x:c r="A20" s="26" t="str">
        <x:v>Instructional content</x:v>
      </x:c>
      <x:c r="B20" s="26" t="str">
        <x:v>Strong with revisions</x:v>
      </x:c>
      <x:c r="C20" s="26" t="str">
        <x:v>Global structure checklist passes</x:v>
      </x:c>
      <x:c r="D20" s="26" t="str"/>
    </x:row>
    <x:row r="21">
      <x:c r="A21" s="26" t="str">
        <x:v>Assessment integrity</x:v>
      </x:c>
      <x:c r="B21" s="26" t="str">
        <x:v>Publication hold</x:v>
      </x:c>
      <x:c r="C21" s="26" t="str">
        <x:v>Key distribution and bank QA pass</x:v>
      </x:c>
      <x:c r="D21" s="26" t="str"/>
    </x:row>
    <x:row r="22">
      <x:c r="A22" s="26" t="str">
        <x:v>Accessibility</x:v>
      </x:c>
      <x:c r="B22" s="26" t="str">
        <x:v>Publication hold</x:v>
      </x:c>
      <x:c r="C22" s="26" t="str">
        <x:v>Zero high findings</x:v>
      </x:c>
      <x:c r="D22" s="26" t="str"/>
    </x:row>
    <x:row r="23">
      <x:c r="A23" s="26" t="str">
        <x:v>Source/legal review</x:v>
      </x:c>
      <x:c r="B23" s="26" t="str">
        <x:v>Pending signoff</x:v>
      </x:c>
      <x:c r="C23" s="26" t="str">
        <x:v>Dated SME/source approvals</x:v>
      </x:c>
      <x:c r="D23" s="26" t="str"/>
    </x:row>
    <x:row r="24">
      <x:c r="A24" s="26" t="str">
        <x:v>Production</x:v>
      </x:c>
      <x:c r="B24" s="26" t="str">
        <x:v>Not v1.0 ready</x:v>
      </x:c>
      <x:c r="C24" s="26" t="str">
        <x:v>Final DOCX/PDF QA complete</x:v>
      </x:c>
      <x:c r="D24" s="26" t="str"/>
    </x:row>
  </x:sheetData>
  <x:mergeCells>
    <x:mergeCell ref="A1:H2"/>
    <x:mergeCell ref="A3:H3"/>
  </x:mergeCells>
  <x:conditionalFormatting sqref="C6:C15">
    <x:cfRule type="expression" dxfId="0" priority="1">
      <x:formula>C6="Complete"</x:formula>
    </x:cfRule>
    <x:cfRule type="expression" dxfId="1" priority="2">
      <x:formula>C6="Hold"</x:formula>
    </x:cfRule>
    <x:cfRule type="expression" dxfId="2" priority="3">
      <x:formula>OR(C6="Revise",C6="Standardize")</x:formula>
    </x:cfRule>
  </x:conditionalFormatting>
  <x:pageMargins left="0.7" right="0.7" top="0.75" bottom="0.75" header="0.3" footer="0.3"/>
  <x:drawing xmlns:r="http://schemas.openxmlformats.org/officeDocument/2006/relationships" r:id="R964910354f9143d5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9" hidden="0" customWidth="1"/>
    <x:col min="5" max="5" width="11" hidden="0" customWidth="1"/>
    <x:col min="6" max="6" width="11" hidden="0" customWidth="1"/>
    <x:col min="7" max="7" width="10" hidden="0" customWidth="1"/>
    <x:col min="8" max="8" width="10" hidden="0" customWidth="1"/>
    <x:col min="9" max="9" width="10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5" hidden="0" customWidth="1"/>
    <x:col min="15" max="15" width="18" hidden="0" customWidth="1"/>
    <x:col min="16" max="16" width="15" hidden="0" customWidth="1"/>
    <x:col min="17" max="17" width="20" hidden="0" customWidth="1"/>
    <x:col min="18" max="18" width="24" hidden="0" customWidth="1"/>
    <x:col min="19" max="19" width="11" hidden="0" customWidth="1"/>
    <x:col min="20" max="20" width="11" hidden="0" customWidth="1"/>
    <x:col min="21" max="21" width="12" hidden="0" customWidth="1"/>
    <x:col min="22" max="22" width="13" hidden="0" customWidth="1"/>
    <x:col min="23" max="23" width="24" hidden="0" customWidth="1"/>
    <x:col min="24" max="24" width="9" hidden="0" customWidth="1"/>
    <x:col min="25" max="25" width="12" hidden="0" customWidth="1"/>
    <x:col min="26" max="26" width="17" hidden="0" customWidth="1"/>
    <x:col min="27" max="27" width="60" hidden="0" customWidth="1"/>
    <x:col min="28" max="28" width="55" hidden="0" customWidth="1"/>
    <x:col min="29" max="29" width="48" hidden="0" customWidth="1"/>
  </x:cols>
  <x:sheetData>
    <x:row r="1">
      <x:c r="A1" s="20" t="str">
        <x:v>Program</x:v>
      </x:c>
      <x:c r="B1" s="20" t="str">
        <x:v>Workbook</x:v>
      </x:c>
      <x:c r="C1" s="20" t="str">
        <x:v>Title</x:v>
      </x:c>
      <x:c r="D1" s="20" t="str">
        <x:v>Version</x:v>
      </x:c>
      <x:c r="E1" s="20" t="str">
        <x:v>Word Count</x:v>
      </x:c>
      <x:c r="F1" s="20" t="str">
        <x:v>Objectives</x:v>
      </x:c>
      <x:c r="G1" s="20" t="str">
        <x:v>Questions</x:v>
      </x:c>
      <x:c r="H1" s="20" t="str">
        <x:v>3-Option</x:v>
      </x:c>
      <x:c r="I1" s="20" t="str">
        <x:v>4-Option</x:v>
      </x:c>
      <x:c r="J1" s="20" t="str">
        <x:v>Key A</x:v>
      </x:c>
      <x:c r="K1" s="20" t="str">
        <x:v>Key B</x:v>
      </x:c>
      <x:c r="L1" s="20" t="str">
        <x:v>Key C</x:v>
      </x:c>
      <x:c r="M1" s="20" t="str">
        <x:v>Key D</x:v>
      </x:c>
      <x:c r="N1" s="20" t="str">
        <x:v>Chapter Summary</x:v>
      </x:c>
      <x:c r="O1" s="20" t="str">
        <x:v>Affiliation Disclaimer</x:v>
      </x:c>
      <x:c r="P1" s="20" t="str">
        <x:v>Canonical Cover</x:v>
      </x:c>
      <x:c r="Q1" s="20" t="str">
        <x:v>Internal Source References</x:v>
      </x:c>
      <x:c r="R1" s="20" t="str">
        <x:v>Publication Control in Student File</x:v>
      </x:c>
      <x:c r="S1" s="20" t="str">
        <x:v>A11y High</x:v>
      </x:c>
      <x:c r="T1" s="20" t="str">
        <x:v>A11y Medium</x:v>
      </x:c>
      <x:c r="U1" s="20" t="str">
        <x:v>Heading Skips</x:v>
      </x:c>
      <x:c r="V1" s="20" t="str">
        <x:v>Image Alt Missing</x:v>
      </x:c>
      <x:c r="W1" s="20" t="str">
        <x:v>Table Structures for Review</x:v>
      </x:c>
      <x:c r="X1" s="20" t="str">
        <x:v>TOC</x:v>
      </x:c>
      <x:c r="Y1" s="20" t="str">
        <x:v>Page Number</x:v>
      </x:c>
      <x:c r="Z1" s="20" t="str">
        <x:v>Audit Status</x:v>
      </x:c>
      <x:c r="AA1" s="20" t="str">
        <x:v>Priority Action</x:v>
      </x:c>
      <x:c r="AB1" s="20" t="str">
        <x:v>File</x:v>
      </x:c>
      <x:c r="AC1" s="20"/>
    </x:row>
    <x:row r="2">
      <x:c r="A2" s="26" t="str">
        <x:v>LCSW</x:v>
      </x:c>
      <x:c r="B2" s="26" t="n">
        <x:v>1</x:v>
      </x:c>
      <x:c r="C2" s="26" t="str">
        <x:v>ASWB Exam Strategy and Applied Reasoning</x:v>
      </x:c>
      <x:c r="D2" s="26" t="str">
        <x:v>0.2</x:v>
      </x:c>
      <x:c r="E2" s="26" t="n">
        <x:v>2922</x:v>
      </x:c>
      <x:c r="F2" s="26" t="n">
        <x:v>5</x:v>
      </x:c>
      <x:c r="G2" s="26" t="n">
        <x:v>10</x:v>
      </x:c>
      <x:c r="H2" s="26" t="n">
        <x:v>3</x:v>
      </x:c>
      <x:c r="I2" s="26" t="n">
        <x:v>7</x:v>
      </x:c>
      <x:c r="J2" s="26" t="n">
        <x:v>1</x:v>
      </x:c>
      <x:c r="K2" s="26" t="n">
        <x:v>7</x:v>
      </x:c>
      <x:c r="L2" s="26" t="n">
        <x:v>2</x:v>
      </x:c>
      <x:c r="M2" s="26" t="n">
        <x:v>0</x:v>
      </x:c>
      <x:c r="N2" s="26" t="str">
        <x:v>Yes</x:v>
      </x:c>
      <x:c r="O2" s="26" t="str">
        <x:v>Yes</x:v>
      </x:c>
      <x:c r="P2" s="26" t="str">
        <x:v>Yes</x:v>
      </x:c>
      <x:c r="Q2" s="26" t="str">
        <x:v>No</x:v>
      </x:c>
      <x:c r="R2" s="26" t="str">
        <x:v>No</x:v>
      </x:c>
      <x:c r="S2" s="26" t="n">
        <x:v>2</x:v>
      </x:c>
      <x:c r="T2" s="26" t="n">
        <x:v>18</x:v>
      </x:c>
      <x:c r="U2" s="26" t="n">
        <x:v>1</x:v>
      </x:c>
      <x:c r="V2" s="26" t="n">
        <x:v>2</x:v>
      </x:c>
      <x:c r="W2" s="26" t="n">
        <x:v>17</x:v>
      </x:c>
      <x:c r="X2" s="26" t="str">
        <x:v>No</x:v>
      </x:c>
      <x:c r="Y2" s="26" t="str">
        <x:v>Yes</x:v>
      </x:c>
      <x:c r="Z2" s="26" t="str">
        <x:v>Revision Required</x:v>
      </x:c>
      <x:c r="AA2" s="26" t="str">
        <x:v>rebalance answer positions (B 7/10); complete accessibility remediation</x:v>
      </x:c>
      <x:c r="AB2" s="26" t="str">
        <x:v>CTA_LCSW_WB1_ASWB_Exam_Strategy_and_Applied_Reasoning_Student_Workbook_Draft_v0.2.docx</x:v>
      </x:c>
      <x:c r="AC2" s="26"/>
    </x:row>
    <x:row r="3">
      <x:c r="A3" s="26" t="str">
        <x:v>LCSW</x:v>
      </x:c>
      <x:c r="B3" s="26" t="n">
        <x:v>2</x:v>
      </x:c>
      <x:c r="C3" s="26" t="str">
        <x:v>Values, Ethics, Self-Determination, and Social Justice</x:v>
      </x:c>
      <x:c r="D3" s="26" t="str">
        <x:v>0.1</x:v>
      </x:c>
      <x:c r="E3" s="26" t="n">
        <x:v>3778</x:v>
      </x:c>
      <x:c r="F3" s="26" t="n">
        <x:v>8</x:v>
      </x:c>
      <x:c r="G3" s="26" t="n">
        <x:v>10</x:v>
      </x:c>
      <x:c r="H3" s="26" t="n">
        <x:v>0</x:v>
      </x:c>
      <x:c r="I3" s="26" t="n">
        <x:v>10</x:v>
      </x:c>
      <x:c r="J3" s="26" t="n">
        <x:v>0</x:v>
      </x:c>
      <x:c r="K3" s="26" t="n">
        <x:v>5</x:v>
      </x:c>
      <x:c r="L3" s="26" t="n">
        <x:v>5</x:v>
      </x:c>
      <x:c r="M3" s="26" t="n">
        <x:v>0</x:v>
      </x:c>
      <x:c r="N3" s="26" t="str">
        <x:v>No</x:v>
      </x:c>
      <x:c r="O3" s="26" t="str">
        <x:v>No</x:v>
      </x:c>
      <x:c r="P3" s="26" t="str">
        <x:v>No</x:v>
      </x:c>
      <x:c r="Q3" s="26" t="str">
        <x:v>Yes</x:v>
      </x:c>
      <x:c r="R3" s="26" t="str">
        <x:v>No</x:v>
      </x:c>
      <x:c r="S3" s="26" t="n">
        <x:v>0</x:v>
      </x:c>
      <x:c r="T3" s="26" t="n">
        <x:v>9</x:v>
      </x:c>
      <x:c r="U3" s="26" t="n">
        <x:v>0</x:v>
      </x:c>
      <x:c r="V3" s="26" t="n">
        <x:v>0</x:v>
      </x:c>
      <x:c r="W3" s="26" t="n">
        <x:v>9</x:v>
      </x:c>
      <x:c r="X3" s="26" t="str">
        <x:v>No</x:v>
      </x:c>
      <x:c r="Y3" s="26" t="str">
        <x:v>Yes</x:v>
      </x:c>
      <x:c r="Z3" s="26" t="str">
        <x:v>Revision Required</x:v>
      </x:c>
      <x:c r="AA3" s="26" t="str">
        <x:v>reduce objectives to 3–5; add chapter summary; add standard disclaimer; complete accessibility remediation; remove internal source references</x:v>
      </x:c>
      <x:c r="AB3" s="26" t="str">
        <x:v>CTA_LCSW_WB2_Values_Ethics_Self_Determination_and_Social_Justice_Student_Workbook_Draft_v0.1.docx</x:v>
      </x:c>
      <x:c r="AC3" s="26"/>
    </x:row>
    <x:row r="4">
      <x:c r="A4" s="26" t="str">
        <x:v>LCSW</x:v>
      </x:c>
      <x:c r="B4" s="26" t="n">
        <x:v>3</x:v>
      </x:c>
      <x:c r="C4" s="26" t="str">
        <x:v>Human Development, Diversity, and Person-in-Environment</x:v>
      </x:c>
      <x:c r="D4" s="26" t="str">
        <x:v>0.1</x:v>
      </x:c>
      <x:c r="E4" s="26" t="n">
        <x:v>3194</x:v>
      </x:c>
      <x:c r="F4" s="26" t="n">
        <x:v>7</x:v>
      </x:c>
      <x:c r="G4" s="26" t="n">
        <x:v>10</x:v>
      </x:c>
      <x:c r="H4" s="26" t="n">
        <x:v>6</x:v>
      </x:c>
      <x:c r="I4" s="26" t="n">
        <x:v>4</x:v>
      </x:c>
      <x:c r="J4" s="26" t="n">
        <x:v>7</x:v>
      </x:c>
      <x:c r="K4" s="26" t="n">
        <x:v>3</x:v>
      </x:c>
      <x:c r="L4" s="26" t="n">
        <x:v>0</x:v>
      </x:c>
      <x:c r="M4" s="26" t="n">
        <x:v>0</x:v>
      </x:c>
      <x:c r="N4" s="26" t="str">
        <x:v>Yes</x:v>
      </x:c>
      <x:c r="O4" s="26" t="str">
        <x:v>No</x:v>
      </x:c>
      <x:c r="P4" s="26" t="str">
        <x:v>Yes</x:v>
      </x:c>
      <x:c r="Q4" s="26" t="str">
        <x:v>Yes</x:v>
      </x:c>
      <x:c r="R4" s="26" t="str">
        <x:v>No</x:v>
      </x:c>
      <x:c r="S4" s="26" t="n">
        <x:v>2</x:v>
      </x:c>
      <x:c r="T4" s="26" t="n">
        <x:v>20</x:v>
      </x:c>
      <x:c r="U4" s="26" t="n">
        <x:v>1</x:v>
      </x:c>
      <x:c r="V4" s="26" t="n">
        <x:v>2</x:v>
      </x:c>
      <x:c r="W4" s="26" t="n">
        <x:v>19</x:v>
      </x:c>
      <x:c r="X4" s="26" t="str">
        <x:v>No</x:v>
      </x:c>
      <x:c r="Y4" s="26" t="str">
        <x:v>Yes</x:v>
      </x:c>
      <x:c r="Z4" s="26" t="str">
        <x:v>Revision Required</x:v>
      </x:c>
      <x:c r="AA4" s="26" t="str">
        <x:v>rebalance answer positions (A 7/10); reduce objectives to 3–5; add standard disclaimer; complete accessibility remediation; remove internal source references</x:v>
      </x:c>
      <x:c r="AB4" s="26" t="str">
        <x:v>CTA_LCSW_WB3_Human_Development_Diversity_and_Person_in_Environment_Student_Workbook_Draft_v0.1.docx</x:v>
      </x:c>
      <x:c r="AC4" s="26"/>
    </x:row>
    <x:row r="5">
      <x:c r="A5" s="26" t="str">
        <x:v>LCSW</x:v>
      </x:c>
      <x:c r="B5" s="26" t="n">
        <x:v>4</x:v>
      </x:c>
      <x:c r="C5" s="26" t="str">
        <x:v>Clinical Assessment, Interviewing, and Mental Status</x:v>
      </x:c>
      <x:c r="D5" s="26" t="str">
        <x:v>0.1</x:v>
      </x:c>
      <x:c r="E5" s="26" t="n">
        <x:v>3745</x:v>
      </x:c>
      <x:c r="F5" s="26" t="n">
        <x:v>10</x:v>
      </x:c>
      <x:c r="G5" s="26" t="n">
        <x:v>10</x:v>
      </x:c>
      <x:c r="H5" s="26" t="n">
        <x:v>0</x:v>
      </x:c>
      <x:c r="I5" s="26" t="n">
        <x:v>10</x:v>
      </x:c>
      <x:c r="J5" s="26" t="n">
        <x:v>4</x:v>
      </x:c>
      <x:c r="K5" s="26" t="n">
        <x:v>5</x:v>
      </x:c>
      <x:c r="L5" s="26" t="n">
        <x:v>1</x:v>
      </x:c>
      <x:c r="M5" s="26" t="n">
        <x:v>0</x:v>
      </x:c>
      <x:c r="N5" s="26" t="str">
        <x:v>Yes</x:v>
      </x:c>
      <x:c r="O5" s="26" t="str">
        <x:v>No</x:v>
      </x:c>
      <x:c r="P5" s="26" t="str">
        <x:v>Yes</x:v>
      </x:c>
      <x:c r="Q5" s="26" t="str">
        <x:v>Yes</x:v>
      </x:c>
      <x:c r="R5" s="26" t="str">
        <x:v>Yes</x:v>
      </x:c>
      <x:c r="S5" s="26" t="n">
        <x:v>2</x:v>
      </x:c>
      <x:c r="T5" s="26" t="n">
        <x:v>28</x:v>
      </x:c>
      <x:c r="U5" s="26" t="n">
        <x:v>1</x:v>
      </x:c>
      <x:c r="V5" s="26" t="n">
        <x:v>2</x:v>
      </x:c>
      <x:c r="W5" s="26" t="n">
        <x:v>27</x:v>
      </x:c>
      <x:c r="X5" s="26" t="str">
        <x:v>No</x:v>
      </x:c>
      <x:c r="Y5" s="26" t="str">
        <x:v>Yes</x:v>
      </x:c>
      <x:c r="Z5" s="26" t="str">
        <x:v>Revision Required</x:v>
      </x:c>
      <x:c r="AA5" s="26" t="str">
        <x:v>reduce objectives to 3–5; add standard disclaimer; complete accessibility remediation; remove internal source references; move publication controls to admin file</x:v>
      </x:c>
      <x:c r="AB5" s="26" t="str">
        <x:v>CTA_LCSW_WB4_Clinical_Assessment_Interviewing_and_Mental_Status_Student_Workbook_Draft_v0.1.docx</x:v>
      </x:c>
      <x:c r="AC5" s="26"/>
    </x:row>
    <x:row r="6">
      <x:c r="A6" s="26" t="str">
        <x:v>LCSW</x:v>
      </x:c>
      <x:c r="B6" s="26" t="n">
        <x:v>5</x:v>
      </x:c>
      <x:c r="C6" s="26" t="str">
        <x:v>Diagnosis, Medical Factors, and Psychopharmacology</x:v>
      </x:c>
      <x:c r="D6" s="26" t="str">
        <x:v>0.1</x:v>
      </x:c>
      <x:c r="E6" s="26" t="n">
        <x:v>3879</x:v>
      </x:c>
      <x:c r="F6" s="26" t="n">
        <x:v>9</x:v>
      </x:c>
      <x:c r="G6" s="26" t="n">
        <x:v>10</x:v>
      </x:c>
      <x:c r="H6" s="26" t="n">
        <x:v>0</x:v>
      </x:c>
      <x:c r="I6" s="26" t="n">
        <x:v>10</x:v>
      </x:c>
      <x:c r="J6" s="26" t="n">
        <x:v>0</x:v>
      </x:c>
      <x:c r="K6" s="26" t="n">
        <x:v>6</x:v>
      </x:c>
      <x:c r="L6" s="26" t="n">
        <x:v>4</x:v>
      </x:c>
      <x:c r="M6" s="26" t="n">
        <x:v>0</x:v>
      </x:c>
      <x:c r="N6" s="26" t="str">
        <x:v>Yes</x:v>
      </x:c>
      <x:c r="O6" s="26" t="str">
        <x:v>No</x:v>
      </x:c>
      <x:c r="P6" s="26" t="str">
        <x:v>Yes</x:v>
      </x:c>
      <x:c r="Q6" s="26" t="str">
        <x:v>Yes</x:v>
      </x:c>
      <x:c r="R6" s="26" t="str">
        <x:v>No</x:v>
      </x:c>
      <x:c r="S6" s="26" t="n">
        <x:v>1</x:v>
      </x:c>
      <x:c r="T6" s="26" t="n">
        <x:v>11</x:v>
      </x:c>
      <x:c r="U6" s="26" t="n">
        <x:v>1</x:v>
      </x:c>
      <x:c r="V6" s="26" t="n">
        <x:v>1</x:v>
      </x:c>
      <x:c r="W6" s="26" t="n">
        <x:v>10</x:v>
      </x:c>
      <x:c r="X6" s="26" t="str">
        <x:v>No</x:v>
      </x:c>
      <x:c r="Y6" s="26" t="str">
        <x:v>Yes</x:v>
      </x:c>
      <x:c r="Z6" s="26" t="str">
        <x:v>Revision Required</x:v>
      </x:c>
      <x:c r="AA6" s="26" t="str">
        <x:v>reduce objectives to 3–5; add standard disclaimer; complete accessibility remediation; remove internal source references</x:v>
      </x:c>
      <x:c r="AB6" s="26" t="str">
        <x:v>CTA_LCSW_WB5_Diagnosis_Medical_Factors_and_Psychopharmacology_Student_Workbook_Draft_v0.1.docx</x:v>
      </x:c>
      <x:c r="AC6" s="26"/>
    </x:row>
    <x:row r="7">
      <x:c r="A7" s="26" t="str">
        <x:v>LCSW</x:v>
      </x:c>
      <x:c r="B7" s="26" t="n">
        <x:v>6</x:v>
      </x:c>
      <x:c r="C7" s="26" t="str">
        <x:v>Crisis, Abuse, and Risk Assessment</x:v>
      </x:c>
      <x:c r="D7" s="26" t="str">
        <x:v>0.1</x:v>
      </x:c>
      <x:c r="E7" s="26" t="n">
        <x:v>3611</x:v>
      </x:c>
      <x:c r="F7" s="26" t="n">
        <x:v>9</x:v>
      </x:c>
      <x:c r="G7" s="26" t="n">
        <x:v>10</x:v>
      </x:c>
      <x:c r="H7" s="26" t="n">
        <x:v>4</x:v>
      </x:c>
      <x:c r="I7" s="26" t="n">
        <x:v>6</x:v>
      </x:c>
      <x:c r="J7" s="26" t="n">
        <x:v>0</x:v>
      </x:c>
      <x:c r="K7" s="26" t="n">
        <x:v>10</x:v>
      </x:c>
      <x:c r="L7" s="26" t="n">
        <x:v>0</x:v>
      </x:c>
      <x:c r="M7" s="26" t="n">
        <x:v>0</x:v>
      </x:c>
      <x:c r="N7" s="26" t="str">
        <x:v>No</x:v>
      </x:c>
      <x:c r="O7" s="26" t="str">
        <x:v>No</x:v>
      </x:c>
      <x:c r="P7" s="26" t="str">
        <x:v>Yes</x:v>
      </x:c>
      <x:c r="Q7" s="26" t="str">
        <x:v>Yes</x:v>
      </x:c>
      <x:c r="R7" s="26" t="str">
        <x:v>No</x:v>
      </x:c>
      <x:c r="S7" s="26" t="n">
        <x:v>1</x:v>
      </x:c>
      <x:c r="T7" s="26" t="n">
        <x:v>9</x:v>
      </x:c>
      <x:c r="U7" s="26" t="n">
        <x:v>1</x:v>
      </x:c>
      <x:c r="V7" s="26" t="n">
        <x:v>1</x:v>
      </x:c>
      <x:c r="W7" s="26" t="n">
        <x:v>8</x:v>
      </x:c>
      <x:c r="X7" s="26" t="str">
        <x:v>No</x:v>
      </x:c>
      <x:c r="Y7" s="26" t="str">
        <x:v>Yes</x:v>
      </x:c>
      <x:c r="Z7" s="26" t="str">
        <x:v>Major Revision</x:v>
      </x:c>
      <x:c r="AA7" s="26" t="str">
        <x:v>rebalance answer positions (B 10/10); reduce objectives to 3–5; add chapter summary; add standard disclaimer; complete accessibility remediation; remove internal source references</x:v>
      </x:c>
      <x:c r="AB7" s="26" t="str">
        <x:v>CTA_LCSW_WB6_Crisis_Abuse_and_Risk_Assessment_Student_Workbook_Draft_v0.1.docx</x:v>
      </x:c>
      <x:c r="AC7" s="26"/>
    </x:row>
    <x:row r="8">
      <x:c r="A8" s="26" t="str">
        <x:v>LCSW</x:v>
      </x:c>
      <x:c r="B8" s="26" t="n">
        <x:v>7</x:v>
      </x:c>
      <x:c r="C8" s="26" t="str">
        <x:v>Treatment and Service Planning</x:v>
      </x:c>
      <x:c r="D8" s="26" t="str">
        <x:v>0.1</x:v>
      </x:c>
      <x:c r="E8" s="26" t="n">
        <x:v>3748</x:v>
      </x:c>
      <x:c r="F8" s="26" t="n">
        <x:v>9</x:v>
      </x:c>
      <x:c r="G8" s="26" t="n">
        <x:v>10</x:v>
      </x:c>
      <x:c r="H8" s="26" t="n">
        <x:v>0</x:v>
      </x:c>
      <x:c r="I8" s="26" t="n">
        <x:v>10</x:v>
      </x:c>
      <x:c r="J8" s="26" t="n">
        <x:v>1</x:v>
      </x:c>
      <x:c r="K8" s="26" t="n">
        <x:v>6</x:v>
      </x:c>
      <x:c r="L8" s="26" t="n">
        <x:v>3</x:v>
      </x:c>
      <x:c r="M8" s="26" t="n">
        <x:v>0</x:v>
      </x:c>
      <x:c r="N8" s="26" t="str">
        <x:v>No</x:v>
      </x:c>
      <x:c r="O8" s="26" t="str">
        <x:v>No</x:v>
      </x:c>
      <x:c r="P8" s="26" t="str">
        <x:v>Yes</x:v>
      </x:c>
      <x:c r="Q8" s="26" t="str">
        <x:v>Yes</x:v>
      </x:c>
      <x:c r="R8" s="26" t="str">
        <x:v>No</x:v>
      </x:c>
      <x:c r="S8" s="26" t="n">
        <x:v>1</x:v>
      </x:c>
      <x:c r="T8" s="26" t="n">
        <x:v>9</x:v>
      </x:c>
      <x:c r="U8" s="26" t="n">
        <x:v>1</x:v>
      </x:c>
      <x:c r="V8" s="26" t="n">
        <x:v>1</x:v>
      </x:c>
      <x:c r="W8" s="26" t="n">
        <x:v>8</x:v>
      </x:c>
      <x:c r="X8" s="26" t="str">
        <x:v>No</x:v>
      </x:c>
      <x:c r="Y8" s="26" t="str">
        <x:v>Yes</x:v>
      </x:c>
      <x:c r="Z8" s="26" t="str">
        <x:v>Revision Required</x:v>
      </x:c>
      <x:c r="AA8" s="26" t="str">
        <x:v>reduce objectives to 3–5; add chapter summary; add standard disclaimer; complete accessibility remediation; remove internal source references</x:v>
      </x:c>
      <x:c r="AB8" s="26" t="str">
        <x:v>CTA_LCSW_WB7_Treatment_and_Service_Planning_Student_Workbook_Draft_v0.1.docx</x:v>
      </x:c>
      <x:c r="AC8" s="26"/>
    </x:row>
    <x:row r="9">
      <x:c r="A9" s="26" t="str">
        <x:v>LCSW</x:v>
      </x:c>
      <x:c r="B9" s="26" t="n">
        <x:v>8</x:v>
      </x:c>
      <x:c r="C9" s="26" t="str">
        <x:v>Clinical Interventions and Trauma-Informed Practice</x:v>
      </x:c>
      <x:c r="D9" s="26" t="str">
        <x:v>0.1</x:v>
      </x:c>
      <x:c r="E9" s="26" t="n">
        <x:v>3837</x:v>
      </x:c>
      <x:c r="F9" s="26" t="n">
        <x:v>7</x:v>
      </x:c>
      <x:c r="G9" s="26" t="n">
        <x:v>10</x:v>
      </x:c>
      <x:c r="H9" s="26" t="n">
        <x:v>0</x:v>
      </x:c>
      <x:c r="I9" s="26" t="n">
        <x:v>10</x:v>
      </x:c>
      <x:c r="J9" s="26" t="n">
        <x:v>7</x:v>
      </x:c>
      <x:c r="K9" s="26" t="n">
        <x:v>3</x:v>
      </x:c>
      <x:c r="L9" s="26" t="n">
        <x:v>0</x:v>
      </x:c>
      <x:c r="M9" s="26" t="n">
        <x:v>0</x:v>
      </x:c>
      <x:c r="N9" s="26" t="str">
        <x:v>No</x:v>
      </x:c>
      <x:c r="O9" s="26" t="str">
        <x:v>No</x:v>
      </x:c>
      <x:c r="P9" s="26" t="str">
        <x:v>No</x:v>
      </x:c>
      <x:c r="Q9" s="26" t="str">
        <x:v>Yes</x:v>
      </x:c>
      <x:c r="R9" s="26" t="str">
        <x:v>No</x:v>
      </x:c>
      <x:c r="S9" s="26" t="n">
        <x:v>1</x:v>
      </x:c>
      <x:c r="T9" s="26" t="n">
        <x:v>11</x:v>
      </x:c>
      <x:c r="U9" s="26" t="n">
        <x:v>1</x:v>
      </x:c>
      <x:c r="V9" s="26" t="n">
        <x:v>1</x:v>
      </x:c>
      <x:c r="W9" s="26" t="n">
        <x:v>10</x:v>
      </x:c>
      <x:c r="X9" s="26" t="str">
        <x:v>No</x:v>
      </x:c>
      <x:c r="Y9" s="26" t="str">
        <x:v>Yes</x:v>
      </x:c>
      <x:c r="Z9" s="26" t="str">
        <x:v>Revision Required</x:v>
      </x:c>
      <x:c r="AA9" s="26" t="str">
        <x:v>rebalance answer positions (A 7/10); reduce objectives to 3–5; add chapter summary; add standard disclaimer; complete accessibility remediation; remove internal source references</x:v>
      </x:c>
      <x:c r="AB9" s="26" t="str">
        <x:v>CTA_LCSW_WB8_Clinical_Interventions_and_Trauma_Informed_Practice_Student_Workbook_Draft_v0.1.docx</x:v>
      </x:c>
      <x:c r="AC9" s="26"/>
    </x:row>
    <x:row r="10">
      <x:c r="A10" s="26" t="str">
        <x:v>LCSW</x:v>
      </x:c>
      <x:c r="B10" s="26" t="n">
        <x:v>9</x:v>
      </x:c>
      <x:c r="C10" s="26" t="str">
        <x:v>Family, Couple, Group, and Parenting Interventions</x:v>
      </x:c>
      <x:c r="D10" s="26" t="str">
        <x:v>0.1</x:v>
      </x:c>
      <x:c r="E10" s="26" t="n">
        <x:v>4062</x:v>
      </x:c>
      <x:c r="F10" s="26" t="n">
        <x:v>6</x:v>
      </x:c>
      <x:c r="G10" s="26" t="n">
        <x:v>10</x:v>
      </x:c>
      <x:c r="H10" s="26" t="n">
        <x:v>0</x:v>
      </x:c>
      <x:c r="I10" s="26" t="n">
        <x:v>10</x:v>
      </x:c>
      <x:c r="J10" s="26" t="n">
        <x:v>2</x:v>
      </x:c>
      <x:c r="K10" s="26" t="n">
        <x:v>8</x:v>
      </x:c>
      <x:c r="L10" s="26" t="n">
        <x:v>0</x:v>
      </x:c>
      <x:c r="M10" s="26" t="n">
        <x:v>0</x:v>
      </x:c>
      <x:c r="N10" s="26" t="str">
        <x:v>No</x:v>
      </x:c>
      <x:c r="O10" s="26" t="str">
        <x:v>No</x:v>
      </x:c>
      <x:c r="P10" s="26" t="str">
        <x:v>No</x:v>
      </x:c>
      <x:c r="Q10" s="26" t="str">
        <x:v>Yes</x:v>
      </x:c>
      <x:c r="R10" s="26" t="str">
        <x:v>No</x:v>
      </x:c>
      <x:c r="S10" s="26" t="n">
        <x:v>0</x:v>
      </x:c>
      <x:c r="T10" s="26" t="n">
        <x:v>11</x:v>
      </x:c>
      <x:c r="U10" s="26" t="n">
        <x:v>0</x:v>
      </x:c>
      <x:c r="V10" s="26" t="n">
        <x:v>0</x:v>
      </x:c>
      <x:c r="W10" s="26" t="n">
        <x:v>11</x:v>
      </x:c>
      <x:c r="X10" s="26" t="str">
        <x:v>No</x:v>
      </x:c>
      <x:c r="Y10" s="26" t="str">
        <x:v>Yes</x:v>
      </x:c>
      <x:c r="Z10" s="26" t="str">
        <x:v>Major Revision</x:v>
      </x:c>
      <x:c r="AA10" s="26" t="str">
        <x:v>rebalance answer positions (B 8/10); reduce objectives to 3–5; add chapter summary; add standard disclaimer; complete accessibility remediation; remove internal source references</x:v>
      </x:c>
      <x:c r="AB10" s="26" t="str">
        <x:v>CTA_LCSW_WB9_Family_Couple_Group_and_Parenting_Interventions_Student_Workbook_Draft_v0.1.docx</x:v>
      </x:c>
      <x:c r="AC10" s="26"/>
    </x:row>
    <x:row r="11">
      <x:c r="A11" s="26" t="str">
        <x:v>LCSW</x:v>
      </x:c>
      <x:c r="B11" s="26" t="n">
        <x:v>10</x:v>
      </x:c>
      <x:c r="C11" s="26" t="str">
        <x:v>Case Management, Advocacy, Resources, and Collaboration</x:v>
      </x:c>
      <x:c r="D11" s="26" t="str">
        <x:v>0.1</x:v>
      </x:c>
      <x:c r="E11" s="26" t="n">
        <x:v>4049</x:v>
      </x:c>
      <x:c r="F11" s="26" t="n">
        <x:v>5</x:v>
      </x:c>
      <x:c r="G11" s="26" t="n">
        <x:v>10</x:v>
      </x:c>
      <x:c r="H11" s="26" t="n">
        <x:v>0</x:v>
      </x:c>
      <x:c r="I11" s="26" t="n">
        <x:v>10</x:v>
      </x:c>
      <x:c r="J11" s="26" t="n">
        <x:v>2</x:v>
      </x:c>
      <x:c r="K11" s="26" t="n">
        <x:v>3</x:v>
      </x:c>
      <x:c r="L11" s="26" t="n">
        <x:v>3</x:v>
      </x:c>
      <x:c r="M11" s="26" t="n">
        <x:v>2</x:v>
      </x:c>
      <x:c r="N11" s="26" t="str">
        <x:v>No</x:v>
      </x:c>
      <x:c r="O11" s="26" t="str">
        <x:v>No</x:v>
      </x:c>
      <x:c r="P11" s="26" t="str">
        <x:v>No</x:v>
      </x:c>
      <x:c r="Q11" s="26" t="str">
        <x:v>Yes</x:v>
      </x:c>
      <x:c r="R11" s="26" t="str">
        <x:v>No</x:v>
      </x:c>
      <x:c r="S11" s="26" t="n">
        <x:v>0</x:v>
      </x:c>
      <x:c r="T11" s="26" t="n">
        <x:v>9</x:v>
      </x:c>
      <x:c r="U11" s="26" t="n">
        <x:v>0</x:v>
      </x:c>
      <x:c r="V11" s="26" t="n">
        <x:v>0</x:v>
      </x:c>
      <x:c r="W11" s="26" t="n">
        <x:v>9</x:v>
      </x:c>
      <x:c r="X11" s="26" t="str">
        <x:v>No</x:v>
      </x:c>
      <x:c r="Y11" s="26" t="str">
        <x:v>Yes</x:v>
      </x:c>
      <x:c r="Z11" s="26" t="str">
        <x:v>Revision Required</x:v>
      </x:c>
      <x:c r="AA11" s="26" t="str">
        <x:v>add chapter summary; add standard disclaimer; complete accessibility remediation; remove internal source references</x:v>
      </x:c>
      <x:c r="AB11" s="26" t="str">
        <x:v>CTA_LCSW_WB10_Case_Management_Advocacy_Resources_and_Collaboration_Student_Workbook_Draft_v0.1.docx</x:v>
      </x:c>
      <x:c r="AC11" s="26"/>
    </x:row>
    <x:row r="12">
      <x:c r="A12" s="26" t="str">
        <x:v>LCSW</x:v>
      </x:c>
      <x:c r="B12" s="26" t="n">
        <x:v>11</x:v>
      </x:c>
      <x:c r="C12" s="26" t="str">
        <x:v>Practice Evaluation, Research, Supervision, and Administration</x:v>
      </x:c>
      <x:c r="D12" s="26" t="str">
        <x:v>0.1</x:v>
      </x:c>
      <x:c r="E12" s="26" t="n">
        <x:v>3958</x:v>
      </x:c>
      <x:c r="F12" s="26" t="n">
        <x:v>7</x:v>
      </x:c>
      <x:c r="G12" s="26" t="n">
        <x:v>10</x:v>
      </x:c>
      <x:c r="H12" s="26" t="n">
        <x:v>0</x:v>
      </x:c>
      <x:c r="I12" s="26" t="n">
        <x:v>10</x:v>
      </x:c>
      <x:c r="J12" s="26" t="n">
        <x:v>1</x:v>
      </x:c>
      <x:c r="K12" s="26" t="n">
        <x:v>8</x:v>
      </x:c>
      <x:c r="L12" s="26" t="n">
        <x:v>1</x:v>
      </x:c>
      <x:c r="M12" s="26" t="n">
        <x:v>0</x:v>
      </x:c>
      <x:c r="N12" s="26" t="str">
        <x:v>No</x:v>
      </x:c>
      <x:c r="O12" s="26" t="str">
        <x:v>Yes</x:v>
      </x:c>
      <x:c r="P12" s="26" t="str">
        <x:v>Yes</x:v>
      </x:c>
      <x:c r="Q12" s="26" t="str">
        <x:v>Yes</x:v>
      </x:c>
      <x:c r="R12" s="26" t="str">
        <x:v>No</x:v>
      </x:c>
      <x:c r="S12" s="26" t="n">
        <x:v>0</x:v>
      </x:c>
      <x:c r="T12" s="26" t="n">
        <x:v>9</x:v>
      </x:c>
      <x:c r="U12" s="26" t="n">
        <x:v>0</x:v>
      </x:c>
      <x:c r="V12" s="26" t="n">
        <x:v>0</x:v>
      </x:c>
      <x:c r="W12" s="26" t="n">
        <x:v>9</x:v>
      </x:c>
      <x:c r="X12" s="26" t="str">
        <x:v>No</x:v>
      </x:c>
      <x:c r="Y12" s="26" t="str">
        <x:v>Yes</x:v>
      </x:c>
      <x:c r="Z12" s="26" t="str">
        <x:v>Major Revision</x:v>
      </x:c>
      <x:c r="AA12" s="26" t="str">
        <x:v>rebalance answer positions (B 8/10); reduce objectives to 3–5; add chapter summary; complete accessibility remediation; remove internal source references</x:v>
      </x:c>
      <x:c r="AB12" s="26" t="str">
        <x:v>CTA_LCSW_WB11_Practice_Evaluation_Research_Supervision_and_Administration_Student_Workbook_Draft_v0.1.docx</x:v>
      </x:c>
      <x:c r="AC12" s="26"/>
    </x:row>
    <x:row r="13">
      <x:c r="A13" s="26" t="str">
        <x:v>LCSW</x:v>
      </x:c>
      <x:c r="B13" s="26" t="n">
        <x:v>12</x:v>
      </x:c>
      <x:c r="C13" s="26" t="str">
        <x:v>Integrated Review and Mock Examination</x:v>
      </x:c>
      <x:c r="D13" s="26" t="str">
        <x:v>0.1</x:v>
      </x:c>
      <x:c r="E13" s="26" t="n">
        <x:v>5051</x:v>
      </x:c>
      <x:c r="F13" s="26" t="n">
        <x:v>7</x:v>
      </x:c>
      <x:c r="G13" s="26" t="n">
        <x:v>25</x:v>
      </x:c>
      <x:c r="H13" s="26" t="n">
        <x:v>19</x:v>
      </x:c>
      <x:c r="I13" s="26" t="n">
        <x:v>6</x:v>
      </x:c>
      <x:c r="J13" s="26" t="n">
        <x:v>2</x:v>
      </x:c>
      <x:c r="K13" s="26" t="n">
        <x:v>23</x:v>
      </x:c>
      <x:c r="L13" s="26" t="n">
        <x:v>0</x:v>
      </x:c>
      <x:c r="M13" s="26" t="n">
        <x:v>0</x:v>
      </x:c>
      <x:c r="N13" s="26" t="str">
        <x:v>No</x:v>
      </x:c>
      <x:c r="O13" s="26" t="str">
        <x:v>No</x:v>
      </x:c>
      <x:c r="P13" s="26" t="str">
        <x:v>Yes</x:v>
      </x:c>
      <x:c r="Q13" s="26" t="str">
        <x:v>Yes</x:v>
      </x:c>
      <x:c r="R13" s="26" t="str">
        <x:v>No</x:v>
      </x:c>
      <x:c r="S13" s="26" t="n">
        <x:v>0</x:v>
      </x:c>
      <x:c r="T13" s="26" t="n">
        <x:v>7</x:v>
      </x:c>
      <x:c r="U13" s="26" t="n">
        <x:v>0</x:v>
      </x:c>
      <x:c r="V13" s="26" t="n">
        <x:v>0</x:v>
      </x:c>
      <x:c r="W13" s="26" t="n">
        <x:v>7</x:v>
      </x:c>
      <x:c r="X13" s="26" t="str">
        <x:v>No</x:v>
      </x:c>
      <x:c r="Y13" s="26" t="str">
        <x:v>Yes</x:v>
      </x:c>
      <x:c r="Z13" s="26" t="str">
        <x:v>Major Revision</x:v>
      </x:c>
      <x:c r="AA13" s="26" t="str">
        <x:v>retain as mini-mock; build separate 122-question full mock; rebalance answer positions (B 23/25); reduce objectives to 3–5; add chapter summary; add standard disclaimer; complete accessibility remediation; remove internal source references</x:v>
      </x:c>
      <x:c r="AB13" s="26" t="str">
        <x:v>CTA_LCSW_WB12_Integrated_Review_and_Mock_Examination_Student_Workbook_Draft_v0.1.docx</x:v>
      </x:c>
      <x:c r="AC13" s="26"/>
    </x:row>
    <x:row r="14">
      <x:c r="A14" s="26" t="str">
        <x:v>LMFT</x:v>
      </x:c>
      <x:c r="B14" s="26" t="n">
        <x:v>1</x:v>
      </x:c>
      <x:c r="C14" s="26" t="str">
        <x:v>Exam Strategy and Clinical Reasoning</x:v>
      </x:c>
      <x:c r="D14" s="26" t="str">
        <x:v>0.1</x:v>
      </x:c>
      <x:c r="E14" s="26" t="n">
        <x:v>3246</x:v>
      </x:c>
      <x:c r="F14" s="26" t="n">
        <x:v>5</x:v>
      </x:c>
      <x:c r="G14" s="26" t="n">
        <x:v>10</x:v>
      </x:c>
      <x:c r="H14" s="26" t="n">
        <x:v>0</x:v>
      </x:c>
      <x:c r="I14" s="26" t="n">
        <x:v>10</x:v>
      </x:c>
      <x:c r="J14" s="26" t="n">
        <x:v>2</x:v>
      </x:c>
      <x:c r="K14" s="26" t="n">
        <x:v>7</x:v>
      </x:c>
      <x:c r="L14" s="26" t="n">
        <x:v>1</x:v>
      </x:c>
      <x:c r="M14" s="26" t="n">
        <x:v>0</x:v>
      </x:c>
      <x:c r="N14" s="26" t="str">
        <x:v>Yes</x:v>
      </x:c>
      <x:c r="O14" s="26" t="str">
        <x:v>Yes</x:v>
      </x:c>
      <x:c r="P14" s="26" t="str">
        <x:v>Yes</x:v>
      </x:c>
      <x:c r="Q14" s="26" t="str">
        <x:v>No</x:v>
      </x:c>
      <x:c r="R14" s="26" t="str">
        <x:v>No</x:v>
      </x:c>
      <x:c r="S14" s="26" t="n">
        <x:v>2</x:v>
      </x:c>
      <x:c r="T14" s="26" t="n">
        <x:v>19</x:v>
      </x:c>
      <x:c r="U14" s="26" t="n">
        <x:v>1</x:v>
      </x:c>
      <x:c r="V14" s="26" t="n">
        <x:v>2</x:v>
      </x:c>
      <x:c r="W14" s="26" t="n">
        <x:v>18</x:v>
      </x:c>
      <x:c r="X14" s="26" t="str">
        <x:v>No</x:v>
      </x:c>
      <x:c r="Y14" s="26" t="str">
        <x:v>Yes</x:v>
      </x:c>
      <x:c r="Z14" s="26" t="str">
        <x:v>Revision Required</x:v>
      </x:c>
      <x:c r="AA14" s="26" t="str">
        <x:v>rebalance answer positions (B 7/10); complete accessibility remediation</x:v>
      </x:c>
      <x:c r="AB14" s="26" t="str">
        <x:v>CTA_LMFT_WB1_Exam_Strategy_and_Clinical_Reasoning_Student_Workbook_Draft_v0.1.docx</x:v>
      </x:c>
      <x:c r="AC14" s="26"/>
    </x:row>
    <x:row r="15">
      <x:c r="A15" s="26" t="str">
        <x:v>LMFT</x:v>
      </x:c>
      <x:c r="B15" s="26" t="n">
        <x:v>2</x:v>
      </x:c>
      <x:c r="C15" s="26" t="str">
        <x:v>Clinical Engagement, Intake, and Mental Status Assessment</x:v>
      </x:c>
      <x:c r="D15" s="26" t="str">
        <x:v>0.1</x:v>
      </x:c>
      <x:c r="E15" s="26" t="n">
        <x:v>3983</x:v>
      </x:c>
      <x:c r="F15" s="26" t="n">
        <x:v>10</x:v>
      </x:c>
      <x:c r="G15" s="26" t="n">
        <x:v>10</x:v>
      </x:c>
      <x:c r="H15" s="26" t="n">
        <x:v>0</x:v>
      </x:c>
      <x:c r="I15" s="26" t="n">
        <x:v>10</x:v>
      </x:c>
      <x:c r="J15" s="26" t="n">
        <x:v>0</x:v>
      </x:c>
      <x:c r="K15" s="26" t="n">
        <x:v>6</x:v>
      </x:c>
      <x:c r="L15" s="26" t="n">
        <x:v>4</x:v>
      </x:c>
      <x:c r="M15" s="26" t="n">
        <x:v>0</x:v>
      </x:c>
      <x:c r="N15" s="26" t="str">
        <x:v>Yes</x:v>
      </x:c>
      <x:c r="O15" s="26" t="str">
        <x:v>No</x:v>
      </x:c>
      <x:c r="P15" s="26" t="str">
        <x:v>Yes</x:v>
      </x:c>
      <x:c r="Q15" s="26" t="str">
        <x:v>Yes</x:v>
      </x:c>
      <x:c r="R15" s="26" t="str">
        <x:v>Yes</x:v>
      </x:c>
      <x:c r="S15" s="26" t="n">
        <x:v>2</x:v>
      </x:c>
      <x:c r="T15" s="26" t="n">
        <x:v>29</x:v>
      </x:c>
      <x:c r="U15" s="26" t="n">
        <x:v>1</x:v>
      </x:c>
      <x:c r="V15" s="26" t="n">
        <x:v>2</x:v>
      </x:c>
      <x:c r="W15" s="26" t="n">
        <x:v>28</x:v>
      </x:c>
      <x:c r="X15" s="26" t="str">
        <x:v>No</x:v>
      </x:c>
      <x:c r="Y15" s="26" t="str">
        <x:v>Yes</x:v>
      </x:c>
      <x:c r="Z15" s="26" t="str">
        <x:v>Revision Required</x:v>
      </x:c>
      <x:c r="AA15" s="26" t="str">
        <x:v>reduce objectives to 3–5; add standard disclaimer; complete accessibility remediation; remove internal source references; move publication controls to admin file</x:v>
      </x:c>
      <x:c r="AB15" s="26" t="str">
        <x:v>CTA_LMFT_WB2_Clinical_Engagement_Intake_and_Mental_Status_Assessment_Student_Workbook_Draft_v0.1.docx</x:v>
      </x:c>
      <x:c r="AC15" s="26"/>
    </x:row>
    <x:row r="16">
      <x:c r="A16" s="26" t="str">
        <x:v>LMFT</x:v>
      </x:c>
      <x:c r="B16" s="26" t="n">
        <x:v>3</x:v>
      </x:c>
      <x:c r="C16" s="26" t="str">
        <x:v>Developmental, Psychosocial, and Diversity Assessment</x:v>
      </x:c>
      <x:c r="D16" s="26" t="str">
        <x:v>0.1</x:v>
      </x:c>
      <x:c r="E16" s="26" t="n">
        <x:v>3711</x:v>
      </x:c>
      <x:c r="F16" s="26" t="n">
        <x:v>7</x:v>
      </x:c>
      <x:c r="G16" s="26" t="n">
        <x:v>10</x:v>
      </x:c>
      <x:c r="H16" s="26" t="n">
        <x:v>0</x:v>
      </x:c>
      <x:c r="I16" s="26" t="n">
        <x:v>10</x:v>
      </x:c>
      <x:c r="J16" s="26" t="n">
        <x:v>3</x:v>
      </x:c>
      <x:c r="K16" s="26" t="n">
        <x:v>6</x:v>
      </x:c>
      <x:c r="L16" s="26" t="n">
        <x:v>1</x:v>
      </x:c>
      <x:c r="M16" s="26" t="n">
        <x:v>0</x:v>
      </x:c>
      <x:c r="N16" s="26" t="str">
        <x:v>Yes</x:v>
      </x:c>
      <x:c r="O16" s="26" t="str">
        <x:v>No</x:v>
      </x:c>
      <x:c r="P16" s="26" t="str">
        <x:v>Yes</x:v>
      </x:c>
      <x:c r="Q16" s="26" t="str">
        <x:v>Yes</x:v>
      </x:c>
      <x:c r="R16" s="26" t="str">
        <x:v>No</x:v>
      </x:c>
      <x:c r="S16" s="26" t="n">
        <x:v>2</x:v>
      </x:c>
      <x:c r="T16" s="26" t="n">
        <x:v>21</x:v>
      </x:c>
      <x:c r="U16" s="26" t="n">
        <x:v>1</x:v>
      </x:c>
      <x:c r="V16" s="26" t="n">
        <x:v>2</x:v>
      </x:c>
      <x:c r="W16" s="26" t="n">
        <x:v>20</x:v>
      </x:c>
      <x:c r="X16" s="26" t="str">
        <x:v>No</x:v>
      </x:c>
      <x:c r="Y16" s="26" t="str">
        <x:v>Yes</x:v>
      </x:c>
      <x:c r="Z16" s="26" t="str">
        <x:v>Revision Required</x:v>
      </x:c>
      <x:c r="AA16" s="26" t="str">
        <x:v>reduce objectives to 3–5; add standard disclaimer; complete accessibility remediation; remove internal source references</x:v>
      </x:c>
      <x:c r="AB16" s="26" t="str">
        <x:v>CTA_LMFT_WB3_Developmental_Psychosocial_and_Diversity_Assessment_Student_Workbook_Draft_v0.1.docx</x:v>
      </x:c>
      <x:c r="AC16" s="26"/>
    </x:row>
    <x:row r="17">
      <x:c r="A17" s="26" t="str">
        <x:v>LMFT</x:v>
      </x:c>
      <x:c r="B17" s="26" t="n">
        <x:v>4</x:v>
      </x:c>
      <x:c r="C17" s="26" t="str">
        <x:v>Relational, Family-System, Trauma, and Strengths Assessment</x:v>
      </x:c>
      <x:c r="D17" s="26" t="str">
        <x:v>0.1</x:v>
      </x:c>
      <x:c r="E17" s="26" t="n">
        <x:v>3336</x:v>
      </x:c>
      <x:c r="F17" s="26" t="n">
        <x:v>7</x:v>
      </x:c>
      <x:c r="G17" s="26" t="n">
        <x:v>10</x:v>
      </x:c>
      <x:c r="H17" s="26" t="n">
        <x:v>0</x:v>
      </x:c>
      <x:c r="I17" s="26" t="n">
        <x:v>10</x:v>
      </x:c>
      <x:c r="J17" s="26" t="n">
        <x:v>0</x:v>
      </x:c>
      <x:c r="K17" s="26" t="n">
        <x:v>6</x:v>
      </x:c>
      <x:c r="L17" s="26" t="n">
        <x:v>4</x:v>
      </x:c>
      <x:c r="M17" s="26" t="n">
        <x:v>0</x:v>
      </x:c>
      <x:c r="N17" s="26" t="str">
        <x:v>No</x:v>
      </x:c>
      <x:c r="O17" s="26" t="str">
        <x:v>No</x:v>
      </x:c>
      <x:c r="P17" s="26" t="str">
        <x:v>No</x:v>
      </x:c>
      <x:c r="Q17" s="26" t="str">
        <x:v>Yes</x:v>
      </x:c>
      <x:c r="R17" s="26" t="str">
        <x:v>No</x:v>
      </x:c>
      <x:c r="S17" s="26" t="n">
        <x:v>0</x:v>
      </x:c>
      <x:c r="T17" s="26" t="n">
        <x:v>9</x:v>
      </x:c>
      <x:c r="U17" s="26" t="n">
        <x:v>0</x:v>
      </x:c>
      <x:c r="V17" s="26" t="n">
        <x:v>0</x:v>
      </x:c>
      <x:c r="W17" s="26" t="n">
        <x:v>9</x:v>
      </x:c>
      <x:c r="X17" s="26" t="str">
        <x:v>No</x:v>
      </x:c>
      <x:c r="Y17" s="26" t="str">
        <x:v>Yes</x:v>
      </x:c>
      <x:c r="Z17" s="26" t="str">
        <x:v>Revision Required</x:v>
      </x:c>
      <x:c r="AA17" s="26" t="str">
        <x:v>reduce objectives to 3–5; add chapter summary; add standard disclaimer; complete accessibility remediation; remove internal source references</x:v>
      </x:c>
      <x:c r="AB17" s="26" t="str">
        <x:v>CTA_LMFT_WB4_Relational_Family_System_Trauma_and_Strengths_Assessment_Student_Workbook_Draft_v0.1.docx</x:v>
      </x:c>
      <x:c r="AC17" s="26"/>
    </x:row>
    <x:row r="18">
      <x:c r="A18" s="26" t="str">
        <x:v>LMFT</x:v>
      </x:c>
      <x:c r="B18" s="26" t="n">
        <x:v>5</x:v>
      </x:c>
      <x:c r="C18" s="26" t="str">
        <x:v>Diagnosis and Differential Diagnosis</x:v>
      </x:c>
      <x:c r="D18" s="26" t="str">
        <x:v>0.1</x:v>
      </x:c>
      <x:c r="E18" s="26" t="n">
        <x:v>3930</x:v>
      </x:c>
      <x:c r="F18" s="26" t="n">
        <x:v>8</x:v>
      </x:c>
      <x:c r="G18" s="26" t="n">
        <x:v>10</x:v>
      </x:c>
      <x:c r="H18" s="26" t="n">
        <x:v>0</x:v>
      </x:c>
      <x:c r="I18" s="26" t="n">
        <x:v>10</x:v>
      </x:c>
      <x:c r="J18" s="26" t="n">
        <x:v>2</x:v>
      </x:c>
      <x:c r="K18" s="26" t="n">
        <x:v>4</x:v>
      </x:c>
      <x:c r="L18" s="26" t="n">
        <x:v>4</x:v>
      </x:c>
      <x:c r="M18" s="26" t="n">
        <x:v>0</x:v>
      </x:c>
      <x:c r="N18" s="26" t="str">
        <x:v>Yes</x:v>
      </x:c>
      <x:c r="O18" s="26" t="str">
        <x:v>No</x:v>
      </x:c>
      <x:c r="P18" s="26" t="str">
        <x:v>Yes</x:v>
      </x:c>
      <x:c r="Q18" s="26" t="str">
        <x:v>Yes</x:v>
      </x:c>
      <x:c r="R18" s="26" t="str">
        <x:v>No</x:v>
      </x:c>
      <x:c r="S18" s="26" t="n">
        <x:v>1</x:v>
      </x:c>
      <x:c r="T18" s="26" t="n">
        <x:v>11</x:v>
      </x:c>
      <x:c r="U18" s="26" t="n">
        <x:v>1</x:v>
      </x:c>
      <x:c r="V18" s="26" t="n">
        <x:v>1</x:v>
      </x:c>
      <x:c r="W18" s="26" t="n">
        <x:v>10</x:v>
      </x:c>
      <x:c r="X18" s="26" t="str">
        <x:v>No</x:v>
      </x:c>
      <x:c r="Y18" s="26" t="str">
        <x:v>Yes</x:v>
      </x:c>
      <x:c r="Z18" s="26" t="str">
        <x:v>Revision Required</x:v>
      </x:c>
      <x:c r="AA18" s="26" t="str">
        <x:v>reduce objectives to 3–5; add standard disclaimer; complete accessibility remediation; remove internal source references</x:v>
      </x:c>
      <x:c r="AB18" s="26" t="str">
        <x:v>CTA_LMFT_WB5_Diagnosis_and_Differential_Diagnosis_Student_Workbook_Draft_v0.1.docx</x:v>
      </x:c>
      <x:c r="AC18" s="26"/>
    </x:row>
    <x:row r="19">
      <x:c r="A19" s="26" t="str">
        <x:v>LMFT</x:v>
      </x:c>
      <x:c r="B19" s="26" t="n">
        <x:v>6</x:v>
      </x:c>
      <x:c r="C19" s="26" t="str">
        <x:v>Crisis, Abuse, and Safety</x:v>
      </x:c>
      <x:c r="D19" s="26" t="str">
        <x:v>0.1</x:v>
      </x:c>
      <x:c r="E19" s="26" t="n">
        <x:v>4078</x:v>
      </x:c>
      <x:c r="F19" s="26" t="n">
        <x:v>9</x:v>
      </x:c>
      <x:c r="G19" s="26" t="n">
        <x:v>10</x:v>
      </x:c>
      <x:c r="H19" s="26" t="n">
        <x:v>0</x:v>
      </x:c>
      <x:c r="I19" s="26" t="n">
        <x:v>10</x:v>
      </x:c>
      <x:c r="J19" s="26" t="n">
        <x:v>0</x:v>
      </x:c>
      <x:c r="K19" s="26" t="n">
        <x:v>6</x:v>
      </x:c>
      <x:c r="L19" s="26" t="n">
        <x:v>4</x:v>
      </x:c>
      <x:c r="M19" s="26" t="n">
        <x:v>0</x:v>
      </x:c>
      <x:c r="N19" s="26" t="str">
        <x:v>No</x:v>
      </x:c>
      <x:c r="O19" s="26" t="str">
        <x:v>No</x:v>
      </x:c>
      <x:c r="P19" s="26" t="str">
        <x:v>Yes</x:v>
      </x:c>
      <x:c r="Q19" s="26" t="str">
        <x:v>Yes</x:v>
      </x:c>
      <x:c r="R19" s="26" t="str">
        <x:v>No</x:v>
      </x:c>
      <x:c r="S19" s="26" t="n">
        <x:v>1</x:v>
      </x:c>
      <x:c r="T19" s="26" t="n">
        <x:v>14</x:v>
      </x:c>
      <x:c r="U19" s="26" t="n">
        <x:v>1</x:v>
      </x:c>
      <x:c r="V19" s="26" t="n">
        <x:v>1</x:v>
      </x:c>
      <x:c r="W19" s="26" t="n">
        <x:v>13</x:v>
      </x:c>
      <x:c r="X19" s="26" t="str">
        <x:v>No</x:v>
      </x:c>
      <x:c r="Y19" s="26" t="str">
        <x:v>Yes</x:v>
      </x:c>
      <x:c r="Z19" s="26" t="str">
        <x:v>Revision Required</x:v>
      </x:c>
      <x:c r="AA19" s="26" t="str">
        <x:v>reduce objectives to 3–5; add chapter summary; add standard disclaimer; complete accessibility remediation; remove internal source references; complete California legal SME review</x:v>
      </x:c>
      <x:c r="AB19" s="26" t="str">
        <x:v>CTA_LMFT_WB6_Crisis_Abuse_and_Safety_Student_Workbook_Draft_v0.1.docx</x:v>
      </x:c>
      <x:c r="AC19" s="26"/>
    </x:row>
    <x:row r="20">
      <x:c r="A20" s="26" t="str">
        <x:v>LMFT</x:v>
      </x:c>
      <x:c r="B20" s="26" t="n">
        <x:v>7</x:v>
      </x:c>
      <x:c r="C20" s="26" t="str">
        <x:v>Planning, Progress, and Termination</x:v>
      </x:c>
      <x:c r="D20" s="26" t="str">
        <x:v>0.1</x:v>
      </x:c>
      <x:c r="E20" s="26" t="n">
        <x:v>3828</x:v>
      </x:c>
      <x:c r="F20" s="26" t="n">
        <x:v>8</x:v>
      </x:c>
      <x:c r="G20" s="26" t="n">
        <x:v>10</x:v>
      </x:c>
      <x:c r="H20" s="26" t="n">
        <x:v>0</x:v>
      </x:c>
      <x:c r="I20" s="26" t="n">
        <x:v>10</x:v>
      </x:c>
      <x:c r="J20" s="26" t="n">
        <x:v>0</x:v>
      </x:c>
      <x:c r="K20" s="26" t="n">
        <x:v>7</x:v>
      </x:c>
      <x:c r="L20" s="26" t="n">
        <x:v>3</x:v>
      </x:c>
      <x:c r="M20" s="26" t="n">
        <x:v>0</x:v>
      </x:c>
      <x:c r="N20" s="26" t="str">
        <x:v>No</x:v>
      </x:c>
      <x:c r="O20" s="26" t="str">
        <x:v>Yes</x:v>
      </x:c>
      <x:c r="P20" s="26" t="str">
        <x:v>Yes</x:v>
      </x:c>
      <x:c r="Q20" s="26" t="str">
        <x:v>Yes</x:v>
      </x:c>
      <x:c r="R20" s="26" t="str">
        <x:v>No</x:v>
      </x:c>
      <x:c r="S20" s="26" t="n">
        <x:v>1</x:v>
      </x:c>
      <x:c r="T20" s="26" t="n">
        <x:v>10</x:v>
      </x:c>
      <x:c r="U20" s="26" t="n">
        <x:v>1</x:v>
      </x:c>
      <x:c r="V20" s="26" t="n">
        <x:v>1</x:v>
      </x:c>
      <x:c r="W20" s="26" t="n">
        <x:v>9</x:v>
      </x:c>
      <x:c r="X20" s="26" t="str">
        <x:v>No</x:v>
      </x:c>
      <x:c r="Y20" s="26" t="str">
        <x:v>Yes</x:v>
      </x:c>
      <x:c r="Z20" s="26" t="str">
        <x:v>Revision Required</x:v>
      </x:c>
      <x:c r="AA20" s="26" t="str">
        <x:v>rebalance answer positions (B 7/10); reduce objectives to 3–5; add chapter summary; complete accessibility remediation; remove internal source references</x:v>
      </x:c>
      <x:c r="AB20" s="26" t="str">
        <x:v>CTA_LMFT_WB7_Planning_Progress_and_Termination_Student_Workbook_Draft_v0.1.docx</x:v>
      </x:c>
      <x:c r="AC20" s="26"/>
    </x:row>
    <x:row r="21">
      <x:c r="A21" s="26" t="str">
        <x:v>LMFT</x:v>
      </x:c>
      <x:c r="B21" s="26" t="n">
        <x:v>8</x:v>
      </x:c>
      <x:c r="C21" s="26" t="str">
        <x:v>Family, Couple, Attachment, and Relational Interventions</x:v>
      </x:c>
      <x:c r="D21" s="26" t="str">
        <x:v>0.1</x:v>
      </x:c>
      <x:c r="E21" s="26" t="n">
        <x:v>3835</x:v>
      </x:c>
      <x:c r="F21" s="26" t="n">
        <x:v>7</x:v>
      </x:c>
      <x:c r="G21" s="26" t="n">
        <x:v>10</x:v>
      </x:c>
      <x:c r="H21" s="26" t="n">
        <x:v>0</x:v>
      </x:c>
      <x:c r="I21" s="26" t="n">
        <x:v>10</x:v>
      </x:c>
      <x:c r="J21" s="26" t="n">
        <x:v>2</x:v>
      </x:c>
      <x:c r="K21" s="26" t="n">
        <x:v>8</x:v>
      </x:c>
      <x:c r="L21" s="26" t="n">
        <x:v>0</x:v>
      </x:c>
      <x:c r="M21" s="26" t="n">
        <x:v>0</x:v>
      </x:c>
      <x:c r="N21" s="26" t="str">
        <x:v>No</x:v>
      </x:c>
      <x:c r="O21" s="26" t="str">
        <x:v>Yes</x:v>
      </x:c>
      <x:c r="P21" s="26" t="str">
        <x:v>Yes</x:v>
      </x:c>
      <x:c r="Q21" s="26" t="str">
        <x:v>Yes</x:v>
      </x:c>
      <x:c r="R21" s="26" t="str">
        <x:v>No</x:v>
      </x:c>
      <x:c r="S21" s="26" t="n">
        <x:v>1</x:v>
      </x:c>
      <x:c r="T21" s="26" t="n">
        <x:v>10</x:v>
      </x:c>
      <x:c r="U21" s="26" t="n">
        <x:v>1</x:v>
      </x:c>
      <x:c r="V21" s="26" t="n">
        <x:v>1</x:v>
      </x:c>
      <x:c r="W21" s="26" t="n">
        <x:v>9</x:v>
      </x:c>
      <x:c r="X21" s="26" t="str">
        <x:v>No</x:v>
      </x:c>
      <x:c r="Y21" s="26" t="str">
        <x:v>Yes</x:v>
      </x:c>
      <x:c r="Z21" s="26" t="str">
        <x:v>Major Revision</x:v>
      </x:c>
      <x:c r="AA21" s="26" t="str">
        <x:v>rebalance answer positions (B 8/10); reduce objectives to 3–5; add chapter summary; complete accessibility remediation; remove internal source references</x:v>
      </x:c>
      <x:c r="AB21" s="26" t="str">
        <x:v>CTA_LMFT_WB8_Family_Couple_Attachment_and_Relational_Interventions_Student_Workbook_Draft_v0.1.docx</x:v>
      </x:c>
      <x:c r="AC21" s="26"/>
    </x:row>
    <x:row r="22">
      <x:c r="A22" s="26" t="str">
        <x:v>LMFT</x:v>
      </x:c>
      <x:c r="B22" s="26" t="n">
        <x:v>9</x:v>
      </x:c>
      <x:c r="C22" s="26" t="str">
        <x:v>Trauma, Psychological, Behavioral, and Recovery Interventions</x:v>
      </x:c>
      <x:c r="D22" s="26" t="str">
        <x:v>0.1</x:v>
      </x:c>
      <x:c r="E22" s="26" t="n">
        <x:v>3966</x:v>
      </x:c>
      <x:c r="F22" s="26" t="n">
        <x:v>5</x:v>
      </x:c>
      <x:c r="G22" s="26" t="n">
        <x:v>10</x:v>
      </x:c>
      <x:c r="H22" s="26" t="n">
        <x:v>0</x:v>
      </x:c>
      <x:c r="I22" s="26" t="n">
        <x:v>10</x:v>
      </x:c>
      <x:c r="J22" s="26" t="n">
        <x:v>4</x:v>
      </x:c>
      <x:c r="K22" s="26" t="n">
        <x:v>6</x:v>
      </x:c>
      <x:c r="L22" s="26" t="n">
        <x:v>0</x:v>
      </x:c>
      <x:c r="M22" s="26" t="n">
        <x:v>0</x:v>
      </x:c>
      <x:c r="N22" s="26" t="str">
        <x:v>No</x:v>
      </x:c>
      <x:c r="O22" s="26" t="str">
        <x:v>Yes</x:v>
      </x:c>
      <x:c r="P22" s="26" t="str">
        <x:v>No</x:v>
      </x:c>
      <x:c r="Q22" s="26" t="str">
        <x:v>Yes</x:v>
      </x:c>
      <x:c r="R22" s="26" t="str">
        <x:v>No</x:v>
      </x:c>
      <x:c r="S22" s="26" t="n">
        <x:v>0</x:v>
      </x:c>
      <x:c r="T22" s="26" t="n">
        <x:v>10</x:v>
      </x:c>
      <x:c r="U22" s="26" t="n">
        <x:v>0</x:v>
      </x:c>
      <x:c r="V22" s="26" t="n">
        <x:v>0</x:v>
      </x:c>
      <x:c r="W22" s="26" t="n">
        <x:v>10</x:v>
      </x:c>
      <x:c r="X22" s="26" t="str">
        <x:v>No</x:v>
      </x:c>
      <x:c r="Y22" s="26" t="str">
        <x:v>Yes</x:v>
      </x:c>
      <x:c r="Z22" s="26" t="str">
        <x:v>Revision Required</x:v>
      </x:c>
      <x:c r="AA22" s="26" t="str">
        <x:v>add chapter summary; complete accessibility remediation; remove internal source references</x:v>
      </x:c>
      <x:c r="AB22" s="26" t="str">
        <x:v>CTA_LMFT_WB9_Trauma_Psychological_Behavioral_and_Recovery_Interventions_Student_Workbook_Draft_v0.1.docx</x:v>
      </x:c>
      <x:c r="AC22" s="26"/>
    </x:row>
    <x:row r="23">
      <x:c r="A23" s="26" t="str">
        <x:v>LMFT</x:v>
      </x:c>
      <x:c r="B23" s="26" t="n">
        <x:v>10</x:v>
      </x:c>
      <x:c r="C23" s="26" t="str">
        <x:v>Developmental, Cultural, and Contextual Interventions</x:v>
      </x:c>
      <x:c r="D23" s="26" t="str">
        <x:v>0.1</x:v>
      </x:c>
      <x:c r="E23" s="26" t="n">
        <x:v>3854</x:v>
      </x:c>
      <x:c r="F23" s="26" t="n">
        <x:v>5</x:v>
      </x:c>
      <x:c r="G23" s="26" t="n">
        <x:v>10</x:v>
      </x:c>
      <x:c r="H23" s="26" t="n">
        <x:v>0</x:v>
      </x:c>
      <x:c r="I23" s="26" t="n">
        <x:v>10</x:v>
      </x:c>
      <x:c r="J23" s="26" t="n">
        <x:v>3</x:v>
      </x:c>
      <x:c r="K23" s="26" t="n">
        <x:v>3</x:v>
      </x:c>
      <x:c r="L23" s="26" t="n">
        <x:v>2</x:v>
      </x:c>
      <x:c r="M23" s="26" t="n">
        <x:v>2</x:v>
      </x:c>
      <x:c r="N23" s="26" t="str">
        <x:v>No</x:v>
      </x:c>
      <x:c r="O23" s="26" t="str">
        <x:v>Yes</x:v>
      </x:c>
      <x:c r="P23" s="26" t="str">
        <x:v>No</x:v>
      </x:c>
      <x:c r="Q23" s="26" t="str">
        <x:v>Yes</x:v>
      </x:c>
      <x:c r="R23" s="26" t="str">
        <x:v>No</x:v>
      </x:c>
      <x:c r="S23" s="26" t="n">
        <x:v>0</x:v>
      </x:c>
      <x:c r="T23" s="26" t="n">
        <x:v>9</x:v>
      </x:c>
      <x:c r="U23" s="26" t="n">
        <x:v>0</x:v>
      </x:c>
      <x:c r="V23" s="26" t="n">
        <x:v>0</x:v>
      </x:c>
      <x:c r="W23" s="26" t="n">
        <x:v>9</x:v>
      </x:c>
      <x:c r="X23" s="26" t="str">
        <x:v>No</x:v>
      </x:c>
      <x:c r="Y23" s="26" t="str">
        <x:v>Yes</x:v>
      </x:c>
      <x:c r="Z23" s="26" t="str">
        <x:v>Revision Required</x:v>
      </x:c>
      <x:c r="AA23" s="26" t="str">
        <x:v>add chapter summary; complete accessibility remediation; remove internal source references</x:v>
      </x:c>
      <x:c r="AB23" s="26" t="str">
        <x:v>CTA_LMFT_WB10_Developmental_Cultural_and_Contextual_Interventions_Student_Workbook_Draft_v0.1.docx</x:v>
      </x:c>
      <x:c r="AC23" s="26"/>
    </x:row>
    <x:row r="24">
      <x:c r="A24" s="26" t="str">
        <x:v>LMFT</x:v>
      </x:c>
      <x:c r="B24" s="26" t="n">
        <x:v>11</x:v>
      </x:c>
      <x:c r="C24" s="26" t="str">
        <x:v>Theory, Groups, Referral, and Interdisciplinary Collaboration</x:v>
      </x:c>
      <x:c r="D24" s="26" t="str">
        <x:v>0.1</x:v>
      </x:c>
      <x:c r="E24" s="26" t="n">
        <x:v>3740</x:v>
      </x:c>
      <x:c r="F24" s="26" t="n">
        <x:v>7</x:v>
      </x:c>
      <x:c r="G24" s="26" t="n">
        <x:v>10</x:v>
      </x:c>
      <x:c r="H24" s="26" t="n">
        <x:v>0</x:v>
      </x:c>
      <x:c r="I24" s="26" t="n">
        <x:v>10</x:v>
      </x:c>
      <x:c r="J24" s="26" t="n">
        <x:v>2</x:v>
      </x:c>
      <x:c r="K24" s="26" t="n">
        <x:v>6</x:v>
      </x:c>
      <x:c r="L24" s="26" t="n">
        <x:v>2</x:v>
      </x:c>
      <x:c r="M24" s="26" t="n">
        <x:v>0</x:v>
      </x:c>
      <x:c r="N24" s="26" t="str">
        <x:v>No</x:v>
      </x:c>
      <x:c r="O24" s="26" t="str">
        <x:v>Yes</x:v>
      </x:c>
      <x:c r="P24" s="26" t="str">
        <x:v>Yes</x:v>
      </x:c>
      <x:c r="Q24" s="26" t="str">
        <x:v>Yes</x:v>
      </x:c>
      <x:c r="R24" s="26" t="str">
        <x:v>No</x:v>
      </x:c>
      <x:c r="S24" s="26" t="n">
        <x:v>0</x:v>
      </x:c>
      <x:c r="T24" s="26" t="n">
        <x:v>10</x:v>
      </x:c>
      <x:c r="U24" s="26" t="n">
        <x:v>0</x:v>
      </x:c>
      <x:c r="V24" s="26" t="n">
        <x:v>0</x:v>
      </x:c>
      <x:c r="W24" s="26" t="n">
        <x:v>10</x:v>
      </x:c>
      <x:c r="X24" s="26" t="str">
        <x:v>No</x:v>
      </x:c>
      <x:c r="Y24" s="26" t="str">
        <x:v>Yes</x:v>
      </x:c>
      <x:c r="Z24" s="26" t="str">
        <x:v>Revision Required</x:v>
      </x:c>
      <x:c r="AA24" s="26" t="str">
        <x:v>reduce objectives to 3–5; add chapter summary; complete accessibility remediation; remove internal source references</x:v>
      </x:c>
      <x:c r="AB24" s="26" t="str">
        <x:v>CTA_LMFT_WB11_Theory_Groups_Referral_and_Interdisciplinary_Collaboration_Student_Workbook_Draft_v0.1.docx</x:v>
      </x:c>
      <x:c r="AC24" s="26"/>
    </x:row>
    <x:row r="25">
      <x:c r="A25" s="26" t="str">
        <x:v>LMFT</x:v>
      </x:c>
      <x:c r="B25" s="26" t="n">
        <x:v>12</x:v>
      </x:c>
      <x:c r="C25" s="26" t="str">
        <x:v>California Legal, Ethical, and Professional Practice</x:v>
      </x:c>
      <x:c r="D25" s="26" t="str">
        <x:v>0.1</x:v>
      </x:c>
      <x:c r="E25" s="26" t="n">
        <x:v>3886</x:v>
      </x:c>
      <x:c r="F25" s="26" t="n">
        <x:v>8</x:v>
      </x:c>
      <x:c r="G25" s="26" t="n">
        <x:v>10</x:v>
      </x:c>
      <x:c r="H25" s="26" t="n">
        <x:v>0</x:v>
      </x:c>
      <x:c r="I25" s="26" t="n">
        <x:v>10</x:v>
      </x:c>
      <x:c r="J25" s="26" t="n">
        <x:v>0</x:v>
      </x:c>
      <x:c r="K25" s="26" t="n">
        <x:v>8</x:v>
      </x:c>
      <x:c r="L25" s="26" t="n">
        <x:v>2</x:v>
      </x:c>
      <x:c r="M25" s="26" t="n">
        <x:v>0</x:v>
      </x:c>
      <x:c r="N25" s="26" t="str">
        <x:v>No</x:v>
      </x:c>
      <x:c r="O25" s="26" t="str">
        <x:v>No</x:v>
      </x:c>
      <x:c r="P25" s="26" t="str">
        <x:v>Yes</x:v>
      </x:c>
      <x:c r="Q25" s="26" t="str">
        <x:v>Yes</x:v>
      </x:c>
      <x:c r="R25" s="26" t="str">
        <x:v>No</x:v>
      </x:c>
      <x:c r="S25" s="26" t="n">
        <x:v>0</x:v>
      </x:c>
      <x:c r="T25" s="26" t="n">
        <x:v>11</x:v>
      </x:c>
      <x:c r="U25" s="26" t="n">
        <x:v>0</x:v>
      </x:c>
      <x:c r="V25" s="26" t="n">
        <x:v>0</x:v>
      </x:c>
      <x:c r="W25" s="26" t="n">
        <x:v>11</x:v>
      </x:c>
      <x:c r="X25" s="26" t="str">
        <x:v>No</x:v>
      </x:c>
      <x:c r="Y25" s="26" t="str">
        <x:v>Yes</x:v>
      </x:c>
      <x:c r="Z25" s="26" t="str">
        <x:v>Major Revision</x:v>
      </x:c>
      <x:c r="AA25" s="26" t="str">
        <x:v>rebalance answer positions (B 8/10); reduce objectives to 3–5; add chapter summary; add standard disclaimer; complete accessibility remediation; remove internal source references; complete California legal SME review</x:v>
      </x:c>
      <x:c r="AB25" s="26" t="str">
        <x:v>CTA_LMFT_WB12_California_Legal_Ethical_and_Professional_Practice_Student_Workbook_Draft_v0.1.docx</x:v>
      </x:c>
      <x:c r="AC25" s="26"/>
    </x:row>
  </x:sheetData>
  <x:conditionalFormatting sqref="Z2:Z25">
    <x:cfRule type="expression" dxfId="3" priority="1">
      <x:formula>$Z2="Major Revision"</x:formula>
    </x:cfRule>
    <x:cfRule type="expression" dxfId="4" priority="2">
      <x:formula>$Z2="Revision Required"</x:formula>
    </x:cfRule>
    <x:cfRule type="expression" dxfId="5" priority="3">
      <x:formula>$Z2="Standardize"</x:formula>
    </x:cfRule>
  </x:conditionalFormatting>
  <x:conditionalFormatting sqref="J2:J25"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{8C646E7C-B86A-45B9-1AC4-3C73115519C1}</x14:id>
        </x:ext>
      </x:extLst>
    </x:cfRule>
  </x:conditionalFormatting>
  <x:conditionalFormatting sqref="K2:K25">
    <x:cfRule type="dataBar" priority="5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{18E74CA0-3689-D4B5-9079-5CE32252DA87}</x14:id>
        </x:ext>
      </x:extLst>
    </x:cfRule>
  </x:conditionalFormatting>
  <x:conditionalFormatting sqref="L2:L25">
    <x:cfRule type="dataBar" priority="6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{FCF4B639-7DDD-6B8E-3430-8AE43948CAA3}</x14:id>
        </x:ext>
      </x:extLst>
    </x:cfRule>
  </x:conditionalFormatting>
  <x:conditionalFormatting sqref="M2:M25">
    <x:cfRule type="dataBar" priority="7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{9DDA1E01-7988-5A19-79A8-90FC70100010}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6f1bd24b07c4a4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8C646E7C-B86A-45B9-1AC4-3C73115519C1}">
            <x14:dataBar gradient="1">
              <x14:cfvo type="min"/>
              <x14:cfvo type="max"/>
              <x14:fillColor rgb="FF156082"/>
            </x14:dataBar>
          </x14:cfRule>
          <xm:sqref>J2:J25</xm:sqref>
        </x14:conditionalFormatting>
        <x14:conditionalFormatting>
          <x14:cfRule type="dataBar" priority="5" id="{18E74CA0-3689-D4B5-9079-5CE32252DA87}">
            <x14:dataBar gradient="1">
              <x14:cfvo type="min"/>
              <x14:cfvo type="max"/>
              <x14:fillColor rgb="FF156082"/>
            </x14:dataBar>
          </x14:cfRule>
          <xm:sqref>K2:K25</xm:sqref>
        </x14:conditionalFormatting>
        <x14:conditionalFormatting>
          <x14:cfRule type="dataBar" priority="6" id="{FCF4B639-7DDD-6B8E-3430-8AE43948CAA3}">
            <x14:dataBar gradient="1">
              <x14:cfvo type="min"/>
              <x14:cfvo type="max"/>
              <x14:fillColor rgb="FF156082"/>
            </x14:dataBar>
          </x14:cfRule>
          <xm:sqref>L2:L25</xm:sqref>
        </x14:conditionalFormatting>
        <x14:conditionalFormatting>
          <x14:cfRule type="dataBar" priority="7" id="{9DDA1E01-7988-5A19-79A8-90FC70100010}">
            <x14:dataBar gradient="1">
              <x14:cfvo type="min"/>
              <x14:cfvo type="max"/>
              <x14:fillColor rgb="FF156082"/>
            </x14:dataBar>
          </x14:cfRule>
          <xm:sqref>M2:M25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2" hidden="0" customWidth="1"/>
    <x:col min="4" max="4" width="42" hidden="0" customWidth="1"/>
    <x:col min="5" max="5" width="58" hidden="0" customWidth="1"/>
    <x:col min="6" max="6" width="25" hidden="0" customWidth="1"/>
    <x:col min="7" max="7" width="58" hidden="0" customWidth="1"/>
    <x:col min="8" max="8" width="52" hidden="0" customWidth="1"/>
    <x:col min="9" max="9" width="15" hidden="0" customWidth="1"/>
    <x:col min="10" max="10" width="14" hidden="0" customWidth="1"/>
  </x:cols>
  <x:sheetData>
    <x:row r="1">
      <x:c r="A1" s="20" t="str">
        <x:v>ID</x:v>
      </x:c>
      <x:c r="B1" s="20" t="str">
        <x:v>Priority</x:v>
      </x:c>
      <x:c r="C1" s="20" t="str">
        <x:v>Category</x:v>
      </x:c>
      <x:c r="D1" s="20" t="str">
        <x:v>Finding</x:v>
      </x:c>
      <x:c r="E1" s="20" t="str">
        <x:v>Evidence</x:v>
      </x:c>
      <x:c r="F1" s="20" t="str">
        <x:v>Affected</x:v>
      </x:c>
      <x:c r="G1" s="20" t="str">
        <x:v>Required Action</x:v>
      </x:c>
      <x:c r="H1" s="20" t="str">
        <x:v>Acceptance Criterion</x:v>
      </x:c>
      <x:c r="I1" s="20" t="str">
        <x:v>Owner</x:v>
      </x:c>
      <x:c r="J1" s="20" t="str">
        <x:v>Status</x:v>
      </x:c>
    </x:row>
    <x:row r="2">
      <x:c r="A2" s="26" t="str">
        <x:v>F-01</x:v>
      </x:c>
      <x:c r="B2" s="26" t="str">
        <x:v>Critical</x:v>
      </x:c>
      <x:c r="C2" s="26" t="str">
        <x:v>Assessment integrity</x:v>
      </x:c>
      <x:c r="D2" s="26" t="str">
        <x:v>Correct-answer positions are highly predictable across the 255-question set.</x:v>
      </x:c>
      <x:c r="E2" s="26" t="str">
        <x:v>Overall keys: A 45 (17.6%), B 160 (62.7%), C 46 (18.0%), D 4 (1.6%). Among 223 four-option items, B is correct 134 times and D only 4 times. LCSW WB6 keys all 10 items as B; LCSW WB12 keys 23 of 25 as B.</x:v>
      </x:c>
      <x:c r="F2" s="26" t="str">
        <x:v>All question sets; highest risk in LCSW WB6 and WB12.</x:v>
      </x:c>
      <x:c r="G2" s="26" t="str">
        <x:v>Reorder or rewrite answer options and revalidate every rationale. Balance answer positions within each workbook and across mocks without creating a visible pattern.</x:v>
      </x:c>
      <x:c r="H2" s="26" t="str">
        <x:v>No workbook has a dominant answer position above 40% unless statistically justified; full banks pass answer-position and sequence-pattern checks.</x:v>
      </x:c>
      <x:c r="I2" s="26" t="str"/>
      <x:c r="J2" s="26" t="str">
        <x:v>Open</x:v>
      </x:c>
    </x:row>
    <x:row r="3">
      <x:c r="A3" s="26" t="str">
        <x:v>F-02</x:v>
      </x:c>
      <x:c r="B3" s="26" t="str">
        <x:v>Critical</x:v>
      </x:c>
      <x:c r="C3" s="26" t="str">
        <x:v>Assessment product scope</x:v>
      </x:c>
      <x:c r="D3" s="26" t="str">
        <x:v>The content workbooks do not yet constitute the complete CTA assessment system.</x:v>
      </x:c>
      <x:c r="E3" s="26" t="str">
        <x:v>The suite contains 120 LMFT questions and 135 LCSW questions. There are no 50-question workbook examinations, no 150-question LMFT simulation, and no 122-question LCSW simulation. LCSW WB12 contains a clearly labeled 25-question mini-mock.</x:v>
      </x:c>
      <x:c r="F3" s="26" t="str">
        <x:v>Both programs.</x:v>
      </x:c>
      <x:c r="G3" s="26" t="str">
        <x:v>Build tagged question banks, workbook examinations, and current-format full-length mock exams. Amend CTA standards so clinical mock lengths match each official exam rather than the 75-question Law and Ethics standard.</x:v>
      </x:c>
      <x:c r="H3" s="26" t="str">
        <x:v>Each program has an approved item bank, blueprint-weighted workbook exams, and at least two full-length simulations matching current official structure.</x:v>
      </x:c>
      <x:c r="I3" s="26" t="str"/>
      <x:c r="J3" s="26" t="str">
        <x:v>Open</x:v>
      </x:c>
    </x:row>
    <x:row r="4">
      <x:c r="A4" s="26" t="str">
        <x:v>F-03</x:v>
      </x:c>
      <x:c r="B4" s="26" t="str">
        <x:v>High</x:v>
      </x:c>
      <x:c r="C4" s="26" t="str">
        <x:v>Blueprint traceability</x:v>
      </x:c>
      <x:c r="D4" s="26" t="str">
        <x:v>The master crosswalk dashboards are administratively stale.</x:v>
      </x:c>
      <x:c r="E4" s="26" t="str">
        <x:v>The LMFT crosswalk still reports 124 tasks as 'Mapped - Not Drafted.' The dual-program dashboard still reports 64 topics as 'Mapped - Not Drafted' and zero adaptations complete.</x:v>
      </x:c>
      <x:c r="F4" s="26" t="str">
        <x:v>LMFT Master Content Crosswalk v1.0 and Dual-Development Crosswalk v1.2.</x:v>
      </x:c>
      <x:c r="G4" s="26" t="str">
        <x:v>Update every task/topic with workbook, section heading, page evidence, question IDs, source status, reviewer, and completion status.</x:v>
      </x:c>
      <x:c r="H4" s="26" t="str">
        <x:v>All official LMFT tasks and all LCSW applied-knowledge statements have auditable evidence links and review status.</x:v>
      </x:c>
      <x:c r="I4" s="26" t="str"/>
      <x:c r="J4" s="26" t="str">
        <x:v>Open</x:v>
      </x:c>
    </x:row>
    <x:row r="5">
      <x:c r="A5" s="26" t="str">
        <x:v>F-04</x:v>
      </x:c>
      <x:c r="B5" s="26" t="str">
        <x:v>High</x:v>
      </x:c>
      <x:c r="C5" s="26" t="str">
        <x:v>Accessibility</x:v>
      </x:c>
      <x:c r="D5" s="26" t="str">
        <x:v>The current drafts need a coordinated accessibility remediation pass.</x:v>
      </x:c>
      <x:c r="E5" s="26" t="str">
        <x:v>Automated audit identified 20 missing image-alt instances, 14 heading-level skips, and 300 table structures without marked header rows. The table count includes layout/callout tables and therefore requires classification, not blanket header assignment.</x:v>
      </x:c>
      <x:c r="F5" s="26" t="str">
        <x:v>All 24 workbooks.</x:v>
      </x:c>
      <x:c r="G5" s="26" t="str">
        <x:v>Add meaningful logo/image alt text, correct heading hierarchy, mark true data-table headers, convert or appropriately classify layout tables, verify reading order and hyperlinks, and rerun the audit.</x:v>
      </x:c>
      <x:c r="H5" s="26" t="str">
        <x:v>Zero high-severity accessibility findings and documented resolution of every remaining table finding.</x:v>
      </x:c>
      <x:c r="I5" s="26" t="str"/>
      <x:c r="J5" s="26" t="str">
        <x:v>Open</x:v>
      </x:c>
    </x:row>
    <x:row r="6">
      <x:c r="A6" s="26" t="str">
        <x:v>F-05</x:v>
      </x:c>
      <x:c r="B6" s="26" t="str">
        <x:v>High</x:v>
      </x:c>
      <x:c r="C6" s="26" t="str">
        <x:v>CTA standards</x:v>
      </x:c>
      <x:c r="D6" s="26" t="str">
        <x:v>Workbook structure is not fully standardized to the CTA Exam Preparation Chapter Standards.</x:v>
      </x:c>
      <x:c r="E6" s="26" t="str">
        <x:v>Nineteen workbooks exceed the stated 3–5 objective standard; 16 lack an explicit Chapter Summary; one lacks an explicitly labeled memory aid. All have knowledge checks and detailed rationales.</x:v>
      </x:c>
      <x:c r="F6" s="26" t="str">
        <x:v>Most workbooks.</x:v>
      </x:c>
      <x:c r="G6" s="26" t="str">
        <x:v>Choose one consistent workbook standard: either reduce objectives and add summaries or formally revise the CTA standard for multi-topic workbooks. Add explicit high-yield memory and summary sections consistently.</x:v>
      </x:c>
      <x:c r="H6" s="26" t="str">
        <x:v>Every workbook passes a single approved structure checklist.</x:v>
      </x:c>
      <x:c r="I6" s="26" t="str"/>
      <x:c r="J6" s="26" t="str">
        <x:v>Open</x:v>
      </x:c>
    </x:row>
    <x:row r="7">
      <x:c r="A7" s="26" t="str">
        <x:v>F-06</x:v>
      </x:c>
      <x:c r="B7" s="26" t="str">
        <x:v>High</x:v>
      </x:c>
      <x:c r="C7" s="26" t="str">
        <x:v>Publishing controls</x:v>
      </x:c>
      <x:c r="D7" s="26" t="str">
        <x:v>Internal development language remains in student-facing drafts.</x:v>
      </x:c>
      <x:c r="E7" s="26" t="str">
        <x:v>Twenty-two workbooks cite Shared Core/internal development files in student source notes; 20 contain a PUBLICATION CONTROL note. All 24 include 'For CTA review before publication.'</x:v>
      </x:c>
      <x:c r="F7" s="26" t="str">
        <x:v>Most workbooks.</x:v>
      </x:c>
      <x:c r="G7" s="26" t="str">
        <x:v>Create separate student and admin editions. Remove internal file names and production notes from the student edition; retain them in a controlled source register.</x:v>
      </x:c>
      <x:c r="H7" s="26" t="str">
        <x:v>Student files contain only learner-facing content and public source notes; admin files retain version and verification controls.</x:v>
      </x:c>
      <x:c r="I7" s="26" t="str"/>
      <x:c r="J7" s="26" t="str">
        <x:v>Open</x:v>
      </x:c>
    </x:row>
    <x:row r="8">
      <x:c r="A8" s="26" t="str">
        <x:v>F-07</x:v>
      </x:c>
      <x:c r="B8" s="26" t="str">
        <x:v>Medium</x:v>
      </x:c>
      <x:c r="C8" s="26" t="str">
        <x:v>Brand and legal notices</x:v>
      </x:c>
      <x:c r="D8" s="26" t="str">
        <x:v>Cover naming and non-affiliation language are inconsistent.</x:v>
      </x:c>
      <x:c r="E8" s="26" t="str">
        <x:v>Seventeen of 24 covers use the canonical program name; only 8 of 24 contain an explicit non-affiliation statement.</x:v>
      </x:c>
      <x:c r="F8" s="26" t="str">
        <x:v>Seven covers and 16 disclaimers.</x:v>
      </x:c>
      <x:c r="G8" s="26" t="str">
        <x:v>Apply one cover template and one counsel-approved disclaimer to every workbook.</x:v>
      </x:c>
      <x:c r="H8" s="26" t="str">
        <x:v>All covers and notices match the approved program template.</x:v>
      </x:c>
      <x:c r="I8" s="26" t="str"/>
      <x:c r="J8" s="26" t="str">
        <x:v>Open</x:v>
      </x:c>
    </x:row>
    <x:row r="9">
      <x:c r="A9" s="26" t="str">
        <x:v>F-08</x:v>
      </x:c>
      <x:c r="B9" s="26" t="str">
        <x:v>Medium</x:v>
      </x:c>
      <x:c r="C9" s="26" t="str">
        <x:v>Navigation and metadata</x:v>
      </x:c>
      <x:c r="D9" s="26" t="str">
        <x:v>Final-publication navigation and file metadata are incomplete.</x:v>
      </x:c>
      <x:c r="E9" s="26" t="str">
        <x:v>All 24 include page numbers, but none contains a table of contents. Four files list 'python-docx' as creator, and all retain a 2013 template creation date.</x:v>
      </x:c>
      <x:c r="F9" s="26" t="str">
        <x:v>All 24 workbooks.</x:v>
      </x:c>
      <x:c r="G9" s="26" t="str">
        <x:v>Add a static or updateable TOC where appropriate, create accessible hyperlinks, set CTA author/title/subject metadata, and scrub template metadata.</x:v>
      </x:c>
      <x:c r="H9" s="26" t="str">
        <x:v>Metadata, navigation, and link checks pass the publication checklist.</x:v>
      </x:c>
      <x:c r="I9" s="26" t="str"/>
      <x:c r="J9" s="26" t="str">
        <x:v>Open</x:v>
      </x:c>
    </x:row>
    <x:row r="10">
      <x:c r="A10" s="26" t="str">
        <x:v>F-09</x:v>
      </x:c>
      <x:c r="B10" s="26" t="str">
        <x:v>Medium</x:v>
      </x:c>
      <x:c r="C10" s="26" t="str">
        <x:v>Question-bank governance</x:v>
      </x:c>
      <x:c r="D10" s="26" t="str">
        <x:v>Student files do not carry admin item metadata needed for quality control.</x:v>
      </x:c>
      <x:c r="E10" s="26" t="str">
        <x:v>No Question ID, difficulty, primary concept, cognitive type, blueprint tag, source status, or item-review field appears in the current files.</x:v>
      </x:c>
      <x:c r="F10" s="26" t="str">
        <x:v>All 255 questions.</x:v>
      </x:c>
      <x:c r="G10" s="26" t="str">
        <x:v>Move every item into a controlled admin question bank with IDs and tags; keep the student presentation clean.</x:v>
      </x:c>
      <x:c r="H10" s="26" t="str">
        <x:v>Every item has a unique ID, blueprint mapping, cognitive level, difficulty, key, rationale, reviewer, version, and use history.</x:v>
      </x:c>
      <x:c r="I10" s="26" t="str"/>
      <x:c r="J10" s="26" t="str">
        <x:v>Open</x:v>
      </x:c>
    </x:row>
    <x:row r="11">
      <x:c r="A11" s="26" t="str">
        <x:v>F-10</x:v>
      </x:c>
      <x:c r="B11" s="26" t="str">
        <x:v>Medium</x:v>
      </x:c>
      <x:c r="C11" s="26" t="str">
        <x:v>Duplication</x:v>
      </x:c>
      <x:c r="D11" s="26" t="str">
        <x:v>One high-similarity item appears within the LCSW program.</x:v>
      </x:c>
      <x:c r="E11" s="26" t="str">
        <x:v>LCSW WB11 Q10 and LCSW WB12 Q25 both use a clinic with long intake delays and lower completion among clients needing interpreters.</x:v>
      </x:c>
      <x:c r="F11" s="26" t="str">
        <x:v>LCSW WB11 and WB12.</x:v>
      </x:c>
      <x:c r="G11" s="26" t="str">
        <x:v>Rewrite one item so the integrated mock tests transfer rather than recognition.</x:v>
      </x:c>
      <x:c r="H11" s="26" t="str">
        <x:v>No unintended near-duplicate stems appear within a program’s scored practice set.</x:v>
      </x:c>
      <x:c r="I11" s="26" t="str"/>
      <x:c r="J11" s="26" t="str">
        <x:v>Open</x:v>
      </x:c>
    </x:row>
    <x:row r="12">
      <x:c r="A12" s="26" t="str">
        <x:v>F-11</x:v>
      </x:c>
      <x:c r="B12" s="26" t="str">
        <x:v>Medium</x:v>
      </x:c>
      <x:c r="C12" s="26" t="str">
        <x:v>LCSW option format</x:v>
      </x:c>
      <x:c r="D12" s="26" t="str">
        <x:v>The LCSW practice mix is only partly aligned with the redesigned three- and four-option format.</x:v>
      </x:c>
      <x:c r="E12" s="26" t="str">
        <x:v>Across 135 LCSW items, 32 use three options and 103 use four. The 25-question mini-mock uses a stronger three-option mix, but most workbook checks are exclusively four-option.</x:v>
      </x:c>
      <x:c r="F12" s="26" t="str">
        <x:v>LCSW workbooks and future banks.</x:v>
      </x:c>
      <x:c r="G12" s="26" t="str">
        <x:v>Set an intentional option-format plan based on the current ASWB format, without inventing an unsupported exact percentage.</x:v>
      </x:c>
      <x:c r="H12" s="26" t="str">
        <x:v>Workbook exams and full mocks contain a documented, varied three-/four-option mix and pass item-review checks.</x:v>
      </x:c>
      <x:c r="I12" s="26" t="str"/>
      <x:c r="J12" s="26" t="str">
        <x:v>Open</x:v>
      </x:c>
    </x:row>
    <x:row r="13">
      <x:c r="A13" s="26" t="str">
        <x:v>F-12</x:v>
      </x:c>
      <x:c r="B13" s="26" t="str">
        <x:v>Medium</x:v>
      </x:c>
      <x:c r="C13" s="26" t="str">
        <x:v>Legal and source verification</x:v>
      </x:c>
      <x:c r="D13" s="26" t="str">
        <x:v>Current official baselines are correctly reflected, but final release still requires formal source signoff.</x:v>
      </x:c>
      <x:c r="E13" s="26" t="str">
        <x:v>ASWB facts in WB1/WB12 match the 2026 guidebook. LMFT WB1 matches the current Pearson/BBS structure. Spot checks of LMFT WB6 and WB12 found cautious, source-aligned statements regarding child reporting, elder/dependent-adult reporting, duty to protect, Section 5150 authority, subpoenas, and privilege.</x:v>
      </x:c>
      <x:c r="F13" s="26" t="str">
        <x:v>All source-sensitive content, especially LMFT WB6 and WB12.</x:v>
      </x:c>
      <x:c r="G13" s="26" t="str">
        <x:v>Complete line-by-line clinical and California legal SME review and date-stamp the source register immediately before v1.0 publication.</x:v>
      </x:c>
      <x:c r="H13" s="26" t="str">
        <x:v>Each source-sensitive statement has an approved citation, reviewer, review date, and update trigger.</x:v>
      </x:c>
      <x:c r="I13" s="26" t="str"/>
      <x:c r="J13" s="26" t="str">
        <x:v>Open</x:v>
      </x:c>
    </x:row>
  </x:sheetData>
  <x:conditionalFormatting sqref="B2:B13">
    <x:cfRule type="expression" dxfId="6" priority="1">
      <x:formula>B2="Critical"</x:formula>
    </x:cfRule>
    <x:cfRule type="expression" dxfId="7" priority="2">
      <x:formula>B2="High"</x:formula>
    </x:cfRule>
  </x:conditionalFormatting>
  <x:dataValidations count="1">
    <x:dataValidation type="list" sqref="J2:J13">
      <x:formula1>"Open,In Progress,Blocked,Ready for Review,Closed"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636d3104d648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" hidden="0" customWidth="1"/>
    <x:col min="3" max="3" width="30" hidden="0" customWidth="1"/>
    <x:col min="4" max="4" width="62" hidden="0" customWidth="1"/>
    <x:col min="5" max="5" width="38" hidden="0" customWidth="1"/>
    <x:col min="6" max="6" width="16" hidden="0" customWidth="1"/>
    <x:col min="7" max="7" width="17" hidden="0" customWidth="1"/>
  </x:cols>
  <x:sheetData>
    <x:row r="1">
      <x:c r="A1" s="20" t="str">
        <x:v>Sequence</x:v>
      </x:c>
      <x:c r="B1" s="20" t="str">
        <x:v>Workstream</x:v>
      </x:c>
      <x:c r="C1" s="20" t="str">
        <x:v>Scope</x:v>
      </x:c>
      <x:c r="D1" s="20" t="str">
        <x:v>Required Output</x:v>
      </x:c>
      <x:c r="E1" s="20" t="str">
        <x:v>Gate</x:v>
      </x:c>
      <x:c r="F1" s="20" t="str">
        <x:v>Owner</x:v>
      </x:c>
      <x:c r="G1" s="20" t="str">
        <x:v>Status</x:v>
      </x:c>
    </x:row>
    <x:row r="2">
      <x:c r="A2" s="26" t="n">
        <x:v>1</x:v>
      </x:c>
      <x:c r="B2" s="26" t="str">
        <x:v>Global template and student/admin split</x:v>
      </x:c>
      <x:c r="C2" s="26" t="str">
        <x:v>All 24 workbooks</x:v>
      </x:c>
      <x:c r="D2" s="26" t="str">
        <x:v>Standard cover, disclaimer, 3–5 objectives or approved revised standard, chapter summary, learner-only source notes, TOC/navigation, metadata.</x:v>
      </x:c>
      <x:c r="E2" s="26" t="str">
        <x:v>Template QA approved.</x:v>
      </x:c>
      <x:c r="F2" s="26" t="str"/>
      <x:c r="G2" s="26" t="str">
        <x:v>Not Started</x:v>
      </x:c>
    </x:row>
    <x:row r="3">
      <x:c r="A3" s="26" t="n">
        <x:v>2</x:v>
      </x:c>
      <x:c r="B3" s="26" t="str">
        <x:v>Accessibility remediation</x:v>
      </x:c>
      <x:c r="C3" s="26" t="str">
        <x:v>All 24 workbooks</x:v>
      </x:c>
      <x:c r="D3" s="26" t="str">
        <x:v>Alt text, corrected heading hierarchy, classified data/layout tables, link/read-order review.</x:v>
      </x:c>
      <x:c r="E3" s="26" t="str">
        <x:v>Zero high-severity findings.</x:v>
      </x:c>
      <x:c r="F3" s="26" t="str"/>
      <x:c r="G3" s="26" t="str">
        <x:v>Not Started</x:v>
      </x:c>
    </x:row>
    <x:row r="4">
      <x:c r="A4" s="26" t="n">
        <x:v>3</x:v>
      </x:c>
      <x:c r="B4" s="26" t="str">
        <x:v>Question-bank normalization</x:v>
      </x:c>
      <x:c r="C4" s="26" t="str">
        <x:v>All 255 current items</x:v>
      </x:c>
      <x:c r="D4" s="26" t="str">
        <x:v>Unique IDs, tags, balanced key positions, option-format plan, duplicate check, rationale revalidation.</x:v>
      </x:c>
      <x:c r="E4" s="26" t="str">
        <x:v>Assessment QA report approved.</x:v>
      </x:c>
      <x:c r="F4" s="26" t="str"/>
      <x:c r="G4" s="26" t="str">
        <x:v>Not Started</x:v>
      </x:c>
    </x:row>
    <x:row r="5">
      <x:c r="A5" s="26" t="n">
        <x:v>4</x:v>
      </x:c>
      <x:c r="B5" s="26" t="str">
        <x:v>Blueprint evidence mapping</x:v>
      </x:c>
      <x:c r="C5" s="26" t="str">
        <x:v>124 LMFT tasks and 2026 LCSW Clinical applied-knowledge statements</x:v>
      </x:c>
      <x:c r="D5" s="26" t="str">
        <x:v>Page/section/question/source evidence map with reviewer status.</x:v>
      </x:c>
      <x:c r="E5" s="26" t="str">
        <x:v>100% mapped and reviewed.</x:v>
      </x:c>
      <x:c r="F5" s="26" t="str"/>
      <x:c r="G5" s="26" t="str">
        <x:v>Not Started</x:v>
      </x:c>
    </x:row>
    <x:row r="6">
      <x:c r="A6" s="26" t="n">
        <x:v>5</x:v>
      </x:c>
      <x:c r="B6" s="26" t="str">
        <x:v>Clinical and legal SME review</x:v>
      </x:c>
      <x:c r="C6" s="26" t="str">
        <x:v>All workbooks; focused review of LMFT WB6/WB12 and diagnosis/medication content</x:v>
      </x:c>
      <x:c r="D6" s="26" t="str">
        <x:v>Signed source and accuracy review log.</x:v>
      </x:c>
      <x:c r="E6" s="26" t="str">
        <x:v>No unresolved high-risk comments.</x:v>
      </x:c>
      <x:c r="F6" s="26" t="str"/>
      <x:c r="G6" s="26" t="str">
        <x:v>Not Started</x:v>
      </x:c>
    </x:row>
    <x:row r="7">
      <x:c r="A7" s="26" t="n">
        <x:v>6</x:v>
      </x:c>
      <x:c r="B7" s="26" t="str">
        <x:v>Assessment product build</x:v>
      </x:c>
      <x:c r="C7" s="26" t="str">
        <x:v>Both programs</x:v>
      </x:c>
      <x:c r="D7" s="26" t="str">
        <x:v>Workbook exams, expanded question banks, LMFT 150-question mocks, LCSW 122-question mocks, scoring/error-analysis tools.</x:v>
      </x:c>
      <x:c r="E7" s="26" t="str">
        <x:v>Blueprint and psychometric QA complete.</x:v>
      </x:c>
      <x:c r="F7" s="26" t="str"/>
      <x:c r="G7" s="26" t="str">
        <x:v>Not Started</x:v>
      </x:c>
    </x:row>
    <x:row r="8">
      <x:c r="A8" s="26" t="n">
        <x:v>7</x:v>
      </x:c>
      <x:c r="B8" s="26" t="str">
        <x:v>Final production</x:v>
      </x:c>
      <x:c r="C8" s="26" t="str">
        <x:v>All deliverables</x:v>
      </x:c>
      <x:c r="D8" s="26" t="str">
        <x:v>Approved v1.0 DOCX/PDF student editions and admin masters.</x:v>
      </x:c>
      <x:c r="E8" s="26" t="str">
        <x:v>Final render, accessibility, source, metadata, and version-control signoff.</x:v>
      </x:c>
      <x:c r="F8" s="26" t="str"/>
      <x:c r="G8" s="26" t="str">
        <x:v>Not Started</x:v>
      </x:c>
    </x:row>
  </x:sheetData>
  <x:dataValidations count="1">
    <x:dataValidation type="list" sqref="G2:G8">
      <x:formula1>"Not Started,In Progress,Blocked,Ready for Review,Complete"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4793d1c4b94c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8" hidden="0" customWidth="1"/>
    <x:col min="3" max="3" width="72" hidden="0" customWidth="1"/>
    <x:col min="4" max="4" width="60" hidden="0" customWidth="1"/>
    <x:col min="5" max="5" width="36" hidden="0" customWidth="1"/>
    <x:col min="6" max="6" width="18" hidden="0" customWidth="1"/>
    <x:col min="7" max="7" width="15" hidden="0" customWidth="1"/>
    <x:col min="8" max="8" width="18" hidden="0" customWidth="1"/>
  </x:cols>
  <x:sheetData>
    <x:row r="1">
      <x:c r="A1" s="20" t="str">
        <x:v>Source</x:v>
      </x:c>
      <x:c r="B1" s="20" t="str">
        <x:v>Version / Date</x:v>
      </x:c>
      <x:c r="C1" s="20" t="str">
        <x:v>Verified Facts</x:v>
      </x:c>
      <x:c r="D1" s="20" t="str">
        <x:v>URL</x:v>
      </x:c>
      <x:c r="E1" s="20" t="str">
        <x:v>Recheck</x:v>
      </x:c>
      <x:c r="F1" s="20" t="str">
        <x:v>Reviewer</x:v>
      </x:c>
      <x:c r="G1" s="20" t="str">
        <x:v>Review Date</x:v>
      </x:c>
      <x:c r="H1" s="20" t="str">
        <x:v>Status</x:v>
      </x:c>
    </x:row>
    <x:row r="2">
      <x:c r="A2" s="26" t="str">
        <x:v>ASWB Examination Guidebook — 2026 Blueprints</x:v>
      </x:c>
      <x:c r="B2" s="26" t="str">
        <x:v>Published May 2026; exams on/after Aug. 3, 2026</x:v>
      </x:c>
      <x:c r="C2" s="26" t="str">
        <x:v>Clinical exam: 122 total, 12 unscored, 110 scored; four hours; two 61-question sections; 36% Values and Ethics, 32% Assessment and Planning, 32% Intervention and Practice; three- and four-option questions.</x:v>
      </x:c>
      <x:c r="D2" s="26" t="str">
        <x:v>https://www.aswb.org/wp-content/uploads/2026/05/2026-Social-Work-Licensing-Exam-Guidebook-5.4.2026.pdf</x:v>
      </x:c>
      <x:c r="E2" s="26" t="str">
        <x:v>Before release and at least annually.</x:v>
      </x:c>
      <x:c r="F2" s="26" t="str"/>
      <x:c r="G2" s="26" t="str"/>
      <x:c r="H2" s="26" t="str">
        <x:v>Current Baseline</x:v>
      </x:c>
    </x:row>
    <x:row r="3">
      <x:c r="A3" s="26" t="str">
        <x:v>ASWB 2026 Exam Transition</x:v>
      </x:c>
      <x:c r="B3" s="26" t="str">
        <x:v>Current July 2026</x:v>
      </x:c>
      <x:c r="C3" s="26" t="str">
        <x:v>Redesigned exams begin August 3, 2026; 122 total questions including 12 unscored.</x:v>
      </x:c>
      <x:c r="D3" s="26" t="str">
        <x:v>https://www.aswb.org/2026exams/</x:v>
      </x:c>
      <x:c r="E3" s="26" t="str">
        <x:v>After launch and before marketing updates.</x:v>
      </x:c>
      <x:c r="F3" s="26" t="str"/>
      <x:c r="G3" s="26" t="str"/>
      <x:c r="H3" s="26" t="str">
        <x:v>Current Baseline</x:v>
      </x:c>
    </x:row>
    <x:row r="4">
      <x:c r="A4" s="26" t="str">
        <x:v>California BBS LMFT Clinical Exam Page / Pearson Candidate Handbook</x:v>
      </x:c>
      <x:c r="B4" s="26" t="str">
        <x:v>BBS current page; Pearson handbook July 2026</x:v>
      </x:c>
      <x:c r="C4" s="26" t="str">
        <x:v>LMFT Clinical is a separate required exam; current handbook lists 125 scored questions, 25 pretest questions, and 240 minutes.</x:v>
      </x:c>
      <x:c r="D4" s="26" t="str">
        <x:v>https://www.bbs.ca.gov/exams/lmft.html</x:v>
      </x:c>
      <x:c r="E4" s="26" t="str">
        <x:v>Before release and whenever Pearson/BBS updates the handbook.</x:v>
      </x:c>
      <x:c r="F4" s="26" t="str"/>
      <x:c r="G4" s="26" t="str"/>
      <x:c r="H4" s="26" t="str">
        <x:v>Current Baseline</x:v>
      </x:c>
    </x:row>
    <x:row r="5">
      <x:c r="A5" s="26" t="str">
        <x:v>California BBS Statutes and Regulations</x:v>
      </x:c>
      <x:c r="B5" s="26" t="str">
        <x:v>January 1, 2026 compilation</x:v>
      </x:c>
      <x:c r="C5" s="26" t="str">
        <x:v>Current BBS statutory/regulatory baseline for LMFT practice and professional obligations.</x:v>
      </x:c>
      <x:c r="D5" s="26" t="str">
        <x:v>https://www.bbs.ca.gov/pdf/publications/lawsregs.pdf</x:v>
      </x:c>
      <x:c r="E5" s="26" t="str">
        <x:v>Immediately before release and after every California legislative/regulatory update.</x:v>
      </x:c>
      <x:c r="F5" s="26" t="str"/>
      <x:c r="G5" s="26" t="str"/>
      <x:c r="H5" s="26" t="str">
        <x:v>Current Baseline</x:v>
      </x:c>
    </x:row>
    <x:row r="6">
      <x:c r="A6" s="26" t="str">
        <x:v>California BBS Law and Regulation Updates</x:v>
      </x:c>
      <x:c r="B6" s="26" t="str">
        <x:v>Current web page</x:v>
      </x:c>
      <x:c r="C6" s="26" t="str">
        <x:v>Publication and maintenance trigger for new statutes, regulations, and guidance.</x:v>
      </x:c>
      <x:c r="D6" s="26" t="str">
        <x:v>https://www.bbs.ca.gov/about/law_reg.html</x:v>
      </x:c>
      <x:c r="E6" s="26" t="str">
        <x:v>Quarterly during development; before every annual edition.</x:v>
      </x:c>
      <x:c r="F6" s="26" t="str"/>
      <x:c r="G6" s="26" t="str"/>
      <x:c r="H6" s="26" t="str">
        <x:v>Current Baseline</x:v>
      </x:c>
    </x:row>
  </x:sheetData>
  <x:dataValidations count="1">
    <x:dataValidation type="list" sqref="H2:H6">
      <x:formula1>"Current Baseline,Needs Recheck,Reviewed,Superseded"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fe9a8ef01445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52" hidden="0" customWidth="1"/>
    <x:col min="4" max="4" width="11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8" hidden="0" customWidth="1"/>
    <x:col min="10" max="10" width="15" hidden="0" customWidth="1"/>
    <x:col min="11" max="11" width="13" hidden="0" customWidth="1"/>
  </x:cols>
  <x:sheetData>
    <x:row r="1">
      <x:c r="A1" s="20" t="str">
        <x:v>Program</x:v>
      </x:c>
      <x:c r="B1" s="20" t="str">
        <x:v>Workbook</x:v>
      </x:c>
      <x:c r="C1" s="20" t="str">
        <x:v>Title</x:v>
      </x:c>
      <x:c r="D1" s="20" t="str">
        <x:v>Questions</x:v>
      </x:c>
      <x:c r="E1" s="20" t="str">
        <x:v>A</x:v>
      </x:c>
      <x:c r="F1" s="20" t="str">
        <x:v>B</x:v>
      </x:c>
      <x:c r="G1" s="20" t="str">
        <x:v>C</x:v>
      </x:c>
      <x:c r="H1" s="20" t="str">
        <x:v>D</x:v>
      </x:c>
      <x:c r="I1" s="20" t="str">
        <x:v>Dominant Position</x:v>
      </x:c>
      <x:c r="J1" s="20" t="str">
        <x:v>Dominant Share</x:v>
      </x:c>
      <x:c r="K1" s="20" t="str">
        <x:v>Risk Flag</x:v>
      </x:c>
    </x:row>
    <x:row r="2">
      <x:c r="A2" s="26" t="str">
        <x:v>LCSW</x:v>
      </x:c>
      <x:c r="B2" s="26" t="n">
        <x:v>1</x:v>
      </x:c>
      <x:c r="C2" s="26" t="str">
        <x:v>ASWB Exam Strategy and Applied Reasoning</x:v>
      </x:c>
      <x:c r="D2" s="26" t="n">
        <x:v>10</x:v>
      </x:c>
      <x:c r="E2" s="26" t="n">
        <x:v>1</x:v>
      </x:c>
      <x:c r="F2" s="26" t="n">
        <x:v>7</x:v>
      </x:c>
      <x:c r="G2" s="26" t="n">
        <x:v>2</x:v>
      </x:c>
      <x:c r="H2" s="26" t="n">
        <x:v>0</x:v>
      </x:c>
      <x:c r="I2" s="26" t="str">
        <x:v>B</x:v>
      </x:c>
      <x:c r="J2" s="32" t="n">
        <x:v>0.7</x:v>
      </x:c>
      <x:c r="K2" s="26" t="str">
        <x:v>High</x:v>
      </x:c>
    </x:row>
    <x:row r="3">
      <x:c r="A3" s="26" t="str">
        <x:v>LCSW</x:v>
      </x:c>
      <x:c r="B3" s="26" t="n">
        <x:v>2</x:v>
      </x:c>
      <x:c r="C3" s="26" t="str">
        <x:v>Values, Ethics, Self-Determination, and Social Justice</x:v>
      </x:c>
      <x:c r="D3" s="26" t="n">
        <x:v>10</x:v>
      </x:c>
      <x:c r="E3" s="26" t="n">
        <x:v>0</x:v>
      </x:c>
      <x:c r="F3" s="26" t="n">
        <x:v>5</x:v>
      </x:c>
      <x:c r="G3" s="26" t="n">
        <x:v>5</x:v>
      </x:c>
      <x:c r="H3" s="26" t="n">
        <x:v>0</x:v>
      </x:c>
      <x:c r="I3" s="26" t="str">
        <x:v>B</x:v>
      </x:c>
      <x:c r="J3" s="32" t="n">
        <x:v>0.5</x:v>
      </x:c>
      <x:c r="K3" s="26" t="str">
        <x:v>Acceptable</x:v>
      </x:c>
    </x:row>
    <x:row r="4">
      <x:c r="A4" s="26" t="str">
        <x:v>LCSW</x:v>
      </x:c>
      <x:c r="B4" s="26" t="n">
        <x:v>3</x:v>
      </x:c>
      <x:c r="C4" s="26" t="str">
        <x:v>Human Development, Diversity, and Person-in-Environment</x:v>
      </x:c>
      <x:c r="D4" s="26" t="n">
        <x:v>10</x:v>
      </x:c>
      <x:c r="E4" s="26" t="n">
        <x:v>7</x:v>
      </x:c>
      <x:c r="F4" s="26" t="n">
        <x:v>3</x:v>
      </x:c>
      <x:c r="G4" s="26" t="n">
        <x:v>0</x:v>
      </x:c>
      <x:c r="H4" s="26" t="n">
        <x:v>0</x:v>
      </x:c>
      <x:c r="I4" s="26" t="str">
        <x:v>A</x:v>
      </x:c>
      <x:c r="J4" s="32" t="n">
        <x:v>0.7</x:v>
      </x:c>
      <x:c r="K4" s="26" t="str">
        <x:v>High</x:v>
      </x:c>
    </x:row>
    <x:row r="5">
      <x:c r="A5" s="26" t="str">
        <x:v>LCSW</x:v>
      </x:c>
      <x:c r="B5" s="26" t="n">
        <x:v>4</x:v>
      </x:c>
      <x:c r="C5" s="26" t="str">
        <x:v>Clinical Assessment, Interviewing, and Mental Status</x:v>
      </x:c>
      <x:c r="D5" s="26" t="n">
        <x:v>10</x:v>
      </x:c>
      <x:c r="E5" s="26" t="n">
        <x:v>4</x:v>
      </x:c>
      <x:c r="F5" s="26" t="n">
        <x:v>5</x:v>
      </x:c>
      <x:c r="G5" s="26" t="n">
        <x:v>1</x:v>
      </x:c>
      <x:c r="H5" s="26" t="n">
        <x:v>0</x:v>
      </x:c>
      <x:c r="I5" s="26" t="str">
        <x:v>B</x:v>
      </x:c>
      <x:c r="J5" s="32" t="n">
        <x:v>0.5</x:v>
      </x:c>
      <x:c r="K5" s="26" t="str">
        <x:v>Acceptable</x:v>
      </x:c>
    </x:row>
    <x:row r="6">
      <x:c r="A6" s="26" t="str">
        <x:v>LCSW</x:v>
      </x:c>
      <x:c r="B6" s="26" t="n">
        <x:v>5</x:v>
      </x:c>
      <x:c r="C6" s="26" t="str">
        <x:v>Diagnosis, Medical Factors, and Psychopharmacology</x:v>
      </x:c>
      <x:c r="D6" s="26" t="n">
        <x:v>10</x:v>
      </x:c>
      <x:c r="E6" s="26" t="n">
        <x:v>0</x:v>
      </x:c>
      <x:c r="F6" s="26" t="n">
        <x:v>6</x:v>
      </x:c>
      <x:c r="G6" s="26" t="n">
        <x:v>4</x:v>
      </x:c>
      <x:c r="H6" s="26" t="n">
        <x:v>0</x:v>
      </x:c>
      <x:c r="I6" s="26" t="str">
        <x:v>B</x:v>
      </x:c>
      <x:c r="J6" s="32" t="n">
        <x:v>0.6</x:v>
      </x:c>
      <x:c r="K6" s="26" t="str">
        <x:v>Review</x:v>
      </x:c>
    </x:row>
    <x:row r="7">
      <x:c r="A7" s="26" t="str">
        <x:v>LCSW</x:v>
      </x:c>
      <x:c r="B7" s="26" t="n">
        <x:v>6</x:v>
      </x:c>
      <x:c r="C7" s="26" t="str">
        <x:v>Crisis, Abuse, and Risk Assessment</x:v>
      </x:c>
      <x:c r="D7" s="26" t="n">
        <x:v>10</x:v>
      </x:c>
      <x:c r="E7" s="26" t="n">
        <x:v>0</x:v>
      </x:c>
      <x:c r="F7" s="26" t="n">
        <x:v>10</x:v>
      </x:c>
      <x:c r="G7" s="26" t="n">
        <x:v>0</x:v>
      </x:c>
      <x:c r="H7" s="26" t="n">
        <x:v>0</x:v>
      </x:c>
      <x:c r="I7" s="26" t="str">
        <x:v>B</x:v>
      </x:c>
      <x:c r="J7" s="32" t="n">
        <x:v>1</x:v>
      </x:c>
      <x:c r="K7" s="26" t="str">
        <x:v>Critical</x:v>
      </x:c>
    </x:row>
    <x:row r="8">
      <x:c r="A8" s="26" t="str">
        <x:v>LCSW</x:v>
      </x:c>
      <x:c r="B8" s="26" t="n">
        <x:v>7</x:v>
      </x:c>
      <x:c r="C8" s="26" t="str">
        <x:v>Treatment and Service Planning</x:v>
      </x:c>
      <x:c r="D8" s="26" t="n">
        <x:v>10</x:v>
      </x:c>
      <x:c r="E8" s="26" t="n">
        <x:v>1</x:v>
      </x:c>
      <x:c r="F8" s="26" t="n">
        <x:v>6</x:v>
      </x:c>
      <x:c r="G8" s="26" t="n">
        <x:v>3</x:v>
      </x:c>
      <x:c r="H8" s="26" t="n">
        <x:v>0</x:v>
      </x:c>
      <x:c r="I8" s="26" t="str">
        <x:v>B</x:v>
      </x:c>
      <x:c r="J8" s="32" t="n">
        <x:v>0.6</x:v>
      </x:c>
      <x:c r="K8" s="26" t="str">
        <x:v>Review</x:v>
      </x:c>
    </x:row>
    <x:row r="9">
      <x:c r="A9" s="26" t="str">
        <x:v>LCSW</x:v>
      </x:c>
      <x:c r="B9" s="26" t="n">
        <x:v>8</x:v>
      </x:c>
      <x:c r="C9" s="26" t="str">
        <x:v>Clinical Interventions and Trauma-Informed Practice</x:v>
      </x:c>
      <x:c r="D9" s="26" t="n">
        <x:v>10</x:v>
      </x:c>
      <x:c r="E9" s="26" t="n">
        <x:v>7</x:v>
      </x:c>
      <x:c r="F9" s="26" t="n">
        <x:v>3</x:v>
      </x:c>
      <x:c r="G9" s="26" t="n">
        <x:v>0</x:v>
      </x:c>
      <x:c r="H9" s="26" t="n">
        <x:v>0</x:v>
      </x:c>
      <x:c r="I9" s="26" t="str">
        <x:v>A</x:v>
      </x:c>
      <x:c r="J9" s="32" t="n">
        <x:v>0.7</x:v>
      </x:c>
      <x:c r="K9" s="26" t="str">
        <x:v>High</x:v>
      </x:c>
    </x:row>
    <x:row r="10">
      <x:c r="A10" s="26" t="str">
        <x:v>LCSW</x:v>
      </x:c>
      <x:c r="B10" s="26" t="n">
        <x:v>9</x:v>
      </x:c>
      <x:c r="C10" s="26" t="str">
        <x:v>Family, Couple, Group, and Parenting Interventions</x:v>
      </x:c>
      <x:c r="D10" s="26" t="n">
        <x:v>10</x:v>
      </x:c>
      <x:c r="E10" s="26" t="n">
        <x:v>2</x:v>
      </x:c>
      <x:c r="F10" s="26" t="n">
        <x:v>8</x:v>
      </x:c>
      <x:c r="G10" s="26" t="n">
        <x:v>0</x:v>
      </x:c>
      <x:c r="H10" s="26" t="n">
        <x:v>0</x:v>
      </x:c>
      <x:c r="I10" s="26" t="str">
        <x:v>B</x:v>
      </x:c>
      <x:c r="J10" s="32" t="n">
        <x:v>0.8</x:v>
      </x:c>
      <x:c r="K10" s="26" t="str">
        <x:v>Critical</x:v>
      </x:c>
    </x:row>
    <x:row r="11">
      <x:c r="A11" s="26" t="str">
        <x:v>LCSW</x:v>
      </x:c>
      <x:c r="B11" s="26" t="n">
        <x:v>10</x:v>
      </x:c>
      <x:c r="C11" s="26" t="str">
        <x:v>Case Management, Advocacy, Resources, and Collaboration</x:v>
      </x:c>
      <x:c r="D11" s="26" t="n">
        <x:v>10</x:v>
      </x:c>
      <x:c r="E11" s="26" t="n">
        <x:v>2</x:v>
      </x:c>
      <x:c r="F11" s="26" t="n">
        <x:v>3</x:v>
      </x:c>
      <x:c r="G11" s="26" t="n">
        <x:v>3</x:v>
      </x:c>
      <x:c r="H11" s="26" t="n">
        <x:v>2</x:v>
      </x:c>
      <x:c r="I11" s="26" t="str">
        <x:v>B</x:v>
      </x:c>
      <x:c r="J11" s="32" t="n">
        <x:v>0.3</x:v>
      </x:c>
      <x:c r="K11" s="26" t="str">
        <x:v>Acceptable</x:v>
      </x:c>
    </x:row>
    <x:row r="12">
      <x:c r="A12" s="26" t="str">
        <x:v>LCSW</x:v>
      </x:c>
      <x:c r="B12" s="26" t="n">
        <x:v>11</x:v>
      </x:c>
      <x:c r="C12" s="26" t="str">
        <x:v>Practice Evaluation, Research, Supervision, and Administration</x:v>
      </x:c>
      <x:c r="D12" s="26" t="n">
        <x:v>10</x:v>
      </x:c>
      <x:c r="E12" s="26" t="n">
        <x:v>1</x:v>
      </x:c>
      <x:c r="F12" s="26" t="n">
        <x:v>8</x:v>
      </x:c>
      <x:c r="G12" s="26" t="n">
        <x:v>1</x:v>
      </x:c>
      <x:c r="H12" s="26" t="n">
        <x:v>0</x:v>
      </x:c>
      <x:c r="I12" s="26" t="str">
        <x:v>B</x:v>
      </x:c>
      <x:c r="J12" s="32" t="n">
        <x:v>0.8</x:v>
      </x:c>
      <x:c r="K12" s="26" t="str">
        <x:v>Critical</x:v>
      </x:c>
    </x:row>
    <x:row r="13">
      <x:c r="A13" s="26" t="str">
        <x:v>LCSW</x:v>
      </x:c>
      <x:c r="B13" s="26" t="n">
        <x:v>12</x:v>
      </x:c>
      <x:c r="C13" s="26" t="str">
        <x:v>Integrated Review and Mock Examination</x:v>
      </x:c>
      <x:c r="D13" s="26" t="n">
        <x:v>25</x:v>
      </x:c>
      <x:c r="E13" s="26" t="n">
        <x:v>2</x:v>
      </x:c>
      <x:c r="F13" s="26" t="n">
        <x:v>23</x:v>
      </x:c>
      <x:c r="G13" s="26" t="n">
        <x:v>0</x:v>
      </x:c>
      <x:c r="H13" s="26" t="n">
        <x:v>0</x:v>
      </x:c>
      <x:c r="I13" s="26" t="str">
        <x:v>B</x:v>
      </x:c>
      <x:c r="J13" s="32" t="n">
        <x:v>0.92</x:v>
      </x:c>
      <x:c r="K13" s="26" t="str">
        <x:v>Critical</x:v>
      </x:c>
    </x:row>
    <x:row r="14">
      <x:c r="A14" s="26" t="str">
        <x:v>LMFT</x:v>
      </x:c>
      <x:c r="B14" s="26" t="n">
        <x:v>1</x:v>
      </x:c>
      <x:c r="C14" s="26" t="str">
        <x:v>Exam Strategy and Clinical Reasoning</x:v>
      </x:c>
      <x:c r="D14" s="26" t="n">
        <x:v>10</x:v>
      </x:c>
      <x:c r="E14" s="26" t="n">
        <x:v>2</x:v>
      </x:c>
      <x:c r="F14" s="26" t="n">
        <x:v>7</x:v>
      </x:c>
      <x:c r="G14" s="26" t="n">
        <x:v>1</x:v>
      </x:c>
      <x:c r="H14" s="26" t="n">
        <x:v>0</x:v>
      </x:c>
      <x:c r="I14" s="26" t="str">
        <x:v>B</x:v>
      </x:c>
      <x:c r="J14" s="32" t="n">
        <x:v>0.7</x:v>
      </x:c>
      <x:c r="K14" s="26" t="str">
        <x:v>High</x:v>
      </x:c>
    </x:row>
    <x:row r="15">
      <x:c r="A15" s="26" t="str">
        <x:v>LMFT</x:v>
      </x:c>
      <x:c r="B15" s="26" t="n">
        <x:v>2</x:v>
      </x:c>
      <x:c r="C15" s="26" t="str">
        <x:v>Clinical Engagement, Intake, and Mental Status Assessment</x:v>
      </x:c>
      <x:c r="D15" s="26" t="n">
        <x:v>10</x:v>
      </x:c>
      <x:c r="E15" s="26" t="n">
        <x:v>0</x:v>
      </x:c>
      <x:c r="F15" s="26" t="n">
        <x:v>6</x:v>
      </x:c>
      <x:c r="G15" s="26" t="n">
        <x:v>4</x:v>
      </x:c>
      <x:c r="H15" s="26" t="n">
        <x:v>0</x:v>
      </x:c>
      <x:c r="I15" s="26" t="str">
        <x:v>B</x:v>
      </x:c>
      <x:c r="J15" s="32" t="n">
        <x:v>0.6</x:v>
      </x:c>
      <x:c r="K15" s="26" t="str">
        <x:v>Review</x:v>
      </x:c>
    </x:row>
    <x:row r="16">
      <x:c r="A16" s="26" t="str">
        <x:v>LMFT</x:v>
      </x:c>
      <x:c r="B16" s="26" t="n">
        <x:v>3</x:v>
      </x:c>
      <x:c r="C16" s="26" t="str">
        <x:v>Developmental, Psychosocial, and Diversity Assessment</x:v>
      </x:c>
      <x:c r="D16" s="26" t="n">
        <x:v>10</x:v>
      </x:c>
      <x:c r="E16" s="26" t="n">
        <x:v>3</x:v>
      </x:c>
      <x:c r="F16" s="26" t="n">
        <x:v>6</x:v>
      </x:c>
      <x:c r="G16" s="26" t="n">
        <x:v>1</x:v>
      </x:c>
      <x:c r="H16" s="26" t="n">
        <x:v>0</x:v>
      </x:c>
      <x:c r="I16" s="26" t="str">
        <x:v>B</x:v>
      </x:c>
      <x:c r="J16" s="32" t="n">
        <x:v>0.6</x:v>
      </x:c>
      <x:c r="K16" s="26" t="str">
        <x:v>Review</x:v>
      </x:c>
    </x:row>
    <x:row r="17">
      <x:c r="A17" s="26" t="str">
        <x:v>LMFT</x:v>
      </x:c>
      <x:c r="B17" s="26" t="n">
        <x:v>4</x:v>
      </x:c>
      <x:c r="C17" s="26" t="str">
        <x:v>Relational, Family-System, Trauma, and Strengths Assessment</x:v>
      </x:c>
      <x:c r="D17" s="26" t="n">
        <x:v>10</x:v>
      </x:c>
      <x:c r="E17" s="26" t="n">
        <x:v>0</x:v>
      </x:c>
      <x:c r="F17" s="26" t="n">
        <x:v>6</x:v>
      </x:c>
      <x:c r="G17" s="26" t="n">
        <x:v>4</x:v>
      </x:c>
      <x:c r="H17" s="26" t="n">
        <x:v>0</x:v>
      </x:c>
      <x:c r="I17" s="26" t="str">
        <x:v>B</x:v>
      </x:c>
      <x:c r="J17" s="32" t="n">
        <x:v>0.6</x:v>
      </x:c>
      <x:c r="K17" s="26" t="str">
        <x:v>Review</x:v>
      </x:c>
    </x:row>
    <x:row r="18">
      <x:c r="A18" s="26" t="str">
        <x:v>LMFT</x:v>
      </x:c>
      <x:c r="B18" s="26" t="n">
        <x:v>5</x:v>
      </x:c>
      <x:c r="C18" s="26" t="str">
        <x:v>Diagnosis and Differential Diagnosis</x:v>
      </x:c>
      <x:c r="D18" s="26" t="n">
        <x:v>10</x:v>
      </x:c>
      <x:c r="E18" s="26" t="n">
        <x:v>2</x:v>
      </x:c>
      <x:c r="F18" s="26" t="n">
        <x:v>4</x:v>
      </x:c>
      <x:c r="G18" s="26" t="n">
        <x:v>4</x:v>
      </x:c>
      <x:c r="H18" s="26" t="n">
        <x:v>0</x:v>
      </x:c>
      <x:c r="I18" s="26" t="str">
        <x:v>B</x:v>
      </x:c>
      <x:c r="J18" s="32" t="n">
        <x:v>0.4</x:v>
      </x:c>
      <x:c r="K18" s="26" t="str">
        <x:v>Acceptable</x:v>
      </x:c>
    </x:row>
    <x:row r="19">
      <x:c r="A19" s="26" t="str">
        <x:v>LMFT</x:v>
      </x:c>
      <x:c r="B19" s="26" t="n">
        <x:v>6</x:v>
      </x:c>
      <x:c r="C19" s="26" t="str">
        <x:v>Crisis, Abuse, and Safety</x:v>
      </x:c>
      <x:c r="D19" s="26" t="n">
        <x:v>10</x:v>
      </x:c>
      <x:c r="E19" s="26" t="n">
        <x:v>0</x:v>
      </x:c>
      <x:c r="F19" s="26" t="n">
        <x:v>6</x:v>
      </x:c>
      <x:c r="G19" s="26" t="n">
        <x:v>4</x:v>
      </x:c>
      <x:c r="H19" s="26" t="n">
        <x:v>0</x:v>
      </x:c>
      <x:c r="I19" s="26" t="str">
        <x:v>B</x:v>
      </x:c>
      <x:c r="J19" s="32" t="n">
        <x:v>0.6</x:v>
      </x:c>
      <x:c r="K19" s="26" t="str">
        <x:v>Review</x:v>
      </x:c>
    </x:row>
    <x:row r="20">
      <x:c r="A20" s="26" t="str">
        <x:v>LMFT</x:v>
      </x:c>
      <x:c r="B20" s="26" t="n">
        <x:v>7</x:v>
      </x:c>
      <x:c r="C20" s="26" t="str">
        <x:v>Planning, Progress, and Termination</x:v>
      </x:c>
      <x:c r="D20" s="26" t="n">
        <x:v>10</x:v>
      </x:c>
      <x:c r="E20" s="26" t="n">
        <x:v>0</x:v>
      </x:c>
      <x:c r="F20" s="26" t="n">
        <x:v>7</x:v>
      </x:c>
      <x:c r="G20" s="26" t="n">
        <x:v>3</x:v>
      </x:c>
      <x:c r="H20" s="26" t="n">
        <x:v>0</x:v>
      </x:c>
      <x:c r="I20" s="26" t="str">
        <x:v>B</x:v>
      </x:c>
      <x:c r="J20" s="32" t="n">
        <x:v>0.7</x:v>
      </x:c>
      <x:c r="K20" s="26" t="str">
        <x:v>High</x:v>
      </x:c>
    </x:row>
    <x:row r="21">
      <x:c r="A21" s="26" t="str">
        <x:v>LMFT</x:v>
      </x:c>
      <x:c r="B21" s="26" t="n">
        <x:v>8</x:v>
      </x:c>
      <x:c r="C21" s="26" t="str">
        <x:v>Family, Couple, Attachment, and Relational Interventions</x:v>
      </x:c>
      <x:c r="D21" s="26" t="n">
        <x:v>10</x:v>
      </x:c>
      <x:c r="E21" s="26" t="n">
        <x:v>2</x:v>
      </x:c>
      <x:c r="F21" s="26" t="n">
        <x:v>8</x:v>
      </x:c>
      <x:c r="G21" s="26" t="n">
        <x:v>0</x:v>
      </x:c>
      <x:c r="H21" s="26" t="n">
        <x:v>0</x:v>
      </x:c>
      <x:c r="I21" s="26" t="str">
        <x:v>B</x:v>
      </x:c>
      <x:c r="J21" s="32" t="n">
        <x:v>0.8</x:v>
      </x:c>
      <x:c r="K21" s="26" t="str">
        <x:v>Critical</x:v>
      </x:c>
    </x:row>
    <x:row r="22">
      <x:c r="A22" s="26" t="str">
        <x:v>LMFT</x:v>
      </x:c>
      <x:c r="B22" s="26" t="n">
        <x:v>9</x:v>
      </x:c>
      <x:c r="C22" s="26" t="str">
        <x:v>Trauma, Psychological, Behavioral, and Recovery Interventions</x:v>
      </x:c>
      <x:c r="D22" s="26" t="n">
        <x:v>10</x:v>
      </x:c>
      <x:c r="E22" s="26" t="n">
        <x:v>4</x:v>
      </x:c>
      <x:c r="F22" s="26" t="n">
        <x:v>6</x:v>
      </x:c>
      <x:c r="G22" s="26" t="n">
        <x:v>0</x:v>
      </x:c>
      <x:c r="H22" s="26" t="n">
        <x:v>0</x:v>
      </x:c>
      <x:c r="I22" s="26" t="str">
        <x:v>B</x:v>
      </x:c>
      <x:c r="J22" s="32" t="n">
        <x:v>0.6</x:v>
      </x:c>
      <x:c r="K22" s="26" t="str">
        <x:v>Review</x:v>
      </x:c>
    </x:row>
    <x:row r="23">
      <x:c r="A23" s="26" t="str">
        <x:v>LMFT</x:v>
      </x:c>
      <x:c r="B23" s="26" t="n">
        <x:v>10</x:v>
      </x:c>
      <x:c r="C23" s="26" t="str">
        <x:v>Developmental, Cultural, and Contextual Interventions</x:v>
      </x:c>
      <x:c r="D23" s="26" t="n">
        <x:v>10</x:v>
      </x:c>
      <x:c r="E23" s="26" t="n">
        <x:v>3</x:v>
      </x:c>
      <x:c r="F23" s="26" t="n">
        <x:v>3</x:v>
      </x:c>
      <x:c r="G23" s="26" t="n">
        <x:v>2</x:v>
      </x:c>
      <x:c r="H23" s="26" t="n">
        <x:v>2</x:v>
      </x:c>
      <x:c r="I23" s="26" t="str">
        <x:v>A</x:v>
      </x:c>
      <x:c r="J23" s="32" t="n">
        <x:v>0.3</x:v>
      </x:c>
      <x:c r="K23" s="26" t="str">
        <x:v>Acceptable</x:v>
      </x:c>
    </x:row>
    <x:row r="24">
      <x:c r="A24" s="26" t="str">
        <x:v>LMFT</x:v>
      </x:c>
      <x:c r="B24" s="26" t="n">
        <x:v>11</x:v>
      </x:c>
      <x:c r="C24" s="26" t="str">
        <x:v>Theory, Groups, Referral, and Interdisciplinary Collaboration</x:v>
      </x:c>
      <x:c r="D24" s="26" t="n">
        <x:v>10</x:v>
      </x:c>
      <x:c r="E24" s="26" t="n">
        <x:v>2</x:v>
      </x:c>
      <x:c r="F24" s="26" t="n">
        <x:v>6</x:v>
      </x:c>
      <x:c r="G24" s="26" t="n">
        <x:v>2</x:v>
      </x:c>
      <x:c r="H24" s="26" t="n">
        <x:v>0</x:v>
      </x:c>
      <x:c r="I24" s="26" t="str">
        <x:v>B</x:v>
      </x:c>
      <x:c r="J24" s="32" t="n">
        <x:v>0.6</x:v>
      </x:c>
      <x:c r="K24" s="26" t="str">
        <x:v>Review</x:v>
      </x:c>
    </x:row>
    <x:row r="25">
      <x:c r="A25" s="26" t="str">
        <x:v>LMFT</x:v>
      </x:c>
      <x:c r="B25" s="26" t="n">
        <x:v>12</x:v>
      </x:c>
      <x:c r="C25" s="26" t="str">
        <x:v>California Legal, Ethical, and Professional Practice</x:v>
      </x:c>
      <x:c r="D25" s="26" t="n">
        <x:v>10</x:v>
      </x:c>
      <x:c r="E25" s="26" t="n">
        <x:v>0</x:v>
      </x:c>
      <x:c r="F25" s="26" t="n">
        <x:v>8</x:v>
      </x:c>
      <x:c r="G25" s="26" t="n">
        <x:v>2</x:v>
      </x:c>
      <x:c r="H25" s="26" t="n">
        <x:v>0</x:v>
      </x:c>
      <x:c r="I25" s="26" t="str">
        <x:v>B</x:v>
      </x:c>
      <x:c r="J25" s="32" t="n">
        <x:v>0.8</x:v>
      </x:c>
      <x:c r="K25" s="26" t="str">
        <x:v>Critical</x:v>
      </x:c>
    </x:row>
  </x:sheetData>
  <x:conditionalFormatting sqref="K2:K25">
    <x:cfRule type="expression" dxfId="8" priority="1">
      <x:formula>K2="Critical"</x:formula>
    </x:cfRule>
    <x:cfRule type="expression" dxfId="9" priority="2">
      <x:formula>K2="High"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081cd8b6104a27"/>
  </x:tableParts>
</x:worksheet>
</file>