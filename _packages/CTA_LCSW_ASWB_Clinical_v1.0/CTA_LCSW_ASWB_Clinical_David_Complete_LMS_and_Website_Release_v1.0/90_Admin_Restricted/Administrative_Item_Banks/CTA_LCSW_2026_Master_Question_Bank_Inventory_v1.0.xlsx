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88ee5dd0084dcb" /></Relationships>
</file>

<file path=xl/workbook.xml><?xml version="1.0" encoding="utf-8"?>
<x:workbook xmlns:x="http://schemas.openxmlformats.org/spreadsheetml/2006/main">
  <x:sheets>
    <x:sheet xmlns:r="http://schemas.openxmlformats.org/officeDocument/2006/relationships" name="Dashboard" sheetId="1" r:id="Rfdc5f10eab3c4a63"/>
    <x:sheet xmlns:r="http://schemas.openxmlformats.org/officeDocument/2006/relationships" name="Master Inventory" sheetId="2" r:id="Redca4942b1ed40d5"/>
    <x:sheet xmlns:r="http://schemas.openxmlformats.org/officeDocument/2006/relationships" name="Question Content" sheetId="3" r:id="R4314b1c52bb14244"/>
    <x:sheet xmlns:r="http://schemas.openxmlformats.org/officeDocument/2006/relationships" name="Blueprint Summary" sheetId="4" r:id="R03cc78b6dcc54693"/>
    <x:sheet xmlns:r="http://schemas.openxmlformats.org/officeDocument/2006/relationships" name="Exam Form Usage" sheetId="5" r:id="Rb0cb9fd0f6b344b6"/>
    <x:sheet xmlns:r="http://schemas.openxmlformats.org/officeDocument/2006/relationships" name="Workbook Summary" sheetId="6" r:id="R59e3ba6766f74cdd"/>
    <x:sheet xmlns:r="http://schemas.openxmlformats.org/officeDocument/2006/relationships" name="QA Findings" sheetId="7" r:id="R02f687d5bbe9459b"/>
    <x:sheet xmlns:r="http://schemas.openxmlformats.org/officeDocument/2006/relationships" name="Overlap Candidates" sheetId="8" r:id="Rf06b41bd95554746"/>
    <x:sheet xmlns:r="http://schemas.openxmlformats.org/officeDocument/2006/relationships" name="Revision &amp; Use History" sheetId="9" r:id="R6c63155a72ac41f1"/>
    <x:sheet xmlns:r="http://schemas.openxmlformats.org/officeDocument/2006/relationships" name="Lists &amp; Definitions" sheetId="10" r:id="Reca67b8d882c41e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yyyy-mm-dd"/>
    <x:numFmt numFmtId="202" formatCode="0.000"/>
  </x:numFmts>
  <x:fonts count="6">
    <x:font>
      <x:sz val="11"/>
      <x:name val="Carlito"/>
    </x:font>
    <x:font>
      <x:b/>
      <x:sz val="20"/>
      <x:color rgb="FFFFFFFF"/>
      <x:name val="Carlito"/>
    </x:font>
    <x:font>
      <x:i/>
      <x:sz val="11"/>
      <x:color rgb="FF243B53"/>
      <x:name val="Carlito"/>
    </x:font>
    <x:font>
      <x:b/>
      <x:sz val="11"/>
      <x:color rgb="FF243B53"/>
      <x:name val="Carlito"/>
    </x:font>
    <x:font>
      <x:b/>
      <x:sz val="22"/>
      <x:color rgb="FF102A43"/>
      <x:name val="Carlito"/>
    </x:font>
    <x:font>
      <x:b/>
      <x:sz val="11"/>
      <x:color rgb="FFFFFFFF"/>
      <x:name val="Carlito"/>
    </x:font>
  </x:fonts>
  <x:fills count="6">
    <x:fill>
      <x:patternFill patternType="none"/>
    </x:fill>
    <x:fill>
      <x:patternFill patternType="gray125"/>
    </x:fill>
    <x:fill>
      <x:patternFill patternType="solid">
        <x:fgColor rgb="FF102A43"/>
      </x:patternFill>
    </x:fill>
    <x:fill>
      <x:patternFill patternType="solid">
        <x:fgColor rgb="FFDCEFF6"/>
      </x:patternFill>
    </x:fill>
    <x:fill>
      <x:patternFill patternType="solid">
        <x:fgColor rgb="FF163A5F"/>
      </x:patternFill>
    </x:fill>
    <x:fill>
      <x:patternFill patternType="solid">
        <x:fgColor rgb="FFF3F6F8"/>
      </x:patternFill>
    </x:fill>
  </x:fills>
  <x:borders count="18">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1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2" fillId="0" borderId="0" xfId="0" applyNumberFormat="1" applyFont="1" applyFill="1" applyBorder="1" applyAlignment="1">
      <x:alignment vertical="center" wrapText="1"/>
    </x:xf>
    <x:xf numFmtId="0" fontId="2" fillId="0" borderId="1" xfId="0" applyNumberFormat="1" applyFont="1" applyFill="1" applyBorder="1" applyAlignment="1">
      <x:alignment vertical="center"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3" fillId="3" borderId="0" xfId="0" applyNumberFormat="1" applyFont="1" applyFill="1" applyBorder="1" applyAlignment="1">
      <x:alignment horizontal="center" vertical="center"/>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horizontal="center"/>
    </x:xf>
    <x:xf numFmtId="0" fontId="3" fillId="3" borderId="1" xfId="0" applyNumberFormat="1" applyFont="1" applyFill="1" applyBorder="1" applyAlignment="1">
      <x:alignment horizontal="center" vertical="center"/>
    </x:xf>
    <x:xf numFmtId="0" fontId="4" fillId="0" borderId="0" xfId="0" applyNumberFormat="1" applyFont="1" applyFill="1" applyBorder="1"/>
    <x:xf numFmtId="0" fontId="4" fillId="0" borderId="1" xfId="0" applyNumberFormat="1" applyFont="1" applyFill="1" applyBorder="1"/>
    <x:xf numFmtId="0" fontId="4" fillId="0" borderId="0" xfId="0" applyNumberFormat="1" applyFont="1" applyFill="1" applyBorder="1" applyAlignment="1">
      <x:alignment horizontal="center"/>
    </x:xf>
    <x:xf numFmtId="0" fontId="4" fillId="0" borderId="1" xfId="0" applyNumberFormat="1" applyFont="1" applyFill="1" applyBorder="1" applyAlignment="1">
      <x:alignment horizontal="center"/>
    </x:xf>
    <x:xf numFmtId="0" fontId="4" fillId="0" borderId="0" xfId="0" applyNumberFormat="1" applyFont="1" applyFill="1" applyBorder="1" applyAlignment="1">
      <x:alignment horizontal="center" vertical="center"/>
    </x:xf>
    <x:xf numFmtId="0" fontId="4" fillId="0" borderId="1" xfId="0" applyNumberFormat="1" applyFont="1" applyFill="1" applyBorder="1" applyAlignment="1">
      <x:alignment horizontal="center" vertical="center"/>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horizontal="center" wrapText="1"/>
    </x:xf>
    <x:xf numFmtId="0" fontId="5" fillId="4" borderId="0" xfId="0" applyNumberFormat="1" applyFont="1" applyFill="1" applyBorder="1" applyAlignment="1">
      <x:alignment horizontal="center" vertical="center" wrapText="1"/>
    </x:xf>
    <x:xf numFmtId="0" fontId="0" fillId="4" borderId="1" xfId="0" applyNumberFormat="1" applyFont="1" applyFill="1" applyBorder="1"/>
    <x:xf numFmtId="0" fontId="5" fillId="4" borderId="1" xfId="0" applyNumberFormat="1" applyFont="1" applyFill="1" applyBorder="1"/>
    <x:xf numFmtId="0" fontId="5" fillId="4" borderId="1" xfId="0" applyNumberFormat="1" applyFont="1" applyFill="1" applyBorder="1" applyAlignment="1">
      <x:alignment wrapText="1"/>
    </x:xf>
    <x:xf numFmtId="0" fontId="5" fillId="4" borderId="1" xfId="0" applyNumberFormat="1" applyFont="1" applyFill="1" applyBorder="1" applyAlignment="1">
      <x:alignment horizontal="center" wrapText="1"/>
    </x:xf>
    <x:xf numFmtId="0" fontId="5" fillId="4" borderId="1" xfId="0" applyNumberFormat="1" applyFont="1" applyFill="1" applyBorder="1" applyAlignment="1">
      <x:alignment horizontal="center" vertical="center" wrapText="1"/>
    </x:xf>
    <x:xf numFmtId="0" fontId="0" fillId="5" borderId="0" xfId="0" applyNumberFormat="1" applyFont="1" applyFill="1" applyBorder="1"/>
    <x:xf numFmtId="0" fontId="0" fillId="5" borderId="0" xfId="0" applyNumberFormat="1" applyFont="1" applyFill="1" applyBorder="1" applyAlignment="1">
      <x:alignment horizontal="center"/>
    </x:xf>
    <x:xf numFmtId="0" fontId="0" fillId="5" borderId="1" xfId="0" applyNumberFormat="1" applyFont="1" applyFill="1" applyBorder="1"/>
    <x:xf numFmtId="0" fontId="0" fillId="5" borderId="1" xfId="0" applyNumberFormat="1" applyFont="1" applyFill="1" applyBorder="1" applyAlignment="1">
      <x:alignment horizontal="center"/>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0" fontId="0" fillId="0" borderId="3" xfId="0" applyNumberFormat="1" applyFont="1" applyFill="1" applyBorder="1"/>
    <x:xf numFmtId="200" fontId="0" fillId="0" borderId="8" xfId="0" applyNumberFormat="1" applyFont="1" applyFill="1" applyBorder="1"/>
    <x:xf numFmtId="200" fontId="0" fillId="0" borderId="11" xfId="0" applyNumberFormat="1" applyFont="1" applyFill="1" applyBorder="1"/>
    <x:xf numFmtId="200" fontId="0" fillId="0" borderId="16"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201" fontId="0" fillId="0" borderId="3"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8" xfId="0" applyNumberFormat="1" applyFont="1" applyFill="1" applyBorder="1" applyAlignment="1">
      <x:alignment vertical="top" wrapText="1"/>
    </x:xf>
    <x:xf numFmtId="201" fontId="0" fillId="0" borderId="11"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1" fontId="0" fillId="0" borderId="16" xfId="0" applyNumberFormat="1" applyFont="1" applyFill="1" applyBorder="1" applyAlignment="1">
      <x:alignment vertical="top" wrapText="1"/>
    </x:xf>
    <x:xf numFmtId="200" fontId="0" fillId="0" borderId="4" xfId="0" applyNumberFormat="1" applyFont="1" applyFill="1" applyBorder="1"/>
    <x:xf numFmtId="200" fontId="0" fillId="0" borderId="6" xfId="0" applyNumberFormat="1" applyFont="1" applyFill="1" applyBorder="1"/>
    <x:xf numFmtId="200" fontId="0" fillId="0" borderId="9" xfId="0" applyNumberFormat="1" applyFont="1" applyFill="1" applyBorder="1"/>
    <x:xf numFmtId="200" fontId="0" fillId="0" borderId="12" xfId="0" applyNumberFormat="1" applyFont="1" applyFill="1" applyBorder="1"/>
    <x:xf numFmtId="200" fontId="0" fillId="0" borderId="14" xfId="0" applyNumberFormat="1" applyFont="1" applyFill="1" applyBorder="1"/>
    <x:xf numFmtId="200" fontId="0" fillId="0" borderId="17"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2" fontId="0" fillId="0" borderId="0"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202" fontId="0" fillId="0" borderId="3" xfId="0" applyNumberFormat="1" applyFont="1" applyFill="1" applyBorder="1" applyAlignment="1">
      <x:alignment vertical="top" wrapText="1"/>
    </x:xf>
    <x:xf numFmtId="202" fontId="0" fillId="0" borderId="8" xfId="0" applyNumberFormat="1" applyFont="1" applyFill="1" applyBorder="1" applyAlignment="1">
      <x:alignment vertical="top" wrapText="1"/>
    </x:xf>
    <x:xf numFmtId="202" fontId="0" fillId="0" borderId="11" xfId="0" applyNumberFormat="1" applyFont="1" applyFill="1" applyBorder="1" applyAlignment="1">
      <x:alignment vertical="top" wrapText="1"/>
    </x:xf>
    <x:xf numFmtId="202" fontId="0" fillId="0" borderId="16"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0" fillId="4"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4" borderId="0" xfId="0" applyNumberFormat="1" applyFont="1" applyFill="1" applyBorder="1" applyAlignment="1">
      <x:alignment horizontal="center" vertical="top" wrapText="1"/>
    </x:xf>
    <x:xf numFmtId="0" fontId="0" fillId="4" borderId="1"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5" fillId="4" borderId="1" xfId="0" applyNumberFormat="1" applyFont="1" applyFill="1" applyBorder="1" applyAlignment="1">
      <x:alignment horizontal="center" vertical="top" wrapText="1"/>
    </x:xf>
  </x:cellXfs>
  <x:cellStyles count="1">
    <x:cellStyle name="Normal" xfId="0"/>
  </x:cellStyles>
  <x:dxfs count="10">
    <x:dxf>
      <x:fill>
        <x:patternFill patternType="solid">
          <x:bgColor rgb="FFD9EAD3"/>
        </x:patternFill>
      </x:fill>
    </x:dxf>
    <x:dxf>
      <x:fill>
        <x:patternFill patternType="solid">
          <x:bgColor rgb="FFFFF2CC"/>
        </x:patternFill>
      </x:fill>
    </x:dxf>
    <x:dxf>
      <x:fill>
        <x:patternFill patternType="solid">
          <x:bgColor rgb="FFF4CCCC"/>
        </x:patternFill>
      </x:fill>
    </x:dxf>
    <x:dxf>
      <x:fill>
        <x:patternFill patternType="solid">
          <x:bgColor rgb="FFFFF2CC"/>
        </x:patternFill>
      </x:fill>
    </x:dxf>
    <x:dxf>
      <x:fill>
        <x:patternFill patternType="solid">
          <x:bgColor rgb="FFDDEBF7"/>
        </x:patternFill>
      </x:fill>
    </x:dxf>
    <x:dxf>
      <x:fill>
        <x:patternFill patternType="solid">
          <x:bgColor rgb="FFFCE5CD"/>
        </x:patternFill>
      </x:fill>
    </x:dxf>
    <x:dxf>
      <x:fill>
        <x:patternFill patternType="solid">
          <x:bgColor rgb="FFD9EAD3"/>
        </x:patternFill>
      </x:fill>
    </x:dxf>
    <x:dxf>
      <x:fill>
        <x:patternFill patternType="solid">
          <x:bgColor rgb="FFFFF2CC"/>
        </x:patternFill>
      </x:fill>
    </x:dxf>
    <x:dxf>
      <x:fill>
        <x:patternFill patternType="solid">
          <x:bgColor rgb="FFDDEBF7"/>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ca8cd4f954d4512" /><Relationship Type="http://schemas.openxmlformats.org/officeDocument/2006/relationships/theme" Target="/xl/theme/theme1.xml" Id="R02bc6fad85ec4ba9" /><Relationship Type="http://schemas.openxmlformats.org/officeDocument/2006/relationships/sharedStrings" Target="/xl/sharedStrings.xml" Id="R67a7eb195f32432d" /><Relationship Type="http://schemas.openxmlformats.org/officeDocument/2006/relationships/worksheet" Target="/xl/worksheets/sheet1.xml" Id="Rfdc5f10eab3c4a63" /><Relationship Type="http://schemas.openxmlformats.org/officeDocument/2006/relationships/worksheet" Target="/xl/worksheets/sheet2.xml" Id="Redca4942b1ed40d5" /><Relationship Type="http://schemas.openxmlformats.org/officeDocument/2006/relationships/worksheet" Target="/xl/worksheets/sheet3.xml" Id="R4314b1c52bb14244" /><Relationship Type="http://schemas.openxmlformats.org/officeDocument/2006/relationships/worksheet" Target="/xl/worksheets/sheet4.xml" Id="R03cc78b6dcc54693" /><Relationship Type="http://schemas.openxmlformats.org/officeDocument/2006/relationships/worksheet" Target="/xl/worksheets/sheet5.xml" Id="Rb0cb9fd0f6b344b6" /><Relationship Type="http://schemas.openxmlformats.org/officeDocument/2006/relationships/worksheet" Target="/xl/worksheets/sheet6.xml" Id="R59e3ba6766f74cdd" /><Relationship Type="http://schemas.openxmlformats.org/officeDocument/2006/relationships/worksheet" Target="/xl/worksheets/sheet7.xml" Id="R02f687d5bbe9459b" /><Relationship Type="http://schemas.openxmlformats.org/officeDocument/2006/relationships/worksheet" Target="/xl/worksheets/sheet8.xml" Id="Rf06b41bd95554746" /><Relationship Type="http://schemas.openxmlformats.org/officeDocument/2006/relationships/worksheet" Target="/xl/worksheets/sheet9.xml" Id="R6c63155a72ac41f1" /><Relationship Type="http://schemas.openxmlformats.org/officeDocument/2006/relationships/worksheet" Target="/xl/worksheets/sheet10.xml" Id="Reca67b8d882c41ee" /></Relationships>
</file>

<file path=xl/drawings/_rels/drawing1.xml.rels>&#65279;<?xml version="1.0" encoding="utf-8"?><Relationships xmlns="http://schemas.openxmlformats.org/package/2006/relationships"><Relationship Type="http://schemas.openxmlformats.org/officeDocument/2006/relationships/chart" Target="/xl/drawings/charts/chart1.xml" Id="R1deb4d369151420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LCSW Item Distribution by Content Area</a:t>
            </a:r>
          </a:p>
        </c:rich>
      </c:tx>
      <c:overlay val="0"/>
    </c:title>
    <c:autoTitleDeleted val="0"/>
    <c:plotArea>
      <c:layout/>
      <c:barChart>
        <c:barDir val="col"/>
        <c:varyColors val="0"/>
        <c:ser>
          <c:idx val="0"/>
          <c:order val="0"/>
          <c:tx>
            <c:v>Total</c:v>
          </c:tx>
          <c:cat>
            <c:strRef>
              <c:f>'Dashboard'!$A$14:$A$18</c:f>
              <c:strCache>
                <c:ptCount val="0"/>
              </c:strCache>
            </c:strRef>
          </c:cat>
          <c:val>
            <c:numRef>
              <c:f>'Dashboard'!$B$14:$B$18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11</xdr:col>
      <xdr:colOff>0</xdr:colOff>
      <xdr:row>1</xdr:row>
      <xdr:rowOff>0</xdr:rowOff>
    </xdr:from>
    <xdr:to>
      <xdr:col>20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deb4d3691514204"/>
        </a:graphicData>
      </a:graphic>
    </xdr:graphicFrame>
    <xdr:clientData/>
  </xdr:twoCellAnchor>
</xdr:wsDr>
</file>

<file path=xl/tables/table1.xml><?xml version="1.0" encoding="utf-8"?>
<x:table xmlns:x="http://schemas.openxmlformats.org/spreadsheetml/2006/main" id="1" name="LCSWMasterInventoryTable" displayName="LCSWMasterInventoryTable" ref="A1:AF449" headerRowCount="1">
  <x:tableColumns count="32">
    <x:tableColumn id="1" name="Master Question ID"/>
    <x:tableColumn id="2" name="Original Question ID"/>
    <x:tableColumn id="3" name="Profession"/>
    <x:tableColumn id="4" name="Source Type"/>
    <x:tableColumn id="5" name="Workbook Number"/>
    <x:tableColumn id="6" name="Workbook Title"/>
    <x:tableColumn id="7" name="Exam Form"/>
    <x:tableColumn id="8" name="Form Question Number"/>
    <x:tableColumn id="9" name="CTA Status Designation"/>
    <x:tableColumn id="10" name="Official Content Area"/>
    <x:tableColumn id="11" name="Primary Concept"/>
    <x:tableColumn id="12" name="Secondary Concepts"/>
    <x:tableColumn id="13" name="Source Difficulty"/>
    <x:tableColumn id="14" name="Normalized Difficulty"/>
    <x:tableColumn id="15" name="Source Cognitive Demand / Question Type"/>
    <x:tableColumn id="16" name="Normalized Reasoning Level"/>
    <x:tableColumn id="17" name="Option Count"/>
    <x:tableColumn id="18" name="Correct Answer"/>
    <x:tableColumn id="19" name="Approval Status"/>
    <x:tableColumn id="20" name="Item Status"/>
    <x:tableColumn id="21" name="Exposure Count"/>
    <x:tableColumn id="22" name="Alternate Form Pair ID"/>
    <x:tableColumn id="23" name="Overlap Review Status"/>
    <x:tableColumn id="24" name="QA Flags"/>
    <x:tableColumn id="25" name="Bias / Cultural Review"/>
    <x:tableColumn id="26" name="Source Alignment / Authority Tag"/>
    <x:tableColumn id="27" name="Source File"/>
    <x:tableColumn id="28" name="Source Version"/>
    <x:tableColumn id="29" name="Source Accuracy Date"/>
    <x:tableColumn id="30" name="Last Master Review Date"/>
    <x:tableColumn id="31" name="Master Notes"/>
    <x:tableColumn id="32" name="Eligible Future Use"/>
  </x:tableColumns>
  <x:tableStyleInfo name="TableStyleMedium2" showRowStripes="1"/>
</x:table>
</file>

<file path=xl/tables/table2.xml><?xml version="1.0" encoding="utf-8"?>
<x:table xmlns:x="http://schemas.openxmlformats.org/spreadsheetml/2006/main" id="2" name="LCSWQuestionContentTable" displayName="LCSWQuestionContentTable" ref="A1:R449" headerRowCount="1">
  <x:tableColumns count="18">
    <x:tableColumn id="1" name="Master Question ID"/>
    <x:tableColumn id="2" name="Original Question ID"/>
    <x:tableColumn id="3" name="Source Type"/>
    <x:tableColumn id="4" name="Workbook / Form"/>
    <x:tableColumn id="5" name="Option Count"/>
    <x:tableColumn id="6" name="Question Stem"/>
    <x:tableColumn id="7" name="Option A"/>
    <x:tableColumn id="8" name="Option B"/>
    <x:tableColumn id="9" name="Option C"/>
    <x:tableColumn id="10" name="Option D"/>
    <x:tableColumn id="11" name="Correct Answer"/>
    <x:tableColumn id="12" name="Rationale A"/>
    <x:tableColumn id="13" name="Rationale B"/>
    <x:tableColumn id="14" name="Rationale C"/>
    <x:tableColumn id="15" name="Rationale D"/>
    <x:tableColumn id="16" name="Full Rationale Block"/>
    <x:tableColumn id="17" name="CTA Exam Strategy"/>
    <x:tableColumn id="18" name="Source Alignment"/>
  </x:tableColumns>
  <x:tableStyleInfo name="TableStyleMedium2" showRowStripes="1"/>
</x:table>
</file>

<file path=xl/tables/table3.xml><?xml version="1.0" encoding="utf-8"?>
<x:table xmlns:x="http://schemas.openxmlformats.org/spreadsheetml/2006/main" id="3" name="LCSWExamUsageTable" displayName="LCSWExamUsageTable" ref="A1:O449" headerRowCount="1">
  <x:tableColumns count="15">
    <x:tableColumn id="1" name="Master Question ID"/>
    <x:tableColumn id="2" name="Original Question ID"/>
    <x:tableColumn id="3" name="Product / Bank"/>
    <x:tableColumn id="4" name="Position"/>
    <x:tableColumn id="5" name="CTA Status"/>
    <x:tableColumn id="6" name="Official Content Area"/>
    <x:tableColumn id="7" name="Primary Concept"/>
    <x:tableColumn id="8" name="Difficulty"/>
    <x:tableColumn id="9" name="Reasoning Level"/>
    <x:tableColumn id="10" name="Option Count"/>
    <x:tableColumn id="11" name="Key"/>
    <x:tableColumn id="12" name="Exposure Count"/>
    <x:tableColumn id="13" name="Alternate Form Pair ID"/>
    <x:tableColumn id="14" name="Release Status"/>
    <x:tableColumn id="15" name="Future Use Rule"/>
  </x:tableColumns>
  <x:tableStyleInfo name="TableStyleMedium2" showRowStripes="1"/>
</x:table>
</file>

<file path=xl/tables/table4.xml><?xml version="1.0" encoding="utf-8"?>
<x:table xmlns:x="http://schemas.openxmlformats.org/spreadsheetml/2006/main" id="4" name="LCSWQAFindingTable" displayName="LCSWQAFindingTable" ref="A1:F14" headerRowCount="1">
  <x:tableColumns count="6">
    <x:tableColumn id="1" name="Category"/>
    <x:tableColumn id="2" name="Severity"/>
    <x:tableColumn id="3" name="Scope"/>
    <x:tableColumn id="4" name="Item / Metric"/>
    <x:tableColumn id="5" name="Finding"/>
    <x:tableColumn id="6" name="Recommended Action"/>
  </x:tableColumns>
  <x:tableStyleInfo name="TableStyleMedium2" showRowStripes="1"/>
</x:table>
</file>

<file path=xl/tables/table5.xml><?xml version="1.0" encoding="utf-8"?>
<x:table xmlns:x="http://schemas.openxmlformats.org/spreadsheetml/2006/main" id="5" name="LCSWOverlapTable" displayName="LCSWOverlapTable" ref="A1:N134" headerRowCount="1">
  <x:tableColumns count="14">
    <x:tableColumn id="1" name="Pair ID"/>
    <x:tableColumn id="2" name="Similarity Score"/>
    <x:tableColumn id="3" name="Question ID 1"/>
    <x:tableColumn id="4" name="Master ID 1"/>
    <x:tableColumn id="5" name="Source 1"/>
    <x:tableColumn id="6" name="Primary Concept 1"/>
    <x:tableColumn id="7" name="Stem 1"/>
    <x:tableColumn id="8" name="Question ID 2"/>
    <x:tableColumn id="9" name="Master ID 2"/>
    <x:tableColumn id="10" name="Source 2"/>
    <x:tableColumn id="11" name="Primary Concept 2"/>
    <x:tableColumn id="12" name="Stem 2"/>
    <x:tableColumn id="13" name="Classification"/>
    <x:tableColumn id="14" name="Recommended Review"/>
  </x:tableColumns>
  <x:tableStyleInfo name="TableStyleMedium2" showRowStripes="1"/>
</x:table>
</file>

<file path=xl/tables/table6.xml><?xml version="1.0" encoding="utf-8"?>
<x:table xmlns:x="http://schemas.openxmlformats.org/spreadsheetml/2006/main" id="6" name="LCSWRevisionHistoryTable" displayName="LCSWRevisionHistoryTable" ref="A1:I449" headerRowCount="1">
  <x:tableColumns count="9">
    <x:tableColumn id="1" name="Master Question ID"/>
    <x:tableColumn id="2" name="Original Question ID"/>
    <x:tableColumn id="3" name="Date"/>
    <x:tableColumn id="4" name="Action"/>
    <x:tableColumn id="5" name="Product / Source"/>
    <x:tableColumn id="6" name="Version"/>
    <x:tableColumn id="7" name="Exposure Change"/>
    <x:tableColumn id="8" name="Reviewer / Owner"/>
    <x:tableColumn id="9"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c6ae98dbd3445e0" /></Relationships>
</file>

<file path=xl/worksheets/_rels/sheet2.xml.rels>&#65279;<?xml version="1.0" encoding="utf-8"?><Relationships xmlns="http://schemas.openxmlformats.org/package/2006/relationships"><Relationship Type="http://schemas.openxmlformats.org/officeDocument/2006/relationships/table" Target="/xl/tables/table1.xml" Id="Rc42404e1901a4ac4" /></Relationships>
</file>

<file path=xl/worksheets/_rels/sheet3.xml.rels>&#65279;<?xml version="1.0" encoding="utf-8"?><Relationships xmlns="http://schemas.openxmlformats.org/package/2006/relationships"><Relationship Type="http://schemas.openxmlformats.org/officeDocument/2006/relationships/table" Target="/xl/tables/table2.xml" Id="R77cd2fc688ff4ee0" /></Relationships>
</file>

<file path=xl/worksheets/_rels/sheet5.xml.rels>&#65279;<?xml version="1.0" encoding="utf-8"?><Relationships xmlns="http://schemas.openxmlformats.org/package/2006/relationships"><Relationship Type="http://schemas.openxmlformats.org/officeDocument/2006/relationships/table" Target="/xl/tables/table3.xml" Id="R0ac60e0299a3408b" /></Relationships>
</file>

<file path=xl/worksheets/_rels/sheet7.xml.rels>&#65279;<?xml version="1.0" encoding="utf-8"?><Relationships xmlns="http://schemas.openxmlformats.org/package/2006/relationships"><Relationship Type="http://schemas.openxmlformats.org/officeDocument/2006/relationships/table" Target="/xl/tables/table4.xml" Id="R9644c1dae1ed40c9" /></Relationships>
</file>

<file path=xl/worksheets/_rels/sheet8.xml.rels>&#65279;<?xml version="1.0" encoding="utf-8"?><Relationships xmlns="http://schemas.openxmlformats.org/package/2006/relationships"><Relationship Type="http://schemas.openxmlformats.org/officeDocument/2006/relationships/table" Target="/xl/tables/table5.xml" Id="R32b254ffc859414c" /></Relationships>
</file>

<file path=xl/worksheets/_rels/sheet9.xml.rels>&#65279;<?xml version="1.0" encoding="utf-8"?><Relationships xmlns="http://schemas.openxmlformats.org/package/2006/relationships"><Relationship Type="http://schemas.openxmlformats.org/officeDocument/2006/relationships/table" Target="/xl/tables/table6.xml" Id="Rfe761192d74d484d" /></Relationships>
</file>

<file path=xl/worksheets/sheet1.xml><?xml version="1.0" encoding="utf-8"?>
<x:worksheet xmlns:x="http://schemas.openxmlformats.org/spreadsheetml/2006/main">
  <x:sheetFormatPr defaultRowHeight="15"/>
  <x:cols>
    <x:col min="1" max="1" width="43" hidden="0" customWidth="1"/>
    <x:col min="2" max="2" width="14" hidden="0" customWidth="1"/>
    <x:col min="3" max="3" width="14" hidden="0" customWidth="1"/>
    <x:col min="4" max="4" width="14" hidden="0" customWidth="1"/>
    <x:col min="5" max="5" width="14" hidden="0" customWidth="1"/>
    <x:col min="6" max="6" width="4" hidden="0" customWidth="1"/>
    <x:col min="7" max="7" width="30" hidden="0" customWidth="1"/>
    <x:col min="8" max="8" width="14" hidden="0" customWidth="1"/>
    <x:col min="9" max="9" width="14" hidden="0" customWidth="1"/>
    <x:col min="10" max="10" width="14" hidden="0" customWidth="1"/>
  </x:cols>
  <x:sheetData>
    <x:row r="1" ht="34" customHeight="1">
      <x:c r="A1" s="5" t="str">
        <x:v>CTA LCSW 2026 Master Question Bank Inventory v1.0</x:v>
      </x:c>
      <x:c r="B1" s="5"/>
      <x:c r="C1" s="5"/>
      <x:c r="D1" s="5"/>
      <x:c r="E1" s="5"/>
      <x:c r="F1" s="5"/>
      <x:c r="G1" s="5"/>
      <x:c r="H1" s="5"/>
      <x:c r="I1" s="5"/>
      <x:c r="J1" s="5"/>
    </x:row>
    <x:row r="2">
      <x:c r="A2" s="14" t="str">
        <x:v>Administrative source of truth consolidating the 12 approved LCSW workbook question banks and 2026 Comprehensive Simulation Forms A and B. Source wording is preserved; option count, form exposure, alternate-form relationships, overlap candidates, and review status are tracked rather than silently changed.</x:v>
      </x:c>
      <x:c r="B2" s="14"/>
      <x:c r="C2" s="14"/>
      <x:c r="D2" s="14"/>
      <x:c r="E2" s="14"/>
      <x:c r="F2" s="14"/>
      <x:c r="G2" s="14"/>
      <x:c r="H2" s="14"/>
      <x:c r="I2" s="14"/>
      <x:c r="J2" s="14"/>
    </x:row>
    <x:row r="3">
      <x:c r="A3" s="14"/>
      <x:c r="B3" s="14"/>
      <x:c r="C3" s="14"/>
      <x:c r="D3" s="14"/>
      <x:c r="E3" s="14"/>
      <x:c r="F3" s="14"/>
      <x:c r="G3" s="14"/>
      <x:c r="H3" s="14"/>
      <x:c r="I3" s="14"/>
      <x:c r="J3" s="14"/>
    </x:row>
    <x:row r="5">
      <x:c r="A5" s="19" t="str">
        <x:v>Total Items</x:v>
      </x:c>
      <x:c r="B5" s="19"/>
      <x:c r="C5" s="19" t="str">
        <x:v>Workbook-Bank Items</x:v>
      </x:c>
      <x:c r="D5" s="19"/>
      <x:c r="E5" s="19" t="str">
        <x:v>Form A Items</x:v>
      </x:c>
      <x:c r="F5" s="19"/>
      <x:c r="G5" s="19" t="str">
        <x:v>Form B Items</x:v>
      </x:c>
      <x:c r="H5" s="19"/>
      <x:c r="I5" s="19" t="str">
        <x:v>Overlap-Review Items</x:v>
      </x:c>
      <x:c r="J5" s="19"/>
    </x:row>
    <x:row r="6">
      <x:c r="A6" s="28" t="n">
        <x:f>COUNTA('Master Inventory'!$A$2:$A$449)</x:f>
        <x:v>448</x:v>
      </x:c>
      <x:c r="B6" s="28"/>
      <x:c r="C6" s="28" t="n">
        <x:f>COUNTIF('Master Inventory'!$D$2:$D$449,"Workbook Question Bank")</x:f>
        <x:v>204</x:v>
      </x:c>
      <x:c r="D6" s="28"/>
      <x:c r="E6" s="28" t="n">
        <x:f>COUNTIF('Master Inventory'!$G$2:$G$449,"Form A")</x:f>
        <x:v>122</x:v>
      </x:c>
      <x:c r="F6" s="28"/>
      <x:c r="G6" s="28" t="n">
        <x:f>COUNTIF('Master Inventory'!$G$2:$G$449,"Form B")</x:f>
        <x:v>122</x:v>
      </x:c>
      <x:c r="H6" s="28"/>
      <x:c r="I6" s="28" t="n">
        <x:f>COUNTIF('Master Inventory'!$W$2:$W$449,"Review Candidate")</x:f>
        <x:v>15</x:v>
      </x:c>
      <x:c r="J6" s="28"/>
    </x:row>
    <x:row r="7">
      <x:c r="A7" s="28"/>
      <x:c r="B7" s="28"/>
      <x:c r="C7" s="28"/>
      <x:c r="D7" s="28"/>
      <x:c r="E7" s="28"/>
      <x:c r="F7" s="28"/>
      <x:c r="G7" s="28"/>
      <x:c r="H7" s="28"/>
      <x:c r="I7" s="28"/>
      <x:c r="J7" s="28"/>
    </x:row>
    <x:row r="9">
      <x:c r="A9" s="34" t="str">
        <x:v>Option Format</x:v>
      </x:c>
      <x:c r="B9" s="34" t="str">
        <x:v>3-Option</x:v>
      </x:c>
      <x:c r="C9" s="34" t="str">
        <x:v>4-Option</x:v>
      </x:c>
      <x:c r="D9" s="34" t="str">
        <x:v>Total</x:v>
      </x:c>
      <x:c r="E9" s="34" t="str">
        <x:v>Review</x:v>
      </x:c>
      <x:c r="G9" s="34" t="str">
        <x:v>CTA Status</x:v>
      </x:c>
      <x:c r="H9" s="34" t="str">
        <x:v>Workbook Bank</x:v>
      </x:c>
      <x:c r="I9" s="34" t="str">
        <x:v>Scored-Style</x:v>
      </x:c>
      <x:c r="J9" s="34" t="str">
        <x:v>Pretest-Style</x:v>
      </x:c>
    </x:row>
    <x:row r="10">
      <x:c r="A10" s="41" t="str">
        <x:v>Questions</x:v>
      </x:c>
      <x:c r="B10" s="41" t="n">
        <x:f>COUNTIF('Master Inventory'!$Q$2:$Q$449,3)</x:f>
        <x:v>206</x:v>
      </x:c>
      <x:c r="C10" s="41" t="n">
        <x:f>COUNTIF('Master Inventory'!$Q$2:$Q$449,4)</x:f>
        <x:v>242</x:v>
      </x:c>
      <x:c r="D10" s="41" t="n">
        <x:f>SUM(B10:C10)</x:f>
        <x:v>448</x:v>
      </x:c>
      <x:c r="E10" s="41" t="str">
        <x:v>Pass</x:v>
      </x:c>
      <x:c r="G10" s="41" t="str">
        <x:v>Questions</x:v>
      </x:c>
      <x:c r="H10" s="41" t="n">
        <x:f>COUNTIF('Master Inventory'!$I$2:$I$449,"Workbook Bank")</x:f>
        <x:v>204</x:v>
      </x:c>
      <x:c r="I10" s="41" t="n">
        <x:f>COUNTIF('Master Inventory'!$I$2:$I$449,"Scored-Style")</x:f>
        <x:v>220</x:v>
      </x:c>
      <x:c r="J10" s="41" t="n">
        <x:f>COUNTIF('Master Inventory'!$I$2:$I$449,"Pretest-Style")</x:f>
        <x:v>24</x:v>
      </x:c>
    </x:row>
    <x:row r="13">
      <x:c r="A13" s="34" t="str">
        <x:v>Official Content Area</x:v>
      </x:c>
      <x:c r="B13" s="34" t="str">
        <x:v>Total</x:v>
      </x:c>
      <x:c r="C13" s="34" t="str">
        <x:v>Workbook Banks</x:v>
      </x:c>
      <x:c r="D13" s="34" t="str">
        <x:v>Form A</x:v>
      </x:c>
      <x:c r="E13" s="34" t="str">
        <x:v>Form B</x:v>
      </x:c>
      <x:c r="G13" s="34" t="str">
        <x:v>Answer Position</x:v>
      </x:c>
      <x:c r="H13" s="34" t="str">
        <x:v>A</x:v>
      </x:c>
      <x:c r="I13" s="34" t="str">
        <x:v>B</x:v>
      </x:c>
      <x:c r="J13" s="34" t="str">
        <x:v>C</x:v>
      </x:c>
    </x:row>
    <x:row r="14">
      <x:c r="A14" s="61" t="str">
        <x:v>I. Values and Ethics</x:v>
      </x:c>
      <x:c r="B14" s="62" t="n">
        <x:f>COUNTIF('Master Inventory'!$J$2:$J$449,A14)</x:f>
        <x:v>105</x:v>
      </x:c>
      <x:c r="C14" s="62" t="n">
        <x:f>COUNTIFS('Master Inventory'!$J$2:$J$449,A14,'Master Inventory'!$D$2:$D$449,"Workbook Question Bank")</x:f>
        <x:v>17</x:v>
      </x:c>
      <x:c r="D14" s="62" t="n">
        <x:f>COUNTIFS('Master Inventory'!$J$2:$J$449,A14,'Master Inventory'!$G$2:$G$449,"Form A")</x:f>
        <x:v>44</x:v>
      </x:c>
      <x:c r="E14" s="63" t="n">
        <x:f>COUNTIFS('Master Inventory'!$J$2:$J$449,A14,'Master Inventory'!$G$2:$G$449,"Form B")</x:f>
        <x:v>44</x:v>
      </x:c>
      <x:c r="G14" s="41" t="str">
        <x:v>Questions</x:v>
      </x:c>
      <x:c r="H14" s="41" t="n">
        <x:f>COUNTIF('Master Inventory'!$R$2:$R$449,"A")</x:f>
        <x:v>134</x:v>
      </x:c>
      <x:c r="I14" s="41" t="n">
        <x:f>COUNTIF('Master Inventory'!$R$2:$R$449,"B")</x:f>
        <x:v>120</x:v>
      </x:c>
      <x:c r="J14" s="41" t="n">
        <x:f>COUNTIF('Master Inventory'!$R$2:$R$449,"C")</x:f>
        <x:v>122</x:v>
      </x:c>
    </x:row>
    <x:row r="15">
      <x:c r="A15" s="64" t="str">
        <x:v>II. Assessment and Planning</x:v>
      </x:c>
      <x:c r="B15" s="10" t="n">
        <x:f>COUNTIF('Master Inventory'!$J$2:$J$449,A15)</x:f>
        <x:v>163</x:v>
      </x:c>
      <x:c r="C15" s="10" t="n">
        <x:f>COUNTIFS('Master Inventory'!$J$2:$J$449,A15,'Master Inventory'!$D$2:$D$449,"Workbook Question Bank")</x:f>
        <x:v>85</x:v>
      </x:c>
      <x:c r="D15" s="10" t="n">
        <x:f>COUNTIFS('Master Inventory'!$J$2:$J$449,A15,'Master Inventory'!$G$2:$G$449,"Form A")</x:f>
        <x:v>39</x:v>
      </x:c>
      <x:c r="E15" s="65" t="n">
        <x:f>COUNTIFS('Master Inventory'!$J$2:$J$449,A15,'Master Inventory'!$G$2:$G$449,"Form B")</x:f>
        <x:v>39</x:v>
      </x:c>
      <x:c r="G15" s="41" t="str">
        <x:v>D</x:v>
      </x:c>
      <x:c r="H15" s="41" t="n">
        <x:f>COUNTIF('Master Inventory'!$R$2:$R$449,"D")</x:f>
        <x:v>72</x:v>
      </x:c>
      <x:c r="I15" s="41"/>
      <x:c r="J15" s="41"/>
    </x:row>
    <x:row r="16">
      <x:c r="A16" s="64" t="str">
        <x:v>III. Intervention and Practice</x:v>
      </x:c>
      <x:c r="B16" s="10" t="n">
        <x:f>COUNTIF('Master Inventory'!$J$2:$J$449,A16)</x:f>
        <x:v>146</x:v>
      </x:c>
      <x:c r="C16" s="10" t="n">
        <x:f>COUNTIFS('Master Inventory'!$J$2:$J$449,A16,'Master Inventory'!$D$2:$D$449,"Workbook Question Bank")</x:f>
        <x:v>68</x:v>
      </x:c>
      <x:c r="D16" s="10" t="n">
        <x:f>COUNTIFS('Master Inventory'!$J$2:$J$449,A16,'Master Inventory'!$G$2:$G$449,"Form A")</x:f>
        <x:v>39</x:v>
      </x:c>
      <x:c r="E16" s="65" t="n">
        <x:f>COUNTIFS('Master Inventory'!$J$2:$J$449,A16,'Master Inventory'!$G$2:$G$449,"Form B")</x:f>
        <x:v>39</x:v>
      </x:c>
    </x:row>
    <x:row r="17">
      <x:c r="A17" s="64" t="str">
        <x:v>Exam Strategy / Cross-Domain</x:v>
      </x:c>
      <x:c r="B17" s="10" t="n">
        <x:f>COUNTIF('Master Inventory'!$J$2:$J$449,A17)</x:f>
        <x:v>17</x:v>
      </x:c>
      <x:c r="C17" s="10" t="n">
        <x:f>COUNTIFS('Master Inventory'!$J$2:$J$449,A17,'Master Inventory'!$D$2:$D$449,"Workbook Question Bank")</x:f>
        <x:v>17</x:v>
      </x:c>
      <x:c r="D17" s="10" t="n">
        <x:f>COUNTIFS('Master Inventory'!$J$2:$J$449,A17,'Master Inventory'!$G$2:$G$449,"Form A")</x:f>
        <x:v>0</x:v>
      </x:c>
      <x:c r="E17" s="65" t="n">
        <x:f>COUNTIFS('Master Inventory'!$J$2:$J$449,A17,'Master Inventory'!$G$2:$G$449,"Form B")</x:f>
        <x:v>0</x:v>
      </x:c>
      <x:c r="G17" s="34" t="str">
        <x:v>Reasoning Level</x:v>
      </x:c>
      <x:c r="H17" s="34" t="str">
        <x:v>Count</x:v>
      </x:c>
      <x:c r="I17" s="34" t="str">
        <x:v>Percent</x:v>
      </x:c>
      <x:c r="J17" s="34" t="str">
        <x:v>Review</x:v>
      </x:c>
    </x:row>
    <x:row r="18">
      <x:c r="A18" s="66" t="str">
        <x:v>Integrated Review / Cross-Domain</x:v>
      </x:c>
      <x:c r="B18" s="67" t="n">
        <x:f>COUNTIF('Master Inventory'!$J$2:$J$449,A18)</x:f>
        <x:v>17</x:v>
      </x:c>
      <x:c r="C18" s="67" t="n">
        <x:f>COUNTIFS('Master Inventory'!$J$2:$J$449,A18,'Master Inventory'!$D$2:$D$449,"Workbook Question Bank")</x:f>
        <x:v>17</x:v>
      </x:c>
      <x:c r="D18" s="67" t="n">
        <x:f>COUNTIFS('Master Inventory'!$J$2:$J$449,A18,'Master Inventory'!$G$2:$G$449,"Form A")</x:f>
        <x:v>0</x:v>
      </x:c>
      <x:c r="E18" s="68" t="n">
        <x:f>COUNTIFS('Master Inventory'!$J$2:$J$449,A18,'Master Inventory'!$G$2:$G$449,"Form B")</x:f>
        <x:v>0</x:v>
      </x:c>
      <x:c r="G18" s="44" t="str">
        <x:v>Knowledge &amp; Recall</x:v>
      </x:c>
      <x:c r="H18" s="45" t="n">
        <x:f>COUNTIF('Master Inventory'!$P$2:$P$449,G18)</x:f>
        <x:v>63</x:v>
      </x:c>
      <x:c r="I18" s="79" t="n">
        <x:f>H18/$A$6</x:f>
        <x:v>0.140625</x:v>
      </x:c>
      <x:c r="J18" s="46" t="str">
        <x:v>Tracked</x:v>
      </x:c>
    </x:row>
    <x:row r="19">
      <x:c r="G19" s="47" t="str">
        <x:v>Application</x:v>
      </x:c>
      <x:c r="H19" s="48" t="n">
        <x:f>COUNTIF('Master Inventory'!$P$2:$P$449,G19)</x:f>
        <x:v>153</x:v>
      </x:c>
      <x:c r="I19" s="77" t="n">
        <x:f>H19/$A$6</x:f>
        <x:v>0.34151785714285715</x:v>
      </x:c>
      <x:c r="J19" s="49" t="str">
        <x:v>Tracked</x:v>
      </x:c>
    </x:row>
    <x:row r="20">
      <x:c r="G20" s="47" t="str">
        <x:v>Scenario-Based</x:v>
      </x:c>
      <x:c r="H20" s="48" t="n">
        <x:f>COUNTIF('Master Inventory'!$P$2:$P$449,G20)</x:f>
        <x:v>144</x:v>
      </x:c>
      <x:c r="I20" s="77" t="n">
        <x:f>H20/$A$6</x:f>
        <x:v>0.32142857142857145</x:v>
      </x:c>
      <x:c r="J20" s="49" t="str">
        <x:v>Tracked</x:v>
      </x:c>
    </x:row>
    <x:row r="21">
      <x:c r="G21" s="50" t="str">
        <x:v>Integrated Clinical Reasoning</x:v>
      </x:c>
      <x:c r="H21" s="51" t="n">
        <x:f>COUNTIF('Master Inventory'!$P$2:$P$449,G21)</x:f>
        <x:v>88</x:v>
      </x:c>
      <x:c r="I21" s="80" t="n">
        <x:f>H21/$A$6</x:f>
        <x:v>0.19642857142857142</x:v>
      </x:c>
      <x:c r="J21" s="52" t="str">
        <x:v>Tracked</x:v>
      </x:c>
    </x:row>
  </x:sheetData>
  <x:mergeCells>
    <x:mergeCell ref="A1:J1"/>
    <x:mergeCell ref="A2:J3"/>
    <x:mergeCell ref="A5:B5"/>
    <x:mergeCell ref="A6:B7"/>
    <x:mergeCell ref="C5:D5"/>
    <x:mergeCell ref="C6:D7"/>
    <x:mergeCell ref="E5:F5"/>
    <x:mergeCell ref="E6:F7"/>
    <x:mergeCell ref="G5:H5"/>
    <x:mergeCell ref="G6:H7"/>
    <x:mergeCell ref="I5:J5"/>
    <x:mergeCell ref="I6:J7"/>
    <x:mergeCell ref="H15:J15"/>
  </x:mergeCells>
  <x:pageMargins left="0.7" right="0.7" top="0.75" bottom="0.75" header="0.3" footer="0.3"/>
  <x:drawing xmlns:r="http://schemas.openxmlformats.org/officeDocument/2006/relationships" r:id="Rbc6ae98dbd3445e0"/>
</x:worksheet>
</file>

<file path=xl/worksheets/sheet2.xml><?xml version="1.0" encoding="utf-8"?>
<x:worksheet xmlns:x="http://schemas.openxmlformats.org/spreadsheetml/2006/main">
  <x:sheetFormatPr defaultRowHeight="15"/>
  <x:cols>
    <x:col min="1" max="1" width="20" hidden="0" customWidth="1"/>
    <x:col min="2" max="2" width="24" hidden="0" customWidth="1"/>
    <x:col min="3" max="3" width="10" hidden="0" customWidth="1"/>
    <x:col min="4" max="4" width="24" hidden="0" customWidth="1"/>
    <x:col min="5" max="5" width="10" hidden="0" customWidth="1"/>
    <x:col min="6" max="6" width="34" hidden="0" customWidth="1"/>
    <x:col min="7" max="7" width="12" hidden="0" customWidth="1"/>
    <x:col min="8" max="8" width="12" hidden="0" customWidth="1"/>
    <x:col min="9" max="9" width="18" hidden="0" customWidth="1"/>
    <x:col min="10" max="10" width="34" hidden="0" customWidth="1"/>
    <x:col min="11" max="11" width="28" hidden="0" customWidth="1"/>
    <x:col min="12" max="12" width="24" hidden="0" customWidth="1"/>
    <x:col min="13" max="13" width="14" hidden="0" customWidth="1"/>
    <x:col min="14" max="14" width="14" hidden="0" customWidth="1"/>
    <x:col min="15" max="15" width="25" hidden="0" customWidth="1"/>
    <x:col min="16" max="16" width="24" hidden="0" customWidth="1"/>
    <x:col min="17" max="17" width="11" hidden="0" customWidth="1"/>
    <x:col min="18" max="18" width="11" hidden="0" customWidth="1"/>
    <x:col min="19" max="19" width="14" hidden="0" customWidth="1"/>
    <x:col min="20" max="20" width="12" hidden="0" customWidth="1"/>
    <x:col min="21" max="21" width="11" hidden="0" customWidth="1"/>
    <x:col min="22" max="22" width="16" hidden="0" customWidth="1"/>
    <x:col min="23" max="23" width="18" hidden="0" customWidth="1"/>
    <x:col min="24" max="24" width="20" hidden="0" customWidth="1"/>
    <x:col min="25" max="25" width="20" hidden="0" customWidth="1"/>
    <x:col min="26" max="26" width="42" hidden="0" customWidth="1"/>
    <x:col min="27" max="27" width="42" hidden="0" customWidth="1"/>
    <x:col min="28" max="28" width="12" hidden="0" customWidth="1"/>
    <x:col min="29" max="29" width="14" hidden="0" customWidth="1"/>
    <x:col min="30" max="30" width="16" hidden="0" customWidth="1"/>
    <x:col min="31" max="31" width="36" hidden="0" customWidth="1"/>
    <x:col min="32" max="32" width="38" hidden="0" customWidth="1"/>
  </x:cols>
  <x:sheetData>
    <x:row r="1" ht="34" customHeight="1">
      <x:c r="A1" s="34" t="str">
        <x:v>Master Question ID</x:v>
      </x:c>
      <x:c r="B1" s="34" t="str">
        <x:v>Original Question ID</x:v>
      </x:c>
      <x:c r="C1" s="34" t="str">
        <x:v>Profession</x:v>
      </x:c>
      <x:c r="D1" s="34" t="str">
        <x:v>Source Type</x:v>
      </x:c>
      <x:c r="E1" s="34" t="str">
        <x:v>Workbook Number</x:v>
      </x:c>
      <x:c r="F1" s="34" t="str">
        <x:v>Workbook Title</x:v>
      </x:c>
      <x:c r="G1" s="34" t="str">
        <x:v>Exam Form</x:v>
      </x:c>
      <x:c r="H1" s="34" t="str">
        <x:v>Form Question Number</x:v>
      </x:c>
      <x:c r="I1" s="34" t="str">
        <x:v>CTA Status Designation</x:v>
      </x:c>
      <x:c r="J1" s="34" t="str">
        <x:v>Official Content Area</x:v>
      </x:c>
      <x:c r="K1" s="34" t="str">
        <x:v>Primary Concept</x:v>
      </x:c>
      <x:c r="L1" s="34" t="str">
        <x:v>Secondary Concepts</x:v>
      </x:c>
      <x:c r="M1" s="34" t="str">
        <x:v>Source Difficulty</x:v>
      </x:c>
      <x:c r="N1" s="34" t="str">
        <x:v>Normalized Difficulty</x:v>
      </x:c>
      <x:c r="O1" s="34" t="str">
        <x:v>Source Cognitive Demand / Question Type</x:v>
      </x:c>
      <x:c r="P1" s="34" t="str">
        <x:v>Normalized Reasoning Level</x:v>
      </x:c>
      <x:c r="Q1" s="34" t="str">
        <x:v>Option Count</x:v>
      </x:c>
      <x:c r="R1" s="34" t="str">
        <x:v>Correct Answer</x:v>
      </x:c>
      <x:c r="S1" s="34" t="str">
        <x:v>Approval Status</x:v>
      </x:c>
      <x:c r="T1" s="34" t="str">
        <x:v>Item Status</x:v>
      </x:c>
      <x:c r="U1" s="34" t="str">
        <x:v>Exposure Count</x:v>
      </x:c>
      <x:c r="V1" s="34" t="str">
        <x:v>Alternate Form Pair ID</x:v>
      </x:c>
      <x:c r="W1" s="34" t="str">
        <x:v>Overlap Review Status</x:v>
      </x:c>
      <x:c r="X1" s="34" t="str">
        <x:v>QA Flags</x:v>
      </x:c>
      <x:c r="Y1" s="34" t="str">
        <x:v>Bias / Cultural Review</x:v>
      </x:c>
      <x:c r="Z1" s="34" t="str">
        <x:v>Source Alignment / Authority Tag</x:v>
      </x:c>
      <x:c r="AA1" s="34" t="str">
        <x:v>Source File</x:v>
      </x:c>
      <x:c r="AB1" s="34" t="str">
        <x:v>Source Version</x:v>
      </x:c>
      <x:c r="AC1" s="34" t="str">
        <x:v>Source Accuracy Date</x:v>
      </x:c>
      <x:c r="AD1" s="34" t="str">
        <x:v>Last Master Review Date</x:v>
      </x:c>
      <x:c r="AE1" s="34" t="str">
        <x:v>Master Notes</x:v>
      </x:c>
      <x:c r="AF1" s="34" t="str">
        <x:v>Eligible Future Use</x:v>
      </x:c>
    </x:row>
    <x:row r="2">
      <x:c r="A2" s="85" t="str">
        <x:v>CTA-LCSW-MQB-0001</x:v>
      </x:c>
      <x:c r="B2" s="86" t="str">
        <x:v>LCSW-WB01-QB-Q001</x:v>
      </x:c>
      <x:c r="C2" s="86" t="str">
        <x:v>LCSW</x:v>
      </x:c>
      <x:c r="D2" s="86" t="str">
        <x:v>Workbook Question Bank</x:v>
      </x:c>
      <x:c r="E2" s="86" t="n">
        <x:v>1</x:v>
      </x:c>
      <x:c r="F2" s="86" t="str">
        <x:v>ASWB Exam Strategy and Applied Reasoning</x:v>
      </x:c>
      <x:c r="G2" s="86"/>
      <x:c r="H2" s="86" t="n">
        <x:v>1</x:v>
      </x:c>
      <x:c r="I2" s="86" t="str">
        <x:v>Workbook Bank</x:v>
      </x:c>
      <x:c r="J2" s="86" t="str">
        <x:v>Exam Strategy / Cross-Domain</x:v>
      </x:c>
      <x:c r="K2" s="86" t="str">
        <x:v>Meaning of MOST appropriate</x:v>
      </x:c>
      <x:c r="L2" s="86" t="str"/>
      <x:c r="M2" s="86" t="str">
        <x:v>Easy</x:v>
      </x:c>
      <x:c r="N2" s="86" t="str">
        <x:v>Easy</x:v>
      </x:c>
      <x:c r="O2" s="86" t="str">
        <x:v>Knowledge &amp; Recall</x:v>
      </x:c>
      <x:c r="P2" s="86" t="str">
        <x:v>Knowledge &amp; Recall</x:v>
      </x:c>
      <x:c r="Q2" s="86" t="n">
        <x:v>3</x:v>
      </x:c>
      <x:c r="R2" s="86" t="str">
        <x:v>B</x:v>
      </x:c>
      <x:c r="S2" s="86" t="str">
        <x:v>Approved</x:v>
      </x:c>
      <x:c r="T2" s="86" t="str">
        <x:v>Active</x:v>
      </x:c>
      <x:c r="U2" s="86" t="n">
        <x:v>1</x:v>
      </x:c>
      <x:c r="V2" s="86" t="str"/>
      <x:c r="W2" s="86" t="str">
        <x:v>No additional flag</x:v>
      </x:c>
      <x:c r="X2" s="86" t="str">
        <x:v>No structural flag</x:v>
      </x:c>
      <x:c r="Y2" s="86" t="str">
        <x:v>Not Yet Reviewed</x:v>
      </x:c>
      <x:c r="Z2" s="86" t="str">
        <x:v>CTA LCSW Workbook 1</x:v>
      </x:c>
      <x:c r="AA2" s="86" t="str">
        <x:v>CTA_LCSW_WB1_17_Question_Bank_v1.0.docx</x:v>
      </x:c>
      <x:c r="AB2" s="86" t="str">
        <x:v>1.0</x:v>
      </x:c>
      <x:c r="AC2" s="101"/>
      <x:c r="AD2" s="101" t="n">
        <x:v>46228</x:v>
      </x:c>
      <x:c r="AE2" s="86" t="str">
        <x:v>Cross-domain examination-strategy item; not assigned to one scored content area.</x:v>
      </x:c>
      <x:c r="AF2" s="87" t="str">
        <x:v>Workbook bank; reserve pool after controlled review</x:v>
      </x:c>
    </x:row>
    <x:row r="3">
      <x:c r="A3" s="88" t="str">
        <x:v>CTA-LCSW-MQB-0002</x:v>
      </x:c>
      <x:c r="B3" s="83" t="str">
        <x:v>LCSW-WB01-QB-Q002</x:v>
      </x:c>
      <x:c r="C3" s="83" t="str">
        <x:v>LCSW</x:v>
      </x:c>
      <x:c r="D3" s="83" t="str">
        <x:v>Workbook Question Bank</x:v>
      </x:c>
      <x:c r="E3" s="83" t="n">
        <x:v>1</x:v>
      </x:c>
      <x:c r="F3" s="83" t="str">
        <x:v>ASWB Exam Strategy and Applied Reasoning</x:v>
      </x:c>
      <x:c r="G3" s="83"/>
      <x:c r="H3" s="83" t="n">
        <x:v>2</x:v>
      </x:c>
      <x:c r="I3" s="83" t="str">
        <x:v>Workbook Bank</x:v>
      </x:c>
      <x:c r="J3" s="83" t="str">
        <x:v>Exam Strategy / Cross-Domain</x:v>
      </x:c>
      <x:c r="K3" s="83" t="str">
        <x:v>Meaning of NEXT</x:v>
      </x:c>
      <x:c r="L3" s="83" t="str"/>
      <x:c r="M3" s="83" t="str">
        <x:v>Easy</x:v>
      </x:c>
      <x:c r="N3" s="83" t="str">
        <x:v>Easy</x:v>
      </x:c>
      <x:c r="O3" s="83" t="str">
        <x:v>Knowledge &amp; Recall</x:v>
      </x:c>
      <x:c r="P3" s="83" t="str">
        <x:v>Knowledge &amp; Recall</x:v>
      </x:c>
      <x:c r="Q3" s="83" t="n">
        <x:v>3</x:v>
      </x:c>
      <x:c r="R3" s="83" t="str">
        <x:v>A</x:v>
      </x:c>
      <x:c r="S3" s="83" t="str">
        <x:v>Approved</x:v>
      </x:c>
      <x:c r="T3" s="83" t="str">
        <x:v>Active</x:v>
      </x:c>
      <x:c r="U3" s="83" t="n">
        <x:v>1</x:v>
      </x:c>
      <x:c r="V3" s="83" t="str"/>
      <x:c r="W3" s="83" t="str">
        <x:v>No additional flag</x:v>
      </x:c>
      <x:c r="X3" s="83" t="str">
        <x:v>No structural flag</x:v>
      </x:c>
      <x:c r="Y3" s="83" t="str">
        <x:v>Not Yet Reviewed</x:v>
      </x:c>
      <x:c r="Z3" s="83" t="str">
        <x:v>CTA LCSW Workbook 1</x:v>
      </x:c>
      <x:c r="AA3" s="83" t="str">
        <x:v>CTA_LCSW_WB1_17_Question_Bank_v1.0.docx</x:v>
      </x:c>
      <x:c r="AB3" s="83" t="str">
        <x:v>1.0</x:v>
      </x:c>
      <x:c r="AC3" s="102"/>
      <x:c r="AD3" s="102" t="n">
        <x:v>46228</x:v>
      </x:c>
      <x:c r="AE3" s="83" t="str">
        <x:v>Cross-domain examination-strategy item; not assigned to one scored content area.</x:v>
      </x:c>
      <x:c r="AF3" s="89" t="str">
        <x:v>Workbook bank; reserve pool after controlled review</x:v>
      </x:c>
    </x:row>
    <x:row r="4">
      <x:c r="A4" s="88" t="str">
        <x:v>CTA-LCSW-MQB-0003</x:v>
      </x:c>
      <x:c r="B4" s="83" t="str">
        <x:v>LCSW-WB01-QB-Q003</x:v>
      </x:c>
      <x:c r="C4" s="83" t="str">
        <x:v>LCSW</x:v>
      </x:c>
      <x:c r="D4" s="83" t="str">
        <x:v>Workbook Question Bank</x:v>
      </x:c>
      <x:c r="E4" s="83" t="n">
        <x:v>1</x:v>
      </x:c>
      <x:c r="F4" s="83" t="str">
        <x:v>ASWB Exam Strategy and Applied Reasoning</x:v>
      </x:c>
      <x:c r="G4" s="83"/>
      <x:c r="H4" s="83" t="n">
        <x:v>3</x:v>
      </x:c>
      <x:c r="I4" s="83" t="str">
        <x:v>Workbook Bank</x:v>
      </x:c>
      <x:c r="J4" s="83" t="str">
        <x:v>Exam Strategy / Cross-Domain</x:v>
      </x:c>
      <x:c r="K4" s="83" t="str">
        <x:v>2026 exam structure</x:v>
      </x:c>
      <x:c r="L4" s="83" t="str"/>
      <x:c r="M4" s="83" t="str">
        <x:v>Easy</x:v>
      </x:c>
      <x:c r="N4" s="83" t="str">
        <x:v>Easy</x:v>
      </x:c>
      <x:c r="O4" s="83" t="str">
        <x:v>Knowledge &amp; Recall</x:v>
      </x:c>
      <x:c r="P4" s="83" t="str">
        <x:v>Knowledge &amp; Recall</x:v>
      </x:c>
      <x:c r="Q4" s="83" t="n">
        <x:v>4</x:v>
      </x:c>
      <x:c r="R4" s="83" t="str">
        <x:v>C</x:v>
      </x:c>
      <x:c r="S4" s="83" t="str">
        <x:v>Approved</x:v>
      </x:c>
      <x:c r="T4" s="83" t="str">
        <x:v>Active</x:v>
      </x:c>
      <x:c r="U4" s="83" t="n">
        <x:v>1</x:v>
      </x:c>
      <x:c r="V4" s="83" t="str"/>
      <x:c r="W4" s="83" t="str">
        <x:v>No additional flag</x:v>
      </x:c>
      <x:c r="X4" s="83" t="str">
        <x:v>No structural flag</x:v>
      </x:c>
      <x:c r="Y4" s="83" t="str">
        <x:v>Not Yet Reviewed</x:v>
      </x:c>
      <x:c r="Z4" s="83" t="str">
        <x:v>CTA LCSW Workbook 1</x:v>
      </x:c>
      <x:c r="AA4" s="83" t="str">
        <x:v>CTA_LCSW_WB1_17_Question_Bank_v1.0.docx</x:v>
      </x:c>
      <x:c r="AB4" s="83" t="str">
        <x:v>1.0</x:v>
      </x:c>
      <x:c r="AC4" s="102"/>
      <x:c r="AD4" s="102" t="n">
        <x:v>46228</x:v>
      </x:c>
      <x:c r="AE4" s="83" t="str">
        <x:v>Cross-domain examination-strategy item; not assigned to one scored content area.</x:v>
      </x:c>
      <x:c r="AF4" s="89" t="str">
        <x:v>Workbook bank; reserve pool after controlled review</x:v>
      </x:c>
    </x:row>
    <x:row r="5">
      <x:c r="A5" s="88" t="str">
        <x:v>CTA-LCSW-MQB-0004</x:v>
      </x:c>
      <x:c r="B5" s="83" t="str">
        <x:v>LCSW-WB01-QB-Q004</x:v>
      </x:c>
      <x:c r="C5" s="83" t="str">
        <x:v>LCSW</x:v>
      </x:c>
      <x:c r="D5" s="83" t="str">
        <x:v>Workbook Question Bank</x:v>
      </x:c>
      <x:c r="E5" s="83" t="n">
        <x:v>1</x:v>
      </x:c>
      <x:c r="F5" s="83" t="str">
        <x:v>ASWB Exam Strategy and Applied Reasoning</x:v>
      </x:c>
      <x:c r="G5" s="83"/>
      <x:c r="H5" s="83" t="n">
        <x:v>4</x:v>
      </x:c>
      <x:c r="I5" s="83" t="str">
        <x:v>Workbook Bank</x:v>
      </x:c>
      <x:c r="J5" s="83" t="str">
        <x:v>Exam Strategy / Cross-Domain</x:v>
      </x:c>
      <x:c r="K5" s="83" t="str">
        <x:v>Person-in-environment purpose</x:v>
      </x:c>
      <x:c r="L5" s="83" t="str"/>
      <x:c r="M5" s="83" t="str">
        <x:v>Easy</x:v>
      </x:c>
      <x:c r="N5" s="83" t="str">
        <x:v>Easy</x:v>
      </x:c>
      <x:c r="O5" s="83" t="str">
        <x:v>Knowledge &amp; Recall</x:v>
      </x:c>
      <x:c r="P5" s="83" t="str">
        <x:v>Knowledge &amp; Recall</x:v>
      </x:c>
      <x:c r="Q5" s="83" t="n">
        <x:v>4</x:v>
      </x:c>
      <x:c r="R5" s="83" t="str">
        <x:v>D</x:v>
      </x:c>
      <x:c r="S5" s="83" t="str">
        <x:v>Approved</x:v>
      </x:c>
      <x:c r="T5" s="83" t="str">
        <x:v>Active</x:v>
      </x:c>
      <x:c r="U5" s="83" t="n">
        <x:v>1</x:v>
      </x:c>
      <x:c r="V5" s="83" t="str"/>
      <x:c r="W5" s="83" t="str">
        <x:v>No additional flag</x:v>
      </x:c>
      <x:c r="X5" s="83" t="str">
        <x:v>No structural flag</x:v>
      </x:c>
      <x:c r="Y5" s="83" t="str">
        <x:v>Not Yet Reviewed</x:v>
      </x:c>
      <x:c r="Z5" s="83" t="str">
        <x:v>CTA LCSW Workbook 1</x:v>
      </x:c>
      <x:c r="AA5" s="83" t="str">
        <x:v>CTA_LCSW_WB1_17_Question_Bank_v1.0.docx</x:v>
      </x:c>
      <x:c r="AB5" s="83" t="str">
        <x:v>1.0</x:v>
      </x:c>
      <x:c r="AC5" s="102"/>
      <x:c r="AD5" s="102" t="n">
        <x:v>46228</x:v>
      </x:c>
      <x:c r="AE5" s="83" t="str">
        <x:v>Cross-domain examination-strategy item; not assigned to one scored content area.</x:v>
      </x:c>
      <x:c r="AF5" s="89" t="str">
        <x:v>Workbook bank; reserve pool after controlled review</x:v>
      </x:c>
    </x:row>
    <x:row r="6">
      <x:c r="A6" s="88" t="str">
        <x:v>CTA-LCSW-MQB-0005</x:v>
      </x:c>
      <x:c r="B6" s="83" t="str">
        <x:v>LCSW-WB01-QB-Q005</x:v>
      </x:c>
      <x:c r="C6" s="83" t="str">
        <x:v>LCSW</x:v>
      </x:c>
      <x:c r="D6" s="83" t="str">
        <x:v>Workbook Question Bank</x:v>
      </x:c>
      <x:c r="E6" s="83" t="n">
        <x:v>1</x:v>
      </x:c>
      <x:c r="F6" s="83" t="str">
        <x:v>ASWB Exam Strategy and Applied Reasoning</x:v>
      </x:c>
      <x:c r="G6" s="83"/>
      <x:c r="H6" s="83" t="n">
        <x:v>5</x:v>
      </x:c>
      <x:c r="I6" s="83" t="str">
        <x:v>Workbook Bank</x:v>
      </x:c>
      <x:c r="J6" s="83" t="str">
        <x:v>Exam Strategy / Cross-Domain</x:v>
      </x:c>
      <x:c r="K6" s="83" t="str">
        <x:v>Engaging an involuntary client</x:v>
      </x:c>
      <x:c r="L6" s="83" t="str"/>
      <x:c r="M6" s="83" t="str">
        <x:v>Easy</x:v>
      </x:c>
      <x:c r="N6" s="83" t="str">
        <x:v>Easy</x:v>
      </x:c>
      <x:c r="O6" s="83" t="str">
        <x:v>Application</x:v>
      </x:c>
      <x:c r="P6" s="83" t="str">
        <x:v>Application</x:v>
      </x:c>
      <x:c r="Q6" s="83" t="n">
        <x:v>3</x:v>
      </x:c>
      <x:c r="R6" s="83" t="str">
        <x:v>A</x:v>
      </x:c>
      <x:c r="S6" s="83" t="str">
        <x:v>Approved</x:v>
      </x:c>
      <x:c r="T6" s="83" t="str">
        <x:v>Active</x:v>
      </x:c>
      <x:c r="U6" s="83" t="n">
        <x:v>1</x:v>
      </x:c>
      <x:c r="V6" s="83" t="str"/>
      <x:c r="W6" s="83" t="str">
        <x:v>No additional flag</x:v>
      </x:c>
      <x:c r="X6" s="83" t="str">
        <x:v>No structural flag</x:v>
      </x:c>
      <x:c r="Y6" s="83" t="str">
        <x:v>Not Yet Reviewed</x:v>
      </x:c>
      <x:c r="Z6" s="83" t="str">
        <x:v>CTA LCSW Workbook 1</x:v>
      </x:c>
      <x:c r="AA6" s="83" t="str">
        <x:v>CTA_LCSW_WB1_17_Question_Bank_v1.0.docx</x:v>
      </x:c>
      <x:c r="AB6" s="83" t="str">
        <x:v>1.0</x:v>
      </x:c>
      <x:c r="AC6" s="102"/>
      <x:c r="AD6" s="102" t="n">
        <x:v>46228</x:v>
      </x:c>
      <x:c r="AE6" s="83" t="str">
        <x:v>Cross-domain examination-strategy item; not assigned to one scored content area.</x:v>
      </x:c>
      <x:c r="AF6" s="89" t="str">
        <x:v>Workbook bank; reserve pool after controlled review</x:v>
      </x:c>
    </x:row>
    <x:row r="7">
      <x:c r="A7" s="88" t="str">
        <x:v>CTA-LCSW-MQB-0006</x:v>
      </x:c>
      <x:c r="B7" s="83" t="str">
        <x:v>LCSW-WB01-QB-Q006</x:v>
      </x:c>
      <x:c r="C7" s="83" t="str">
        <x:v>LCSW</x:v>
      </x:c>
      <x:c r="D7" s="83" t="str">
        <x:v>Workbook Question Bank</x:v>
      </x:c>
      <x:c r="E7" s="83" t="n">
        <x:v>1</x:v>
      </x:c>
      <x:c r="F7" s="83" t="str">
        <x:v>ASWB Exam Strategy and Applied Reasoning</x:v>
      </x:c>
      <x:c r="G7" s="83"/>
      <x:c r="H7" s="83" t="n">
        <x:v>6</x:v>
      </x:c>
      <x:c r="I7" s="83" t="str">
        <x:v>Workbook Bank</x:v>
      </x:c>
      <x:c r="J7" s="83" t="str">
        <x:v>Exam Strategy / Cross-Domain</x:v>
      </x:c>
      <x:c r="K7" s="83" t="str">
        <x:v>Client choice about family involvement</x:v>
      </x:c>
      <x:c r="L7" s="83" t="str"/>
      <x:c r="M7" s="83" t="str">
        <x:v>Moderate</x:v>
      </x:c>
      <x:c r="N7" s="83" t="str">
        <x:v>Moderate</x:v>
      </x:c>
      <x:c r="O7" s="83" t="str">
        <x:v>Application</x:v>
      </x:c>
      <x:c r="P7" s="83" t="str">
        <x:v>Application</x:v>
      </x:c>
      <x:c r="Q7" s="83" t="n">
        <x:v>3</x:v>
      </x:c>
      <x:c r="R7" s="83" t="str">
        <x:v>B</x:v>
      </x:c>
      <x:c r="S7" s="83" t="str">
        <x:v>Approved</x:v>
      </x:c>
      <x:c r="T7" s="83" t="str">
        <x:v>Active</x:v>
      </x:c>
      <x:c r="U7" s="83" t="n">
        <x:v>1</x:v>
      </x:c>
      <x:c r="V7" s="83" t="str"/>
      <x:c r="W7" s="83" t="str">
        <x:v>No additional flag</x:v>
      </x:c>
      <x:c r="X7" s="83" t="str">
        <x:v>No structural flag</x:v>
      </x:c>
      <x:c r="Y7" s="83" t="str">
        <x:v>Not Yet Reviewed</x:v>
      </x:c>
      <x:c r="Z7" s="83" t="str">
        <x:v>CTA LCSW Workbook 1</x:v>
      </x:c>
      <x:c r="AA7" s="83" t="str">
        <x:v>CTA_LCSW_WB1_17_Question_Bank_v1.0.docx</x:v>
      </x:c>
      <x:c r="AB7" s="83" t="str">
        <x:v>1.0</x:v>
      </x:c>
      <x:c r="AC7" s="102"/>
      <x:c r="AD7" s="102" t="n">
        <x:v>46228</x:v>
      </x:c>
      <x:c r="AE7" s="83" t="str">
        <x:v>Cross-domain examination-strategy item; not assigned to one scored content area.</x:v>
      </x:c>
      <x:c r="AF7" s="89" t="str">
        <x:v>Workbook bank; reserve pool after controlled review</x:v>
      </x:c>
    </x:row>
    <x:row r="8">
      <x:c r="A8" s="88" t="str">
        <x:v>CTA-LCSW-MQB-0007</x:v>
      </x:c>
      <x:c r="B8" s="83" t="str">
        <x:v>LCSW-WB01-QB-Q007</x:v>
      </x:c>
      <x:c r="C8" s="83" t="str">
        <x:v>LCSW</x:v>
      </x:c>
      <x:c r="D8" s="83" t="str">
        <x:v>Workbook Question Bank</x:v>
      </x:c>
      <x:c r="E8" s="83" t="n">
        <x:v>1</x:v>
      </x:c>
      <x:c r="F8" s="83" t="str">
        <x:v>ASWB Exam Strategy and Applied Reasoning</x:v>
      </x:c>
      <x:c r="G8" s="83"/>
      <x:c r="H8" s="83" t="n">
        <x:v>7</x:v>
      </x:c>
      <x:c r="I8" s="83" t="str">
        <x:v>Workbook Bank</x:v>
      </x:c>
      <x:c r="J8" s="83" t="str">
        <x:v>Exam Strategy / Cross-Domain</x:v>
      </x:c>
      <x:c r="K8" s="83" t="str">
        <x:v>Evaluate intervention outcomes</x:v>
      </x:c>
      <x:c r="L8" s="83" t="str"/>
      <x:c r="M8" s="83" t="str">
        <x:v>Moderate</x:v>
      </x:c>
      <x:c r="N8" s="83" t="str">
        <x:v>Moderate</x:v>
      </x:c>
      <x:c r="O8" s="83" t="str">
        <x:v>Application</x:v>
      </x:c>
      <x:c r="P8" s="83" t="str">
        <x:v>Application</x:v>
      </x:c>
      <x:c r="Q8" s="83" t="n">
        <x:v>4</x:v>
      </x:c>
      <x:c r="R8" s="83" t="str">
        <x:v>C</x:v>
      </x:c>
      <x:c r="S8" s="83" t="str">
        <x:v>Approved</x:v>
      </x:c>
      <x:c r="T8" s="83" t="str">
        <x:v>Active</x:v>
      </x:c>
      <x:c r="U8" s="83" t="n">
        <x:v>1</x:v>
      </x:c>
      <x:c r="V8" s="83" t="str"/>
      <x:c r="W8" s="83" t="str">
        <x:v>No additional flag</x:v>
      </x:c>
      <x:c r="X8" s="83" t="str">
        <x:v>No structural flag</x:v>
      </x:c>
      <x:c r="Y8" s="83" t="str">
        <x:v>Not Yet Reviewed</x:v>
      </x:c>
      <x:c r="Z8" s="83" t="str">
        <x:v>CTA LCSW Workbook 1</x:v>
      </x:c>
      <x:c r="AA8" s="83" t="str">
        <x:v>CTA_LCSW_WB1_17_Question_Bank_v1.0.docx</x:v>
      </x:c>
      <x:c r="AB8" s="83" t="str">
        <x:v>1.0</x:v>
      </x:c>
      <x:c r="AC8" s="102"/>
      <x:c r="AD8" s="102" t="n">
        <x:v>46228</x:v>
      </x:c>
      <x:c r="AE8" s="83" t="str">
        <x:v>Cross-domain examination-strategy item; not assigned to one scored content area.</x:v>
      </x:c>
      <x:c r="AF8" s="89" t="str">
        <x:v>Workbook bank; reserve pool after controlled review</x:v>
      </x:c>
    </x:row>
    <x:row r="9">
      <x:c r="A9" s="88" t="str">
        <x:v>CTA-LCSW-MQB-0008</x:v>
      </x:c>
      <x:c r="B9" s="83" t="str">
        <x:v>LCSW-WB01-QB-Q008</x:v>
      </x:c>
      <x:c r="C9" s="83" t="str">
        <x:v>LCSW</x:v>
      </x:c>
      <x:c r="D9" s="83" t="str">
        <x:v>Workbook Question Bank</x:v>
      </x:c>
      <x:c r="E9" s="83" t="n">
        <x:v>1</x:v>
      </x:c>
      <x:c r="F9" s="83" t="str">
        <x:v>ASWB Exam Strategy and Applied Reasoning</x:v>
      </x:c>
      <x:c r="G9" s="83"/>
      <x:c r="H9" s="83" t="n">
        <x:v>8</x:v>
      </x:c>
      <x:c r="I9" s="83" t="str">
        <x:v>Workbook Bank</x:v>
      </x:c>
      <x:c r="J9" s="83" t="str">
        <x:v>Exam Strategy / Cross-Domain</x:v>
      </x:c>
      <x:c r="K9" s="83" t="str">
        <x:v>Third-party referral role clarity</x:v>
      </x:c>
      <x:c r="L9" s="83" t="str"/>
      <x:c r="M9" s="83" t="str">
        <x:v>Moderate</x:v>
      </x:c>
      <x:c r="N9" s="83" t="str">
        <x:v>Moderate</x:v>
      </x:c>
      <x:c r="O9" s="83" t="str">
        <x:v>Application</x:v>
      </x:c>
      <x:c r="P9" s="83" t="str">
        <x:v>Application</x:v>
      </x:c>
      <x:c r="Q9" s="83" t="n">
        <x:v>4</x:v>
      </x:c>
      <x:c r="R9" s="83" t="str">
        <x:v>D</x:v>
      </x:c>
      <x:c r="S9" s="83" t="str">
        <x:v>Approved</x:v>
      </x:c>
      <x:c r="T9" s="83" t="str">
        <x:v>Active</x:v>
      </x:c>
      <x:c r="U9" s="83" t="n">
        <x:v>1</x:v>
      </x:c>
      <x:c r="V9" s="83" t="str"/>
      <x:c r="W9" s="83" t="str">
        <x:v>No additional flag</x:v>
      </x:c>
      <x:c r="X9" s="83" t="str">
        <x:v>No structural flag</x:v>
      </x:c>
      <x:c r="Y9" s="83" t="str">
        <x:v>Not Yet Reviewed</x:v>
      </x:c>
      <x:c r="Z9" s="83" t="str">
        <x:v>CTA LCSW Workbook 1</x:v>
      </x:c>
      <x:c r="AA9" s="83" t="str">
        <x:v>CTA_LCSW_WB1_17_Question_Bank_v1.0.docx</x:v>
      </x:c>
      <x:c r="AB9" s="83" t="str">
        <x:v>1.0</x:v>
      </x:c>
      <x:c r="AC9" s="102"/>
      <x:c r="AD9" s="102" t="n">
        <x:v>46228</x:v>
      </x:c>
      <x:c r="AE9" s="83" t="str">
        <x:v>Cross-domain examination-strategy item; not assigned to one scored content area.</x:v>
      </x:c>
      <x:c r="AF9" s="89" t="str">
        <x:v>Workbook bank; reserve pool after controlled review</x:v>
      </x:c>
    </x:row>
    <x:row r="10">
      <x:c r="A10" s="88" t="str">
        <x:v>CTA-LCSW-MQB-0009</x:v>
      </x:c>
      <x:c r="B10" s="83" t="str">
        <x:v>LCSW-WB01-QB-Q009</x:v>
      </x:c>
      <x:c r="C10" s="83" t="str">
        <x:v>LCSW</x:v>
      </x:c>
      <x:c r="D10" s="83" t="str">
        <x:v>Workbook Question Bank</x:v>
      </x:c>
      <x:c r="E10" s="83" t="n">
        <x:v>1</x:v>
      </x:c>
      <x:c r="F10" s="83" t="str">
        <x:v>ASWB Exam Strategy and Applied Reasoning</x:v>
      </x:c>
      <x:c r="G10" s="83"/>
      <x:c r="H10" s="83" t="n">
        <x:v>9</x:v>
      </x:c>
      <x:c r="I10" s="83" t="str">
        <x:v>Workbook Bank</x:v>
      </x:c>
      <x:c r="J10" s="83" t="str">
        <x:v>Exam Strategy / Cross-Domain</x:v>
      </x:c>
      <x:c r="K10" s="83" t="str">
        <x:v>Capacity and least restrictive support</x:v>
      </x:c>
      <x:c r="L10" s="83" t="str"/>
      <x:c r="M10" s="83" t="str">
        <x:v>Moderate</x:v>
      </x:c>
      <x:c r="N10" s="83" t="str">
        <x:v>Moderate</x:v>
      </x:c>
      <x:c r="O10" s="83" t="str">
        <x:v>Application</x:v>
      </x:c>
      <x:c r="P10" s="83" t="str">
        <x:v>Application</x:v>
      </x:c>
      <x:c r="Q10" s="83" t="n">
        <x:v>3</x:v>
      </x:c>
      <x:c r="R10" s="83" t="str">
        <x:v>A</x:v>
      </x:c>
      <x:c r="S10" s="83" t="str">
        <x:v>Approved</x:v>
      </x:c>
      <x:c r="T10" s="83" t="str">
        <x:v>Active</x:v>
      </x:c>
      <x:c r="U10" s="83" t="n">
        <x:v>1</x:v>
      </x:c>
      <x:c r="V10" s="83" t="str"/>
      <x:c r="W10" s="83" t="str">
        <x:v>No additional flag</x:v>
      </x:c>
      <x:c r="X10" s="83" t="str">
        <x:v>No structural flag</x:v>
      </x:c>
      <x:c r="Y10" s="83" t="str">
        <x:v>Not Yet Reviewed</x:v>
      </x:c>
      <x:c r="Z10" s="83" t="str">
        <x:v>CTA LCSW Workbook 1</x:v>
      </x:c>
      <x:c r="AA10" s="83" t="str">
        <x:v>CTA_LCSW_WB1_17_Question_Bank_v1.0.docx</x:v>
      </x:c>
      <x:c r="AB10" s="83" t="str">
        <x:v>1.0</x:v>
      </x:c>
      <x:c r="AC10" s="102"/>
      <x:c r="AD10" s="102" t="n">
        <x:v>46228</x:v>
      </x:c>
      <x:c r="AE10" s="83" t="str">
        <x:v>Cross-domain examination-strategy item; not assigned to one scored content area.</x:v>
      </x:c>
      <x:c r="AF10" s="89" t="str">
        <x:v>Workbook bank; reserve pool after controlled review</x:v>
      </x:c>
    </x:row>
    <x:row r="11">
      <x:c r="A11" s="88" t="str">
        <x:v>CTA-LCSW-MQB-0010</x:v>
      </x:c>
      <x:c r="B11" s="83" t="str">
        <x:v>LCSW-WB01-QB-Q010</x:v>
      </x:c>
      <x:c r="C11" s="83" t="str">
        <x:v>LCSW</x:v>
      </x:c>
      <x:c r="D11" s="83" t="str">
        <x:v>Workbook Question Bank</x:v>
      </x:c>
      <x:c r="E11" s="83" t="n">
        <x:v>1</x:v>
      </x:c>
      <x:c r="F11" s="83" t="str">
        <x:v>ASWB Exam Strategy and Applied Reasoning</x:v>
      </x:c>
      <x:c r="G11" s="83"/>
      <x:c r="H11" s="83" t="n">
        <x:v>10</x:v>
      </x:c>
      <x:c r="I11" s="83" t="str">
        <x:v>Workbook Bank</x:v>
      </x:c>
      <x:c r="J11" s="83" t="str">
        <x:v>Exam Strategy / Cross-Domain</x:v>
      </x:c>
      <x:c r="K11" s="83" t="str">
        <x:v>Review of competing options</x:v>
      </x:c>
      <x:c r="L11" s="83" t="str"/>
      <x:c r="M11" s="83" t="str">
        <x:v>Moderate</x:v>
      </x:c>
      <x:c r="N11" s="83" t="str">
        <x:v>Moderate</x:v>
      </x:c>
      <x:c r="O11" s="83" t="str">
        <x:v>Application</x:v>
      </x:c>
      <x:c r="P11" s="83" t="str">
        <x:v>Application</x:v>
      </x:c>
      <x:c r="Q11" s="83" t="n">
        <x:v>3</x:v>
      </x:c>
      <x:c r="R11" s="83" t="str">
        <x:v>B</x:v>
      </x:c>
      <x:c r="S11" s="83" t="str">
        <x:v>Approved</x:v>
      </x:c>
      <x:c r="T11" s="83" t="str">
        <x:v>Active</x:v>
      </x:c>
      <x:c r="U11" s="83" t="n">
        <x:v>1</x:v>
      </x:c>
      <x:c r="V11" s="83" t="str"/>
      <x:c r="W11" s="83" t="str">
        <x:v>No additional flag</x:v>
      </x:c>
      <x:c r="X11" s="83" t="str">
        <x:v>No structural flag</x:v>
      </x:c>
      <x:c r="Y11" s="83" t="str">
        <x:v>Not Yet Reviewed</x:v>
      </x:c>
      <x:c r="Z11" s="83" t="str">
        <x:v>CTA LCSW Workbook 1</x:v>
      </x:c>
      <x:c r="AA11" s="83" t="str">
        <x:v>CTA_LCSW_WB1_17_Question_Bank_v1.0.docx</x:v>
      </x:c>
      <x:c r="AB11" s="83" t="str">
        <x:v>1.0</x:v>
      </x:c>
      <x:c r="AC11" s="102"/>
      <x:c r="AD11" s="102" t="n">
        <x:v>46228</x:v>
      </x:c>
      <x:c r="AE11" s="83" t="str">
        <x:v>Cross-domain examination-strategy item; not assigned to one scored content area.</x:v>
      </x:c>
      <x:c r="AF11" s="89" t="str">
        <x:v>Workbook bank; reserve pool after controlled review</x:v>
      </x:c>
    </x:row>
    <x:row r="12">
      <x:c r="A12" s="88" t="str">
        <x:v>CTA-LCSW-MQB-0011</x:v>
      </x:c>
      <x:c r="B12" s="83" t="str">
        <x:v>LCSW-WB01-QB-Q011</x:v>
      </x:c>
      <x:c r="C12" s="83" t="str">
        <x:v>LCSW</x:v>
      </x:c>
      <x:c r="D12" s="83" t="str">
        <x:v>Workbook Question Bank</x:v>
      </x:c>
      <x:c r="E12" s="83" t="n">
        <x:v>1</x:v>
      </x:c>
      <x:c r="F12" s="83" t="str">
        <x:v>ASWB Exam Strategy and Applied Reasoning</x:v>
      </x:c>
      <x:c r="G12" s="83"/>
      <x:c r="H12" s="83" t="n">
        <x:v>11</x:v>
      </x:c>
      <x:c r="I12" s="83" t="str">
        <x:v>Workbook Bank</x:v>
      </x:c>
      <x:c r="J12" s="83" t="str">
        <x:v>Exam Strategy / Cross-Domain</x:v>
      </x:c>
      <x:c r="K12" s="83" t="str">
        <x:v>Engagement after confidentiality harm</x:v>
      </x:c>
      <x:c r="L12" s="83" t="str"/>
      <x:c r="M12" s="83" t="str">
        <x:v>Moderate</x:v>
      </x:c>
      <x:c r="N12" s="83" t="str">
        <x:v>Moderate</x:v>
      </x:c>
      <x:c r="O12" s="83" t="str">
        <x:v>Scenario-Based</x:v>
      </x:c>
      <x:c r="P12" s="83" t="str">
        <x:v>Scenario-Based</x:v>
      </x:c>
      <x:c r="Q12" s="83" t="n">
        <x:v>3</x:v>
      </x:c>
      <x:c r="R12" s="83" t="str">
        <x:v>C</x:v>
      </x:c>
      <x:c r="S12" s="83" t="str">
        <x:v>Approved</x:v>
      </x:c>
      <x:c r="T12" s="83" t="str">
        <x:v>Active</x:v>
      </x:c>
      <x:c r="U12" s="83" t="n">
        <x:v>1</x:v>
      </x:c>
      <x:c r="V12" s="83" t="str"/>
      <x:c r="W12" s="83" t="str">
        <x:v>No additional flag</x:v>
      </x:c>
      <x:c r="X12" s="83" t="str">
        <x:v>No structural flag</x:v>
      </x:c>
      <x:c r="Y12" s="83" t="str">
        <x:v>Not Yet Reviewed</x:v>
      </x:c>
      <x:c r="Z12" s="83" t="str">
        <x:v>CTA LCSW Workbook 1</x:v>
      </x:c>
      <x:c r="AA12" s="83" t="str">
        <x:v>CTA_LCSW_WB1_17_Question_Bank_v1.0.docx</x:v>
      </x:c>
      <x:c r="AB12" s="83" t="str">
        <x:v>1.0</x:v>
      </x:c>
      <x:c r="AC12" s="102"/>
      <x:c r="AD12" s="102" t="n">
        <x:v>46228</x:v>
      </x:c>
      <x:c r="AE12" s="83" t="str">
        <x:v>Cross-domain examination-strategy item; not assigned to one scored content area.</x:v>
      </x:c>
      <x:c r="AF12" s="89" t="str">
        <x:v>Workbook bank; reserve pool after controlled review</x:v>
      </x:c>
    </x:row>
    <x:row r="13">
      <x:c r="A13" s="88" t="str">
        <x:v>CTA-LCSW-MQB-0012</x:v>
      </x:c>
      <x:c r="B13" s="83" t="str">
        <x:v>LCSW-WB01-QB-Q012</x:v>
      </x:c>
      <x:c r="C13" s="83" t="str">
        <x:v>LCSW</x:v>
      </x:c>
      <x:c r="D13" s="83" t="str">
        <x:v>Workbook Question Bank</x:v>
      </x:c>
      <x:c r="E13" s="83" t="n">
        <x:v>1</x:v>
      </x:c>
      <x:c r="F13" s="83" t="str">
        <x:v>ASWB Exam Strategy and Applied Reasoning</x:v>
      </x:c>
      <x:c r="G13" s="83"/>
      <x:c r="H13" s="83" t="n">
        <x:v>12</x:v>
      </x:c>
      <x:c r="I13" s="83" t="str">
        <x:v>Workbook Bank</x:v>
      </x:c>
      <x:c r="J13" s="83" t="str">
        <x:v>Exam Strategy / Cross-Domain</x:v>
      </x:c>
      <x:c r="K13" s="83" t="str">
        <x:v>Language access and warm handoff</x:v>
      </x:c>
      <x:c r="L13" s="83" t="str"/>
      <x:c r="M13" s="83" t="str">
        <x:v>Moderate</x:v>
      </x:c>
      <x:c r="N13" s="83" t="str">
        <x:v>Moderate</x:v>
      </x:c>
      <x:c r="O13" s="83" t="str">
        <x:v>Scenario-Based</x:v>
      </x:c>
      <x:c r="P13" s="83" t="str">
        <x:v>Scenario-Based</x:v>
      </x:c>
      <x:c r="Q13" s="83" t="n">
        <x:v>4</x:v>
      </x:c>
      <x:c r="R13" s="83" t="str">
        <x:v>D</x:v>
      </x:c>
      <x:c r="S13" s="83" t="str">
        <x:v>Approved</x:v>
      </x:c>
      <x:c r="T13" s="83" t="str">
        <x:v>Active</x:v>
      </x:c>
      <x:c r="U13" s="83" t="n">
        <x:v>1</x:v>
      </x:c>
      <x:c r="V13" s="83" t="str"/>
      <x:c r="W13" s="83" t="str">
        <x:v>No additional flag</x:v>
      </x:c>
      <x:c r="X13" s="83" t="str">
        <x:v>No structural flag</x:v>
      </x:c>
      <x:c r="Y13" s="83" t="str">
        <x:v>Not Yet Reviewed</x:v>
      </x:c>
      <x:c r="Z13" s="83" t="str">
        <x:v>CTA LCSW Workbook 1</x:v>
      </x:c>
      <x:c r="AA13" s="83" t="str">
        <x:v>CTA_LCSW_WB1_17_Question_Bank_v1.0.docx</x:v>
      </x:c>
      <x:c r="AB13" s="83" t="str">
        <x:v>1.0</x:v>
      </x:c>
      <x:c r="AC13" s="102"/>
      <x:c r="AD13" s="102" t="n">
        <x:v>46228</x:v>
      </x:c>
      <x:c r="AE13" s="83" t="str">
        <x:v>Cross-domain examination-strategy item; not assigned to one scored content area.</x:v>
      </x:c>
      <x:c r="AF13" s="89" t="str">
        <x:v>Workbook bank; reserve pool after controlled review</x:v>
      </x:c>
    </x:row>
    <x:row r="14">
      <x:c r="A14" s="88" t="str">
        <x:v>CTA-LCSW-MQB-0013</x:v>
      </x:c>
      <x:c r="B14" s="83" t="str">
        <x:v>LCSW-WB01-QB-Q013</x:v>
      </x:c>
      <x:c r="C14" s="83" t="str">
        <x:v>LCSW</x:v>
      </x:c>
      <x:c r="D14" s="83" t="str">
        <x:v>Workbook Question Bank</x:v>
      </x:c>
      <x:c r="E14" s="83" t="n">
        <x:v>1</x:v>
      </x:c>
      <x:c r="F14" s="83" t="str">
        <x:v>ASWB Exam Strategy and Applied Reasoning</x:v>
      </x:c>
      <x:c r="G14" s="83"/>
      <x:c r="H14" s="83" t="n">
        <x:v>13</x:v>
      </x:c>
      <x:c r="I14" s="83" t="str">
        <x:v>Workbook Bank</x:v>
      </x:c>
      <x:c r="J14" s="83" t="str">
        <x:v>Exam Strategy / Cross-Domain</x:v>
      </x:c>
      <x:c r="K14" s="83" t="str">
        <x:v>Participatory community assessment</x:v>
      </x:c>
      <x:c r="L14" s="83" t="str"/>
      <x:c r="M14" s="83" t="str">
        <x:v>Difficult</x:v>
      </x:c>
      <x:c r="N14" s="83" t="str">
        <x:v>Difficult</x:v>
      </x:c>
      <x:c r="O14" s="83" t="str">
        <x:v>Scenario-Based</x:v>
      </x:c>
      <x:c r="P14" s="83" t="str">
        <x:v>Scenario-Based</x:v>
      </x:c>
      <x:c r="Q14" s="83" t="n">
        <x:v>3</x:v>
      </x:c>
      <x:c r="R14" s="83" t="str">
        <x:v>A</x:v>
      </x:c>
      <x:c r="S14" s="83" t="str">
        <x:v>Approved</x:v>
      </x:c>
      <x:c r="T14" s="83" t="str">
        <x:v>Active</x:v>
      </x:c>
      <x:c r="U14" s="83" t="n">
        <x:v>1</x:v>
      </x:c>
      <x:c r="V14" s="83" t="str"/>
      <x:c r="W14" s="83" t="str">
        <x:v>No additional flag</x:v>
      </x:c>
      <x:c r="X14" s="83" t="str">
        <x:v>No structural flag</x:v>
      </x:c>
      <x:c r="Y14" s="83" t="str">
        <x:v>Not Yet Reviewed</x:v>
      </x:c>
      <x:c r="Z14" s="83" t="str">
        <x:v>CTA LCSW Workbook 1</x:v>
      </x:c>
      <x:c r="AA14" s="83" t="str">
        <x:v>CTA_LCSW_WB1_17_Question_Bank_v1.0.docx</x:v>
      </x:c>
      <x:c r="AB14" s="83" t="str">
        <x:v>1.0</x:v>
      </x:c>
      <x:c r="AC14" s="102"/>
      <x:c r="AD14" s="102" t="n">
        <x:v>46228</x:v>
      </x:c>
      <x:c r="AE14" s="83" t="str">
        <x:v>Cross-domain examination-strategy item; not assigned to one scored content area.</x:v>
      </x:c>
      <x:c r="AF14" s="89" t="str">
        <x:v>Workbook bank; reserve pool after controlled review</x:v>
      </x:c>
    </x:row>
    <x:row r="15">
      <x:c r="A15" s="88" t="str">
        <x:v>CTA-LCSW-MQB-0014</x:v>
      </x:c>
      <x:c r="B15" s="83" t="str">
        <x:v>LCSW-WB01-QB-Q014</x:v>
      </x:c>
      <x:c r="C15" s="83" t="str">
        <x:v>LCSW</x:v>
      </x:c>
      <x:c r="D15" s="83" t="str">
        <x:v>Workbook Question Bank</x:v>
      </x:c>
      <x:c r="E15" s="83" t="n">
        <x:v>1</x:v>
      </x:c>
      <x:c r="F15" s="83" t="str">
        <x:v>ASWB Exam Strategy and Applied Reasoning</x:v>
      </x:c>
      <x:c r="G15" s="83"/>
      <x:c r="H15" s="83" t="n">
        <x:v>14</x:v>
      </x:c>
      <x:c r="I15" s="83" t="str">
        <x:v>Workbook Bank</x:v>
      </x:c>
      <x:c r="J15" s="83" t="str">
        <x:v>Exam Strategy / Cross-Domain</x:v>
      </x:c>
      <x:c r="K15" s="83" t="str">
        <x:v>Countertransference and supervision</x:v>
      </x:c>
      <x:c r="L15" s="83" t="str"/>
      <x:c r="M15" s="83" t="str">
        <x:v>Difficult</x:v>
      </x:c>
      <x:c r="N15" s="83" t="str">
        <x:v>Difficult</x:v>
      </x:c>
      <x:c r="O15" s="83" t="str">
        <x:v>Scenario-Based</x:v>
      </x:c>
      <x:c r="P15" s="83" t="str">
        <x:v>Scenario-Based</x:v>
      </x:c>
      <x:c r="Q15" s="83" t="n">
        <x:v>3</x:v>
      </x:c>
      <x:c r="R15" s="83" t="str">
        <x:v>B</x:v>
      </x:c>
      <x:c r="S15" s="83" t="str">
        <x:v>Approved</x:v>
      </x:c>
      <x:c r="T15" s="83" t="str">
        <x:v>Active</x:v>
      </x:c>
      <x:c r="U15" s="83" t="n">
        <x:v>1</x:v>
      </x:c>
      <x:c r="V15" s="83" t="str"/>
      <x:c r="W15" s="83" t="str">
        <x:v>No additional flag</x:v>
      </x:c>
      <x:c r="X15" s="83" t="str">
        <x:v>No structural flag</x:v>
      </x:c>
      <x:c r="Y15" s="83" t="str">
        <x:v>Not Yet Reviewed</x:v>
      </x:c>
      <x:c r="Z15" s="83" t="str">
        <x:v>CTA LCSW Workbook 1</x:v>
      </x:c>
      <x:c r="AA15" s="83" t="str">
        <x:v>CTA_LCSW_WB1_17_Question_Bank_v1.0.docx</x:v>
      </x:c>
      <x:c r="AB15" s="83" t="str">
        <x:v>1.0</x:v>
      </x:c>
      <x:c r="AC15" s="102"/>
      <x:c r="AD15" s="102" t="n">
        <x:v>46228</x:v>
      </x:c>
      <x:c r="AE15" s="83" t="str">
        <x:v>Cross-domain examination-strategy item; not assigned to one scored content area.</x:v>
      </x:c>
      <x:c r="AF15" s="89" t="str">
        <x:v>Workbook bank; reserve pool after controlled review</x:v>
      </x:c>
    </x:row>
    <x:row r="16">
      <x:c r="A16" s="88" t="str">
        <x:v>CTA-LCSW-MQB-0015</x:v>
      </x:c>
      <x:c r="B16" s="83" t="str">
        <x:v>LCSW-WB01-QB-Q015</x:v>
      </x:c>
      <x:c r="C16" s="83" t="str">
        <x:v>LCSW</x:v>
      </x:c>
      <x:c r="D16" s="83" t="str">
        <x:v>Workbook Question Bank</x:v>
      </x:c>
      <x:c r="E16" s="83" t="n">
        <x:v>1</x:v>
      </x:c>
      <x:c r="F16" s="83" t="str">
        <x:v>ASWB Exam Strategy and Applied Reasoning</x:v>
      </x:c>
      <x:c r="G16" s="83"/>
      <x:c r="H16" s="83" t="n">
        <x:v>15</x:v>
      </x:c>
      <x:c r="I16" s="83" t="str">
        <x:v>Workbook Bank</x:v>
      </x:c>
      <x:c r="J16" s="83" t="str">
        <x:v>Exam Strategy / Cross-Domain</x:v>
      </x:c>
      <x:c r="K16" s="83" t="str">
        <x:v>Language access, capacity, health, and autonomy</x:v>
      </x:c>
      <x:c r="L16" s="83" t="str"/>
      <x:c r="M16" s="83" t="str">
        <x:v>Difficult</x:v>
      </x:c>
      <x:c r="N16" s="83" t="str">
        <x:v>Difficult</x:v>
      </x:c>
      <x:c r="O16" s="83" t="str">
        <x:v>Integrated Clinical Reasoning</x:v>
      </x:c>
      <x:c r="P16" s="83" t="str">
        <x:v>Integrated Clinical Reasoning</x:v>
      </x:c>
      <x:c r="Q16" s="83" t="n">
        <x:v>4</x:v>
      </x:c>
      <x:c r="R16" s="83" t="str">
        <x:v>C</x:v>
      </x:c>
      <x:c r="S16" s="83" t="str">
        <x:v>Approved</x:v>
      </x:c>
      <x:c r="T16" s="83" t="str">
        <x:v>Active</x:v>
      </x:c>
      <x:c r="U16" s="83" t="n">
        <x:v>1</x:v>
      </x:c>
      <x:c r="V16" s="83" t="str"/>
      <x:c r="W16" s="83" t="str">
        <x:v>No additional flag</x:v>
      </x:c>
      <x:c r="X16" s="83" t="str">
        <x:v>No structural flag</x:v>
      </x:c>
      <x:c r="Y16" s="83" t="str">
        <x:v>Not Yet Reviewed</x:v>
      </x:c>
      <x:c r="Z16" s="83" t="str">
        <x:v>CTA LCSW Workbook 1</x:v>
      </x:c>
      <x:c r="AA16" s="83" t="str">
        <x:v>CTA_LCSW_WB1_17_Question_Bank_v1.0.docx</x:v>
      </x:c>
      <x:c r="AB16" s="83" t="str">
        <x:v>1.0</x:v>
      </x:c>
      <x:c r="AC16" s="102"/>
      <x:c r="AD16" s="102" t="n">
        <x:v>46228</x:v>
      </x:c>
      <x:c r="AE16" s="83" t="str">
        <x:v>Cross-domain examination-strategy item; not assigned to one scored content area.</x:v>
      </x:c>
      <x:c r="AF16" s="89" t="str">
        <x:v>Workbook bank; reserve pool after controlled review</x:v>
      </x:c>
    </x:row>
    <x:row r="17">
      <x:c r="A17" s="88" t="str">
        <x:v>CTA-LCSW-MQB-0016</x:v>
      </x:c>
      <x:c r="B17" s="83" t="str">
        <x:v>LCSW-WB01-QB-Q016</x:v>
      </x:c>
      <x:c r="C17" s="83" t="str">
        <x:v>LCSW</x:v>
      </x:c>
      <x:c r="D17" s="83" t="str">
        <x:v>Workbook Question Bank</x:v>
      </x:c>
      <x:c r="E17" s="83" t="n">
        <x:v>1</x:v>
      </x:c>
      <x:c r="F17" s="83" t="str">
        <x:v>ASWB Exam Strategy and Applied Reasoning</x:v>
      </x:c>
      <x:c r="G17" s="83"/>
      <x:c r="H17" s="83" t="n">
        <x:v>16</x:v>
      </x:c>
      <x:c r="I17" s="83" t="str">
        <x:v>Workbook Bank</x:v>
      </x:c>
      <x:c r="J17" s="83" t="str">
        <x:v>Exam Strategy / Cross-Domain</x:v>
      </x:c>
      <x:c r="K17" s="83" t="str">
        <x:v>Suicide risk and discharge access</x:v>
      </x:c>
      <x:c r="L17" s="83" t="str"/>
      <x:c r="M17" s="83" t="str">
        <x:v>Difficult</x:v>
      </x:c>
      <x:c r="N17" s="83" t="str">
        <x:v>Difficult</x:v>
      </x:c>
      <x:c r="O17" s="83" t="str">
        <x:v>Integrated Clinical Reasoning</x:v>
      </x:c>
      <x:c r="P17" s="83" t="str">
        <x:v>Integrated Clinical Reasoning</x:v>
      </x:c>
      <x:c r="Q17" s="83" t="n">
        <x:v>4</x:v>
      </x:c>
      <x:c r="R17" s="83" t="str">
        <x:v>D</x:v>
      </x:c>
      <x:c r="S17" s="83" t="str">
        <x:v>Approved</x:v>
      </x:c>
      <x:c r="T17" s="83" t="str">
        <x:v>Active</x:v>
      </x:c>
      <x:c r="U17" s="83" t="n">
        <x:v>1</x:v>
      </x:c>
      <x:c r="V17" s="83" t="str"/>
      <x:c r="W17" s="83" t="str">
        <x:v>Review Candidate</x:v>
      </x:c>
      <x:c r="X17" s="83" t="str">
        <x:v>No structural flag</x:v>
      </x:c>
      <x:c r="Y17" s="83" t="str">
        <x:v>Not Yet Reviewed</x:v>
      </x:c>
      <x:c r="Z17" s="83" t="str">
        <x:v>CTA LCSW Workbook 1</x:v>
      </x:c>
      <x:c r="AA17" s="83" t="str">
        <x:v>CTA_LCSW_WB1_17_Question_Bank_v1.0.docx</x:v>
      </x:c>
      <x:c r="AB17" s="83" t="str">
        <x:v>1.0</x:v>
      </x:c>
      <x:c r="AC17" s="102"/>
      <x:c r="AD17" s="102" t="n">
        <x:v>46228</x:v>
      </x:c>
      <x:c r="AE17" s="83" t="str">
        <x:v>Cross-domain examination-strategy item; not assigned to one scored content area.</x:v>
      </x:c>
      <x:c r="AF17" s="89" t="str">
        <x:v>Workbook bank; reserve pool after controlled review</x:v>
      </x:c>
    </x:row>
    <x:row r="18">
      <x:c r="A18" s="88" t="str">
        <x:v>CTA-LCSW-MQB-0017</x:v>
      </x:c>
      <x:c r="B18" s="83" t="str">
        <x:v>LCSW-WB01-QB-Q017</x:v>
      </x:c>
      <x:c r="C18" s="83" t="str">
        <x:v>LCSW</x:v>
      </x:c>
      <x:c r="D18" s="83" t="str">
        <x:v>Workbook Question Bank</x:v>
      </x:c>
      <x:c r="E18" s="83" t="n">
        <x:v>1</x:v>
      </x:c>
      <x:c r="F18" s="83" t="str">
        <x:v>ASWB Exam Strategy and Applied Reasoning</x:v>
      </x:c>
      <x:c r="G18" s="83"/>
      <x:c r="H18" s="83" t="n">
        <x:v>17</x:v>
      </x:c>
      <x:c r="I18" s="83" t="str">
        <x:v>Workbook Bank</x:v>
      </x:c>
      <x:c r="J18" s="83" t="str">
        <x:v>Exam Strategy / Cross-Domain</x:v>
      </x:c>
      <x:c r="K18" s="83" t="str">
        <x:v>Agency pressure, suicide risk, and accessibility</x:v>
      </x:c>
      <x:c r="L18" s="83" t="str"/>
      <x:c r="M18" s="83" t="str">
        <x:v>Difficult</x:v>
      </x:c>
      <x:c r="N18" s="83" t="str">
        <x:v>Difficult</x:v>
      </x:c>
      <x:c r="O18" s="83" t="str">
        <x:v>Integrated Clinical Reasoning</x:v>
      </x:c>
      <x:c r="P18" s="83" t="str">
        <x:v>Integrated Clinical Reasoning</x:v>
      </x:c>
      <x:c r="Q18" s="83" t="n">
        <x:v>3</x:v>
      </x:c>
      <x:c r="R18" s="83" t="str">
        <x:v>A</x:v>
      </x:c>
      <x:c r="S18" s="83" t="str">
        <x:v>Approved</x:v>
      </x:c>
      <x:c r="T18" s="83" t="str">
        <x:v>Active</x:v>
      </x:c>
      <x:c r="U18" s="83" t="n">
        <x:v>1</x:v>
      </x:c>
      <x:c r="V18" s="83" t="str"/>
      <x:c r="W18" s="83" t="str">
        <x:v>No additional flag</x:v>
      </x:c>
      <x:c r="X18" s="83" t="str">
        <x:v>No structural flag</x:v>
      </x:c>
      <x:c r="Y18" s="83" t="str">
        <x:v>Not Yet Reviewed</x:v>
      </x:c>
      <x:c r="Z18" s="83" t="str">
        <x:v>CTA LCSW Workbook 1</x:v>
      </x:c>
      <x:c r="AA18" s="83" t="str">
        <x:v>CTA_LCSW_WB1_17_Question_Bank_v1.0.docx</x:v>
      </x:c>
      <x:c r="AB18" s="83" t="str">
        <x:v>1.0</x:v>
      </x:c>
      <x:c r="AC18" s="102"/>
      <x:c r="AD18" s="102" t="n">
        <x:v>46228</x:v>
      </x:c>
      <x:c r="AE18" s="83" t="str">
        <x:v>Cross-domain examination-strategy item; not assigned to one scored content area.</x:v>
      </x:c>
      <x:c r="AF18" s="89" t="str">
        <x:v>Workbook bank; reserve pool after controlled review</x:v>
      </x:c>
    </x:row>
    <x:row r="19">
      <x:c r="A19" s="88" t="str">
        <x:v>CTA-LCSW-MQB-0018</x:v>
      </x:c>
      <x:c r="B19" s="83" t="str">
        <x:v>LCSW-WB02-QB-Q001</x:v>
      </x:c>
      <x:c r="C19" s="83" t="str">
        <x:v>LCSW</x:v>
      </x:c>
      <x:c r="D19" s="83" t="str">
        <x:v>Workbook Question Bank</x:v>
      </x:c>
      <x:c r="E19" s="83" t="n">
        <x:v>2</x:v>
      </x:c>
      <x:c r="F19" s="83" t="str">
        <x:v>Values, Ethics, Self-Determination, and Social Justice</x:v>
      </x:c>
      <x:c r="G19" s="83"/>
      <x:c r="H19" s="83" t="n">
        <x:v>1</x:v>
      </x:c>
      <x:c r="I19" s="83" t="str">
        <x:v>Workbook Bank</x:v>
      </x:c>
      <x:c r="J19" s="83" t="str">
        <x:v>I. Values and Ethics</x:v>
      </x:c>
      <x:c r="K19" s="83" t="str">
        <x:v>Dignity and worth in action</x:v>
      </x:c>
      <x:c r="L19" s="83" t="str"/>
      <x:c r="M19" s="83" t="str">
        <x:v>Easy</x:v>
      </x:c>
      <x:c r="N19" s="83" t="str">
        <x:v>Easy</x:v>
      </x:c>
      <x:c r="O19" s="83" t="str">
        <x:v>Knowledge &amp; Recall</x:v>
      </x:c>
      <x:c r="P19" s="83" t="str">
        <x:v>Knowledge &amp; Recall</x:v>
      </x:c>
      <x:c r="Q19" s="83" t="n">
        <x:v>3</x:v>
      </x:c>
      <x:c r="R19" s="83" t="str">
        <x:v>B</x:v>
      </x:c>
      <x:c r="S19" s="83" t="str">
        <x:v>Approved</x:v>
      </x:c>
      <x:c r="T19" s="83" t="str">
        <x:v>Active</x:v>
      </x:c>
      <x:c r="U19" s="83" t="n">
        <x:v>1</x:v>
      </x:c>
      <x:c r="V19" s="83" t="str"/>
      <x:c r="W19" s="83" t="str">
        <x:v>No additional flag</x:v>
      </x:c>
      <x:c r="X19" s="83" t="str">
        <x:v>No structural flag</x:v>
      </x:c>
      <x:c r="Y19" s="83" t="str">
        <x:v>Not Yet Reviewed</x:v>
      </x:c>
      <x:c r="Z19" s="83" t="str">
        <x:v>CTA LCSW Workbook 2</x:v>
      </x:c>
      <x:c r="AA19" s="83" t="str">
        <x:v>CTA_LCSW_WB2_17_Question_Bank_v1.0.docx</x:v>
      </x:c>
      <x:c r="AB19" s="83" t="str">
        <x:v>1.0</x:v>
      </x:c>
      <x:c r="AC19" s="102"/>
      <x:c r="AD19" s="102" t="n">
        <x:v>46228</x:v>
      </x:c>
      <x:c r="AE19" s="83" t="str"/>
      <x:c r="AF19" s="89" t="str">
        <x:v>Workbook bank; reserve pool after controlled review</x:v>
      </x:c>
    </x:row>
    <x:row r="20">
      <x:c r="A20" s="88" t="str">
        <x:v>CTA-LCSW-MQB-0019</x:v>
      </x:c>
      <x:c r="B20" s="83" t="str">
        <x:v>LCSW-WB02-QB-Q002</x:v>
      </x:c>
      <x:c r="C20" s="83" t="str">
        <x:v>LCSW</x:v>
      </x:c>
      <x:c r="D20" s="83" t="str">
        <x:v>Workbook Question Bank</x:v>
      </x:c>
      <x:c r="E20" s="83" t="n">
        <x:v>2</x:v>
      </x:c>
      <x:c r="F20" s="83" t="str">
        <x:v>Values, Ethics, Self-Determination, and Social Justice</x:v>
      </x:c>
      <x:c r="G20" s="83"/>
      <x:c r="H20" s="83" t="n">
        <x:v>2</x:v>
      </x:c>
      <x:c r="I20" s="83" t="str">
        <x:v>Workbook Bank</x:v>
      </x:c>
      <x:c r="J20" s="83" t="str">
        <x:v>I. Values and Ethics</x:v>
      </x:c>
      <x:c r="K20" s="83" t="str">
        <x:v>Ongoing informed consent</x:v>
      </x:c>
      <x:c r="L20" s="83" t="str"/>
      <x:c r="M20" s="83" t="str">
        <x:v>Easy</x:v>
      </x:c>
      <x:c r="N20" s="83" t="str">
        <x:v>Easy</x:v>
      </x:c>
      <x:c r="O20" s="83" t="str">
        <x:v>Knowledge &amp; Recall</x:v>
      </x:c>
      <x:c r="P20" s="83" t="str">
        <x:v>Knowledge &amp; Recall</x:v>
      </x:c>
      <x:c r="Q20" s="83" t="n">
        <x:v>3</x:v>
      </x:c>
      <x:c r="R20" s="83" t="str">
        <x:v>A</x:v>
      </x:c>
      <x:c r="S20" s="83" t="str">
        <x:v>Approved</x:v>
      </x:c>
      <x:c r="T20" s="83" t="str">
        <x:v>Active</x:v>
      </x:c>
      <x:c r="U20" s="83" t="n">
        <x:v>1</x:v>
      </x:c>
      <x:c r="V20" s="83" t="str"/>
      <x:c r="W20" s="83" t="str">
        <x:v>No additional flag</x:v>
      </x:c>
      <x:c r="X20" s="83" t="str">
        <x:v>No structural flag</x:v>
      </x:c>
      <x:c r="Y20" s="83" t="str">
        <x:v>Not Yet Reviewed</x:v>
      </x:c>
      <x:c r="Z20" s="83" t="str">
        <x:v>CTA LCSW Workbook 2</x:v>
      </x:c>
      <x:c r="AA20" s="83" t="str">
        <x:v>CTA_LCSW_WB2_17_Question_Bank_v1.0.docx</x:v>
      </x:c>
      <x:c r="AB20" s="83" t="str">
        <x:v>1.0</x:v>
      </x:c>
      <x:c r="AC20" s="102"/>
      <x:c r="AD20" s="102" t="n">
        <x:v>46228</x:v>
      </x:c>
      <x:c r="AE20" s="83" t="str"/>
      <x:c r="AF20" s="89" t="str">
        <x:v>Workbook bank; reserve pool after controlled review</x:v>
      </x:c>
    </x:row>
    <x:row r="21">
      <x:c r="A21" s="88" t="str">
        <x:v>CTA-LCSW-MQB-0020</x:v>
      </x:c>
      <x:c r="B21" s="83" t="str">
        <x:v>LCSW-WB02-QB-Q003</x:v>
      </x:c>
      <x:c r="C21" s="83" t="str">
        <x:v>LCSW</x:v>
      </x:c>
      <x:c r="D21" s="83" t="str">
        <x:v>Workbook Question Bank</x:v>
      </x:c>
      <x:c r="E21" s="83" t="n">
        <x:v>2</x:v>
      </x:c>
      <x:c r="F21" s="83" t="str">
        <x:v>Values, Ethics, Self-Determination, and Social Justice</x:v>
      </x:c>
      <x:c r="G21" s="83"/>
      <x:c r="H21" s="83" t="n">
        <x:v>3</x:v>
      </x:c>
      <x:c r="I21" s="83" t="str">
        <x:v>Workbook Bank</x:v>
      </x:c>
      <x:c r="J21" s="83" t="str">
        <x:v>I. Values and Ethics</x:v>
      </x:c>
      <x:c r="K21" s="83" t="str">
        <x:v>Limits on self-determination</x:v>
      </x:c>
      <x:c r="L21" s="83" t="str"/>
      <x:c r="M21" s="83" t="str">
        <x:v>Easy</x:v>
      </x:c>
      <x:c r="N21" s="83" t="str">
        <x:v>Easy</x:v>
      </x:c>
      <x:c r="O21" s="83" t="str">
        <x:v>Knowledge &amp; Recall</x:v>
      </x:c>
      <x:c r="P21" s="83" t="str">
        <x:v>Knowledge &amp; Recall</x:v>
      </x:c>
      <x:c r="Q21" s="83" t="n">
        <x:v>4</x:v>
      </x:c>
      <x:c r="R21" s="83" t="str">
        <x:v>C</x:v>
      </x:c>
      <x:c r="S21" s="83" t="str">
        <x:v>Approved</x:v>
      </x:c>
      <x:c r="T21" s="83" t="str">
        <x:v>Active</x:v>
      </x:c>
      <x:c r="U21" s="83" t="n">
        <x:v>1</x:v>
      </x:c>
      <x:c r="V21" s="83" t="str"/>
      <x:c r="W21" s="83" t="str">
        <x:v>No additional flag</x:v>
      </x:c>
      <x:c r="X21" s="83" t="str">
        <x:v>No structural flag</x:v>
      </x:c>
      <x:c r="Y21" s="83" t="str">
        <x:v>Not Yet Reviewed</x:v>
      </x:c>
      <x:c r="Z21" s="83" t="str">
        <x:v>CTA LCSW Workbook 2</x:v>
      </x:c>
      <x:c r="AA21" s="83" t="str">
        <x:v>CTA_LCSW_WB2_17_Question_Bank_v1.0.docx</x:v>
      </x:c>
      <x:c r="AB21" s="83" t="str">
        <x:v>1.0</x:v>
      </x:c>
      <x:c r="AC21" s="102"/>
      <x:c r="AD21" s="102" t="n">
        <x:v>46228</x:v>
      </x:c>
      <x:c r="AE21" s="83" t="str"/>
      <x:c r="AF21" s="89" t="str">
        <x:v>Workbook bank; reserve pool after controlled review</x:v>
      </x:c>
    </x:row>
    <x:row r="22">
      <x:c r="A22" s="88" t="str">
        <x:v>CTA-LCSW-MQB-0021</x:v>
      </x:c>
      <x:c r="B22" s="83" t="str">
        <x:v>LCSW-WB02-QB-Q004</x:v>
      </x:c>
      <x:c r="C22" s="83" t="str">
        <x:v>LCSW</x:v>
      </x:c>
      <x:c r="D22" s="83" t="str">
        <x:v>Workbook Question Bank</x:v>
      </x:c>
      <x:c r="E22" s="83" t="n">
        <x:v>2</x:v>
      </x:c>
      <x:c r="F22" s="83" t="str">
        <x:v>Values, Ethics, Self-Determination, and Social Justice</x:v>
      </x:c>
      <x:c r="G22" s="83"/>
      <x:c r="H22" s="83" t="n">
        <x:v>4</x:v>
      </x:c>
      <x:c r="I22" s="83" t="str">
        <x:v>Workbook Bank</x:v>
      </x:c>
      <x:c r="J22" s="83" t="str">
        <x:v>I. Values and Ethics</x:v>
      </x:c>
      <x:c r="K22" s="83" t="str">
        <x:v>Competence and continuity</x:v>
      </x:c>
      <x:c r="L22" s="83" t="str"/>
      <x:c r="M22" s="83" t="str">
        <x:v>Easy</x:v>
      </x:c>
      <x:c r="N22" s="83" t="str">
        <x:v>Easy</x:v>
      </x:c>
      <x:c r="O22" s="83" t="str">
        <x:v>Knowledge &amp; Recall</x:v>
      </x:c>
      <x:c r="P22" s="83" t="str">
        <x:v>Knowledge &amp; Recall</x:v>
      </x:c>
      <x:c r="Q22" s="83" t="n">
        <x:v>4</x:v>
      </x:c>
      <x:c r="R22" s="83" t="str">
        <x:v>D</x:v>
      </x:c>
      <x:c r="S22" s="83" t="str">
        <x:v>Approved</x:v>
      </x:c>
      <x:c r="T22" s="83" t="str">
        <x:v>Active</x:v>
      </x:c>
      <x:c r="U22" s="83" t="n">
        <x:v>1</x:v>
      </x:c>
      <x:c r="V22" s="83" t="str"/>
      <x:c r="W22" s="83" t="str">
        <x:v>No additional flag</x:v>
      </x:c>
      <x:c r="X22" s="83" t="str">
        <x:v>No structural flag</x:v>
      </x:c>
      <x:c r="Y22" s="83" t="str">
        <x:v>Not Yet Reviewed</x:v>
      </x:c>
      <x:c r="Z22" s="83" t="str">
        <x:v>CTA LCSW Workbook 2</x:v>
      </x:c>
      <x:c r="AA22" s="83" t="str">
        <x:v>CTA_LCSW_WB2_17_Question_Bank_v1.0.docx</x:v>
      </x:c>
      <x:c r="AB22" s="83" t="str">
        <x:v>1.0</x:v>
      </x:c>
      <x:c r="AC22" s="102"/>
      <x:c r="AD22" s="102" t="n">
        <x:v>46228</x:v>
      </x:c>
      <x:c r="AE22" s="83" t="str"/>
      <x:c r="AF22" s="89" t="str">
        <x:v>Workbook bank; reserve pool after controlled review</x:v>
      </x:c>
    </x:row>
    <x:row r="23">
      <x:c r="A23" s="88" t="str">
        <x:v>CTA-LCSW-MQB-0022</x:v>
      </x:c>
      <x:c r="B23" s="83" t="str">
        <x:v>LCSW-WB02-QB-Q005</x:v>
      </x:c>
      <x:c r="C23" s="83" t="str">
        <x:v>LCSW</x:v>
      </x:c>
      <x:c r="D23" s="83" t="str">
        <x:v>Workbook Question Bank</x:v>
      </x:c>
      <x:c r="E23" s="83" t="n">
        <x:v>2</x:v>
      </x:c>
      <x:c r="F23" s="83" t="str">
        <x:v>Values, Ethics, Self-Determination, and Social Justice</x:v>
      </x:c>
      <x:c r="G23" s="83"/>
      <x:c r="H23" s="83" t="n">
        <x:v>5</x:v>
      </x:c>
      <x:c r="I23" s="83" t="str">
        <x:v>Workbook Bank</x:v>
      </x:c>
      <x:c r="J23" s="83" t="str">
        <x:v>I. Values and Ethics</x:v>
      </x:c>
      <x:c r="K23" s="83" t="str">
        <x:v>Medical self-determination</x:v>
      </x:c>
      <x:c r="L23" s="83" t="str"/>
      <x:c r="M23" s="83" t="str">
        <x:v>Easy</x:v>
      </x:c>
      <x:c r="N23" s="83" t="str">
        <x:v>Easy</x:v>
      </x:c>
      <x:c r="O23" s="83" t="str">
        <x:v>Application</x:v>
      </x:c>
      <x:c r="P23" s="83" t="str">
        <x:v>Application</x:v>
      </x:c>
      <x:c r="Q23" s="83" t="n">
        <x:v>3</x:v>
      </x:c>
      <x:c r="R23" s="83" t="str">
        <x:v>A</x:v>
      </x:c>
      <x:c r="S23" s="83" t="str">
        <x:v>Approved</x:v>
      </x:c>
      <x:c r="T23" s="83" t="str">
        <x:v>Active</x:v>
      </x:c>
      <x:c r="U23" s="83" t="n">
        <x:v>1</x:v>
      </x:c>
      <x:c r="V23" s="83" t="str"/>
      <x:c r="W23" s="83" t="str">
        <x:v>No additional flag</x:v>
      </x:c>
      <x:c r="X23" s="83" t="str">
        <x:v>No structural flag</x:v>
      </x:c>
      <x:c r="Y23" s="83" t="str">
        <x:v>Not Yet Reviewed</x:v>
      </x:c>
      <x:c r="Z23" s="83" t="str">
        <x:v>CTA LCSW Workbook 2</x:v>
      </x:c>
      <x:c r="AA23" s="83" t="str">
        <x:v>CTA_LCSW_WB2_17_Question_Bank_v1.0.docx</x:v>
      </x:c>
      <x:c r="AB23" s="83" t="str">
        <x:v>1.0</x:v>
      </x:c>
      <x:c r="AC23" s="102"/>
      <x:c r="AD23" s="102" t="n">
        <x:v>46228</x:v>
      </x:c>
      <x:c r="AE23" s="83" t="str"/>
      <x:c r="AF23" s="89" t="str">
        <x:v>Workbook bank; reserve pool after controlled review</x:v>
      </x:c>
    </x:row>
    <x:row r="24">
      <x:c r="A24" s="88" t="str">
        <x:v>CTA-LCSW-MQB-0023</x:v>
      </x:c>
      <x:c r="B24" s="83" t="str">
        <x:v>LCSW-WB02-QB-Q006</x:v>
      </x:c>
      <x:c r="C24" s="83" t="str">
        <x:v>LCSW</x:v>
      </x:c>
      <x:c r="D24" s="83" t="str">
        <x:v>Workbook Question Bank</x:v>
      </x:c>
      <x:c r="E24" s="83" t="n">
        <x:v>2</x:v>
      </x:c>
      <x:c r="F24" s="83" t="str">
        <x:v>Values, Ethics, Self-Determination, and Social Justice</x:v>
      </x:c>
      <x:c r="G24" s="83"/>
      <x:c r="H24" s="83" t="n">
        <x:v>6</x:v>
      </x:c>
      <x:c r="I24" s="83" t="str">
        <x:v>Workbook Bank</x:v>
      </x:c>
      <x:c r="J24" s="83" t="str">
        <x:v>I. Values and Ethics</x:v>
      </x:c>
      <x:c r="K24" s="83" t="str">
        <x:v>Cultural meaning of gifts</x:v>
      </x:c>
      <x:c r="L24" s="83" t="str"/>
      <x:c r="M24" s="83" t="str">
        <x:v>Moderate</x:v>
      </x:c>
      <x:c r="N24" s="83" t="str">
        <x:v>Moderate</x:v>
      </x:c>
      <x:c r="O24" s="83" t="str">
        <x:v>Application</x:v>
      </x:c>
      <x:c r="P24" s="83" t="str">
        <x:v>Application</x:v>
      </x:c>
      <x:c r="Q24" s="83" t="n">
        <x:v>3</x:v>
      </x:c>
      <x:c r="R24" s="83" t="str">
        <x:v>B</x:v>
      </x:c>
      <x:c r="S24" s="83" t="str">
        <x:v>Approved</x:v>
      </x:c>
      <x:c r="T24" s="83" t="str">
        <x:v>Active</x:v>
      </x:c>
      <x:c r="U24" s="83" t="n">
        <x:v>1</x:v>
      </x:c>
      <x:c r="V24" s="83" t="str"/>
      <x:c r="W24" s="83" t="str">
        <x:v>Review Candidate</x:v>
      </x:c>
      <x:c r="X24" s="83" t="str">
        <x:v>No structural flag</x:v>
      </x:c>
      <x:c r="Y24" s="83" t="str">
        <x:v>Not Yet Reviewed</x:v>
      </x:c>
      <x:c r="Z24" s="83" t="str">
        <x:v>CTA LCSW Workbook 2</x:v>
      </x:c>
      <x:c r="AA24" s="83" t="str">
        <x:v>CTA_LCSW_WB2_17_Question_Bank_v1.0.docx</x:v>
      </x:c>
      <x:c r="AB24" s="83" t="str">
        <x:v>1.0</x:v>
      </x:c>
      <x:c r="AC24" s="102"/>
      <x:c r="AD24" s="102" t="n">
        <x:v>46228</x:v>
      </x:c>
      <x:c r="AE24" s="83" t="str"/>
      <x:c r="AF24" s="89" t="str">
        <x:v>Workbook bank; reserve pool after controlled review</x:v>
      </x:c>
    </x:row>
    <x:row r="25">
      <x:c r="A25" s="88" t="str">
        <x:v>CTA-LCSW-MQB-0024</x:v>
      </x:c>
      <x:c r="B25" s="83" t="str">
        <x:v>LCSW-WB02-QB-Q007</x:v>
      </x:c>
      <x:c r="C25" s="83" t="str">
        <x:v>LCSW</x:v>
      </x:c>
      <x:c r="D25" s="83" t="str">
        <x:v>Workbook Question Bank</x:v>
      </x:c>
      <x:c r="E25" s="83" t="n">
        <x:v>2</x:v>
      </x:c>
      <x:c r="F25" s="83" t="str">
        <x:v>Values, Ethics, Self-Determination, and Social Justice</x:v>
      </x:c>
      <x:c r="G25" s="83"/>
      <x:c r="H25" s="83" t="n">
        <x:v>7</x:v>
      </x:c>
      <x:c r="I25" s="83" t="str">
        <x:v>Workbook Bank</x:v>
      </x:c>
      <x:c r="J25" s="83" t="str">
        <x:v>I. Values and Ethics</x:v>
      </x:c>
      <x:c r="K25" s="83" t="str">
        <x:v>Transparent record correction</x:v>
      </x:c>
      <x:c r="L25" s="83" t="str"/>
      <x:c r="M25" s="83" t="str">
        <x:v>Moderate</x:v>
      </x:c>
      <x:c r="N25" s="83" t="str">
        <x:v>Moderate</x:v>
      </x:c>
      <x:c r="O25" s="83" t="str">
        <x:v>Application</x:v>
      </x:c>
      <x:c r="P25" s="83" t="str">
        <x:v>Application</x:v>
      </x:c>
      <x:c r="Q25" s="83" t="n">
        <x:v>4</x:v>
      </x:c>
      <x:c r="R25" s="83" t="str">
        <x:v>C</x:v>
      </x:c>
      <x:c r="S25" s="83" t="str">
        <x:v>Approved</x:v>
      </x:c>
      <x:c r="T25" s="83" t="str">
        <x:v>Active</x:v>
      </x:c>
      <x:c r="U25" s="83" t="n">
        <x:v>1</x:v>
      </x:c>
      <x:c r="V25" s="83" t="str"/>
      <x:c r="W25" s="83" t="str">
        <x:v>No additional flag</x:v>
      </x:c>
      <x:c r="X25" s="83" t="str">
        <x:v>No structural flag</x:v>
      </x:c>
      <x:c r="Y25" s="83" t="str">
        <x:v>Not Yet Reviewed</x:v>
      </x:c>
      <x:c r="Z25" s="83" t="str">
        <x:v>CTA LCSW Workbook 2</x:v>
      </x:c>
      <x:c r="AA25" s="83" t="str">
        <x:v>CTA_LCSW_WB2_17_Question_Bank_v1.0.docx</x:v>
      </x:c>
      <x:c r="AB25" s="83" t="str">
        <x:v>1.0</x:v>
      </x:c>
      <x:c r="AC25" s="102"/>
      <x:c r="AD25" s="102" t="n">
        <x:v>46228</x:v>
      </x:c>
      <x:c r="AE25" s="83" t="str"/>
      <x:c r="AF25" s="89" t="str">
        <x:v>Workbook bank; reserve pool after controlled review</x:v>
      </x:c>
    </x:row>
    <x:row r="26">
      <x:c r="A26" s="88" t="str">
        <x:v>CTA-LCSW-MQB-0025</x:v>
      </x:c>
      <x:c r="B26" s="83" t="str">
        <x:v>LCSW-WB02-QB-Q008</x:v>
      </x:c>
      <x:c r="C26" s="83" t="str">
        <x:v>LCSW</x:v>
      </x:c>
      <x:c r="D26" s="83" t="str">
        <x:v>Workbook Question Bank</x:v>
      </x:c>
      <x:c r="E26" s="83" t="n">
        <x:v>2</x:v>
      </x:c>
      <x:c r="F26" s="83" t="str">
        <x:v>Values, Ethics, Self-Determination, and Social Justice</x:v>
      </x:c>
      <x:c r="G26" s="83"/>
      <x:c r="H26" s="83" t="n">
        <x:v>8</x:v>
      </x:c>
      <x:c r="I26" s="83" t="str">
        <x:v>Workbook Bank</x:v>
      </x:c>
      <x:c r="J26" s="83" t="str">
        <x:v>I. Values and Ethics</x:v>
      </x:c>
      <x:c r="K26" s="83" t="str">
        <x:v>Algorithmic bias and professional judgment</x:v>
      </x:c>
      <x:c r="L26" s="83" t="str"/>
      <x:c r="M26" s="83" t="str">
        <x:v>Moderate</x:v>
      </x:c>
      <x:c r="N26" s="83" t="str">
        <x:v>Moderate</x:v>
      </x:c>
      <x:c r="O26" s="83" t="str">
        <x:v>Application</x:v>
      </x:c>
      <x:c r="P26" s="83" t="str">
        <x:v>Application</x:v>
      </x:c>
      <x:c r="Q26" s="83" t="n">
        <x:v>4</x:v>
      </x:c>
      <x:c r="R26" s="83" t="str">
        <x:v>D</x:v>
      </x:c>
      <x:c r="S26" s="83" t="str">
        <x:v>Approved</x:v>
      </x:c>
      <x:c r="T26" s="83" t="str">
        <x:v>Active</x:v>
      </x:c>
      <x:c r="U26" s="83" t="n">
        <x:v>1</x:v>
      </x:c>
      <x:c r="V26" s="83" t="str"/>
      <x:c r="W26" s="83" t="str">
        <x:v>No additional flag</x:v>
      </x:c>
      <x:c r="X26" s="83" t="str">
        <x:v>No structural flag</x:v>
      </x:c>
      <x:c r="Y26" s="83" t="str">
        <x:v>Not Yet Reviewed</x:v>
      </x:c>
      <x:c r="Z26" s="83" t="str">
        <x:v>CTA LCSW Workbook 2</x:v>
      </x:c>
      <x:c r="AA26" s="83" t="str">
        <x:v>CTA_LCSW_WB2_17_Question_Bank_v1.0.docx</x:v>
      </x:c>
      <x:c r="AB26" s="83" t="str">
        <x:v>1.0</x:v>
      </x:c>
      <x:c r="AC26" s="102"/>
      <x:c r="AD26" s="102" t="n">
        <x:v>46228</x:v>
      </x:c>
      <x:c r="AE26" s="83" t="str"/>
      <x:c r="AF26" s="89" t="str">
        <x:v>Workbook bank; reserve pool after controlled review</x:v>
      </x:c>
    </x:row>
    <x:row r="27">
      <x:c r="A27" s="88" t="str">
        <x:v>CTA-LCSW-MQB-0026</x:v>
      </x:c>
      <x:c r="B27" s="83" t="str">
        <x:v>LCSW-WB02-QB-Q009</x:v>
      </x:c>
      <x:c r="C27" s="83" t="str">
        <x:v>LCSW</x:v>
      </x:c>
      <x:c r="D27" s="83" t="str">
        <x:v>Workbook Question Bank</x:v>
      </x:c>
      <x:c r="E27" s="83" t="n">
        <x:v>2</x:v>
      </x:c>
      <x:c r="F27" s="83" t="str">
        <x:v>Values, Ethics, Self-Determination, and Social Justice</x:v>
      </x:c>
      <x:c r="G27" s="83"/>
      <x:c r="H27" s="83" t="n">
        <x:v>9</x:v>
      </x:c>
      <x:c r="I27" s="83" t="str">
        <x:v>Workbook Bank</x:v>
      </x:c>
      <x:c r="J27" s="83" t="str">
        <x:v>I. Values and Ethics</x:v>
      </x:c>
      <x:c r="K27" s="83" t="str">
        <x:v>Microaggression repair</x:v>
      </x:c>
      <x:c r="L27" s="83" t="str"/>
      <x:c r="M27" s="83" t="str">
        <x:v>Moderate</x:v>
      </x:c>
      <x:c r="N27" s="83" t="str">
        <x:v>Moderate</x:v>
      </x:c>
      <x:c r="O27" s="83" t="str">
        <x:v>Application</x:v>
      </x:c>
      <x:c r="P27" s="83" t="str">
        <x:v>Application</x:v>
      </x:c>
      <x:c r="Q27" s="83" t="n">
        <x:v>3</x:v>
      </x:c>
      <x:c r="R27" s="83" t="str">
        <x:v>A</x:v>
      </x:c>
      <x:c r="S27" s="83" t="str">
        <x:v>Approved</x:v>
      </x:c>
      <x:c r="T27" s="83" t="str">
        <x:v>Active</x:v>
      </x:c>
      <x:c r="U27" s="83" t="n">
        <x:v>1</x:v>
      </x:c>
      <x:c r="V27" s="83" t="str"/>
      <x:c r="W27" s="83" t="str">
        <x:v>No additional flag</x:v>
      </x:c>
      <x:c r="X27" s="83" t="str">
        <x:v>No structural flag</x:v>
      </x:c>
      <x:c r="Y27" s="83" t="str">
        <x:v>Not Yet Reviewed</x:v>
      </x:c>
      <x:c r="Z27" s="83" t="str">
        <x:v>CTA LCSW Workbook 2</x:v>
      </x:c>
      <x:c r="AA27" s="83" t="str">
        <x:v>CTA_LCSW_WB2_17_Question_Bank_v1.0.docx</x:v>
      </x:c>
      <x:c r="AB27" s="83" t="str">
        <x:v>1.0</x:v>
      </x:c>
      <x:c r="AC27" s="102"/>
      <x:c r="AD27" s="102" t="n">
        <x:v>46228</x:v>
      </x:c>
      <x:c r="AE27" s="83" t="str"/>
      <x:c r="AF27" s="89" t="str">
        <x:v>Workbook bank; reserve pool after controlled review</x:v>
      </x:c>
    </x:row>
    <x:row r="28">
      <x:c r="A28" s="88" t="str">
        <x:v>CTA-LCSW-MQB-0027</x:v>
      </x:c>
      <x:c r="B28" s="83" t="str">
        <x:v>LCSW-WB02-QB-Q010</x:v>
      </x:c>
      <x:c r="C28" s="83" t="str">
        <x:v>LCSW</x:v>
      </x:c>
      <x:c r="D28" s="83" t="str">
        <x:v>Workbook Question Bank</x:v>
      </x:c>
      <x:c r="E28" s="83" t="n">
        <x:v>2</x:v>
      </x:c>
      <x:c r="F28" s="83" t="str">
        <x:v>Values, Ethics, Self-Determination, and Social Justice</x:v>
      </x:c>
      <x:c r="G28" s="83"/>
      <x:c r="H28" s="83" t="n">
        <x:v>10</x:v>
      </x:c>
      <x:c r="I28" s="83" t="str">
        <x:v>Workbook Bank</x:v>
      </x:c>
      <x:c r="J28" s="83" t="str">
        <x:v>I. Values and Ethics</x:v>
      </x:c>
      <x:c r="K28" s="83" t="str">
        <x:v>Discharge self-determination</x:v>
      </x:c>
      <x:c r="L28" s="83" t="str"/>
      <x:c r="M28" s="83" t="str">
        <x:v>Moderate</x:v>
      </x:c>
      <x:c r="N28" s="83" t="str">
        <x:v>Moderate</x:v>
      </x:c>
      <x:c r="O28" s="83" t="str">
        <x:v>Scenario-Based</x:v>
      </x:c>
      <x:c r="P28" s="83" t="str">
        <x:v>Scenario-Based</x:v>
      </x:c>
      <x:c r="Q28" s="83" t="n">
        <x:v>3</x:v>
      </x:c>
      <x:c r="R28" s="83" t="str">
        <x:v>B</x:v>
      </x:c>
      <x:c r="S28" s="83" t="str">
        <x:v>Approved</x:v>
      </x:c>
      <x:c r="T28" s="83" t="str">
        <x:v>Active</x:v>
      </x:c>
      <x:c r="U28" s="83" t="n">
        <x:v>1</x:v>
      </x:c>
      <x:c r="V28" s="83" t="str"/>
      <x:c r="W28" s="83" t="str">
        <x:v>No additional flag</x:v>
      </x:c>
      <x:c r="X28" s="83" t="str">
        <x:v>No structural flag</x:v>
      </x:c>
      <x:c r="Y28" s="83" t="str">
        <x:v>Not Yet Reviewed</x:v>
      </x:c>
      <x:c r="Z28" s="83" t="str">
        <x:v>CTA LCSW Workbook 2</x:v>
      </x:c>
      <x:c r="AA28" s="83" t="str">
        <x:v>CTA_LCSW_WB2_17_Question_Bank_v1.0.docx</x:v>
      </x:c>
      <x:c r="AB28" s="83" t="str">
        <x:v>1.0</x:v>
      </x:c>
      <x:c r="AC28" s="102"/>
      <x:c r="AD28" s="102" t="n">
        <x:v>46228</x:v>
      </x:c>
      <x:c r="AE28" s="83" t="str"/>
      <x:c r="AF28" s="89" t="str">
        <x:v>Workbook bank; reserve pool after controlled review</x:v>
      </x:c>
    </x:row>
    <x:row r="29">
      <x:c r="A29" s="88" t="str">
        <x:v>CTA-LCSW-MQB-0028</x:v>
      </x:c>
      <x:c r="B29" s="83" t="str">
        <x:v>LCSW-WB02-QB-Q011</x:v>
      </x:c>
      <x:c r="C29" s="83" t="str">
        <x:v>LCSW</x:v>
      </x:c>
      <x:c r="D29" s="83" t="str">
        <x:v>Workbook Question Bank</x:v>
      </x:c>
      <x:c r="E29" s="83" t="n">
        <x:v>2</x:v>
      </x:c>
      <x:c r="F29" s="83" t="str">
        <x:v>Values, Ethics, Self-Determination, and Social Justice</x:v>
      </x:c>
      <x:c r="G29" s="83"/>
      <x:c r="H29" s="83" t="n">
        <x:v>11</x:v>
      </x:c>
      <x:c r="I29" s="83" t="str">
        <x:v>Workbook Bank</x:v>
      </x:c>
      <x:c r="J29" s="83" t="str">
        <x:v>I. Values and Ethics</x:v>
      </x:c>
      <x:c r="K29" s="83" t="str">
        <x:v>Productivity pressure and inequitable service</x:v>
      </x:c>
      <x:c r="L29" s="83" t="str"/>
      <x:c r="M29" s="83" t="str">
        <x:v>Moderate</x:v>
      </x:c>
      <x:c r="N29" s="83" t="str">
        <x:v>Moderate</x:v>
      </x:c>
      <x:c r="O29" s="83" t="str">
        <x:v>Scenario-Based</x:v>
      </x:c>
      <x:c r="P29" s="83" t="str">
        <x:v>Scenario-Based</x:v>
      </x:c>
      <x:c r="Q29" s="83" t="n">
        <x:v>3</x:v>
      </x:c>
      <x:c r="R29" s="83" t="str">
        <x:v>C</x:v>
      </x:c>
      <x:c r="S29" s="83" t="str">
        <x:v>Approved</x:v>
      </x:c>
      <x:c r="T29" s="83" t="str">
        <x:v>Active</x:v>
      </x:c>
      <x:c r="U29" s="83" t="n">
        <x:v>1</x:v>
      </x:c>
      <x:c r="V29" s="83" t="str"/>
      <x:c r="W29" s="83" t="str">
        <x:v>No additional flag</x:v>
      </x:c>
      <x:c r="X29" s="83" t="str">
        <x:v>No structural flag</x:v>
      </x:c>
      <x:c r="Y29" s="83" t="str">
        <x:v>Not Yet Reviewed</x:v>
      </x:c>
      <x:c r="Z29" s="83" t="str">
        <x:v>CTA LCSW Workbook 2</x:v>
      </x:c>
      <x:c r="AA29" s="83" t="str">
        <x:v>CTA_LCSW_WB2_17_Question_Bank_v1.0.docx</x:v>
      </x:c>
      <x:c r="AB29" s="83" t="str">
        <x:v>1.0</x:v>
      </x:c>
      <x:c r="AC29" s="102"/>
      <x:c r="AD29" s="102" t="n">
        <x:v>46228</x:v>
      </x:c>
      <x:c r="AE29" s="83" t="str"/>
      <x:c r="AF29" s="89" t="str">
        <x:v>Workbook bank; reserve pool after controlled review</x:v>
      </x:c>
    </x:row>
    <x:row r="30">
      <x:c r="A30" s="88" t="str">
        <x:v>CTA-LCSW-MQB-0029</x:v>
      </x:c>
      <x:c r="B30" s="83" t="str">
        <x:v>LCSW-WB02-QB-Q012</x:v>
      </x:c>
      <x:c r="C30" s="83" t="str">
        <x:v>LCSW</x:v>
      </x:c>
      <x:c r="D30" s="83" t="str">
        <x:v>Workbook Question Bank</x:v>
      </x:c>
      <x:c r="E30" s="83" t="n">
        <x:v>2</x:v>
      </x:c>
      <x:c r="F30" s="83" t="str">
        <x:v>Values, Ethics, Self-Determination, and Social Justice</x:v>
      </x:c>
      <x:c r="G30" s="83"/>
      <x:c r="H30" s="83" t="n">
        <x:v>12</x:v>
      </x:c>
      <x:c r="I30" s="83" t="str">
        <x:v>Workbook Bank</x:v>
      </x:c>
      <x:c r="J30" s="83" t="str">
        <x:v>I. Values and Ethics</x:v>
      </x:c>
      <x:c r="K30" s="83" t="str">
        <x:v>Discrimination creating service avoidance</x:v>
      </x:c>
      <x:c r="L30" s="83" t="str"/>
      <x:c r="M30" s="83" t="str">
        <x:v>Moderate</x:v>
      </x:c>
      <x:c r="N30" s="83" t="str">
        <x:v>Moderate</x:v>
      </x:c>
      <x:c r="O30" s="83" t="str">
        <x:v>Scenario-Based</x:v>
      </x:c>
      <x:c r="P30" s="83" t="str">
        <x:v>Scenario-Based</x:v>
      </x:c>
      <x:c r="Q30" s="83" t="n">
        <x:v>4</x:v>
      </x:c>
      <x:c r="R30" s="83" t="str">
        <x:v>D</x:v>
      </x:c>
      <x:c r="S30" s="83" t="str">
        <x:v>Approved</x:v>
      </x:c>
      <x:c r="T30" s="83" t="str">
        <x:v>Active</x:v>
      </x:c>
      <x:c r="U30" s="83" t="n">
        <x:v>1</x:v>
      </x:c>
      <x:c r="V30" s="83" t="str"/>
      <x:c r="W30" s="83" t="str">
        <x:v>No additional flag</x:v>
      </x:c>
      <x:c r="X30" s="83" t="str">
        <x:v>No structural flag</x:v>
      </x:c>
      <x:c r="Y30" s="83" t="str">
        <x:v>Not Yet Reviewed</x:v>
      </x:c>
      <x:c r="Z30" s="83" t="str">
        <x:v>CTA LCSW Workbook 2</x:v>
      </x:c>
      <x:c r="AA30" s="83" t="str">
        <x:v>CTA_LCSW_WB2_17_Question_Bank_v1.0.docx</x:v>
      </x:c>
      <x:c r="AB30" s="83" t="str">
        <x:v>1.0</x:v>
      </x:c>
      <x:c r="AC30" s="102"/>
      <x:c r="AD30" s="102" t="n">
        <x:v>46228</x:v>
      </x:c>
      <x:c r="AE30" s="83" t="str"/>
      <x:c r="AF30" s="89" t="str">
        <x:v>Workbook bank; reserve pool after controlled review</x:v>
      </x:c>
    </x:row>
    <x:row r="31">
      <x:c r="A31" s="88" t="str">
        <x:v>CTA-LCSW-MQB-0030</x:v>
      </x:c>
      <x:c r="B31" s="83" t="str">
        <x:v>LCSW-WB02-QB-Q013</x:v>
      </x:c>
      <x:c r="C31" s="83" t="str">
        <x:v>LCSW</x:v>
      </x:c>
      <x:c r="D31" s="83" t="str">
        <x:v>Workbook Question Bank</x:v>
      </x:c>
      <x:c r="E31" s="83" t="n">
        <x:v>2</x:v>
      </x:c>
      <x:c r="F31" s="83" t="str">
        <x:v>Values, Ethics, Self-Determination, and Social Justice</x:v>
      </x:c>
      <x:c r="G31" s="83"/>
      <x:c r="H31" s="83" t="n">
        <x:v>13</x:v>
      </x:c>
      <x:c r="I31" s="83" t="str">
        <x:v>Workbook Bank</x:v>
      </x:c>
      <x:c r="J31" s="83" t="str">
        <x:v>I. Values and Ethics</x:v>
      </x:c>
      <x:c r="K31" s="83" t="str">
        <x:v>Self-determination in involuntary care</x:v>
      </x:c>
      <x:c r="L31" s="83" t="str"/>
      <x:c r="M31" s="83" t="str">
        <x:v>Difficult</x:v>
      </x:c>
      <x:c r="N31" s="83" t="str">
        <x:v>Difficult</x:v>
      </x:c>
      <x:c r="O31" s="83" t="str">
        <x:v>Scenario-Based</x:v>
      </x:c>
      <x:c r="P31" s="83" t="str">
        <x:v>Scenario-Based</x:v>
      </x:c>
      <x:c r="Q31" s="83" t="n">
        <x:v>3</x:v>
      </x:c>
      <x:c r="R31" s="83" t="str">
        <x:v>A</x:v>
      </x:c>
      <x:c r="S31" s="83" t="str">
        <x:v>Approved</x:v>
      </x:c>
      <x:c r="T31" s="83" t="str">
        <x:v>Active</x:v>
      </x:c>
      <x:c r="U31" s="83" t="n">
        <x:v>1</x:v>
      </x:c>
      <x:c r="V31" s="83" t="str"/>
      <x:c r="W31" s="83" t="str">
        <x:v>No additional flag</x:v>
      </x:c>
      <x:c r="X31" s="83" t="str">
        <x:v>No structural flag</x:v>
      </x:c>
      <x:c r="Y31" s="83" t="str">
        <x:v>Not Yet Reviewed</x:v>
      </x:c>
      <x:c r="Z31" s="83" t="str">
        <x:v>CTA LCSW Workbook 2</x:v>
      </x:c>
      <x:c r="AA31" s="83" t="str">
        <x:v>CTA_LCSW_WB2_17_Question_Bank_v1.0.docx</x:v>
      </x:c>
      <x:c r="AB31" s="83" t="str">
        <x:v>1.0</x:v>
      </x:c>
      <x:c r="AC31" s="102"/>
      <x:c r="AD31" s="102" t="n">
        <x:v>46228</x:v>
      </x:c>
      <x:c r="AE31" s="83" t="str"/>
      <x:c r="AF31" s="89" t="str">
        <x:v>Workbook bank; reserve pool after controlled review</x:v>
      </x:c>
    </x:row>
    <x:row r="32">
      <x:c r="A32" s="88" t="str">
        <x:v>CTA-LCSW-MQB-0031</x:v>
      </x:c>
      <x:c r="B32" s="83" t="str">
        <x:v>LCSW-WB02-QB-Q014</x:v>
      </x:c>
      <x:c r="C32" s="83" t="str">
        <x:v>LCSW</x:v>
      </x:c>
      <x:c r="D32" s="83" t="str">
        <x:v>Workbook Question Bank</x:v>
      </x:c>
      <x:c r="E32" s="83" t="n">
        <x:v>2</x:v>
      </x:c>
      <x:c r="F32" s="83" t="str">
        <x:v>Values, Ethics, Self-Determination, and Social Justice</x:v>
      </x:c>
      <x:c r="G32" s="83"/>
      <x:c r="H32" s="83" t="n">
        <x:v>14</x:v>
      </x:c>
      <x:c r="I32" s="83" t="str">
        <x:v>Workbook Bank</x:v>
      </x:c>
      <x:c r="J32" s="83" t="str">
        <x:v>I. Values and Ethics</x:v>
      </x:c>
      <x:c r="K32" s="83" t="str">
        <x:v>Organizational pressure to falsify services</x:v>
      </x:c>
      <x:c r="L32" s="83" t="str"/>
      <x:c r="M32" s="83" t="str">
        <x:v>Difficult</x:v>
      </x:c>
      <x:c r="N32" s="83" t="str">
        <x:v>Difficult</x:v>
      </x:c>
      <x:c r="O32" s="83" t="str">
        <x:v>Scenario-Based</x:v>
      </x:c>
      <x:c r="P32" s="83" t="str">
        <x:v>Scenario-Based</x:v>
      </x:c>
      <x:c r="Q32" s="83" t="n">
        <x:v>3</x:v>
      </x:c>
      <x:c r="R32" s="83" t="str">
        <x:v>B</x:v>
      </x:c>
      <x:c r="S32" s="83" t="str">
        <x:v>Approved</x:v>
      </x:c>
      <x:c r="T32" s="83" t="str">
        <x:v>Active</x:v>
      </x:c>
      <x:c r="U32" s="83" t="n">
        <x:v>1</x:v>
      </x:c>
      <x:c r="V32" s="83" t="str"/>
      <x:c r="W32" s="83" t="str">
        <x:v>No additional flag</x:v>
      </x:c>
      <x:c r="X32" s="83" t="str">
        <x:v>No structural flag</x:v>
      </x:c>
      <x:c r="Y32" s="83" t="str">
        <x:v>Not Yet Reviewed</x:v>
      </x:c>
      <x:c r="Z32" s="83" t="str">
        <x:v>CTA LCSW Workbook 2</x:v>
      </x:c>
      <x:c r="AA32" s="83" t="str">
        <x:v>CTA_LCSW_WB2_17_Question_Bank_v1.0.docx</x:v>
      </x:c>
      <x:c r="AB32" s="83" t="str">
        <x:v>1.0</x:v>
      </x:c>
      <x:c r="AC32" s="102"/>
      <x:c r="AD32" s="102" t="n">
        <x:v>46228</x:v>
      </x:c>
      <x:c r="AE32" s="83" t="str"/>
      <x:c r="AF32" s="89" t="str">
        <x:v>Workbook bank; reserve pool after controlled review</x:v>
      </x:c>
    </x:row>
    <x:row r="33">
      <x:c r="A33" s="88" t="str">
        <x:v>CTA-LCSW-MQB-0032</x:v>
      </x:c>
      <x:c r="B33" s="83" t="str">
        <x:v>LCSW-WB02-QB-Q015</x:v>
      </x:c>
      <x:c r="C33" s="83" t="str">
        <x:v>LCSW</x:v>
      </x:c>
      <x:c r="D33" s="83" t="str">
        <x:v>Workbook Question Bank</x:v>
      </x:c>
      <x:c r="E33" s="83" t="n">
        <x:v>2</x:v>
      </x:c>
      <x:c r="F33" s="83" t="str">
        <x:v>Values, Ethics, Self-Determination, and Social Justice</x:v>
      </x:c>
      <x:c r="G33" s="83"/>
      <x:c r="H33" s="83" t="n">
        <x:v>15</x:v>
      </x:c>
      <x:c r="I33" s="83" t="str">
        <x:v>Workbook Bank</x:v>
      </x:c>
      <x:c r="J33" s="83" t="str">
        <x:v>I. Values and Ethics</x:v>
      </x:c>
      <x:c r="K33" s="83" t="str">
        <x:v>Capacity, coercion, and financial exploitation</x:v>
      </x:c>
      <x:c r="L33" s="83" t="str"/>
      <x:c r="M33" s="83" t="str">
        <x:v>Difficult</x:v>
      </x:c>
      <x:c r="N33" s="83" t="str">
        <x:v>Difficult</x:v>
      </x:c>
      <x:c r="O33" s="83" t="str">
        <x:v>Scenario-Based</x:v>
      </x:c>
      <x:c r="P33" s="83" t="str">
        <x:v>Scenario-Based</x:v>
      </x:c>
      <x:c r="Q33" s="83" t="n">
        <x:v>4</x:v>
      </x:c>
      <x:c r="R33" s="83" t="str">
        <x:v>C</x:v>
      </x:c>
      <x:c r="S33" s="83" t="str">
        <x:v>Approved</x:v>
      </x:c>
      <x:c r="T33" s="83" t="str">
        <x:v>Active</x:v>
      </x:c>
      <x:c r="U33" s="83" t="n">
        <x:v>1</x:v>
      </x:c>
      <x:c r="V33" s="83" t="str"/>
      <x:c r="W33" s="83" t="str">
        <x:v>No additional flag</x:v>
      </x:c>
      <x:c r="X33" s="83" t="str">
        <x:v>No structural flag</x:v>
      </x:c>
      <x:c r="Y33" s="83" t="str">
        <x:v>Not Yet Reviewed</x:v>
      </x:c>
      <x:c r="Z33" s="83" t="str">
        <x:v>CTA LCSW Workbook 2</x:v>
      </x:c>
      <x:c r="AA33" s="83" t="str">
        <x:v>CTA_LCSW_WB2_17_Question_Bank_v1.0.docx</x:v>
      </x:c>
      <x:c r="AB33" s="83" t="str">
        <x:v>1.0</x:v>
      </x:c>
      <x:c r="AC33" s="102"/>
      <x:c r="AD33" s="102" t="n">
        <x:v>46228</x:v>
      </x:c>
      <x:c r="AE33" s="83" t="str"/>
      <x:c r="AF33" s="89" t="str">
        <x:v>Workbook bank; reserve pool after controlled review</x:v>
      </x:c>
    </x:row>
    <x:row r="34">
      <x:c r="A34" s="88" t="str">
        <x:v>CTA-LCSW-MQB-0033</x:v>
      </x:c>
      <x:c r="B34" s="83" t="str">
        <x:v>LCSW-WB02-QB-Q016</x:v>
      </x:c>
      <x:c r="C34" s="83" t="str">
        <x:v>LCSW</x:v>
      </x:c>
      <x:c r="D34" s="83" t="str">
        <x:v>Workbook Question Bank</x:v>
      </x:c>
      <x:c r="E34" s="83" t="n">
        <x:v>2</x:v>
      </x:c>
      <x:c r="F34" s="83" t="str">
        <x:v>Values, Ethics, Self-Determination, and Social Justice</x:v>
      </x:c>
      <x:c r="G34" s="83"/>
      <x:c r="H34" s="83" t="n">
        <x:v>16</x:v>
      </x:c>
      <x:c r="I34" s="83" t="str">
        <x:v>Workbook Bank</x:v>
      </x:c>
      <x:c r="J34" s="83" t="str">
        <x:v>I. Values and Ethics</x:v>
      </x:c>
      <x:c r="K34" s="83" t="str">
        <x:v>Integrated housing, health, and immigration coercion</x:v>
      </x:c>
      <x:c r="L34" s="83" t="str"/>
      <x:c r="M34" s="83" t="str">
        <x:v>Difficult</x:v>
      </x:c>
      <x:c r="N34" s="83" t="str">
        <x:v>Difficult</x:v>
      </x:c>
      <x:c r="O34" s="83" t="str">
        <x:v>Integrated Clinical Reasoning</x:v>
      </x:c>
      <x:c r="P34" s="83" t="str">
        <x:v>Integrated Clinical Reasoning</x:v>
      </x:c>
      <x:c r="Q34" s="83" t="n">
        <x:v>4</x:v>
      </x:c>
      <x:c r="R34" s="83" t="str">
        <x:v>D</x:v>
      </x:c>
      <x:c r="S34" s="83" t="str">
        <x:v>Approved</x:v>
      </x:c>
      <x:c r="T34" s="83" t="str">
        <x:v>Active</x:v>
      </x:c>
      <x:c r="U34" s="83" t="n">
        <x:v>1</x:v>
      </x:c>
      <x:c r="V34" s="83" t="str"/>
      <x:c r="W34" s="83" t="str">
        <x:v>No additional flag</x:v>
      </x:c>
      <x:c r="X34" s="83" t="str">
        <x:v>No structural flag</x:v>
      </x:c>
      <x:c r="Y34" s="83" t="str">
        <x:v>Not Yet Reviewed</x:v>
      </x:c>
      <x:c r="Z34" s="83" t="str">
        <x:v>CTA LCSW Workbook 2</x:v>
      </x:c>
      <x:c r="AA34" s="83" t="str">
        <x:v>CTA_LCSW_WB2_17_Question_Bank_v1.0.docx</x:v>
      </x:c>
      <x:c r="AB34" s="83" t="str">
        <x:v>1.0</x:v>
      </x:c>
      <x:c r="AC34" s="102"/>
      <x:c r="AD34" s="102" t="n">
        <x:v>46228</x:v>
      </x:c>
      <x:c r="AE34" s="83" t="str"/>
      <x:c r="AF34" s="89" t="str">
        <x:v>Workbook bank; reserve pool after controlled review</x:v>
      </x:c>
    </x:row>
    <x:row r="35">
      <x:c r="A35" s="88" t="str">
        <x:v>CTA-LCSW-MQB-0034</x:v>
      </x:c>
      <x:c r="B35" s="83" t="str">
        <x:v>LCSW-WB02-QB-Q017</x:v>
      </x:c>
      <x:c r="C35" s="83" t="str">
        <x:v>LCSW</x:v>
      </x:c>
      <x:c r="D35" s="83" t="str">
        <x:v>Workbook Question Bank</x:v>
      </x:c>
      <x:c r="E35" s="83" t="n">
        <x:v>2</x:v>
      </x:c>
      <x:c r="F35" s="83" t="str">
        <x:v>Values, Ethics, Self-Determination, and Social Justice</x:v>
      </x:c>
      <x:c r="G35" s="83"/>
      <x:c r="H35" s="83" t="n">
        <x:v>17</x:v>
      </x:c>
      <x:c r="I35" s="83" t="str">
        <x:v>Workbook Bank</x:v>
      </x:c>
      <x:c r="J35" s="83" t="str">
        <x:v>I. Values and Ethics</x:v>
      </x:c>
      <x:c r="K35" s="83" t="str">
        <x:v>Integrated crisis, closure, and community access</x:v>
      </x:c>
      <x:c r="L35" s="83" t="str"/>
      <x:c r="M35" s="83" t="str">
        <x:v>Difficult</x:v>
      </x:c>
      <x:c r="N35" s="83" t="str">
        <x:v>Difficult</x:v>
      </x:c>
      <x:c r="O35" s="83" t="str">
        <x:v>Integrated Clinical Reasoning</x:v>
      </x:c>
      <x:c r="P35" s="83" t="str">
        <x:v>Integrated Clinical Reasoning</x:v>
      </x:c>
      <x:c r="Q35" s="83" t="n">
        <x:v>3</x:v>
      </x:c>
      <x:c r="R35" s="83" t="str">
        <x:v>A</x:v>
      </x:c>
      <x:c r="S35" s="83" t="str">
        <x:v>Approved</x:v>
      </x:c>
      <x:c r="T35" s="83" t="str">
        <x:v>Active</x:v>
      </x:c>
      <x:c r="U35" s="83" t="n">
        <x:v>1</x:v>
      </x:c>
      <x:c r="V35" s="83" t="str"/>
      <x:c r="W35" s="83" t="str">
        <x:v>No additional flag</x:v>
      </x:c>
      <x:c r="X35" s="83" t="str">
        <x:v>No structural flag</x:v>
      </x:c>
      <x:c r="Y35" s="83" t="str">
        <x:v>Not Yet Reviewed</x:v>
      </x:c>
      <x:c r="Z35" s="83" t="str">
        <x:v>CTA LCSW Workbook 2</x:v>
      </x:c>
      <x:c r="AA35" s="83" t="str">
        <x:v>CTA_LCSW_WB2_17_Question_Bank_v1.0.docx</x:v>
      </x:c>
      <x:c r="AB35" s="83" t="str">
        <x:v>1.0</x:v>
      </x:c>
      <x:c r="AC35" s="102"/>
      <x:c r="AD35" s="102" t="n">
        <x:v>46228</x:v>
      </x:c>
      <x:c r="AE35" s="83" t="str"/>
      <x:c r="AF35" s="89" t="str">
        <x:v>Workbook bank; reserve pool after controlled review</x:v>
      </x:c>
    </x:row>
    <x:row r="36">
      <x:c r="A36" s="88" t="str">
        <x:v>CTA-LCSW-MQB-0035</x:v>
      </x:c>
      <x:c r="B36" s="83" t="str">
        <x:v>LCSW-WB03-QB-Q001</x:v>
      </x:c>
      <x:c r="C36" s="83" t="str">
        <x:v>LCSW</x:v>
      </x:c>
      <x:c r="D36" s="83" t="str">
        <x:v>Workbook Question Bank</x:v>
      </x:c>
      <x:c r="E36" s="83" t="n">
        <x:v>3</x:v>
      </x:c>
      <x:c r="F36" s="83" t="str">
        <x:v>Human Development, Diversity, and Person-in-Environment</x:v>
      </x:c>
      <x:c r="G36" s="83"/>
      <x:c r="H36" s="83" t="n">
        <x:v>1</x:v>
      </x:c>
      <x:c r="I36" s="83" t="str">
        <x:v>Workbook Bank</x:v>
      </x:c>
      <x:c r="J36" s="83" t="str">
        <x:v>II. Assessment and Planning</x:v>
      </x:c>
      <x:c r="K36" s="83" t="str">
        <x:v>Person-in-environment framework</x:v>
      </x:c>
      <x:c r="L36" s="83" t="str"/>
      <x:c r="M36" s="83" t="str">
        <x:v>Easy</x:v>
      </x:c>
      <x:c r="N36" s="83" t="str">
        <x:v>Easy</x:v>
      </x:c>
      <x:c r="O36" s="83" t="str">
        <x:v>Knowledge &amp; Recall</x:v>
      </x:c>
      <x:c r="P36" s="83" t="str">
        <x:v>Knowledge &amp; Recall</x:v>
      </x:c>
      <x:c r="Q36" s="83" t="n">
        <x:v>3</x:v>
      </x:c>
      <x:c r="R36" s="83" t="str">
        <x:v>B</x:v>
      </x:c>
      <x:c r="S36" s="83" t="str">
        <x:v>Approved</x:v>
      </x:c>
      <x:c r="T36" s="83" t="str">
        <x:v>Active</x:v>
      </x:c>
      <x:c r="U36" s="83" t="n">
        <x:v>1</x:v>
      </x:c>
      <x:c r="V36" s="83" t="str"/>
      <x:c r="W36" s="83" t="str">
        <x:v>No additional flag</x:v>
      </x:c>
      <x:c r="X36" s="83" t="str">
        <x:v>No structural flag</x:v>
      </x:c>
      <x:c r="Y36" s="83" t="str">
        <x:v>Not Yet Reviewed</x:v>
      </x:c>
      <x:c r="Z36" s="83" t="str">
        <x:v>CTA LCSW Workbook 3</x:v>
      </x:c>
      <x:c r="AA36" s="83" t="str">
        <x:v>CTA_LCSW_WB3_17_Question_Bank_v1.0.docx</x:v>
      </x:c>
      <x:c r="AB36" s="83" t="str">
        <x:v>1.0</x:v>
      </x:c>
      <x:c r="AC36" s="102"/>
      <x:c r="AD36" s="102" t="n">
        <x:v>46228</x:v>
      </x:c>
      <x:c r="AE36" s="83" t="str"/>
      <x:c r="AF36" s="89" t="str">
        <x:v>Workbook bank; reserve pool after controlled review</x:v>
      </x:c>
    </x:row>
    <x:row r="37">
      <x:c r="A37" s="88" t="str">
        <x:v>CTA-LCSW-MQB-0036</x:v>
      </x:c>
      <x:c r="B37" s="83" t="str">
        <x:v>LCSW-WB03-QB-Q002</x:v>
      </x:c>
      <x:c r="C37" s="83" t="str">
        <x:v>LCSW</x:v>
      </x:c>
      <x:c r="D37" s="83" t="str">
        <x:v>Workbook Question Bank</x:v>
      </x:c>
      <x:c r="E37" s="83" t="n">
        <x:v>3</x:v>
      </x:c>
      <x:c r="F37" s="83" t="str">
        <x:v>Human Development, Diversity, and Person-in-Environment</x:v>
      </x:c>
      <x:c r="G37" s="83"/>
      <x:c r="H37" s="83" t="n">
        <x:v>2</x:v>
      </x:c>
      <x:c r="I37" s="83" t="str">
        <x:v>Workbook Bank</x:v>
      </x:c>
      <x:c r="J37" s="83" t="str">
        <x:v>II. Assessment and Planning</x:v>
      </x:c>
      <x:c r="K37" s="83" t="str">
        <x:v>Intersectionality</x:v>
      </x:c>
      <x:c r="L37" s="83" t="str"/>
      <x:c r="M37" s="83" t="str">
        <x:v>Easy</x:v>
      </x:c>
      <x:c r="N37" s="83" t="str">
        <x:v>Easy</x:v>
      </x:c>
      <x:c r="O37" s="83" t="str">
        <x:v>Knowledge &amp; Recall</x:v>
      </x:c>
      <x:c r="P37" s="83" t="str">
        <x:v>Knowledge &amp; Recall</x:v>
      </x:c>
      <x:c r="Q37" s="83" t="n">
        <x:v>3</x:v>
      </x:c>
      <x:c r="R37" s="83" t="str">
        <x:v>A</x:v>
      </x:c>
      <x:c r="S37" s="83" t="str">
        <x:v>Approved</x:v>
      </x:c>
      <x:c r="T37" s="83" t="str">
        <x:v>Active</x:v>
      </x:c>
      <x:c r="U37" s="83" t="n">
        <x:v>1</x:v>
      </x:c>
      <x:c r="V37" s="83" t="str"/>
      <x:c r="W37" s="83" t="str">
        <x:v>No additional flag</x:v>
      </x:c>
      <x:c r="X37" s="83" t="str">
        <x:v>No structural flag</x:v>
      </x:c>
      <x:c r="Y37" s="83" t="str">
        <x:v>Not Yet Reviewed</x:v>
      </x:c>
      <x:c r="Z37" s="83" t="str">
        <x:v>CTA LCSW Workbook 3</x:v>
      </x:c>
      <x:c r="AA37" s="83" t="str">
        <x:v>CTA_LCSW_WB3_17_Question_Bank_v1.0.docx</x:v>
      </x:c>
      <x:c r="AB37" s="83" t="str">
        <x:v>1.0</x:v>
      </x:c>
      <x:c r="AC37" s="102"/>
      <x:c r="AD37" s="102" t="n">
        <x:v>46228</x:v>
      </x:c>
      <x:c r="AE37" s="83" t="str"/>
      <x:c r="AF37" s="89" t="str">
        <x:v>Workbook bank; reserve pool after controlled review</x:v>
      </x:c>
    </x:row>
    <x:row r="38">
      <x:c r="A38" s="88" t="str">
        <x:v>CTA-LCSW-MQB-0037</x:v>
      </x:c>
      <x:c r="B38" s="83" t="str">
        <x:v>LCSW-WB03-QB-Q003</x:v>
      </x:c>
      <x:c r="C38" s="83" t="str">
        <x:v>LCSW</x:v>
      </x:c>
      <x:c r="D38" s="83" t="str">
        <x:v>Workbook Question Bank</x:v>
      </x:c>
      <x:c r="E38" s="83" t="n">
        <x:v>3</x:v>
      </x:c>
      <x:c r="F38" s="83" t="str">
        <x:v>Human Development, Diversity, and Person-in-Environment</x:v>
      </x:c>
      <x:c r="G38" s="83"/>
      <x:c r="H38" s="83" t="n">
        <x:v>3</x:v>
      </x:c>
      <x:c r="I38" s="83" t="str">
        <x:v>Workbook Bank</x:v>
      </x:c>
      <x:c r="J38" s="83" t="str">
        <x:v>II. Assessment and Planning</x:v>
      </x:c>
      <x:c r="K38" s="83" t="str">
        <x:v>Cultural humility</x:v>
      </x:c>
      <x:c r="L38" s="83" t="str"/>
      <x:c r="M38" s="83" t="str">
        <x:v>Easy</x:v>
      </x:c>
      <x:c r="N38" s="83" t="str">
        <x:v>Easy</x:v>
      </x:c>
      <x:c r="O38" s="83" t="str">
        <x:v>Knowledge &amp; Recall</x:v>
      </x:c>
      <x:c r="P38" s="83" t="str">
        <x:v>Knowledge &amp; Recall</x:v>
      </x:c>
      <x:c r="Q38" s="83" t="n">
        <x:v>4</x:v>
      </x:c>
      <x:c r="R38" s="83" t="str">
        <x:v>C</x:v>
      </x:c>
      <x:c r="S38" s="83" t="str">
        <x:v>Approved</x:v>
      </x:c>
      <x:c r="T38" s="83" t="str">
        <x:v>Active</x:v>
      </x:c>
      <x:c r="U38" s="83" t="n">
        <x:v>1</x:v>
      </x:c>
      <x:c r="V38" s="83" t="str"/>
      <x:c r="W38" s="83" t="str">
        <x:v>No additional flag</x:v>
      </x:c>
      <x:c r="X38" s="83" t="str">
        <x:v>No structural flag</x:v>
      </x:c>
      <x:c r="Y38" s="83" t="str">
        <x:v>Not Yet Reviewed</x:v>
      </x:c>
      <x:c r="Z38" s="83" t="str">
        <x:v>CTA LCSW Workbook 3</x:v>
      </x:c>
      <x:c r="AA38" s="83" t="str">
        <x:v>CTA_LCSW_WB3_17_Question_Bank_v1.0.docx</x:v>
      </x:c>
      <x:c r="AB38" s="83" t="str">
        <x:v>1.0</x:v>
      </x:c>
      <x:c r="AC38" s="102"/>
      <x:c r="AD38" s="102" t="n">
        <x:v>46228</x:v>
      </x:c>
      <x:c r="AE38" s="83" t="str"/>
      <x:c r="AF38" s="89" t="str">
        <x:v>Workbook bank; reserve pool after controlled review</x:v>
      </x:c>
    </x:row>
    <x:row r="39">
      <x:c r="A39" s="88" t="str">
        <x:v>CTA-LCSW-MQB-0038</x:v>
      </x:c>
      <x:c r="B39" s="83" t="str">
        <x:v>LCSW-WB03-QB-Q004</x:v>
      </x:c>
      <x:c r="C39" s="83" t="str">
        <x:v>LCSW</x:v>
      </x:c>
      <x:c r="D39" s="83" t="str">
        <x:v>Workbook Question Bank</x:v>
      </x:c>
      <x:c r="E39" s="83" t="n">
        <x:v>3</x:v>
      </x:c>
      <x:c r="F39" s="83" t="str">
        <x:v>Human Development, Diversity, and Person-in-Environment</x:v>
      </x:c>
      <x:c r="G39" s="83"/>
      <x:c r="H39" s="83" t="n">
        <x:v>4</x:v>
      </x:c>
      <x:c r="I39" s="83" t="str">
        <x:v>Workbook Bank</x:v>
      </x:c>
      <x:c r="J39" s="83" t="str">
        <x:v>II. Assessment and Planning</x:v>
      </x:c>
      <x:c r="K39" s="83" t="str">
        <x:v>Transportation and health-care access</x:v>
      </x:c>
      <x:c r="L39" s="83" t="str"/>
      <x:c r="M39" s="83" t="str">
        <x:v>Easy</x:v>
      </x:c>
      <x:c r="N39" s="83" t="str">
        <x:v>Easy</x:v>
      </x:c>
      <x:c r="O39" s="83" t="str">
        <x:v>Application</x:v>
      </x:c>
      <x:c r="P39" s="83" t="str">
        <x:v>Application</x:v>
      </x:c>
      <x:c r="Q39" s="83" t="n">
        <x:v>4</x:v>
      </x:c>
      <x:c r="R39" s="83" t="str">
        <x:v>D</x:v>
      </x:c>
      <x:c r="S39" s="83" t="str">
        <x:v>Approved</x:v>
      </x:c>
      <x:c r="T39" s="83" t="str">
        <x:v>Active</x:v>
      </x:c>
      <x:c r="U39" s="83" t="n">
        <x:v>1</x:v>
      </x:c>
      <x:c r="V39" s="83" t="str"/>
      <x:c r="W39" s="83" t="str">
        <x:v>No additional flag</x:v>
      </x:c>
      <x:c r="X39" s="83" t="str">
        <x:v>No structural flag</x:v>
      </x:c>
      <x:c r="Y39" s="83" t="str">
        <x:v>Not Yet Reviewed</x:v>
      </x:c>
      <x:c r="Z39" s="83" t="str">
        <x:v>CTA LCSW Workbook 3</x:v>
      </x:c>
      <x:c r="AA39" s="83" t="str">
        <x:v>CTA_LCSW_WB3_17_Question_Bank_v1.0.docx</x:v>
      </x:c>
      <x:c r="AB39" s="83" t="str">
        <x:v>1.0</x:v>
      </x:c>
      <x:c r="AC39" s="102"/>
      <x:c r="AD39" s="102" t="n">
        <x:v>46228</x:v>
      </x:c>
      <x:c r="AE39" s="83" t="str"/>
      <x:c r="AF39" s="89" t="str">
        <x:v>Workbook bank; reserve pool after controlled review</x:v>
      </x:c>
    </x:row>
    <x:row r="40">
      <x:c r="A40" s="88" t="str">
        <x:v>CTA-LCSW-MQB-0039</x:v>
      </x:c>
      <x:c r="B40" s="83" t="str">
        <x:v>LCSW-WB03-QB-Q005</x:v>
      </x:c>
      <x:c r="C40" s="83" t="str">
        <x:v>LCSW</x:v>
      </x:c>
      <x:c r="D40" s="83" t="str">
        <x:v>Workbook Question Bank</x:v>
      </x:c>
      <x:c r="E40" s="83" t="n">
        <x:v>3</x:v>
      </x:c>
      <x:c r="F40" s="83" t="str">
        <x:v>Human Development, Diversity, and Person-in-Environment</x:v>
      </x:c>
      <x:c r="G40" s="83"/>
      <x:c r="H40" s="83" t="n">
        <x:v>5</x:v>
      </x:c>
      <x:c r="I40" s="83" t="str">
        <x:v>Workbook Bank</x:v>
      </x:c>
      <x:c r="J40" s="83" t="str">
        <x:v>II. Assessment and Planning</x:v>
      </x:c>
      <x:c r="K40" s="83" t="str">
        <x:v>Physical access barrier</x:v>
      </x:c>
      <x:c r="L40" s="83" t="str"/>
      <x:c r="M40" s="83" t="str">
        <x:v>Easy</x:v>
      </x:c>
      <x:c r="N40" s="83" t="str">
        <x:v>Easy</x:v>
      </x:c>
      <x:c r="O40" s="83" t="str">
        <x:v>Application</x:v>
      </x:c>
      <x:c r="P40" s="83" t="str">
        <x:v>Application</x:v>
      </x:c>
      <x:c r="Q40" s="83" t="n">
        <x:v>3</x:v>
      </x:c>
      <x:c r="R40" s="83" t="str">
        <x:v>A</x:v>
      </x:c>
      <x:c r="S40" s="83" t="str">
        <x:v>Approved</x:v>
      </x:c>
      <x:c r="T40" s="83" t="str">
        <x:v>Active</x:v>
      </x:c>
      <x:c r="U40" s="83" t="n">
        <x:v>1</x:v>
      </x:c>
      <x:c r="V40" s="83" t="str"/>
      <x:c r="W40" s="83" t="str">
        <x:v>No additional flag</x:v>
      </x:c>
      <x:c r="X40" s="83" t="str">
        <x:v>No structural flag</x:v>
      </x:c>
      <x:c r="Y40" s="83" t="str">
        <x:v>Not Yet Reviewed</x:v>
      </x:c>
      <x:c r="Z40" s="83" t="str">
        <x:v>CTA LCSW Workbook 3</x:v>
      </x:c>
      <x:c r="AA40" s="83" t="str">
        <x:v>CTA_LCSW_WB3_17_Question_Bank_v1.0.docx</x:v>
      </x:c>
      <x:c r="AB40" s="83" t="str">
        <x:v>1.0</x:v>
      </x:c>
      <x:c r="AC40" s="102"/>
      <x:c r="AD40" s="102" t="n">
        <x:v>46228</x:v>
      </x:c>
      <x:c r="AE40" s="83" t="str"/>
      <x:c r="AF40" s="89" t="str">
        <x:v>Workbook bank; reserve pool after controlled review</x:v>
      </x:c>
    </x:row>
    <x:row r="41">
      <x:c r="A41" s="88" t="str">
        <x:v>CTA-LCSW-MQB-0040</x:v>
      </x:c>
      <x:c r="B41" s="83" t="str">
        <x:v>LCSW-WB03-QB-Q006</x:v>
      </x:c>
      <x:c r="C41" s="83" t="str">
        <x:v>LCSW</x:v>
      </x:c>
      <x:c r="D41" s="83" t="str">
        <x:v>Workbook Question Bank</x:v>
      </x:c>
      <x:c r="E41" s="83" t="n">
        <x:v>3</x:v>
      </x:c>
      <x:c r="F41" s="83" t="str">
        <x:v>Human Development, Diversity, and Person-in-Environment</x:v>
      </x:c>
      <x:c r="G41" s="83"/>
      <x:c r="H41" s="83" t="n">
        <x:v>6</x:v>
      </x:c>
      <x:c r="I41" s="83" t="str">
        <x:v>Workbook Bank</x:v>
      </x:c>
      <x:c r="J41" s="83" t="str">
        <x:v>II. Assessment and Planning</x:v>
      </x:c>
      <x:c r="K41" s="83" t="str">
        <x:v>Refugee resettlement and trauma</x:v>
      </x:c>
      <x:c r="L41" s="83" t="str"/>
      <x:c r="M41" s="83" t="str">
        <x:v>Moderate</x:v>
      </x:c>
      <x:c r="N41" s="83" t="str">
        <x:v>Moderate</x:v>
      </x:c>
      <x:c r="O41" s="83" t="str">
        <x:v>Application</x:v>
      </x:c>
      <x:c r="P41" s="83" t="str">
        <x:v>Application</x:v>
      </x:c>
      <x:c r="Q41" s="83" t="n">
        <x:v>3</x:v>
      </x:c>
      <x:c r="R41" s="83" t="str">
        <x:v>B</x:v>
      </x:c>
      <x:c r="S41" s="83" t="str">
        <x:v>Approved</x:v>
      </x:c>
      <x:c r="T41" s="83" t="str">
        <x:v>Active</x:v>
      </x:c>
      <x:c r="U41" s="83" t="n">
        <x:v>1</x:v>
      </x:c>
      <x:c r="V41" s="83" t="str"/>
      <x:c r="W41" s="83" t="str">
        <x:v>No additional flag</x:v>
      </x:c>
      <x:c r="X41" s="83" t="str">
        <x:v>No structural flag</x:v>
      </x:c>
      <x:c r="Y41" s="83" t="str">
        <x:v>Not Yet Reviewed</x:v>
      </x:c>
      <x:c r="Z41" s="83" t="str">
        <x:v>CTA LCSW Workbook 3</x:v>
      </x:c>
      <x:c r="AA41" s="83" t="str">
        <x:v>CTA_LCSW_WB3_17_Question_Bank_v1.0.docx</x:v>
      </x:c>
      <x:c r="AB41" s="83" t="str">
        <x:v>1.0</x:v>
      </x:c>
      <x:c r="AC41" s="102"/>
      <x:c r="AD41" s="102" t="n">
        <x:v>46228</x:v>
      </x:c>
      <x:c r="AE41" s="83" t="str"/>
      <x:c r="AF41" s="89" t="str">
        <x:v>Workbook bank; reserve pool after controlled review</x:v>
      </x:c>
    </x:row>
    <x:row r="42">
      <x:c r="A42" s="88" t="str">
        <x:v>CTA-LCSW-MQB-0041</x:v>
      </x:c>
      <x:c r="B42" s="83" t="str">
        <x:v>LCSW-WB03-QB-Q007</x:v>
      </x:c>
      <x:c r="C42" s="83" t="str">
        <x:v>LCSW</x:v>
      </x:c>
      <x:c r="D42" s="83" t="str">
        <x:v>Workbook Question Bank</x:v>
      </x:c>
      <x:c r="E42" s="83" t="n">
        <x:v>3</x:v>
      </x:c>
      <x:c r="F42" s="83" t="str">
        <x:v>Human Development, Diversity, and Person-in-Environment</x:v>
      </x:c>
      <x:c r="G42" s="83"/>
      <x:c r="H42" s="83" t="n">
        <x:v>7</x:v>
      </x:c>
      <x:c r="I42" s="83" t="str">
        <x:v>Workbook Bank</x:v>
      </x:c>
      <x:c r="J42" s="83" t="str">
        <x:v>II. Assessment and Planning</x:v>
      </x:c>
      <x:c r="K42" s="83" t="str">
        <x:v>Housing instability and school attendance</x:v>
      </x:c>
      <x:c r="L42" s="83" t="str"/>
      <x:c r="M42" s="83" t="str">
        <x:v>Moderate</x:v>
      </x:c>
      <x:c r="N42" s="83" t="str">
        <x:v>Moderate</x:v>
      </x:c>
      <x:c r="O42" s="83" t="str">
        <x:v>Application</x:v>
      </x:c>
      <x:c r="P42" s="83" t="str">
        <x:v>Application</x:v>
      </x:c>
      <x:c r="Q42" s="83" t="n">
        <x:v>4</x:v>
      </x:c>
      <x:c r="R42" s="83" t="str">
        <x:v>C</x:v>
      </x:c>
      <x:c r="S42" s="83" t="str">
        <x:v>Approved</x:v>
      </x:c>
      <x:c r="T42" s="83" t="str">
        <x:v>Active</x:v>
      </x:c>
      <x:c r="U42" s="83" t="n">
        <x:v>1</x:v>
      </x:c>
      <x:c r="V42" s="83" t="str"/>
      <x:c r="W42" s="83" t="str">
        <x:v>No additional flag</x:v>
      </x:c>
      <x:c r="X42" s="83" t="str">
        <x:v>No structural flag</x:v>
      </x:c>
      <x:c r="Y42" s="83" t="str">
        <x:v>Not Yet Reviewed</x:v>
      </x:c>
      <x:c r="Z42" s="83" t="str">
        <x:v>CTA LCSW Workbook 3</x:v>
      </x:c>
      <x:c r="AA42" s="83" t="str">
        <x:v>CTA_LCSW_WB3_17_Question_Bank_v1.0.docx</x:v>
      </x:c>
      <x:c r="AB42" s="83" t="str">
        <x:v>1.0</x:v>
      </x:c>
      <x:c r="AC42" s="102"/>
      <x:c r="AD42" s="102" t="n">
        <x:v>46228</x:v>
      </x:c>
      <x:c r="AE42" s="83" t="str"/>
      <x:c r="AF42" s="89" t="str">
        <x:v>Workbook bank; reserve pool after controlled review</x:v>
      </x:c>
    </x:row>
    <x:row r="43">
      <x:c r="A43" s="88" t="str">
        <x:v>CTA-LCSW-MQB-0042</x:v>
      </x:c>
      <x:c r="B43" s="83" t="str">
        <x:v>LCSW-WB03-QB-Q008</x:v>
      </x:c>
      <x:c r="C43" s="83" t="str">
        <x:v>LCSW</x:v>
      </x:c>
      <x:c r="D43" s="83" t="str">
        <x:v>Workbook Question Bank</x:v>
      </x:c>
      <x:c r="E43" s="83" t="n">
        <x:v>3</x:v>
      </x:c>
      <x:c r="F43" s="83" t="str">
        <x:v>Human Development, Diversity, and Person-in-Environment</x:v>
      </x:c>
      <x:c r="G43" s="83"/>
      <x:c r="H43" s="83" t="n">
        <x:v>8</x:v>
      </x:c>
      <x:c r="I43" s="83" t="str">
        <x:v>Workbook Bank</x:v>
      </x:c>
      <x:c r="J43" s="83" t="str">
        <x:v>II. Assessment and Planning</x:v>
      </x:c>
      <x:c r="K43" s="83" t="str">
        <x:v>Food insecurity and chronic illness</x:v>
      </x:c>
      <x:c r="L43" s="83" t="str"/>
      <x:c r="M43" s="83" t="str">
        <x:v>Moderate</x:v>
      </x:c>
      <x:c r="N43" s="83" t="str">
        <x:v>Moderate</x:v>
      </x:c>
      <x:c r="O43" s="83" t="str">
        <x:v>Application</x:v>
      </x:c>
      <x:c r="P43" s="83" t="str">
        <x:v>Application</x:v>
      </x:c>
      <x:c r="Q43" s="83" t="n">
        <x:v>4</x:v>
      </x:c>
      <x:c r="R43" s="83" t="str">
        <x:v>D</x:v>
      </x:c>
      <x:c r="S43" s="83" t="str">
        <x:v>Approved</x:v>
      </x:c>
      <x:c r="T43" s="83" t="str">
        <x:v>Active</x:v>
      </x:c>
      <x:c r="U43" s="83" t="n">
        <x:v>1</x:v>
      </x:c>
      <x:c r="V43" s="83" t="str"/>
      <x:c r="W43" s="83" t="str">
        <x:v>No additional flag</x:v>
      </x:c>
      <x:c r="X43" s="83" t="str">
        <x:v>No structural flag</x:v>
      </x:c>
      <x:c r="Y43" s="83" t="str">
        <x:v>Not Yet Reviewed</x:v>
      </x:c>
      <x:c r="Z43" s="83" t="str">
        <x:v>CTA LCSW Workbook 3</x:v>
      </x:c>
      <x:c r="AA43" s="83" t="str">
        <x:v>CTA_LCSW_WB3_17_Question_Bank_v1.0.docx</x:v>
      </x:c>
      <x:c r="AB43" s="83" t="str">
        <x:v>1.0</x:v>
      </x:c>
      <x:c r="AC43" s="102"/>
      <x:c r="AD43" s="102" t="n">
        <x:v>46228</x:v>
      </x:c>
      <x:c r="AE43" s="83" t="str"/>
      <x:c r="AF43" s="89" t="str">
        <x:v>Workbook bank; reserve pool after controlled review</x:v>
      </x:c>
    </x:row>
    <x:row r="44">
      <x:c r="A44" s="88" t="str">
        <x:v>CTA-LCSW-MQB-0043</x:v>
      </x:c>
      <x:c r="B44" s="83" t="str">
        <x:v>LCSW-WB03-QB-Q009</x:v>
      </x:c>
      <x:c r="C44" s="83" t="str">
        <x:v>LCSW</x:v>
      </x:c>
      <x:c r="D44" s="83" t="str">
        <x:v>Workbook Question Bank</x:v>
      </x:c>
      <x:c r="E44" s="83" t="n">
        <x:v>3</x:v>
      </x:c>
      <x:c r="F44" s="83" t="str">
        <x:v>Human Development, Diversity, and Person-in-Environment</x:v>
      </x:c>
      <x:c r="G44" s="83"/>
      <x:c r="H44" s="83" t="n">
        <x:v>9</x:v>
      </x:c>
      <x:c r="I44" s="83" t="str">
        <x:v>Workbook Bank</x:v>
      </x:c>
      <x:c r="J44" s="83" t="str">
        <x:v>II. Assessment and Planning</x:v>
      </x:c>
      <x:c r="K44" s="83" t="str">
        <x:v>Neurodiversity and service fit</x:v>
      </x:c>
      <x:c r="L44" s="83" t="str"/>
      <x:c r="M44" s="83" t="str">
        <x:v>Moderate</x:v>
      </x:c>
      <x:c r="N44" s="83" t="str">
        <x:v>Moderate</x:v>
      </x:c>
      <x:c r="O44" s="83" t="str">
        <x:v>Application</x:v>
      </x:c>
      <x:c r="P44" s="83" t="str">
        <x:v>Application</x:v>
      </x:c>
      <x:c r="Q44" s="83" t="n">
        <x:v>3</x:v>
      </x:c>
      <x:c r="R44" s="83" t="str">
        <x:v>A</x:v>
      </x:c>
      <x:c r="S44" s="83" t="str">
        <x:v>Approved</x:v>
      </x:c>
      <x:c r="T44" s="83" t="str">
        <x:v>Active</x:v>
      </x:c>
      <x:c r="U44" s="83" t="n">
        <x:v>1</x:v>
      </x:c>
      <x:c r="V44" s="83" t="str"/>
      <x:c r="W44" s="83" t="str">
        <x:v>No additional flag</x:v>
      </x:c>
      <x:c r="X44" s="83" t="str">
        <x:v>No structural flag</x:v>
      </x:c>
      <x:c r="Y44" s="83" t="str">
        <x:v>Not Yet Reviewed</x:v>
      </x:c>
      <x:c r="Z44" s="83" t="str">
        <x:v>CTA LCSW Workbook 3</x:v>
      </x:c>
      <x:c r="AA44" s="83" t="str">
        <x:v>CTA_LCSW_WB3_17_Question_Bank_v1.0.docx</x:v>
      </x:c>
      <x:c r="AB44" s="83" t="str">
        <x:v>1.0</x:v>
      </x:c>
      <x:c r="AC44" s="102"/>
      <x:c r="AD44" s="102" t="n">
        <x:v>46228</x:v>
      </x:c>
      <x:c r="AE44" s="83" t="str"/>
      <x:c r="AF44" s="89" t="str">
        <x:v>Workbook bank; reserve pool after controlled review</x:v>
      </x:c>
    </x:row>
    <x:row r="45">
      <x:c r="A45" s="88" t="str">
        <x:v>CTA-LCSW-MQB-0044</x:v>
      </x:c>
      <x:c r="B45" s="83" t="str">
        <x:v>LCSW-WB03-QB-Q010</x:v>
      </x:c>
      <x:c r="C45" s="83" t="str">
        <x:v>LCSW</x:v>
      </x:c>
      <x:c r="D45" s="83" t="str">
        <x:v>Workbook Question Bank</x:v>
      </x:c>
      <x:c r="E45" s="83" t="n">
        <x:v>3</x:v>
      </x:c>
      <x:c r="F45" s="83" t="str">
        <x:v>Human Development, Diversity, and Person-in-Environment</x:v>
      </x:c>
      <x:c r="G45" s="83"/>
      <x:c r="H45" s="83" t="n">
        <x:v>10</x:v>
      </x:c>
      <x:c r="I45" s="83" t="str">
        <x:v>Workbook Bank</x:v>
      </x:c>
      <x:c r="J45" s="83" t="str">
        <x:v>II. Assessment and Planning</x:v>
      </x:c>
      <x:c r="K45" s="83" t="str">
        <x:v>Housing condition and child health</x:v>
      </x:c>
      <x:c r="L45" s="83" t="str"/>
      <x:c r="M45" s="83" t="str">
        <x:v>Moderate</x:v>
      </x:c>
      <x:c r="N45" s="83" t="str">
        <x:v>Moderate</x:v>
      </x:c>
      <x:c r="O45" s="83" t="str">
        <x:v>Scenario-Based</x:v>
      </x:c>
      <x:c r="P45" s="83" t="str">
        <x:v>Scenario-Based</x:v>
      </x:c>
      <x:c r="Q45" s="83" t="n">
        <x:v>3</x:v>
      </x:c>
      <x:c r="R45" s="83" t="str">
        <x:v>B</x:v>
      </x:c>
      <x:c r="S45" s="83" t="str">
        <x:v>Approved</x:v>
      </x:c>
      <x:c r="T45" s="83" t="str">
        <x:v>Active</x:v>
      </x:c>
      <x:c r="U45" s="83" t="n">
        <x:v>1</x:v>
      </x:c>
      <x:c r="V45" s="83" t="str"/>
      <x:c r="W45" s="83" t="str">
        <x:v>No additional flag</x:v>
      </x:c>
      <x:c r="X45" s="83" t="str">
        <x:v>No structural flag</x:v>
      </x:c>
      <x:c r="Y45" s="83" t="str">
        <x:v>Not Yet Reviewed</x:v>
      </x:c>
      <x:c r="Z45" s="83" t="str">
        <x:v>CTA LCSW Workbook 3</x:v>
      </x:c>
      <x:c r="AA45" s="83" t="str">
        <x:v>CTA_LCSW_WB3_17_Question_Bank_v1.0.docx</x:v>
      </x:c>
      <x:c r="AB45" s="83" t="str">
        <x:v>1.0</x:v>
      </x:c>
      <x:c r="AC45" s="102"/>
      <x:c r="AD45" s="102" t="n">
        <x:v>46228</x:v>
      </x:c>
      <x:c r="AE45" s="83" t="str"/>
      <x:c r="AF45" s="89" t="str">
        <x:v>Workbook bank; reserve pool after controlled review</x:v>
      </x:c>
    </x:row>
    <x:row r="46">
      <x:c r="A46" s="88" t="str">
        <x:v>CTA-LCSW-MQB-0045</x:v>
      </x:c>
      <x:c r="B46" s="83" t="str">
        <x:v>LCSW-WB03-QB-Q011</x:v>
      </x:c>
      <x:c r="C46" s="83" t="str">
        <x:v>LCSW</x:v>
      </x:c>
      <x:c r="D46" s="83" t="str">
        <x:v>Workbook Question Bank</x:v>
      </x:c>
      <x:c r="E46" s="83" t="n">
        <x:v>3</x:v>
      </x:c>
      <x:c r="F46" s="83" t="str">
        <x:v>Human Development, Diversity, and Person-in-Environment</x:v>
      </x:c>
      <x:c r="G46" s="83"/>
      <x:c r="H46" s="83" t="n">
        <x:v>11</x:v>
      </x:c>
      <x:c r="I46" s="83" t="str">
        <x:v>Workbook Bank</x:v>
      </x:c>
      <x:c r="J46" s="83" t="str">
        <x:v>II. Assessment and Planning</x:v>
      </x:c>
      <x:c r="K46" s="83" t="str">
        <x:v>Supported decision-making and finances</x:v>
      </x:c>
      <x:c r="L46" s="83" t="str"/>
      <x:c r="M46" s="83" t="str">
        <x:v>Moderate</x:v>
      </x:c>
      <x:c r="N46" s="83" t="str">
        <x:v>Moderate</x:v>
      </x:c>
      <x:c r="O46" s="83" t="str">
        <x:v>Scenario-Based</x:v>
      </x:c>
      <x:c r="P46" s="83" t="str">
        <x:v>Scenario-Based</x:v>
      </x:c>
      <x:c r="Q46" s="83" t="n">
        <x:v>3</x:v>
      </x:c>
      <x:c r="R46" s="83" t="str">
        <x:v>C</x:v>
      </x:c>
      <x:c r="S46" s="83" t="str">
        <x:v>Approved</x:v>
      </x:c>
      <x:c r="T46" s="83" t="str">
        <x:v>Active</x:v>
      </x:c>
      <x:c r="U46" s="83" t="n">
        <x:v>1</x:v>
      </x:c>
      <x:c r="V46" s="83" t="str"/>
      <x:c r="W46" s="83" t="str">
        <x:v>No additional flag</x:v>
      </x:c>
      <x:c r="X46" s="83" t="str">
        <x:v>No structural flag</x:v>
      </x:c>
      <x:c r="Y46" s="83" t="str">
        <x:v>Not Yet Reviewed</x:v>
      </x:c>
      <x:c r="Z46" s="83" t="str">
        <x:v>CTA LCSW Workbook 3</x:v>
      </x:c>
      <x:c r="AA46" s="83" t="str">
        <x:v>CTA_LCSW_WB3_17_Question_Bank_v1.0.docx</x:v>
      </x:c>
      <x:c r="AB46" s="83" t="str">
        <x:v>1.0</x:v>
      </x:c>
      <x:c r="AC46" s="102"/>
      <x:c r="AD46" s="102" t="n">
        <x:v>46228</x:v>
      </x:c>
      <x:c r="AE46" s="83" t="str"/>
      <x:c r="AF46" s="89" t="str">
        <x:v>Workbook bank; reserve pool after controlled review</x:v>
      </x:c>
    </x:row>
    <x:row r="47">
      <x:c r="A47" s="88" t="str">
        <x:v>CTA-LCSW-MQB-0046</x:v>
      </x:c>
      <x:c r="B47" s="83" t="str">
        <x:v>LCSW-WB03-QB-Q012</x:v>
      </x:c>
      <x:c r="C47" s="83" t="str">
        <x:v>LCSW</x:v>
      </x:c>
      <x:c r="D47" s="83" t="str">
        <x:v>Workbook Question Bank</x:v>
      </x:c>
      <x:c r="E47" s="83" t="n">
        <x:v>3</x:v>
      </x:c>
      <x:c r="F47" s="83" t="str">
        <x:v>Human Development, Diversity, and Person-in-Environment</x:v>
      </x:c>
      <x:c r="G47" s="83"/>
      <x:c r="H47" s="83" t="n">
        <x:v>12</x:v>
      </x:c>
      <x:c r="I47" s="83" t="str">
        <x:v>Workbook Bank</x:v>
      </x:c>
      <x:c r="J47" s="83" t="str">
        <x:v>II. Assessment and Planning</x:v>
      </x:c>
      <x:c r="K47" s="83" t="str">
        <x:v>Historical and institutional mistrust</x:v>
      </x:c>
      <x:c r="L47" s="83" t="str"/>
      <x:c r="M47" s="83" t="str">
        <x:v>Moderate</x:v>
      </x:c>
      <x:c r="N47" s="83" t="str">
        <x:v>Moderate</x:v>
      </x:c>
      <x:c r="O47" s="83" t="str">
        <x:v>Scenario-Based</x:v>
      </x:c>
      <x:c r="P47" s="83" t="str">
        <x:v>Scenario-Based</x:v>
      </x:c>
      <x:c r="Q47" s="83" t="n">
        <x:v>4</x:v>
      </x:c>
      <x:c r="R47" s="83" t="str">
        <x:v>D</x:v>
      </x:c>
      <x:c r="S47" s="83" t="str">
        <x:v>Approved</x:v>
      </x:c>
      <x:c r="T47" s="83" t="str">
        <x:v>Active</x:v>
      </x:c>
      <x:c r="U47" s="83" t="n">
        <x:v>1</x:v>
      </x:c>
      <x:c r="V47" s="83" t="str"/>
      <x:c r="W47" s="83" t="str">
        <x:v>No additional flag</x:v>
      </x:c>
      <x:c r="X47" s="83" t="str">
        <x:v>No structural flag</x:v>
      </x:c>
      <x:c r="Y47" s="83" t="str">
        <x:v>Not Yet Reviewed</x:v>
      </x:c>
      <x:c r="Z47" s="83" t="str">
        <x:v>CTA LCSW Workbook 3</x:v>
      </x:c>
      <x:c r="AA47" s="83" t="str">
        <x:v>CTA_LCSW_WB3_17_Question_Bank_v1.0.docx</x:v>
      </x:c>
      <x:c r="AB47" s="83" t="str">
        <x:v>1.0</x:v>
      </x:c>
      <x:c r="AC47" s="102"/>
      <x:c r="AD47" s="102" t="n">
        <x:v>46228</x:v>
      </x:c>
      <x:c r="AE47" s="83" t="str"/>
      <x:c r="AF47" s="89" t="str">
        <x:v>Workbook bank; reserve pool after controlled review</x:v>
      </x:c>
    </x:row>
    <x:row r="48">
      <x:c r="A48" s="88" t="str">
        <x:v>CTA-LCSW-MQB-0047</x:v>
      </x:c>
      <x:c r="B48" s="83" t="str">
        <x:v>LCSW-WB03-QB-Q013</x:v>
      </x:c>
      <x:c r="C48" s="83" t="str">
        <x:v>LCSW</x:v>
      </x:c>
      <x:c r="D48" s="83" t="str">
        <x:v>Workbook Question Bank</x:v>
      </x:c>
      <x:c r="E48" s="83" t="n">
        <x:v>3</x:v>
      </x:c>
      <x:c r="F48" s="83" t="str">
        <x:v>Human Development, Diversity, and Person-in-Environment</x:v>
      </x:c>
      <x:c r="G48" s="83"/>
      <x:c r="H48" s="83" t="n">
        <x:v>13</x:v>
      </x:c>
      <x:c r="I48" s="83" t="str">
        <x:v>Workbook Bank</x:v>
      </x:c>
      <x:c r="J48" s="83" t="str">
        <x:v>II. Assessment and Planning</x:v>
      </x:c>
      <x:c r="K48" s="83" t="str">
        <x:v>Minor as interpreter in trauma assessment</x:v>
      </x:c>
      <x:c r="L48" s="83" t="str"/>
      <x:c r="M48" s="83" t="str">
        <x:v>Difficult</x:v>
      </x:c>
      <x:c r="N48" s="83" t="str">
        <x:v>Difficult</x:v>
      </x:c>
      <x:c r="O48" s="83" t="str">
        <x:v>Scenario-Based</x:v>
      </x:c>
      <x:c r="P48" s="83" t="str">
        <x:v>Scenario-Based</x:v>
      </x:c>
      <x:c r="Q48" s="83" t="n">
        <x:v>3</x:v>
      </x:c>
      <x:c r="R48" s="83" t="str">
        <x:v>A</x:v>
      </x:c>
      <x:c r="S48" s="83" t="str">
        <x:v>Approved</x:v>
      </x:c>
      <x:c r="T48" s="83" t="str">
        <x:v>Active</x:v>
      </x:c>
      <x:c r="U48" s="83" t="n">
        <x:v>1</x:v>
      </x:c>
      <x:c r="V48" s="83" t="str"/>
      <x:c r="W48" s="83" t="str">
        <x:v>No additional flag</x:v>
      </x:c>
      <x:c r="X48" s="83" t="str">
        <x:v>No structural flag</x:v>
      </x:c>
      <x:c r="Y48" s="83" t="str">
        <x:v>Not Yet Reviewed</x:v>
      </x:c>
      <x:c r="Z48" s="83" t="str">
        <x:v>CTA LCSW Workbook 3</x:v>
      </x:c>
      <x:c r="AA48" s="83" t="str">
        <x:v>CTA_LCSW_WB3_17_Question_Bank_v1.0.docx</x:v>
      </x:c>
      <x:c r="AB48" s="83" t="str">
        <x:v>1.0</x:v>
      </x:c>
      <x:c r="AC48" s="102"/>
      <x:c r="AD48" s="102" t="n">
        <x:v>46228</x:v>
      </x:c>
      <x:c r="AE48" s="83" t="str"/>
      <x:c r="AF48" s="89" t="str">
        <x:v>Workbook bank; reserve pool after controlled review</x:v>
      </x:c>
    </x:row>
    <x:row r="49">
      <x:c r="A49" s="88" t="str">
        <x:v>CTA-LCSW-MQB-0048</x:v>
      </x:c>
      <x:c r="B49" s="83" t="str">
        <x:v>LCSW-WB03-QB-Q014</x:v>
      </x:c>
      <x:c r="C49" s="83" t="str">
        <x:v>LCSW</x:v>
      </x:c>
      <x:c r="D49" s="83" t="str">
        <x:v>Workbook Question Bank</x:v>
      </x:c>
      <x:c r="E49" s="83" t="n">
        <x:v>3</x:v>
      </x:c>
      <x:c r="F49" s="83" t="str">
        <x:v>Human Development, Diversity, and Person-in-Environment</x:v>
      </x:c>
      <x:c r="G49" s="83"/>
      <x:c r="H49" s="83" t="n">
        <x:v>14</x:v>
      </x:c>
      <x:c r="I49" s="83" t="str">
        <x:v>Workbook Bank</x:v>
      </x:c>
      <x:c r="J49" s="83" t="str">
        <x:v>II. Assessment and Planning</x:v>
      </x:c>
      <x:c r="K49" s="83" t="str">
        <x:v>Acute confusion during housing crisis</x:v>
      </x:c>
      <x:c r="L49" s="83" t="str"/>
      <x:c r="M49" s="83" t="str">
        <x:v>Difficult</x:v>
      </x:c>
      <x:c r="N49" s="83" t="str">
        <x:v>Difficult</x:v>
      </x:c>
      <x:c r="O49" s="83" t="str">
        <x:v>Scenario-Based</x:v>
      </x:c>
      <x:c r="P49" s="83" t="str">
        <x:v>Scenario-Based</x:v>
      </x:c>
      <x:c r="Q49" s="83" t="n">
        <x:v>3</x:v>
      </x:c>
      <x:c r="R49" s="83" t="str">
        <x:v>B</x:v>
      </x:c>
      <x:c r="S49" s="83" t="str">
        <x:v>Approved</x:v>
      </x:c>
      <x:c r="T49" s="83" t="str">
        <x:v>Active</x:v>
      </x:c>
      <x:c r="U49" s="83" t="n">
        <x:v>1</x:v>
      </x:c>
      <x:c r="V49" s="83" t="str"/>
      <x:c r="W49" s="83" t="str">
        <x:v>No additional flag</x:v>
      </x:c>
      <x:c r="X49" s="83" t="str">
        <x:v>No structural flag</x:v>
      </x:c>
      <x:c r="Y49" s="83" t="str">
        <x:v>Not Yet Reviewed</x:v>
      </x:c>
      <x:c r="Z49" s="83" t="str">
        <x:v>CTA LCSW Workbook 3</x:v>
      </x:c>
      <x:c r="AA49" s="83" t="str">
        <x:v>CTA_LCSW_WB3_17_Question_Bank_v1.0.docx</x:v>
      </x:c>
      <x:c r="AB49" s="83" t="str">
        <x:v>1.0</x:v>
      </x:c>
      <x:c r="AC49" s="102"/>
      <x:c r="AD49" s="102" t="n">
        <x:v>46228</x:v>
      </x:c>
      <x:c r="AE49" s="83" t="str"/>
      <x:c r="AF49" s="89" t="str">
        <x:v>Workbook bank; reserve pool after controlled review</x:v>
      </x:c>
    </x:row>
    <x:row r="50">
      <x:c r="A50" s="88" t="str">
        <x:v>CTA-LCSW-MQB-0049</x:v>
      </x:c>
      <x:c r="B50" s="83" t="str">
        <x:v>LCSW-WB03-QB-Q015</x:v>
      </x:c>
      <x:c r="C50" s="83" t="str">
        <x:v>LCSW</x:v>
      </x:c>
      <x:c r="D50" s="83" t="str">
        <x:v>Workbook Question Bank</x:v>
      </x:c>
      <x:c r="E50" s="83" t="n">
        <x:v>3</x:v>
      </x:c>
      <x:c r="F50" s="83" t="str">
        <x:v>Human Development, Diversity, and Person-in-Environment</x:v>
      </x:c>
      <x:c r="G50" s="83"/>
      <x:c r="H50" s="83" t="n">
        <x:v>15</x:v>
      </x:c>
      <x:c r="I50" s="83" t="str">
        <x:v>Workbook Bank</x:v>
      </x:c>
      <x:c r="J50" s="83" t="str">
        <x:v>II. Assessment and Planning</x:v>
      </x:c>
      <x:c r="K50" s="83" t="str">
        <x:v>Child-welfare access and noncompliance label</x:v>
      </x:c>
      <x:c r="L50" s="83" t="str"/>
      <x:c r="M50" s="83" t="str">
        <x:v>Difficult</x:v>
      </x:c>
      <x:c r="N50" s="83" t="str">
        <x:v>Difficult</x:v>
      </x:c>
      <x:c r="O50" s="83" t="str">
        <x:v>Scenario-Based</x:v>
      </x:c>
      <x:c r="P50" s="83" t="str">
        <x:v>Scenario-Based</x:v>
      </x:c>
      <x:c r="Q50" s="83" t="n">
        <x:v>4</x:v>
      </x:c>
      <x:c r="R50" s="83" t="str">
        <x:v>C</x:v>
      </x:c>
      <x:c r="S50" s="83" t="str">
        <x:v>Approved</x:v>
      </x:c>
      <x:c r="T50" s="83" t="str">
        <x:v>Active</x:v>
      </x:c>
      <x:c r="U50" s="83" t="n">
        <x:v>1</x:v>
      </x:c>
      <x:c r="V50" s="83" t="str"/>
      <x:c r="W50" s="83" t="str">
        <x:v>No additional flag</x:v>
      </x:c>
      <x:c r="X50" s="83" t="str">
        <x:v>No structural flag</x:v>
      </x:c>
      <x:c r="Y50" s="83" t="str">
        <x:v>Not Yet Reviewed</x:v>
      </x:c>
      <x:c r="Z50" s="83" t="str">
        <x:v>CTA LCSW Workbook 3</x:v>
      </x:c>
      <x:c r="AA50" s="83" t="str">
        <x:v>CTA_LCSW_WB3_17_Question_Bank_v1.0.docx</x:v>
      </x:c>
      <x:c r="AB50" s="83" t="str">
        <x:v>1.0</x:v>
      </x:c>
      <x:c r="AC50" s="102"/>
      <x:c r="AD50" s="102" t="n">
        <x:v>46228</x:v>
      </x:c>
      <x:c r="AE50" s="83" t="str"/>
      <x:c r="AF50" s="89" t="str">
        <x:v>Workbook bank; reserve pool after controlled review</x:v>
      </x:c>
    </x:row>
    <x:row r="51">
      <x:c r="A51" s="88" t="str">
        <x:v>CTA-LCSW-MQB-0050</x:v>
      </x:c>
      <x:c r="B51" s="83" t="str">
        <x:v>LCSW-WB03-QB-Q016</x:v>
      </x:c>
      <x:c r="C51" s="83" t="str">
        <x:v>LCSW</x:v>
      </x:c>
      <x:c r="D51" s="83" t="str">
        <x:v>Workbook Question Bank</x:v>
      </x:c>
      <x:c r="E51" s="83" t="n">
        <x:v>3</x:v>
      </x:c>
      <x:c r="F51" s="83" t="str">
        <x:v>Human Development, Diversity, and Person-in-Environment</x:v>
      </x:c>
      <x:c r="G51" s="83"/>
      <x:c r="H51" s="83" t="n">
        <x:v>16</x:v>
      </x:c>
      <x:c r="I51" s="83" t="str">
        <x:v>Workbook Bank</x:v>
      </x:c>
      <x:c r="J51" s="83" t="str">
        <x:v>II. Assessment and Planning</x:v>
      </x:c>
      <x:c r="K51" s="83" t="str">
        <x:v>Flood displacement and multi-system needs</x:v>
      </x:c>
      <x:c r="L51" s="83" t="str"/>
      <x:c r="M51" s="83" t="str">
        <x:v>Difficult</x:v>
      </x:c>
      <x:c r="N51" s="83" t="str">
        <x:v>Difficult</x:v>
      </x:c>
      <x:c r="O51" s="83" t="str">
        <x:v>Integrated Clinical Reasoning</x:v>
      </x:c>
      <x:c r="P51" s="83" t="str">
        <x:v>Integrated Clinical Reasoning</x:v>
      </x:c>
      <x:c r="Q51" s="83" t="n">
        <x:v>4</x:v>
      </x:c>
      <x:c r="R51" s="83" t="str">
        <x:v>D</x:v>
      </x:c>
      <x:c r="S51" s="83" t="str">
        <x:v>Approved</x:v>
      </x:c>
      <x:c r="T51" s="83" t="str">
        <x:v>Active</x:v>
      </x:c>
      <x:c r="U51" s="83" t="n">
        <x:v>1</x:v>
      </x:c>
      <x:c r="V51" s="83" t="str"/>
      <x:c r="W51" s="83" t="str">
        <x:v>No additional flag</x:v>
      </x:c>
      <x:c r="X51" s="83" t="str">
        <x:v>No structural flag</x:v>
      </x:c>
      <x:c r="Y51" s="83" t="str">
        <x:v>Not Yet Reviewed</x:v>
      </x:c>
      <x:c r="Z51" s="83" t="str">
        <x:v>CTA LCSW Workbook 3</x:v>
      </x:c>
      <x:c r="AA51" s="83" t="str">
        <x:v>CTA_LCSW_WB3_17_Question_Bank_v1.0.docx</x:v>
      </x:c>
      <x:c r="AB51" s="83" t="str">
        <x:v>1.0</x:v>
      </x:c>
      <x:c r="AC51" s="102"/>
      <x:c r="AD51" s="102" t="n">
        <x:v>46228</x:v>
      </x:c>
      <x:c r="AE51" s="83" t="str"/>
      <x:c r="AF51" s="89" t="str">
        <x:v>Workbook bank; reserve pool after controlled review</x:v>
      </x:c>
    </x:row>
    <x:row r="52">
      <x:c r="A52" s="88" t="str">
        <x:v>CTA-LCSW-MQB-0051</x:v>
      </x:c>
      <x:c r="B52" s="83" t="str">
        <x:v>LCSW-WB03-QB-Q017</x:v>
      </x:c>
      <x:c r="C52" s="83" t="str">
        <x:v>LCSW</x:v>
      </x:c>
      <x:c r="D52" s="83" t="str">
        <x:v>Workbook Question Bank</x:v>
      </x:c>
      <x:c r="E52" s="83" t="n">
        <x:v>3</x:v>
      </x:c>
      <x:c r="F52" s="83" t="str">
        <x:v>Human Development, Diversity, and Person-in-Environment</x:v>
      </x:c>
      <x:c r="G52" s="83"/>
      <x:c r="H52" s="83" t="n">
        <x:v>17</x:v>
      </x:c>
      <x:c r="I52" s="83" t="str">
        <x:v>Workbook Bank</x:v>
      </x:c>
      <x:c r="J52" s="83" t="str">
        <x:v>II. Assessment and Planning</x:v>
      </x:c>
      <x:c r="K52" s="83" t="str">
        <x:v>Environmental justice and community self-determination</x:v>
      </x:c>
      <x:c r="L52" s="83" t="str"/>
      <x:c r="M52" s="83" t="str">
        <x:v>Difficult</x:v>
      </x:c>
      <x:c r="N52" s="83" t="str">
        <x:v>Difficult</x:v>
      </x:c>
      <x:c r="O52" s="83" t="str">
        <x:v>Integrated Clinical Reasoning</x:v>
      </x:c>
      <x:c r="P52" s="83" t="str">
        <x:v>Integrated Clinical Reasoning</x:v>
      </x:c>
      <x:c r="Q52" s="83" t="n">
        <x:v>3</x:v>
      </x:c>
      <x:c r="R52" s="83" t="str">
        <x:v>A</x:v>
      </x:c>
      <x:c r="S52" s="83" t="str">
        <x:v>Approved</x:v>
      </x:c>
      <x:c r="T52" s="83" t="str">
        <x:v>Active</x:v>
      </x:c>
      <x:c r="U52" s="83" t="n">
        <x:v>1</x:v>
      </x:c>
      <x:c r="V52" s="83" t="str"/>
      <x:c r="W52" s="83" t="str">
        <x:v>No additional flag</x:v>
      </x:c>
      <x:c r="X52" s="83" t="str">
        <x:v>No structural flag</x:v>
      </x:c>
      <x:c r="Y52" s="83" t="str">
        <x:v>Not Yet Reviewed</x:v>
      </x:c>
      <x:c r="Z52" s="83" t="str">
        <x:v>CTA LCSW Workbook 3</x:v>
      </x:c>
      <x:c r="AA52" s="83" t="str">
        <x:v>CTA_LCSW_WB3_17_Question_Bank_v1.0.docx</x:v>
      </x:c>
      <x:c r="AB52" s="83" t="str">
        <x:v>1.0</x:v>
      </x:c>
      <x:c r="AC52" s="102"/>
      <x:c r="AD52" s="102" t="n">
        <x:v>46228</x:v>
      </x:c>
      <x:c r="AE52" s="83" t="str"/>
      <x:c r="AF52" s="89" t="str">
        <x:v>Workbook bank; reserve pool after controlled review</x:v>
      </x:c>
    </x:row>
    <x:row r="53">
      <x:c r="A53" s="88" t="str">
        <x:v>CTA-LCSW-MQB-0052</x:v>
      </x:c>
      <x:c r="B53" s="83" t="str">
        <x:v>LCSW-WB04-QB-Q001</x:v>
      </x:c>
      <x:c r="C53" s="83" t="str">
        <x:v>LCSW</x:v>
      </x:c>
      <x:c r="D53" s="83" t="str">
        <x:v>Workbook Question Bank</x:v>
      </x:c>
      <x:c r="E53" s="83" t="n">
        <x:v>4</x:v>
      </x:c>
      <x:c r="F53" s="83" t="str">
        <x:v>Clinical Assessment, Interviewing, and Mental Status</x:v>
      </x:c>
      <x:c r="G53" s="83"/>
      <x:c r="H53" s="83" t="n">
        <x:v>1</x:v>
      </x:c>
      <x:c r="I53" s="83" t="str">
        <x:v>Workbook Bank</x:v>
      </x:c>
      <x:c r="J53" s="83" t="str">
        <x:v>II. Assessment and Planning</x:v>
      </x:c>
      <x:c r="K53" s="83" t="str">
        <x:v>Information-source distinctions</x:v>
      </x:c>
      <x:c r="L53" s="83" t="str"/>
      <x:c r="M53" s="83" t="str">
        <x:v>Easy</x:v>
      </x:c>
      <x:c r="N53" s="83" t="str">
        <x:v>Easy</x:v>
      </x:c>
      <x:c r="O53" s="83" t="str">
        <x:v>Knowledge &amp; Recall</x:v>
      </x:c>
      <x:c r="P53" s="83" t="str">
        <x:v>Knowledge &amp; Recall</x:v>
      </x:c>
      <x:c r="Q53" s="83" t="n">
        <x:v>3</x:v>
      </x:c>
      <x:c r="R53" s="83" t="str">
        <x:v>B</x:v>
      </x:c>
      <x:c r="S53" s="83" t="str">
        <x:v>Approved</x:v>
      </x:c>
      <x:c r="T53" s="83" t="str">
        <x:v>Active</x:v>
      </x:c>
      <x:c r="U53" s="83" t="n">
        <x:v>1</x:v>
      </x:c>
      <x:c r="V53" s="83" t="str"/>
      <x:c r="W53" s="83" t="str">
        <x:v>No additional flag</x:v>
      </x:c>
      <x:c r="X53" s="83" t="str">
        <x:v>No structural flag</x:v>
      </x:c>
      <x:c r="Y53" s="83" t="str">
        <x:v>Not Yet Reviewed</x:v>
      </x:c>
      <x:c r="Z53" s="83" t="str">
        <x:v>CTA LCSW Workbook 4</x:v>
      </x:c>
      <x:c r="AA53" s="83" t="str">
        <x:v>CTA_LCSW_WB4_17_Question_Bank_v1.0.docx</x:v>
      </x:c>
      <x:c r="AB53" s="83" t="str">
        <x:v>1.0</x:v>
      </x:c>
      <x:c r="AC53" s="102"/>
      <x:c r="AD53" s="102" t="n">
        <x:v>46228</x:v>
      </x:c>
      <x:c r="AE53" s="83" t="str"/>
      <x:c r="AF53" s="89" t="str">
        <x:v>Workbook bank; reserve pool after controlled review</x:v>
      </x:c>
    </x:row>
    <x:row r="54">
      <x:c r="A54" s="88" t="str">
        <x:v>CTA-LCSW-MQB-0053</x:v>
      </x:c>
      <x:c r="B54" s="83" t="str">
        <x:v>LCSW-WB04-QB-Q002</x:v>
      </x:c>
      <x:c r="C54" s="83" t="str">
        <x:v>LCSW</x:v>
      </x:c>
      <x:c r="D54" s="83" t="str">
        <x:v>Workbook Question Bank</x:v>
      </x:c>
      <x:c r="E54" s="83" t="n">
        <x:v>4</x:v>
      </x:c>
      <x:c r="F54" s="83" t="str">
        <x:v>Clinical Assessment, Interviewing, and Mental Status</x:v>
      </x:c>
      <x:c r="G54" s="83"/>
      <x:c r="H54" s="83" t="n">
        <x:v>2</x:v>
      </x:c>
      <x:c r="I54" s="83" t="str">
        <x:v>Workbook Bank</x:v>
      </x:c>
      <x:c r="J54" s="83" t="str">
        <x:v>II. Assessment and Planning</x:v>
      </x:c>
      <x:c r="K54" s="83" t="str">
        <x:v>Mood versus affect</x:v>
      </x:c>
      <x:c r="L54" s="83" t="str"/>
      <x:c r="M54" s="83" t="str">
        <x:v>Easy</x:v>
      </x:c>
      <x:c r="N54" s="83" t="str">
        <x:v>Easy</x:v>
      </x:c>
      <x:c r="O54" s="83" t="str">
        <x:v>Knowledge &amp; Recall</x:v>
      </x:c>
      <x:c r="P54" s="83" t="str">
        <x:v>Knowledge &amp; Recall</x:v>
      </x:c>
      <x:c r="Q54" s="83" t="n">
        <x:v>3</x:v>
      </x:c>
      <x:c r="R54" s="83" t="str">
        <x:v>A</x:v>
      </x:c>
      <x:c r="S54" s="83" t="str">
        <x:v>Approved</x:v>
      </x:c>
      <x:c r="T54" s="83" t="str">
        <x:v>Active</x:v>
      </x:c>
      <x:c r="U54" s="83" t="n">
        <x:v>1</x:v>
      </x:c>
      <x:c r="V54" s="83" t="str"/>
      <x:c r="W54" s="83" t="str">
        <x:v>No additional flag</x:v>
      </x:c>
      <x:c r="X54" s="83" t="str">
        <x:v>No structural flag</x:v>
      </x:c>
      <x:c r="Y54" s="83" t="str">
        <x:v>Not Yet Reviewed</x:v>
      </x:c>
      <x:c r="Z54" s="83" t="str">
        <x:v>CTA LCSW Workbook 4</x:v>
      </x:c>
      <x:c r="AA54" s="83" t="str">
        <x:v>CTA_LCSW_WB4_17_Question_Bank_v1.0.docx</x:v>
      </x:c>
      <x:c r="AB54" s="83" t="str">
        <x:v>1.0</x:v>
      </x:c>
      <x:c r="AC54" s="102"/>
      <x:c r="AD54" s="102" t="n">
        <x:v>46228</x:v>
      </x:c>
      <x:c r="AE54" s="83" t="str"/>
      <x:c r="AF54" s="89" t="str">
        <x:v>Workbook bank; reserve pool after controlled review</x:v>
      </x:c>
    </x:row>
    <x:row r="55">
      <x:c r="A55" s="88" t="str">
        <x:v>CTA-LCSW-MQB-0054</x:v>
      </x:c>
      <x:c r="B55" s="83" t="str">
        <x:v>LCSW-WB04-QB-Q003</x:v>
      </x:c>
      <x:c r="C55" s="83" t="str">
        <x:v>LCSW</x:v>
      </x:c>
      <x:c r="D55" s="83" t="str">
        <x:v>Workbook Question Bank</x:v>
      </x:c>
      <x:c r="E55" s="83" t="n">
        <x:v>4</x:v>
      </x:c>
      <x:c r="F55" s="83" t="str">
        <x:v>Clinical Assessment, Interviewing, and Mental Status</x:v>
      </x:c>
      <x:c r="G55" s="83"/>
      <x:c r="H55" s="83" t="n">
        <x:v>3</x:v>
      </x:c>
      <x:c r="I55" s="83" t="str">
        <x:v>Workbook Bank</x:v>
      </x:c>
      <x:c r="J55" s="83" t="str">
        <x:v>II. Assessment and Planning</x:v>
      </x:c>
      <x:c r="K55" s="83" t="str">
        <x:v>Thought process versus content</x:v>
      </x:c>
      <x:c r="L55" s="83" t="str"/>
      <x:c r="M55" s="83" t="str">
        <x:v>Easy</x:v>
      </x:c>
      <x:c r="N55" s="83" t="str">
        <x:v>Easy</x:v>
      </x:c>
      <x:c r="O55" s="83" t="str">
        <x:v>Knowledge &amp; Recall</x:v>
      </x:c>
      <x:c r="P55" s="83" t="str">
        <x:v>Knowledge &amp; Recall</x:v>
      </x:c>
      <x:c r="Q55" s="83" t="n">
        <x:v>4</x:v>
      </x:c>
      <x:c r="R55" s="83" t="str">
        <x:v>C</x:v>
      </x:c>
      <x:c r="S55" s="83" t="str">
        <x:v>Approved</x:v>
      </x:c>
      <x:c r="T55" s="83" t="str">
        <x:v>Active</x:v>
      </x:c>
      <x:c r="U55" s="83" t="n">
        <x:v>1</x:v>
      </x:c>
      <x:c r="V55" s="83" t="str"/>
      <x:c r="W55" s="83" t="str">
        <x:v>No additional flag</x:v>
      </x:c>
      <x:c r="X55" s="83" t="str">
        <x:v>No structural flag</x:v>
      </x:c>
      <x:c r="Y55" s="83" t="str">
        <x:v>Not Yet Reviewed</x:v>
      </x:c>
      <x:c r="Z55" s="83" t="str">
        <x:v>CTA LCSW Workbook 4</x:v>
      </x:c>
      <x:c r="AA55" s="83" t="str">
        <x:v>CTA_LCSW_WB4_17_Question_Bank_v1.0.docx</x:v>
      </x:c>
      <x:c r="AB55" s="83" t="str">
        <x:v>1.0</x:v>
      </x:c>
      <x:c r="AC55" s="102"/>
      <x:c r="AD55" s="102" t="n">
        <x:v>46228</x:v>
      </x:c>
      <x:c r="AE55" s="83" t="str"/>
      <x:c r="AF55" s="89" t="str">
        <x:v>Workbook bank; reserve pool after controlled review</x:v>
      </x:c>
    </x:row>
    <x:row r="56">
      <x:c r="A56" s="88" t="str">
        <x:v>CTA-LCSW-MQB-0055</x:v>
      </x:c>
      <x:c r="B56" s="83" t="str">
        <x:v>LCSW-WB04-QB-Q004</x:v>
      </x:c>
      <x:c r="C56" s="83" t="str">
        <x:v>LCSW</x:v>
      </x:c>
      <x:c r="D56" s="83" t="str">
        <x:v>Workbook Question Bank</x:v>
      </x:c>
      <x:c r="E56" s="83" t="n">
        <x:v>4</x:v>
      </x:c>
      <x:c r="F56" s="83" t="str">
        <x:v>Clinical Assessment, Interviewing, and Mental Status</x:v>
      </x:c>
      <x:c r="G56" s="83"/>
      <x:c r="H56" s="83" t="n">
        <x:v>4</x:v>
      </x:c>
      <x:c r="I56" s="83" t="str">
        <x:v>Workbook Bank</x:v>
      </x:c>
      <x:c r="J56" s="83" t="str">
        <x:v>II. Assessment and Planning</x:v>
      </x:c>
      <x:c r="K56" s="83" t="str">
        <x:v>Validation in assessment</x:v>
      </x:c>
      <x:c r="L56" s="83" t="str"/>
      <x:c r="M56" s="83" t="str">
        <x:v>Easy</x:v>
      </x:c>
      <x:c r="N56" s="83" t="str">
        <x:v>Easy</x:v>
      </x:c>
      <x:c r="O56" s="83" t="str">
        <x:v>Application</x:v>
      </x:c>
      <x:c r="P56" s="83" t="str">
        <x:v>Application</x:v>
      </x:c>
      <x:c r="Q56" s="83" t="n">
        <x:v>4</x:v>
      </x:c>
      <x:c r="R56" s="83" t="str">
        <x:v>D</x:v>
      </x:c>
      <x:c r="S56" s="83" t="str">
        <x:v>Approved</x:v>
      </x:c>
      <x:c r="T56" s="83" t="str">
        <x:v>Active</x:v>
      </x:c>
      <x:c r="U56" s="83" t="n">
        <x:v>1</x:v>
      </x:c>
      <x:c r="V56" s="83" t="str"/>
      <x:c r="W56" s="83" t="str">
        <x:v>No additional flag</x:v>
      </x:c>
      <x:c r="X56" s="83" t="str">
        <x:v>No structural flag</x:v>
      </x:c>
      <x:c r="Y56" s="83" t="str">
        <x:v>Not Yet Reviewed</x:v>
      </x:c>
      <x:c r="Z56" s="83" t="str">
        <x:v>CTA LCSW Workbook 4</x:v>
      </x:c>
      <x:c r="AA56" s="83" t="str">
        <x:v>CTA_LCSW_WB4_17_Question_Bank_v1.0.docx</x:v>
      </x:c>
      <x:c r="AB56" s="83" t="str">
        <x:v>1.0</x:v>
      </x:c>
      <x:c r="AC56" s="102"/>
      <x:c r="AD56" s="102" t="n">
        <x:v>46228</x:v>
      </x:c>
      <x:c r="AE56" s="83" t="str"/>
      <x:c r="AF56" s="89" t="str">
        <x:v>Workbook bank; reserve pool after controlled review</x:v>
      </x:c>
    </x:row>
    <x:row r="57">
      <x:c r="A57" s="88" t="str">
        <x:v>CTA-LCSW-MQB-0056</x:v>
      </x:c>
      <x:c r="B57" s="83" t="str">
        <x:v>LCSW-WB04-QB-Q005</x:v>
      </x:c>
      <x:c r="C57" s="83" t="str">
        <x:v>LCSW</x:v>
      </x:c>
      <x:c r="D57" s="83" t="str">
        <x:v>Workbook Question Bank</x:v>
      </x:c>
      <x:c r="E57" s="83" t="n">
        <x:v>4</x:v>
      </x:c>
      <x:c r="F57" s="83" t="str">
        <x:v>Clinical Assessment, Interviewing, and Mental Status</x:v>
      </x:c>
      <x:c r="G57" s="83"/>
      <x:c r="H57" s="83" t="n">
        <x:v>5</x:v>
      </x:c>
      <x:c r="I57" s="83" t="str">
        <x:v>Workbook Bank</x:v>
      </x:c>
      <x:c r="J57" s="83" t="str">
        <x:v>II. Assessment and Planning</x:v>
      </x:c>
      <x:c r="K57" s="83" t="str">
        <x:v>Change from baseline</x:v>
      </x:c>
      <x:c r="L57" s="83" t="str"/>
      <x:c r="M57" s="83" t="str">
        <x:v>Easy</x:v>
      </x:c>
      <x:c r="N57" s="83" t="str">
        <x:v>Easy</x:v>
      </x:c>
      <x:c r="O57" s="83" t="str">
        <x:v>Knowledge &amp; Recall</x:v>
      </x:c>
      <x:c r="P57" s="83" t="str">
        <x:v>Knowledge &amp; Recall</x:v>
      </x:c>
      <x:c r="Q57" s="83" t="n">
        <x:v>3</x:v>
      </x:c>
      <x:c r="R57" s="83" t="str">
        <x:v>A</x:v>
      </x:c>
      <x:c r="S57" s="83" t="str">
        <x:v>Approved</x:v>
      </x:c>
      <x:c r="T57" s="83" t="str">
        <x:v>Active</x:v>
      </x:c>
      <x:c r="U57" s="83" t="n">
        <x:v>1</x:v>
      </x:c>
      <x:c r="V57" s="83" t="str"/>
      <x:c r="W57" s="83" t="str">
        <x:v>No additional flag</x:v>
      </x:c>
      <x:c r="X57" s="83" t="str">
        <x:v>No structural flag</x:v>
      </x:c>
      <x:c r="Y57" s="83" t="str">
        <x:v>Not Yet Reviewed</x:v>
      </x:c>
      <x:c r="Z57" s="83" t="str">
        <x:v>CTA LCSW Workbook 4</x:v>
      </x:c>
      <x:c r="AA57" s="83" t="str">
        <x:v>CTA_LCSW_WB4_17_Question_Bank_v1.0.docx</x:v>
      </x:c>
      <x:c r="AB57" s="83" t="str">
        <x:v>1.0</x:v>
      </x:c>
      <x:c r="AC57" s="102"/>
      <x:c r="AD57" s="102" t="n">
        <x:v>46228</x:v>
      </x:c>
      <x:c r="AE57" s="83" t="str"/>
      <x:c r="AF57" s="89" t="str">
        <x:v>Workbook bank; reserve pool after controlled review</x:v>
      </x:c>
    </x:row>
    <x:row r="58">
      <x:c r="A58" s="88" t="str">
        <x:v>CTA-LCSW-MQB-0057</x:v>
      </x:c>
      <x:c r="B58" s="83" t="str">
        <x:v>LCSW-WB04-QB-Q006</x:v>
      </x:c>
      <x:c r="C58" s="83" t="str">
        <x:v>LCSW</x:v>
      </x:c>
      <x:c r="D58" s="83" t="str">
        <x:v>Workbook Question Bank</x:v>
      </x:c>
      <x:c r="E58" s="83" t="n">
        <x:v>4</x:v>
      </x:c>
      <x:c r="F58" s="83" t="str">
        <x:v>Clinical Assessment, Interviewing, and Mental Status</x:v>
      </x:c>
      <x:c r="G58" s="83"/>
      <x:c r="H58" s="83" t="n">
        <x:v>6</x:v>
      </x:c>
      <x:c r="I58" s="83" t="str">
        <x:v>Workbook Bank</x:v>
      </x:c>
      <x:c r="J58" s="83" t="str">
        <x:v>II. Assessment and Planning</x:v>
      </x:c>
      <x:c r="K58" s="83" t="str">
        <x:v>Mandated role clarity</x:v>
      </x:c>
      <x:c r="L58" s="83" t="str"/>
      <x:c r="M58" s="83" t="str">
        <x:v>Moderate</x:v>
      </x:c>
      <x:c r="N58" s="83" t="str">
        <x:v>Moderate</x:v>
      </x:c>
      <x:c r="O58" s="83" t="str">
        <x:v>Application</x:v>
      </x:c>
      <x:c r="P58" s="83" t="str">
        <x:v>Application</x:v>
      </x:c>
      <x:c r="Q58" s="83" t="n">
        <x:v>3</x:v>
      </x:c>
      <x:c r="R58" s="83" t="str">
        <x:v>B</x:v>
      </x:c>
      <x:c r="S58" s="83" t="str">
        <x:v>Approved</x:v>
      </x:c>
      <x:c r="T58" s="83" t="str">
        <x:v>Active</x:v>
      </x:c>
      <x:c r="U58" s="83" t="n">
        <x:v>1</x:v>
      </x:c>
      <x:c r="V58" s="83" t="str"/>
      <x:c r="W58" s="83" t="str">
        <x:v>No additional flag</x:v>
      </x:c>
      <x:c r="X58" s="83" t="str">
        <x:v>No structural flag</x:v>
      </x:c>
      <x:c r="Y58" s="83" t="str">
        <x:v>Not Yet Reviewed</x:v>
      </x:c>
      <x:c r="Z58" s="83" t="str">
        <x:v>CTA LCSW Workbook 4</x:v>
      </x:c>
      <x:c r="AA58" s="83" t="str">
        <x:v>CTA_LCSW_WB4_17_Question_Bank_v1.0.docx</x:v>
      </x:c>
      <x:c r="AB58" s="83" t="str">
        <x:v>1.0</x:v>
      </x:c>
      <x:c r="AC58" s="102"/>
      <x:c r="AD58" s="102" t="n">
        <x:v>46228</x:v>
      </x:c>
      <x:c r="AE58" s="83" t="str"/>
      <x:c r="AF58" s="89" t="str">
        <x:v>Workbook bank; reserve pool after controlled review</x:v>
      </x:c>
    </x:row>
    <x:row r="59">
      <x:c r="A59" s="88" t="str">
        <x:v>CTA-LCSW-MQB-0058</x:v>
      </x:c>
      <x:c r="B59" s="83" t="str">
        <x:v>LCSW-WB04-QB-Q007</x:v>
      </x:c>
      <x:c r="C59" s="83" t="str">
        <x:v>LCSW</x:v>
      </x:c>
      <x:c r="D59" s="83" t="str">
        <x:v>Workbook Question Bank</x:v>
      </x:c>
      <x:c r="E59" s="83" t="n">
        <x:v>4</x:v>
      </x:c>
      <x:c r="F59" s="83" t="str">
        <x:v>Clinical Assessment, Interviewing, and Mental Status</x:v>
      </x:c>
      <x:c r="G59" s="83"/>
      <x:c r="H59" s="83" t="n">
        <x:v>7</x:v>
      </x:c>
      <x:c r="I59" s="83" t="str">
        <x:v>Workbook Bank</x:v>
      </x:c>
      <x:c r="J59" s="83" t="str">
        <x:v>II. Assessment and Planning</x:v>
      </x:c>
      <x:c r="K59" s="83" t="str">
        <x:v>Qualified language access</x:v>
      </x:c>
      <x:c r="L59" s="83" t="str"/>
      <x:c r="M59" s="83" t="str">
        <x:v>Moderate</x:v>
      </x:c>
      <x:c r="N59" s="83" t="str">
        <x:v>Moderate</x:v>
      </x:c>
      <x:c r="O59" s="83" t="str">
        <x:v>Application</x:v>
      </x:c>
      <x:c r="P59" s="83" t="str">
        <x:v>Application</x:v>
      </x:c>
      <x:c r="Q59" s="83" t="n">
        <x:v>4</x:v>
      </x:c>
      <x:c r="R59" s="83" t="str">
        <x:v>C</x:v>
      </x:c>
      <x:c r="S59" s="83" t="str">
        <x:v>Approved</x:v>
      </x:c>
      <x:c r="T59" s="83" t="str">
        <x:v>Active</x:v>
      </x:c>
      <x:c r="U59" s="83" t="n">
        <x:v>1</x:v>
      </x:c>
      <x:c r="V59" s="83" t="str"/>
      <x:c r="W59" s="83" t="str">
        <x:v>No additional flag</x:v>
      </x:c>
      <x:c r="X59" s="83" t="str">
        <x:v>No structural flag</x:v>
      </x:c>
      <x:c r="Y59" s="83" t="str">
        <x:v>Not Yet Reviewed</x:v>
      </x:c>
      <x:c r="Z59" s="83" t="str">
        <x:v>CTA LCSW Workbook 4</x:v>
      </x:c>
      <x:c r="AA59" s="83" t="str">
        <x:v>CTA_LCSW_WB4_17_Question_Bank_v1.0.docx</x:v>
      </x:c>
      <x:c r="AB59" s="83" t="str">
        <x:v>1.0</x:v>
      </x:c>
      <x:c r="AC59" s="102"/>
      <x:c r="AD59" s="102" t="n">
        <x:v>46228</x:v>
      </x:c>
      <x:c r="AE59" s="83" t="str"/>
      <x:c r="AF59" s="89" t="str">
        <x:v>Workbook bank; reserve pool after controlled review</x:v>
      </x:c>
    </x:row>
    <x:row r="60">
      <x:c r="A60" s="88" t="str">
        <x:v>CTA-LCSW-MQB-0059</x:v>
      </x:c>
      <x:c r="B60" s="83" t="str">
        <x:v>LCSW-WB04-QB-Q008</x:v>
      </x:c>
      <x:c r="C60" s="83" t="str">
        <x:v>LCSW</x:v>
      </x:c>
      <x:c r="D60" s="83" t="str">
        <x:v>Workbook Question Bank</x:v>
      </x:c>
      <x:c r="E60" s="83" t="n">
        <x:v>4</x:v>
      </x:c>
      <x:c r="F60" s="83" t="str">
        <x:v>Clinical Assessment, Interviewing, and Mental Status</x:v>
      </x:c>
      <x:c r="G60" s="83"/>
      <x:c r="H60" s="83" t="n">
        <x:v>8</x:v>
      </x:c>
      <x:c r="I60" s="83" t="str">
        <x:v>Workbook Bank</x:v>
      </x:c>
      <x:c r="J60" s="83" t="str">
        <x:v>II. Assessment and Planning</x:v>
      </x:c>
      <x:c r="K60" s="83" t="str">
        <x:v>Current assessment versus prior records</x:v>
      </x:c>
      <x:c r="L60" s="83" t="str"/>
      <x:c r="M60" s="83" t="str">
        <x:v>Moderate</x:v>
      </x:c>
      <x:c r="N60" s="83" t="str">
        <x:v>Moderate</x:v>
      </x:c>
      <x:c r="O60" s="83" t="str">
        <x:v>Application</x:v>
      </x:c>
      <x:c r="P60" s="83" t="str">
        <x:v>Application</x:v>
      </x:c>
      <x:c r="Q60" s="83" t="n">
        <x:v>4</x:v>
      </x:c>
      <x:c r="R60" s="83" t="str">
        <x:v>D</x:v>
      </x:c>
      <x:c r="S60" s="83" t="str">
        <x:v>Approved</x:v>
      </x:c>
      <x:c r="T60" s="83" t="str">
        <x:v>Active</x:v>
      </x:c>
      <x:c r="U60" s="83" t="n">
        <x:v>1</x:v>
      </x:c>
      <x:c r="V60" s="83" t="str"/>
      <x:c r="W60" s="83" t="str">
        <x:v>No additional flag</x:v>
      </x:c>
      <x:c r="X60" s="83" t="str">
        <x:v>No structural flag</x:v>
      </x:c>
      <x:c r="Y60" s="83" t="str">
        <x:v>Not Yet Reviewed</x:v>
      </x:c>
      <x:c r="Z60" s="83" t="str">
        <x:v>CTA LCSW Workbook 4</x:v>
      </x:c>
      <x:c r="AA60" s="83" t="str">
        <x:v>CTA_LCSW_WB4_17_Question_Bank_v1.0.docx</x:v>
      </x:c>
      <x:c r="AB60" s="83" t="str">
        <x:v>1.0</x:v>
      </x:c>
      <x:c r="AC60" s="102"/>
      <x:c r="AD60" s="102" t="n">
        <x:v>46228</x:v>
      </x:c>
      <x:c r="AE60" s="83" t="str"/>
      <x:c r="AF60" s="89" t="str">
        <x:v>Workbook bank; reserve pool after controlled review</x:v>
      </x:c>
    </x:row>
    <x:row r="61">
      <x:c r="A61" s="88" t="str">
        <x:v>CTA-LCSW-MQB-0060</x:v>
      </x:c>
      <x:c r="B61" s="83" t="str">
        <x:v>LCSW-WB04-QB-Q009</x:v>
      </x:c>
      <x:c r="C61" s="83" t="str">
        <x:v>LCSW</x:v>
      </x:c>
      <x:c r="D61" s="83" t="str">
        <x:v>Workbook Question Bank</x:v>
      </x:c>
      <x:c r="E61" s="83" t="n">
        <x:v>4</x:v>
      </x:c>
      <x:c r="F61" s="83" t="str">
        <x:v>Clinical Assessment, Interviewing, and Mental Status</x:v>
      </x:c>
      <x:c r="G61" s="83"/>
      <x:c r="H61" s="83" t="n">
        <x:v>9</x:v>
      </x:c>
      <x:c r="I61" s="83" t="str">
        <x:v>Workbook Bank</x:v>
      </x:c>
      <x:c r="J61" s="83" t="str">
        <x:v>II. Assessment and Planning</x:v>
      </x:c>
      <x:c r="K61" s="83" t="str">
        <x:v>Acute cognitive change</x:v>
      </x:c>
      <x:c r="L61" s="83" t="str"/>
      <x:c r="M61" s="83" t="str">
        <x:v>Moderate</x:v>
      </x:c>
      <x:c r="N61" s="83" t="str">
        <x:v>Moderate</x:v>
      </x:c>
      <x:c r="O61" s="83" t="str">
        <x:v>Scenario-Based</x:v>
      </x:c>
      <x:c r="P61" s="83" t="str">
        <x:v>Scenario-Based</x:v>
      </x:c>
      <x:c r="Q61" s="83" t="n">
        <x:v>3</x:v>
      </x:c>
      <x:c r="R61" s="83" t="str">
        <x:v>A</x:v>
      </x:c>
      <x:c r="S61" s="83" t="str">
        <x:v>Approved</x:v>
      </x:c>
      <x:c r="T61" s="83" t="str">
        <x:v>Active</x:v>
      </x:c>
      <x:c r="U61" s="83" t="n">
        <x:v>1</x:v>
      </x:c>
      <x:c r="V61" s="83" t="str"/>
      <x:c r="W61" s="83" t="str">
        <x:v>No additional flag</x:v>
      </x:c>
      <x:c r="X61" s="83" t="str">
        <x:v>No structural flag</x:v>
      </x:c>
      <x:c r="Y61" s="83" t="str">
        <x:v>Not Yet Reviewed</x:v>
      </x:c>
      <x:c r="Z61" s="83" t="str">
        <x:v>CTA LCSW Workbook 4</x:v>
      </x:c>
      <x:c r="AA61" s="83" t="str">
        <x:v>CTA_LCSW_WB4_17_Question_Bank_v1.0.docx</x:v>
      </x:c>
      <x:c r="AB61" s="83" t="str">
        <x:v>1.0</x:v>
      </x:c>
      <x:c r="AC61" s="102"/>
      <x:c r="AD61" s="102" t="n">
        <x:v>46228</x:v>
      </x:c>
      <x:c r="AE61" s="83" t="str"/>
      <x:c r="AF61" s="89" t="str">
        <x:v>Workbook bank; reserve pool after controlled review</x:v>
      </x:c>
    </x:row>
    <x:row r="62">
      <x:c r="A62" s="88" t="str">
        <x:v>CTA-LCSW-MQB-0061</x:v>
      </x:c>
      <x:c r="B62" s="83" t="str">
        <x:v>LCSW-WB04-QB-Q010</x:v>
      </x:c>
      <x:c r="C62" s="83" t="str">
        <x:v>LCSW</x:v>
      </x:c>
      <x:c r="D62" s="83" t="str">
        <x:v>Workbook Question Bank</x:v>
      </x:c>
      <x:c r="E62" s="83" t="n">
        <x:v>4</x:v>
      </x:c>
      <x:c r="F62" s="83" t="str">
        <x:v>Clinical Assessment, Interviewing, and Mental Status</x:v>
      </x:c>
      <x:c r="G62" s="83"/>
      <x:c r="H62" s="83" t="n">
        <x:v>10</x:v>
      </x:c>
      <x:c r="I62" s="83" t="str">
        <x:v>Workbook Bank</x:v>
      </x:c>
      <x:c r="J62" s="83" t="str">
        <x:v>II. Assessment and Planning</x:v>
      </x:c>
      <x:c r="K62" s="83" t="str">
        <x:v>Medication access and side-effect barriers</x:v>
      </x:c>
      <x:c r="L62" s="83" t="str"/>
      <x:c r="M62" s="83" t="str">
        <x:v>Moderate</x:v>
      </x:c>
      <x:c r="N62" s="83" t="str">
        <x:v>Moderate</x:v>
      </x:c>
      <x:c r="O62" s="83" t="str">
        <x:v>Scenario-Based</x:v>
      </x:c>
      <x:c r="P62" s="83" t="str">
        <x:v>Scenario-Based</x:v>
      </x:c>
      <x:c r="Q62" s="83" t="n">
        <x:v>3</x:v>
      </x:c>
      <x:c r="R62" s="83" t="str">
        <x:v>B</x:v>
      </x:c>
      <x:c r="S62" s="83" t="str">
        <x:v>Approved</x:v>
      </x:c>
      <x:c r="T62" s="83" t="str">
        <x:v>Active</x:v>
      </x:c>
      <x:c r="U62" s="83" t="n">
        <x:v>1</x:v>
      </x:c>
      <x:c r="V62" s="83" t="str"/>
      <x:c r="W62" s="83" t="str">
        <x:v>No additional flag</x:v>
      </x:c>
      <x:c r="X62" s="83" t="str">
        <x:v>No structural flag</x:v>
      </x:c>
      <x:c r="Y62" s="83" t="str">
        <x:v>Not Yet Reviewed</x:v>
      </x:c>
      <x:c r="Z62" s="83" t="str">
        <x:v>CTA LCSW Workbook 4</x:v>
      </x:c>
      <x:c r="AA62" s="83" t="str">
        <x:v>CTA_LCSW_WB4_17_Question_Bank_v1.0.docx</x:v>
      </x:c>
      <x:c r="AB62" s="83" t="str">
        <x:v>1.0</x:v>
      </x:c>
      <x:c r="AC62" s="102"/>
      <x:c r="AD62" s="102" t="n">
        <x:v>46228</x:v>
      </x:c>
      <x:c r="AE62" s="83" t="str"/>
      <x:c r="AF62" s="89" t="str">
        <x:v>Workbook bank; reserve pool after controlled review</x:v>
      </x:c>
    </x:row>
    <x:row r="63">
      <x:c r="A63" s="88" t="str">
        <x:v>CTA-LCSW-MQB-0062</x:v>
      </x:c>
      <x:c r="B63" s="83" t="str">
        <x:v>LCSW-WB04-QB-Q011</x:v>
      </x:c>
      <x:c r="C63" s="83" t="str">
        <x:v>LCSW</x:v>
      </x:c>
      <x:c r="D63" s="83" t="str">
        <x:v>Workbook Question Bank</x:v>
      </x:c>
      <x:c r="E63" s="83" t="n">
        <x:v>4</x:v>
      </x:c>
      <x:c r="F63" s="83" t="str">
        <x:v>Clinical Assessment, Interviewing, and Mental Status</x:v>
      </x:c>
      <x:c r="G63" s="83"/>
      <x:c r="H63" s="83" t="n">
        <x:v>11</x:v>
      </x:c>
      <x:c r="I63" s="83" t="str">
        <x:v>Workbook Bank</x:v>
      </x:c>
      <x:c r="J63" s="83" t="str">
        <x:v>II. Assessment and Planning</x:v>
      </x:c>
      <x:c r="K63" s="83" t="str">
        <x:v>Harm reduction and readiness</x:v>
      </x:c>
      <x:c r="L63" s="83" t="str"/>
      <x:c r="M63" s="83" t="str">
        <x:v>Moderate</x:v>
      </x:c>
      <x:c r="N63" s="83" t="str">
        <x:v>Moderate</x:v>
      </x:c>
      <x:c r="O63" s="83" t="str">
        <x:v>Application</x:v>
      </x:c>
      <x:c r="P63" s="83" t="str">
        <x:v>Application</x:v>
      </x:c>
      <x:c r="Q63" s="83" t="n">
        <x:v>3</x:v>
      </x:c>
      <x:c r="R63" s="83" t="str">
        <x:v>C</x:v>
      </x:c>
      <x:c r="S63" s="83" t="str">
        <x:v>Approved</x:v>
      </x:c>
      <x:c r="T63" s="83" t="str">
        <x:v>Active</x:v>
      </x:c>
      <x:c r="U63" s="83" t="n">
        <x:v>1</x:v>
      </x:c>
      <x:c r="V63" s="83" t="str"/>
      <x:c r="W63" s="83" t="str">
        <x:v>No additional flag</x:v>
      </x:c>
      <x:c r="X63" s="83" t="str">
        <x:v>No structural flag</x:v>
      </x:c>
      <x:c r="Y63" s="83" t="str">
        <x:v>Not Yet Reviewed</x:v>
      </x:c>
      <x:c r="Z63" s="83" t="str">
        <x:v>CTA LCSW Workbook 4</x:v>
      </x:c>
      <x:c r="AA63" s="83" t="str">
        <x:v>CTA_LCSW_WB4_17_Question_Bank_v1.0.docx</x:v>
      </x:c>
      <x:c r="AB63" s="83" t="str">
        <x:v>1.0</x:v>
      </x:c>
      <x:c r="AC63" s="102"/>
      <x:c r="AD63" s="102" t="n">
        <x:v>46228</x:v>
      </x:c>
      <x:c r="AE63" s="83" t="str"/>
      <x:c r="AF63" s="89" t="str">
        <x:v>Workbook bank; reserve pool after controlled review</x:v>
      </x:c>
    </x:row>
    <x:row r="64">
      <x:c r="A64" s="88" t="str">
        <x:v>CTA-LCSW-MQB-0063</x:v>
      </x:c>
      <x:c r="B64" s="83" t="str">
        <x:v>LCSW-WB04-QB-Q012</x:v>
      </x:c>
      <x:c r="C64" s="83" t="str">
        <x:v>LCSW</x:v>
      </x:c>
      <x:c r="D64" s="83" t="str">
        <x:v>Workbook Question Bank</x:v>
      </x:c>
      <x:c r="E64" s="83" t="n">
        <x:v>4</x:v>
      </x:c>
      <x:c r="F64" s="83" t="str">
        <x:v>Clinical Assessment, Interviewing, and Mental Status</x:v>
      </x:c>
      <x:c r="G64" s="83"/>
      <x:c r="H64" s="83" t="n">
        <x:v>12</x:v>
      </x:c>
      <x:c r="I64" s="83" t="str">
        <x:v>Workbook Bank</x:v>
      </x:c>
      <x:c r="J64" s="83" t="str">
        <x:v>II. Assessment and Planning</x:v>
      </x:c>
      <x:c r="K64" s="83" t="str">
        <x:v>Clarifying ambiguous symptoms</x:v>
      </x:c>
      <x:c r="L64" s="83" t="str"/>
      <x:c r="M64" s="83" t="str">
        <x:v>Moderate</x:v>
      </x:c>
      <x:c r="N64" s="83" t="str">
        <x:v>Moderate</x:v>
      </x:c>
      <x:c r="O64" s="83" t="str">
        <x:v>Scenario-Based</x:v>
      </x:c>
      <x:c r="P64" s="83" t="str">
        <x:v>Scenario-Based</x:v>
      </x:c>
      <x:c r="Q64" s="83" t="n">
        <x:v>4</x:v>
      </x:c>
      <x:c r="R64" s="83" t="str">
        <x:v>D</x:v>
      </x:c>
      <x:c r="S64" s="83" t="str">
        <x:v>Approved</x:v>
      </x:c>
      <x:c r="T64" s="83" t="str">
        <x:v>Active</x:v>
      </x:c>
      <x:c r="U64" s="83" t="n">
        <x:v>1</x:v>
      </x:c>
      <x:c r="V64" s="83" t="str"/>
      <x:c r="W64" s="83" t="str">
        <x:v>No additional flag</x:v>
      </x:c>
      <x:c r="X64" s="83" t="str">
        <x:v>No structural flag</x:v>
      </x:c>
      <x:c r="Y64" s="83" t="str">
        <x:v>Not Yet Reviewed</x:v>
      </x:c>
      <x:c r="Z64" s="83" t="str">
        <x:v>CTA LCSW Workbook 4</x:v>
      </x:c>
      <x:c r="AA64" s="83" t="str">
        <x:v>CTA_LCSW_WB4_17_Question_Bank_v1.0.docx</x:v>
      </x:c>
      <x:c r="AB64" s="83" t="str">
        <x:v>1.0</x:v>
      </x:c>
      <x:c r="AC64" s="102"/>
      <x:c r="AD64" s="102" t="n">
        <x:v>46228</x:v>
      </x:c>
      <x:c r="AE64" s="83" t="str"/>
      <x:c r="AF64" s="89" t="str">
        <x:v>Workbook bank; reserve pool after controlled review</x:v>
      </x:c>
    </x:row>
    <x:row r="65">
      <x:c r="A65" s="88" t="str">
        <x:v>CTA-LCSW-MQB-0064</x:v>
      </x:c>
      <x:c r="B65" s="83" t="str">
        <x:v>LCSW-WB04-QB-Q013</x:v>
      </x:c>
      <x:c r="C65" s="83" t="str">
        <x:v>LCSW</x:v>
      </x:c>
      <x:c r="D65" s="83" t="str">
        <x:v>Workbook Question Bank</x:v>
      </x:c>
      <x:c r="E65" s="83" t="n">
        <x:v>4</x:v>
      </x:c>
      <x:c r="F65" s="83" t="str">
        <x:v>Clinical Assessment, Interviewing, and Mental Status</x:v>
      </x:c>
      <x:c r="G65" s="83"/>
      <x:c r="H65" s="83" t="n">
        <x:v>13</x:v>
      </x:c>
      <x:c r="I65" s="83" t="str">
        <x:v>Workbook Bank</x:v>
      </x:c>
      <x:c r="J65" s="83" t="str">
        <x:v>II. Assessment and Planning</x:v>
      </x:c>
      <x:c r="K65" s="83" t="str">
        <x:v>Accessible discharge planning</x:v>
      </x:c>
      <x:c r="L65" s="83" t="str"/>
      <x:c r="M65" s="83" t="str">
        <x:v>Difficult</x:v>
      </x:c>
      <x:c r="N65" s="83" t="str">
        <x:v>Difficult</x:v>
      </x:c>
      <x:c r="O65" s="83" t="str">
        <x:v>Integrated Clinical Reasoning</x:v>
      </x:c>
      <x:c r="P65" s="83" t="str">
        <x:v>Integrated Clinical Reasoning</x:v>
      </x:c>
      <x:c r="Q65" s="83" t="n">
        <x:v>3</x:v>
      </x:c>
      <x:c r="R65" s="83" t="str">
        <x:v>A</x:v>
      </x:c>
      <x:c r="S65" s="83" t="str">
        <x:v>Approved</x:v>
      </x:c>
      <x:c r="T65" s="83" t="str">
        <x:v>Active</x:v>
      </x:c>
      <x:c r="U65" s="83" t="n">
        <x:v>1</x:v>
      </x:c>
      <x:c r="V65" s="83" t="str"/>
      <x:c r="W65" s="83" t="str">
        <x:v>No additional flag</x:v>
      </x:c>
      <x:c r="X65" s="83" t="str">
        <x:v>No structural flag</x:v>
      </x:c>
      <x:c r="Y65" s="83" t="str">
        <x:v>Not Yet Reviewed</x:v>
      </x:c>
      <x:c r="Z65" s="83" t="str">
        <x:v>CTA LCSW Workbook 4</x:v>
      </x:c>
      <x:c r="AA65" s="83" t="str">
        <x:v>CTA_LCSW_WB4_17_Question_Bank_v1.0.docx</x:v>
      </x:c>
      <x:c r="AB65" s="83" t="str">
        <x:v>1.0</x:v>
      </x:c>
      <x:c r="AC65" s="102"/>
      <x:c r="AD65" s="102" t="n">
        <x:v>46228</x:v>
      </x:c>
      <x:c r="AE65" s="83" t="str"/>
      <x:c r="AF65" s="89" t="str">
        <x:v>Workbook bank; reserve pool after controlled review</x:v>
      </x:c>
    </x:row>
    <x:row r="66">
      <x:c r="A66" s="88" t="str">
        <x:v>CTA-LCSW-MQB-0065</x:v>
      </x:c>
      <x:c r="B66" s="83" t="str">
        <x:v>LCSW-WB04-QB-Q014</x:v>
      </x:c>
      <x:c r="C66" s="83" t="str">
        <x:v>LCSW</x:v>
      </x:c>
      <x:c r="D66" s="83" t="str">
        <x:v>Workbook Question Bank</x:v>
      </x:c>
      <x:c r="E66" s="83" t="n">
        <x:v>4</x:v>
      </x:c>
      <x:c r="F66" s="83" t="str">
        <x:v>Clinical Assessment, Interviewing, and Mental Status</x:v>
      </x:c>
      <x:c r="G66" s="83"/>
      <x:c r="H66" s="83" t="n">
        <x:v>14</x:v>
      </x:c>
      <x:c r="I66" s="83" t="str">
        <x:v>Workbook Bank</x:v>
      </x:c>
      <x:c r="J66" s="83" t="str">
        <x:v>II. Assessment and Planning</x:v>
      </x:c>
      <x:c r="K66" s="83" t="str">
        <x:v>Cultural context and perception</x:v>
      </x:c>
      <x:c r="L66" s="83" t="str"/>
      <x:c r="M66" s="83" t="str">
        <x:v>Difficult</x:v>
      </x:c>
      <x:c r="N66" s="83" t="str">
        <x:v>Difficult</x:v>
      </x:c>
      <x:c r="O66" s="83" t="str">
        <x:v>Scenario-Based</x:v>
      </x:c>
      <x:c r="P66" s="83" t="str">
        <x:v>Scenario-Based</x:v>
      </x:c>
      <x:c r="Q66" s="83" t="n">
        <x:v>3</x:v>
      </x:c>
      <x:c r="R66" s="83" t="str">
        <x:v>B</x:v>
      </x:c>
      <x:c r="S66" s="83" t="str">
        <x:v>Approved</x:v>
      </x:c>
      <x:c r="T66" s="83" t="str">
        <x:v>Active</x:v>
      </x:c>
      <x:c r="U66" s="83" t="n">
        <x:v>1</x:v>
      </x:c>
      <x:c r="V66" s="83" t="str"/>
      <x:c r="W66" s="83" t="str">
        <x:v>Review Candidate</x:v>
      </x:c>
      <x:c r="X66" s="83" t="str">
        <x:v>No structural flag</x:v>
      </x:c>
      <x:c r="Y66" s="83" t="str">
        <x:v>Not Yet Reviewed</x:v>
      </x:c>
      <x:c r="Z66" s="83" t="str">
        <x:v>CTA LCSW Workbook 4</x:v>
      </x:c>
      <x:c r="AA66" s="83" t="str">
        <x:v>CTA_LCSW_WB4_17_Question_Bank_v1.0.docx</x:v>
      </x:c>
      <x:c r="AB66" s="83" t="str">
        <x:v>1.0</x:v>
      </x:c>
      <x:c r="AC66" s="102"/>
      <x:c r="AD66" s="102" t="n">
        <x:v>46228</x:v>
      </x:c>
      <x:c r="AE66" s="83" t="str"/>
      <x:c r="AF66" s="89" t="str">
        <x:v>Workbook bank; reserve pool after controlled review</x:v>
      </x:c>
    </x:row>
    <x:row r="67">
      <x:c r="A67" s="88" t="str">
        <x:v>CTA-LCSW-MQB-0066</x:v>
      </x:c>
      <x:c r="B67" s="83" t="str">
        <x:v>LCSW-WB04-QB-Q015</x:v>
      </x:c>
      <x:c r="C67" s="83" t="str">
        <x:v>LCSW</x:v>
      </x:c>
      <x:c r="D67" s="83" t="str">
        <x:v>Workbook Question Bank</x:v>
      </x:c>
      <x:c r="E67" s="83" t="n">
        <x:v>4</x:v>
      </x:c>
      <x:c r="F67" s="83" t="str">
        <x:v>Clinical Assessment, Interviewing, and Mental Status</x:v>
      </x:c>
      <x:c r="G67" s="83"/>
      <x:c r="H67" s="83" t="n">
        <x:v>15</x:v>
      </x:c>
      <x:c r="I67" s="83" t="str">
        <x:v>Workbook Bank</x:v>
      </x:c>
      <x:c r="J67" s="83" t="str">
        <x:v>II. Assessment and Planning</x:v>
      </x:c>
      <x:c r="K67" s="83" t="str">
        <x:v>Communication access versus behavior label</x:v>
      </x:c>
      <x:c r="L67" s="83" t="str"/>
      <x:c r="M67" s="83" t="str">
        <x:v>Difficult</x:v>
      </x:c>
      <x:c r="N67" s="83" t="str">
        <x:v>Difficult</x:v>
      </x:c>
      <x:c r="O67" s="83" t="str">
        <x:v>Integrated Clinical Reasoning</x:v>
      </x:c>
      <x:c r="P67" s="83" t="str">
        <x:v>Integrated Clinical Reasoning</x:v>
      </x:c>
      <x:c r="Q67" s="83" t="n">
        <x:v>4</x:v>
      </x:c>
      <x:c r="R67" s="83" t="str">
        <x:v>C</x:v>
      </x:c>
      <x:c r="S67" s="83" t="str">
        <x:v>Approved</x:v>
      </x:c>
      <x:c r="T67" s="83" t="str">
        <x:v>Active</x:v>
      </x:c>
      <x:c r="U67" s="83" t="n">
        <x:v>1</x:v>
      </x:c>
      <x:c r="V67" s="83" t="str"/>
      <x:c r="W67" s="83" t="str">
        <x:v>No additional flag</x:v>
      </x:c>
      <x:c r="X67" s="83" t="str">
        <x:v>No structural flag</x:v>
      </x:c>
      <x:c r="Y67" s="83" t="str">
        <x:v>Not Yet Reviewed</x:v>
      </x:c>
      <x:c r="Z67" s="83" t="str">
        <x:v>CTA LCSW Workbook 4</x:v>
      </x:c>
      <x:c r="AA67" s="83" t="str">
        <x:v>CTA_LCSW_WB4_17_Question_Bank_v1.0.docx</x:v>
      </x:c>
      <x:c r="AB67" s="83" t="str">
        <x:v>1.0</x:v>
      </x:c>
      <x:c r="AC67" s="102"/>
      <x:c r="AD67" s="102" t="n">
        <x:v>46228</x:v>
      </x:c>
      <x:c r="AE67" s="83" t="str"/>
      <x:c r="AF67" s="89" t="str">
        <x:v>Workbook bank; reserve pool after controlled review</x:v>
      </x:c>
    </x:row>
    <x:row r="68">
      <x:c r="A68" s="88" t="str">
        <x:v>CTA-LCSW-MQB-0067</x:v>
      </x:c>
      <x:c r="B68" s="83" t="str">
        <x:v>LCSW-WB04-QB-Q016</x:v>
      </x:c>
      <x:c r="C68" s="83" t="str">
        <x:v>LCSW</x:v>
      </x:c>
      <x:c r="D68" s="83" t="str">
        <x:v>Workbook Question Bank</x:v>
      </x:c>
      <x:c r="E68" s="83" t="n">
        <x:v>4</x:v>
      </x:c>
      <x:c r="F68" s="83" t="str">
        <x:v>Clinical Assessment, Interviewing, and Mental Status</x:v>
      </x:c>
      <x:c r="G68" s="83"/>
      <x:c r="H68" s="83" t="n">
        <x:v>16</x:v>
      </x:c>
      <x:c r="I68" s="83" t="str">
        <x:v>Workbook Bank</x:v>
      </x:c>
      <x:c r="J68" s="83" t="str">
        <x:v>II. Assessment and Planning</x:v>
      </x:c>
      <x:c r="K68" s="83" t="str">
        <x:v>Potentially dangerous withdrawal</x:v>
      </x:c>
      <x:c r="L68" s="83" t="str"/>
      <x:c r="M68" s="83" t="str">
        <x:v>Difficult</x:v>
      </x:c>
      <x:c r="N68" s="83" t="str">
        <x:v>Difficult</x:v>
      </x:c>
      <x:c r="O68" s="83" t="str">
        <x:v>Scenario-Based</x:v>
      </x:c>
      <x:c r="P68" s="83" t="str">
        <x:v>Scenario-Based</x:v>
      </x:c>
      <x:c r="Q68" s="83" t="n">
        <x:v>4</x:v>
      </x:c>
      <x:c r="R68" s="83" t="str">
        <x:v>D</x:v>
      </x:c>
      <x:c r="S68" s="83" t="str">
        <x:v>Approved</x:v>
      </x:c>
      <x:c r="T68" s="83" t="str">
        <x:v>Active</x:v>
      </x:c>
      <x:c r="U68" s="83" t="n">
        <x:v>1</x:v>
      </x:c>
      <x:c r="V68" s="83" t="str"/>
      <x:c r="W68" s="83" t="str">
        <x:v>No additional flag</x:v>
      </x:c>
      <x:c r="X68" s="83" t="str">
        <x:v>No structural flag</x:v>
      </x:c>
      <x:c r="Y68" s="83" t="str">
        <x:v>Not Yet Reviewed</x:v>
      </x:c>
      <x:c r="Z68" s="83" t="str">
        <x:v>CTA LCSW Workbook 4</x:v>
      </x:c>
      <x:c r="AA68" s="83" t="str">
        <x:v>CTA_LCSW_WB4_17_Question_Bank_v1.0.docx</x:v>
      </x:c>
      <x:c r="AB68" s="83" t="str">
        <x:v>1.0</x:v>
      </x:c>
      <x:c r="AC68" s="102"/>
      <x:c r="AD68" s="102" t="n">
        <x:v>46228</x:v>
      </x:c>
      <x:c r="AE68" s="83" t="str"/>
      <x:c r="AF68" s="89" t="str">
        <x:v>Workbook bank; reserve pool after controlled review</x:v>
      </x:c>
    </x:row>
    <x:row r="69">
      <x:c r="A69" s="88" t="str">
        <x:v>CTA-LCSW-MQB-0068</x:v>
      </x:c>
      <x:c r="B69" s="83" t="str">
        <x:v>LCSW-WB04-QB-Q017</x:v>
      </x:c>
      <x:c r="C69" s="83" t="str">
        <x:v>LCSW</x:v>
      </x:c>
      <x:c r="D69" s="83" t="str">
        <x:v>Workbook Question Bank</x:v>
      </x:c>
      <x:c r="E69" s="83" t="n">
        <x:v>4</x:v>
      </x:c>
      <x:c r="F69" s="83" t="str">
        <x:v>Clinical Assessment, Interviewing, and Mental Status</x:v>
      </x:c>
      <x:c r="G69" s="83"/>
      <x:c r="H69" s="83" t="n">
        <x:v>17</x:v>
      </x:c>
      <x:c r="I69" s="83" t="str">
        <x:v>Workbook Bank</x:v>
      </x:c>
      <x:c r="J69" s="83" t="str">
        <x:v>II. Assessment and Planning</x:v>
      </x:c>
      <x:c r="K69" s="83" t="str">
        <x:v>Integrated person-in-environment priority setting</x:v>
      </x:c>
      <x:c r="L69" s="83" t="str"/>
      <x:c r="M69" s="83" t="str">
        <x:v>Difficult</x:v>
      </x:c>
      <x:c r="N69" s="83" t="str">
        <x:v>Difficult</x:v>
      </x:c>
      <x:c r="O69" s="83" t="str">
        <x:v>Integrated Clinical Reasoning</x:v>
      </x:c>
      <x:c r="P69" s="83" t="str">
        <x:v>Integrated Clinical Reasoning</x:v>
      </x:c>
      <x:c r="Q69" s="83" t="n">
        <x:v>3</x:v>
      </x:c>
      <x:c r="R69" s="83" t="str">
        <x:v>A</x:v>
      </x:c>
      <x:c r="S69" s="83" t="str">
        <x:v>Approved</x:v>
      </x:c>
      <x:c r="T69" s="83" t="str">
        <x:v>Active</x:v>
      </x:c>
      <x:c r="U69" s="83" t="n">
        <x:v>1</x:v>
      </x:c>
      <x:c r="V69" s="83" t="str"/>
      <x:c r="W69" s="83" t="str">
        <x:v>No additional flag</x:v>
      </x:c>
      <x:c r="X69" s="83" t="str">
        <x:v>No structural flag</x:v>
      </x:c>
      <x:c r="Y69" s="83" t="str">
        <x:v>Not Yet Reviewed</x:v>
      </x:c>
      <x:c r="Z69" s="83" t="str">
        <x:v>CTA LCSW Workbook 4</x:v>
      </x:c>
      <x:c r="AA69" s="83" t="str">
        <x:v>CTA_LCSW_WB4_17_Question_Bank_v1.0.docx</x:v>
      </x:c>
      <x:c r="AB69" s="83" t="str">
        <x:v>1.0</x:v>
      </x:c>
      <x:c r="AC69" s="102"/>
      <x:c r="AD69" s="102" t="n">
        <x:v>46228</x:v>
      </x:c>
      <x:c r="AE69" s="83" t="str"/>
      <x:c r="AF69" s="89" t="str">
        <x:v>Workbook bank; reserve pool after controlled review</x:v>
      </x:c>
    </x:row>
    <x:row r="70">
      <x:c r="A70" s="88" t="str">
        <x:v>CTA-LCSW-MQB-0069</x:v>
      </x:c>
      <x:c r="B70" s="83" t="str">
        <x:v>LCSW-WB05-QB-Q001</x:v>
      </x:c>
      <x:c r="C70" s="83" t="str">
        <x:v>LCSW</x:v>
      </x:c>
      <x:c r="D70" s="83" t="str">
        <x:v>Workbook Question Bank</x:v>
      </x:c>
      <x:c r="E70" s="83" t="n">
        <x:v>5</x:v>
      </x:c>
      <x:c r="F70" s="83" t="str">
        <x:v>Diagnosis, Medical Factors, and Psychopharmacology</x:v>
      </x:c>
      <x:c r="G70" s="83"/>
      <x:c r="H70" s="83" t="n">
        <x:v>1</x:v>
      </x:c>
      <x:c r="I70" s="83" t="str">
        <x:v>Workbook Bank</x:v>
      </x:c>
      <x:c r="J70" s="83" t="str">
        <x:v>II. Assessment and Planning</x:v>
      </x:c>
      <x:c r="K70" s="83" t="str">
        <x:v>Differential diagnosis</x:v>
      </x:c>
      <x:c r="L70" s="83" t="str"/>
      <x:c r="M70" s="83" t="str">
        <x:v>Easy</x:v>
      </x:c>
      <x:c r="N70" s="83" t="str">
        <x:v>Easy</x:v>
      </x:c>
      <x:c r="O70" s="83" t="str">
        <x:v>Knowledge &amp; Recall</x:v>
      </x:c>
      <x:c r="P70" s="83" t="str">
        <x:v>Knowledge &amp; Recall</x:v>
      </x:c>
      <x:c r="Q70" s="83" t="n">
        <x:v>3</x:v>
      </x:c>
      <x:c r="R70" s="83" t="str">
        <x:v>B</x:v>
      </x:c>
      <x:c r="S70" s="83" t="str">
        <x:v>Approved</x:v>
      </x:c>
      <x:c r="T70" s="83" t="str">
        <x:v>Active</x:v>
      </x:c>
      <x:c r="U70" s="83" t="n">
        <x:v>1</x:v>
      </x:c>
      <x:c r="V70" s="83" t="str"/>
      <x:c r="W70" s="83" t="str">
        <x:v>No additional flag</x:v>
      </x:c>
      <x:c r="X70" s="83" t="str">
        <x:v>No structural flag</x:v>
      </x:c>
      <x:c r="Y70" s="83" t="str">
        <x:v>Not Yet Reviewed</x:v>
      </x:c>
      <x:c r="Z70" s="83" t="str">
        <x:v>CTA LCSW Workbook 5</x:v>
      </x:c>
      <x:c r="AA70" s="83" t="str">
        <x:v>CTA_LCSW_WB5_17_Question_Bank_v1.0.docx</x:v>
      </x:c>
      <x:c r="AB70" s="83" t="str">
        <x:v>1.0</x:v>
      </x:c>
      <x:c r="AC70" s="102"/>
      <x:c r="AD70" s="102" t="n">
        <x:v>46228</x:v>
      </x:c>
      <x:c r="AE70" s="83" t="str"/>
      <x:c r="AF70" s="89" t="str">
        <x:v>Workbook bank; reserve pool after controlled review</x:v>
      </x:c>
    </x:row>
    <x:row r="71">
      <x:c r="A71" s="88" t="str">
        <x:v>CTA-LCSW-MQB-0070</x:v>
      </x:c>
      <x:c r="B71" s="83" t="str">
        <x:v>LCSW-WB05-QB-Q002</x:v>
      </x:c>
      <x:c r="C71" s="83" t="str">
        <x:v>LCSW</x:v>
      </x:c>
      <x:c r="D71" s="83" t="str">
        <x:v>Workbook Question Bank</x:v>
      </x:c>
      <x:c r="E71" s="83" t="n">
        <x:v>5</x:v>
      </x:c>
      <x:c r="F71" s="83" t="str">
        <x:v>Diagnosis, Medical Factors, and Psychopharmacology</x:v>
      </x:c>
      <x:c r="G71" s="83"/>
      <x:c r="H71" s="83" t="n">
        <x:v>2</x:v>
      </x:c>
      <x:c r="I71" s="83" t="str">
        <x:v>Workbook Bank</x:v>
      </x:c>
      <x:c r="J71" s="83" t="str">
        <x:v>II. Assessment and Planning</x:v>
      </x:c>
      <x:c r="K71" s="83" t="str">
        <x:v>Psychopharmacology scope</x:v>
      </x:c>
      <x:c r="L71" s="83" t="str"/>
      <x:c r="M71" s="83" t="str">
        <x:v>Easy</x:v>
      </x:c>
      <x:c r="N71" s="83" t="str">
        <x:v>Easy</x:v>
      </x:c>
      <x:c r="O71" s="83" t="str">
        <x:v>Knowledge &amp; Recall</x:v>
      </x:c>
      <x:c r="P71" s="83" t="str">
        <x:v>Knowledge &amp; Recall</x:v>
      </x:c>
      <x:c r="Q71" s="83" t="n">
        <x:v>3</x:v>
      </x:c>
      <x:c r="R71" s="83" t="str">
        <x:v>A</x:v>
      </x:c>
      <x:c r="S71" s="83" t="str">
        <x:v>Approved</x:v>
      </x:c>
      <x:c r="T71" s="83" t="str">
        <x:v>Active</x:v>
      </x:c>
      <x:c r="U71" s="83" t="n">
        <x:v>1</x:v>
      </x:c>
      <x:c r="V71" s="83" t="str"/>
      <x:c r="W71" s="83" t="str">
        <x:v>No additional flag</x:v>
      </x:c>
      <x:c r="X71" s="83" t="str">
        <x:v>No structural flag</x:v>
      </x:c>
      <x:c r="Y71" s="83" t="str">
        <x:v>Not Yet Reviewed</x:v>
      </x:c>
      <x:c r="Z71" s="83" t="str">
        <x:v>CTA LCSW Workbook 5</x:v>
      </x:c>
      <x:c r="AA71" s="83" t="str">
        <x:v>CTA_LCSW_WB5_17_Question_Bank_v1.0.docx</x:v>
      </x:c>
      <x:c r="AB71" s="83" t="str">
        <x:v>1.0</x:v>
      </x:c>
      <x:c r="AC71" s="102"/>
      <x:c r="AD71" s="102" t="n">
        <x:v>46228</x:v>
      </x:c>
      <x:c r="AE71" s="83" t="str"/>
      <x:c r="AF71" s="89" t="str">
        <x:v>Workbook bank; reserve pool after controlled review</x:v>
      </x:c>
    </x:row>
    <x:row r="72">
      <x:c r="A72" s="88" t="str">
        <x:v>CTA-LCSW-MQB-0071</x:v>
      </x:c>
      <x:c r="B72" s="83" t="str">
        <x:v>LCSW-WB05-QB-Q003</x:v>
      </x:c>
      <x:c r="C72" s="83" t="str">
        <x:v>LCSW</x:v>
      </x:c>
      <x:c r="D72" s="83" t="str">
        <x:v>Workbook Question Bank</x:v>
      </x:c>
      <x:c r="E72" s="83" t="n">
        <x:v>5</x:v>
      </x:c>
      <x:c r="F72" s="83" t="str">
        <x:v>Diagnosis, Medical Factors, and Psychopharmacology</x:v>
      </x:c>
      <x:c r="G72" s="83"/>
      <x:c r="H72" s="83" t="n">
        <x:v>3</x:v>
      </x:c>
      <x:c r="I72" s="83" t="str">
        <x:v>Workbook Bank</x:v>
      </x:c>
      <x:c r="J72" s="83" t="str">
        <x:v>II. Assessment and Planning</x:v>
      </x:c>
      <x:c r="K72" s="83" t="str">
        <x:v>Acute cognitive change</x:v>
      </x:c>
      <x:c r="L72" s="83" t="str"/>
      <x:c r="M72" s="83" t="str">
        <x:v>Easy</x:v>
      </x:c>
      <x:c r="N72" s="83" t="str">
        <x:v>Easy</x:v>
      </x:c>
      <x:c r="O72" s="83" t="str">
        <x:v>Knowledge &amp; Recall</x:v>
      </x:c>
      <x:c r="P72" s="83" t="str">
        <x:v>Knowledge &amp; Recall</x:v>
      </x:c>
      <x:c r="Q72" s="83" t="n">
        <x:v>4</x:v>
      </x:c>
      <x:c r="R72" s="83" t="str">
        <x:v>C</x:v>
      </x:c>
      <x:c r="S72" s="83" t="str">
        <x:v>Approved</x:v>
      </x:c>
      <x:c r="T72" s="83" t="str">
        <x:v>Active</x:v>
      </x:c>
      <x:c r="U72" s="83" t="n">
        <x:v>1</x:v>
      </x:c>
      <x:c r="V72" s="83" t="str"/>
      <x:c r="W72" s="83" t="str">
        <x:v>No additional flag</x:v>
      </x:c>
      <x:c r="X72" s="83" t="str">
        <x:v>No structural flag</x:v>
      </x:c>
      <x:c r="Y72" s="83" t="str">
        <x:v>Not Yet Reviewed</x:v>
      </x:c>
      <x:c r="Z72" s="83" t="str">
        <x:v>CTA LCSW Workbook 5</x:v>
      </x:c>
      <x:c r="AA72" s="83" t="str">
        <x:v>CTA_LCSW_WB5_17_Question_Bank_v1.0.docx</x:v>
      </x:c>
      <x:c r="AB72" s="83" t="str">
        <x:v>1.0</x:v>
      </x:c>
      <x:c r="AC72" s="102"/>
      <x:c r="AD72" s="102" t="n">
        <x:v>46228</x:v>
      </x:c>
      <x:c r="AE72" s="83" t="str"/>
      <x:c r="AF72" s="89" t="str">
        <x:v>Workbook bank; reserve pool after controlled review</x:v>
      </x:c>
    </x:row>
    <x:row r="73">
      <x:c r="A73" s="88" t="str">
        <x:v>CTA-LCSW-MQB-0072</x:v>
      </x:c>
      <x:c r="B73" s="83" t="str">
        <x:v>LCSW-WB05-QB-Q004</x:v>
      </x:c>
      <x:c r="C73" s="83" t="str">
        <x:v>LCSW</x:v>
      </x:c>
      <x:c r="D73" s="83" t="str">
        <x:v>Workbook Question Bank</x:v>
      </x:c>
      <x:c r="E73" s="83" t="n">
        <x:v>5</x:v>
      </x:c>
      <x:c r="F73" s="83" t="str">
        <x:v>Diagnosis, Medical Factors, and Psychopharmacology</x:v>
      </x:c>
      <x:c r="G73" s="83"/>
      <x:c r="H73" s="83" t="n">
        <x:v>4</x:v>
      </x:c>
      <x:c r="I73" s="83" t="str">
        <x:v>Workbook Bank</x:v>
      </x:c>
      <x:c r="J73" s="83" t="str">
        <x:v>II. Assessment and Planning</x:v>
      </x:c>
      <x:c r="K73" s="83" t="str">
        <x:v>Contextual conditions</x:v>
      </x:c>
      <x:c r="L73" s="83" t="str"/>
      <x:c r="M73" s="83" t="str">
        <x:v>Easy</x:v>
      </x:c>
      <x:c r="N73" s="83" t="str">
        <x:v>Easy</x:v>
      </x:c>
      <x:c r="O73" s="83" t="str">
        <x:v>Knowledge &amp; Recall</x:v>
      </x:c>
      <x:c r="P73" s="83" t="str">
        <x:v>Knowledge &amp; Recall</x:v>
      </x:c>
      <x:c r="Q73" s="83" t="n">
        <x:v>4</x:v>
      </x:c>
      <x:c r="R73" s="83" t="str">
        <x:v>D</x:v>
      </x:c>
      <x:c r="S73" s="83" t="str">
        <x:v>Approved</x:v>
      </x:c>
      <x:c r="T73" s="83" t="str">
        <x:v>Active</x:v>
      </x:c>
      <x:c r="U73" s="83" t="n">
        <x:v>1</x:v>
      </x:c>
      <x:c r="V73" s="83" t="str"/>
      <x:c r="W73" s="83" t="str">
        <x:v>No additional flag</x:v>
      </x:c>
      <x:c r="X73" s="83" t="str">
        <x:v>No structural flag</x:v>
      </x:c>
      <x:c r="Y73" s="83" t="str">
        <x:v>Not Yet Reviewed</x:v>
      </x:c>
      <x:c r="Z73" s="83" t="str">
        <x:v>CTA LCSW Workbook 5</x:v>
      </x:c>
      <x:c r="AA73" s="83" t="str">
        <x:v>CTA_LCSW_WB5_17_Question_Bank_v1.0.docx</x:v>
      </x:c>
      <x:c r="AB73" s="83" t="str">
        <x:v>1.0</x:v>
      </x:c>
      <x:c r="AC73" s="102"/>
      <x:c r="AD73" s="102" t="n">
        <x:v>46228</x:v>
      </x:c>
      <x:c r="AE73" s="83" t="str"/>
      <x:c r="AF73" s="89" t="str">
        <x:v>Workbook bank; reserve pool after controlled review</x:v>
      </x:c>
    </x:row>
    <x:row r="74">
      <x:c r="A74" s="88" t="str">
        <x:v>CTA-LCSW-MQB-0073</x:v>
      </x:c>
      <x:c r="B74" s="83" t="str">
        <x:v>LCSW-WB05-QB-Q005</x:v>
      </x:c>
      <x:c r="C74" s="83" t="str">
        <x:v>LCSW</x:v>
      </x:c>
      <x:c r="D74" s="83" t="str">
        <x:v>Workbook Question Bank</x:v>
      </x:c>
      <x:c r="E74" s="83" t="n">
        <x:v>5</x:v>
      </x:c>
      <x:c r="F74" s="83" t="str">
        <x:v>Diagnosis, Medical Factors, and Psychopharmacology</x:v>
      </x:c>
      <x:c r="G74" s="83"/>
      <x:c r="H74" s="83" t="n">
        <x:v>5</x:v>
      </x:c>
      <x:c r="I74" s="83" t="str">
        <x:v>Workbook Bank</x:v>
      </x:c>
      <x:c r="J74" s="83" t="str">
        <x:v>II. Assessment and Planning</x:v>
      </x:c>
      <x:c r="K74" s="83" t="str">
        <x:v>Medication adherence barriers</x:v>
      </x:c>
      <x:c r="L74" s="83" t="str"/>
      <x:c r="M74" s="83" t="str">
        <x:v>Easy</x:v>
      </x:c>
      <x:c r="N74" s="83" t="str">
        <x:v>Easy</x:v>
      </x:c>
      <x:c r="O74" s="83" t="str">
        <x:v>Knowledge &amp; Recall</x:v>
      </x:c>
      <x:c r="P74" s="83" t="str">
        <x:v>Knowledge &amp; Recall</x:v>
      </x:c>
      <x:c r="Q74" s="83" t="n">
        <x:v>3</x:v>
      </x:c>
      <x:c r="R74" s="83" t="str">
        <x:v>A</x:v>
      </x:c>
      <x:c r="S74" s="83" t="str">
        <x:v>Approved</x:v>
      </x:c>
      <x:c r="T74" s="83" t="str">
        <x:v>Active</x:v>
      </x:c>
      <x:c r="U74" s="83" t="n">
        <x:v>1</x:v>
      </x:c>
      <x:c r="V74" s="83" t="str"/>
      <x:c r="W74" s="83" t="str">
        <x:v>No additional flag</x:v>
      </x:c>
      <x:c r="X74" s="83" t="str">
        <x:v>No structural flag</x:v>
      </x:c>
      <x:c r="Y74" s="83" t="str">
        <x:v>Not Yet Reviewed</x:v>
      </x:c>
      <x:c r="Z74" s="83" t="str">
        <x:v>CTA LCSW Workbook 5</x:v>
      </x:c>
      <x:c r="AA74" s="83" t="str">
        <x:v>CTA_LCSW_WB5_17_Question_Bank_v1.0.docx</x:v>
      </x:c>
      <x:c r="AB74" s="83" t="str">
        <x:v>1.0</x:v>
      </x:c>
      <x:c r="AC74" s="102"/>
      <x:c r="AD74" s="102" t="n">
        <x:v>46228</x:v>
      </x:c>
      <x:c r="AE74" s="83" t="str"/>
      <x:c r="AF74" s="89" t="str">
        <x:v>Workbook bank; reserve pool after controlled review</x:v>
      </x:c>
    </x:row>
    <x:row r="75">
      <x:c r="A75" s="88" t="str">
        <x:v>CTA-LCSW-MQB-0074</x:v>
      </x:c>
      <x:c r="B75" s="83" t="str">
        <x:v>LCSW-WB05-QB-Q006</x:v>
      </x:c>
      <x:c r="C75" s="83" t="str">
        <x:v>LCSW</x:v>
      </x:c>
      <x:c r="D75" s="83" t="str">
        <x:v>Workbook Question Bank</x:v>
      </x:c>
      <x:c r="E75" s="83" t="n">
        <x:v>5</x:v>
      </x:c>
      <x:c r="F75" s="83" t="str">
        <x:v>Diagnosis, Medical Factors, and Psychopharmacology</x:v>
      </x:c>
      <x:c r="G75" s="83"/>
      <x:c r="H75" s="83" t="n">
        <x:v>6</x:v>
      </x:c>
      <x:c r="I75" s="83" t="str">
        <x:v>Workbook Bank</x:v>
      </x:c>
      <x:c r="J75" s="83" t="str">
        <x:v>II. Assessment and Planning</x:v>
      </x:c>
      <x:c r="K75" s="83" t="str">
        <x:v>Bereavement and depression</x:v>
      </x:c>
      <x:c r="L75" s="83" t="str"/>
      <x:c r="M75" s="83" t="str">
        <x:v>Moderate</x:v>
      </x:c>
      <x:c r="N75" s="83" t="str">
        <x:v>Moderate</x:v>
      </x:c>
      <x:c r="O75" s="83" t="str">
        <x:v>Application</x:v>
      </x:c>
      <x:c r="P75" s="83" t="str">
        <x:v>Application</x:v>
      </x:c>
      <x:c r="Q75" s="83" t="n">
        <x:v>3</x:v>
      </x:c>
      <x:c r="R75" s="83" t="str">
        <x:v>B</x:v>
      </x:c>
      <x:c r="S75" s="83" t="str">
        <x:v>Approved</x:v>
      </x:c>
      <x:c r="T75" s="83" t="str">
        <x:v>Active</x:v>
      </x:c>
      <x:c r="U75" s="83" t="n">
        <x:v>1</x:v>
      </x:c>
      <x:c r="V75" s="83" t="str"/>
      <x:c r="W75" s="83" t="str">
        <x:v>No additional flag</x:v>
      </x:c>
      <x:c r="X75" s="83" t="str">
        <x:v>No structural flag</x:v>
      </x:c>
      <x:c r="Y75" s="83" t="str">
        <x:v>Not Yet Reviewed</x:v>
      </x:c>
      <x:c r="Z75" s="83" t="str">
        <x:v>CTA LCSW Workbook 5</x:v>
      </x:c>
      <x:c r="AA75" s="83" t="str">
        <x:v>CTA_LCSW_WB5_17_Question_Bank_v1.0.docx</x:v>
      </x:c>
      <x:c r="AB75" s="83" t="str">
        <x:v>1.0</x:v>
      </x:c>
      <x:c r="AC75" s="102"/>
      <x:c r="AD75" s="102" t="n">
        <x:v>46228</x:v>
      </x:c>
      <x:c r="AE75" s="83" t="str"/>
      <x:c r="AF75" s="89" t="str">
        <x:v>Workbook bank; reserve pool after controlled review</x:v>
      </x:c>
    </x:row>
    <x:row r="76">
      <x:c r="A76" s="88" t="str">
        <x:v>CTA-LCSW-MQB-0075</x:v>
      </x:c>
      <x:c r="B76" s="83" t="str">
        <x:v>LCSW-WB05-QB-Q007</x:v>
      </x:c>
      <x:c r="C76" s="83" t="str">
        <x:v>LCSW</x:v>
      </x:c>
      <x:c r="D76" s="83" t="str">
        <x:v>Workbook Question Bank</x:v>
      </x:c>
      <x:c r="E76" s="83" t="n">
        <x:v>5</x:v>
      </x:c>
      <x:c r="F76" s="83" t="str">
        <x:v>Diagnosis, Medical Factors, and Psychopharmacology</x:v>
      </x:c>
      <x:c r="G76" s="83"/>
      <x:c r="H76" s="83" t="n">
        <x:v>7</x:v>
      </x:c>
      <x:c r="I76" s="83" t="str">
        <x:v>Workbook Bank</x:v>
      </x:c>
      <x:c r="J76" s="83" t="str">
        <x:v>II. Assessment and Planning</x:v>
      </x:c>
      <x:c r="K76" s="83" t="str">
        <x:v>Child attention differential</x:v>
      </x:c>
      <x:c r="L76" s="83" t="str"/>
      <x:c r="M76" s="83" t="str">
        <x:v>Moderate</x:v>
      </x:c>
      <x:c r="N76" s="83" t="str">
        <x:v>Moderate</x:v>
      </x:c>
      <x:c r="O76" s="83" t="str">
        <x:v>Application</x:v>
      </x:c>
      <x:c r="P76" s="83" t="str">
        <x:v>Application</x:v>
      </x:c>
      <x:c r="Q76" s="83" t="n">
        <x:v>4</x:v>
      </x:c>
      <x:c r="R76" s="83" t="str">
        <x:v>C</x:v>
      </x:c>
      <x:c r="S76" s="83" t="str">
        <x:v>Approved</x:v>
      </x:c>
      <x:c r="T76" s="83" t="str">
        <x:v>Active</x:v>
      </x:c>
      <x:c r="U76" s="83" t="n">
        <x:v>1</x:v>
      </x:c>
      <x:c r="V76" s="83" t="str"/>
      <x:c r="W76" s="83" t="str">
        <x:v>No additional flag</x:v>
      </x:c>
      <x:c r="X76" s="83" t="str">
        <x:v>No structural flag</x:v>
      </x:c>
      <x:c r="Y76" s="83" t="str">
        <x:v>Not Yet Reviewed</x:v>
      </x:c>
      <x:c r="Z76" s="83" t="str">
        <x:v>CTA LCSW Workbook 5</x:v>
      </x:c>
      <x:c r="AA76" s="83" t="str">
        <x:v>CTA_LCSW_WB5_17_Question_Bank_v1.0.docx</x:v>
      </x:c>
      <x:c r="AB76" s="83" t="str">
        <x:v>1.0</x:v>
      </x:c>
      <x:c r="AC76" s="102"/>
      <x:c r="AD76" s="102" t="n">
        <x:v>46228</x:v>
      </x:c>
      <x:c r="AE76" s="83" t="str"/>
      <x:c r="AF76" s="89" t="str">
        <x:v>Workbook bank; reserve pool after controlled review</x:v>
      </x:c>
    </x:row>
    <x:row r="77">
      <x:c r="A77" s="88" t="str">
        <x:v>CTA-LCSW-MQB-0076</x:v>
      </x:c>
      <x:c r="B77" s="83" t="str">
        <x:v>LCSW-WB05-QB-Q008</x:v>
      </x:c>
      <x:c r="C77" s="83" t="str">
        <x:v>LCSW</x:v>
      </x:c>
      <x:c r="D77" s="83" t="str">
        <x:v>Workbook Question Bank</x:v>
      </x:c>
      <x:c r="E77" s="83" t="n">
        <x:v>5</x:v>
      </x:c>
      <x:c r="F77" s="83" t="str">
        <x:v>Diagnosis, Medical Factors, and Psychopharmacology</x:v>
      </x:c>
      <x:c r="G77" s="83"/>
      <x:c r="H77" s="83" t="n">
        <x:v>8</x:v>
      </x:c>
      <x:c r="I77" s="83" t="str">
        <x:v>Workbook Bank</x:v>
      </x:c>
      <x:c r="J77" s="83" t="str">
        <x:v>II. Assessment and Planning</x:v>
      </x:c>
      <x:c r="K77" s="83" t="str">
        <x:v>Medication access and side effects</x:v>
      </x:c>
      <x:c r="L77" s="83" t="str"/>
      <x:c r="M77" s="83" t="str">
        <x:v>Moderate</x:v>
      </x:c>
      <x:c r="N77" s="83" t="str">
        <x:v>Moderate</x:v>
      </x:c>
      <x:c r="O77" s="83" t="str">
        <x:v>Scenario-Based</x:v>
      </x:c>
      <x:c r="P77" s="83" t="str">
        <x:v>Scenario-Based</x:v>
      </x:c>
      <x:c r="Q77" s="83" t="n">
        <x:v>4</x:v>
      </x:c>
      <x:c r="R77" s="83" t="str">
        <x:v>D</x:v>
      </x:c>
      <x:c r="S77" s="83" t="str">
        <x:v>Approved</x:v>
      </x:c>
      <x:c r="T77" s="83" t="str">
        <x:v>Active</x:v>
      </x:c>
      <x:c r="U77" s="83" t="n">
        <x:v>1</x:v>
      </x:c>
      <x:c r="V77" s="83" t="str"/>
      <x:c r="W77" s="83" t="str">
        <x:v>No additional flag</x:v>
      </x:c>
      <x:c r="X77" s="83" t="str">
        <x:v>No structural flag</x:v>
      </x:c>
      <x:c r="Y77" s="83" t="str">
        <x:v>Not Yet Reviewed</x:v>
      </x:c>
      <x:c r="Z77" s="83" t="str">
        <x:v>CTA LCSW Workbook 5</x:v>
      </x:c>
      <x:c r="AA77" s="83" t="str">
        <x:v>CTA_LCSW_WB5_17_Question_Bank_v1.0.docx</x:v>
      </x:c>
      <x:c r="AB77" s="83" t="str">
        <x:v>1.0</x:v>
      </x:c>
      <x:c r="AC77" s="102"/>
      <x:c r="AD77" s="102" t="n">
        <x:v>46228</x:v>
      </x:c>
      <x:c r="AE77" s="83" t="str"/>
      <x:c r="AF77" s="89" t="str">
        <x:v>Workbook bank; reserve pool after controlled review</x:v>
      </x:c>
    </x:row>
    <x:row r="78">
      <x:c r="A78" s="88" t="str">
        <x:v>CTA-LCSW-MQB-0077</x:v>
      </x:c>
      <x:c r="B78" s="83" t="str">
        <x:v>LCSW-WB05-QB-Q009</x:v>
      </x:c>
      <x:c r="C78" s="83" t="str">
        <x:v>LCSW</x:v>
      </x:c>
      <x:c r="D78" s="83" t="str">
        <x:v>Workbook Question Bank</x:v>
      </x:c>
      <x:c r="E78" s="83" t="n">
        <x:v>5</x:v>
      </x:c>
      <x:c r="F78" s="83" t="str">
        <x:v>Diagnosis, Medical Factors, and Psychopharmacology</x:v>
      </x:c>
      <x:c r="G78" s="83"/>
      <x:c r="H78" s="83" t="n">
        <x:v>9</x:v>
      </x:c>
      <x:c r="I78" s="83" t="str">
        <x:v>Workbook Bank</x:v>
      </x:c>
      <x:c r="J78" s="83" t="str">
        <x:v>II. Assessment and Planning</x:v>
      </x:c>
      <x:c r="K78" s="83" t="str">
        <x:v>Primary versus substance-induced psychosis</x:v>
      </x:c>
      <x:c r="L78" s="83" t="str"/>
      <x:c r="M78" s="83" t="str">
        <x:v>Moderate</x:v>
      </x:c>
      <x:c r="N78" s="83" t="str">
        <x:v>Moderate</x:v>
      </x:c>
      <x:c r="O78" s="83" t="str">
        <x:v>Scenario-Based</x:v>
      </x:c>
      <x:c r="P78" s="83" t="str">
        <x:v>Scenario-Based</x:v>
      </x:c>
      <x:c r="Q78" s="83" t="n">
        <x:v>3</x:v>
      </x:c>
      <x:c r="R78" s="83" t="str">
        <x:v>A</x:v>
      </x:c>
      <x:c r="S78" s="83" t="str">
        <x:v>Approved</x:v>
      </x:c>
      <x:c r="T78" s="83" t="str">
        <x:v>Active</x:v>
      </x:c>
      <x:c r="U78" s="83" t="n">
        <x:v>1</x:v>
      </x:c>
      <x:c r="V78" s="83" t="str"/>
      <x:c r="W78" s="83" t="str">
        <x:v>No additional flag</x:v>
      </x:c>
      <x:c r="X78" s="83" t="str">
        <x:v>No structural flag</x:v>
      </x:c>
      <x:c r="Y78" s="83" t="str">
        <x:v>Not Yet Reviewed</x:v>
      </x:c>
      <x:c r="Z78" s="83" t="str">
        <x:v>CTA LCSW Workbook 5</x:v>
      </x:c>
      <x:c r="AA78" s="83" t="str">
        <x:v>CTA_LCSW_WB5_17_Question_Bank_v1.0.docx</x:v>
      </x:c>
      <x:c r="AB78" s="83" t="str">
        <x:v>1.0</x:v>
      </x:c>
      <x:c r="AC78" s="102"/>
      <x:c r="AD78" s="102" t="n">
        <x:v>46228</x:v>
      </x:c>
      <x:c r="AE78" s="83" t="str"/>
      <x:c r="AF78" s="89" t="str">
        <x:v>Workbook bank; reserve pool after controlled review</x:v>
      </x:c>
    </x:row>
    <x:row r="79">
      <x:c r="A79" s="88" t="str">
        <x:v>CTA-LCSW-MQB-0078</x:v>
      </x:c>
      <x:c r="B79" s="83" t="str">
        <x:v>LCSW-WB05-QB-Q010</x:v>
      </x:c>
      <x:c r="C79" s="83" t="str">
        <x:v>LCSW</x:v>
      </x:c>
      <x:c r="D79" s="83" t="str">
        <x:v>Workbook Question Bank</x:v>
      </x:c>
      <x:c r="E79" s="83" t="n">
        <x:v>5</x:v>
      </x:c>
      <x:c r="F79" s="83" t="str">
        <x:v>Diagnosis, Medical Factors, and Psychopharmacology</x:v>
      </x:c>
      <x:c r="G79" s="83"/>
      <x:c r="H79" s="83" t="n">
        <x:v>10</x:v>
      </x:c>
      <x:c r="I79" s="83" t="str">
        <x:v>Workbook Bank</x:v>
      </x:c>
      <x:c r="J79" s="83" t="str">
        <x:v>II. Assessment and Planning</x:v>
      </x:c>
      <x:c r="K79" s="83" t="str">
        <x:v>Somatic symptom assessment</x:v>
      </x:c>
      <x:c r="L79" s="83" t="str"/>
      <x:c r="M79" s="83" t="str">
        <x:v>Moderate</x:v>
      </x:c>
      <x:c r="N79" s="83" t="str">
        <x:v>Moderate</x:v>
      </x:c>
      <x:c r="O79" s="83" t="str">
        <x:v>Application</x:v>
      </x:c>
      <x:c r="P79" s="83" t="str">
        <x:v>Application</x:v>
      </x:c>
      <x:c r="Q79" s="83" t="n">
        <x:v>3</x:v>
      </x:c>
      <x:c r="R79" s="83" t="str">
        <x:v>B</x:v>
      </x:c>
      <x:c r="S79" s="83" t="str">
        <x:v>Approved</x:v>
      </x:c>
      <x:c r="T79" s="83" t="str">
        <x:v>Active</x:v>
      </x:c>
      <x:c r="U79" s="83" t="n">
        <x:v>1</x:v>
      </x:c>
      <x:c r="V79" s="83" t="str"/>
      <x:c r="W79" s="83" t="str">
        <x:v>No additional flag</x:v>
      </x:c>
      <x:c r="X79" s="83" t="str">
        <x:v>No structural flag</x:v>
      </x:c>
      <x:c r="Y79" s="83" t="str">
        <x:v>Not Yet Reviewed</x:v>
      </x:c>
      <x:c r="Z79" s="83" t="str">
        <x:v>CTA LCSW Workbook 5</x:v>
      </x:c>
      <x:c r="AA79" s="83" t="str">
        <x:v>CTA_LCSW_WB5_17_Question_Bank_v1.0.docx</x:v>
      </x:c>
      <x:c r="AB79" s="83" t="str">
        <x:v>1.0</x:v>
      </x:c>
      <x:c r="AC79" s="102"/>
      <x:c r="AD79" s="102" t="n">
        <x:v>46228</x:v>
      </x:c>
      <x:c r="AE79" s="83" t="str"/>
      <x:c r="AF79" s="89" t="str">
        <x:v>Workbook bank; reserve pool after controlled review</x:v>
      </x:c>
    </x:row>
    <x:row r="80">
      <x:c r="A80" s="88" t="str">
        <x:v>CTA-LCSW-MQB-0079</x:v>
      </x:c>
      <x:c r="B80" s="83" t="str">
        <x:v>LCSW-WB05-QB-Q011</x:v>
      </x:c>
      <x:c r="C80" s="83" t="str">
        <x:v>LCSW</x:v>
      </x:c>
      <x:c r="D80" s="83" t="str">
        <x:v>Workbook Question Bank</x:v>
      </x:c>
      <x:c r="E80" s="83" t="n">
        <x:v>5</x:v>
      </x:c>
      <x:c r="F80" s="83" t="str">
        <x:v>Diagnosis, Medical Factors, and Psychopharmacology</x:v>
      </x:c>
      <x:c r="G80" s="83"/>
      <x:c r="H80" s="83" t="n">
        <x:v>11</x:v>
      </x:c>
      <x:c r="I80" s="83" t="str">
        <x:v>Workbook Bank</x:v>
      </x:c>
      <x:c r="J80" s="83" t="str">
        <x:v>II. Assessment and Planning</x:v>
      </x:c>
      <x:c r="K80" s="83" t="str">
        <x:v>Alcohol withdrawal risk</x:v>
      </x:c>
      <x:c r="L80" s="83" t="str"/>
      <x:c r="M80" s="83" t="str">
        <x:v>Moderate</x:v>
      </x:c>
      <x:c r="N80" s="83" t="str">
        <x:v>Moderate</x:v>
      </x:c>
      <x:c r="O80" s="83" t="str">
        <x:v>Scenario-Based</x:v>
      </x:c>
      <x:c r="P80" s="83" t="str">
        <x:v>Scenario-Based</x:v>
      </x:c>
      <x:c r="Q80" s="83" t="n">
        <x:v>3</x:v>
      </x:c>
      <x:c r="R80" s="83" t="str">
        <x:v>C</x:v>
      </x:c>
      <x:c r="S80" s="83" t="str">
        <x:v>Approved</x:v>
      </x:c>
      <x:c r="T80" s="83" t="str">
        <x:v>Active</x:v>
      </x:c>
      <x:c r="U80" s="83" t="n">
        <x:v>1</x:v>
      </x:c>
      <x:c r="V80" s="83" t="str"/>
      <x:c r="W80" s="83" t="str">
        <x:v>No additional flag</x:v>
      </x:c>
      <x:c r="X80" s="83" t="str">
        <x:v>No structural flag</x:v>
      </x:c>
      <x:c r="Y80" s="83" t="str">
        <x:v>Not Yet Reviewed</x:v>
      </x:c>
      <x:c r="Z80" s="83" t="str">
        <x:v>CTA LCSW Workbook 5</x:v>
      </x:c>
      <x:c r="AA80" s="83" t="str">
        <x:v>CTA_LCSW_WB5_17_Question_Bank_v1.0.docx</x:v>
      </x:c>
      <x:c r="AB80" s="83" t="str">
        <x:v>1.0</x:v>
      </x:c>
      <x:c r="AC80" s="102"/>
      <x:c r="AD80" s="102" t="n">
        <x:v>46228</x:v>
      </x:c>
      <x:c r="AE80" s="83" t="str"/>
      <x:c r="AF80" s="89" t="str">
        <x:v>Workbook bank; reserve pool after controlled review</x:v>
      </x:c>
    </x:row>
    <x:row r="81">
      <x:c r="A81" s="88" t="str">
        <x:v>CTA-LCSW-MQB-0080</x:v>
      </x:c>
      <x:c r="B81" s="83" t="str">
        <x:v>LCSW-WB05-QB-Q012</x:v>
      </x:c>
      <x:c r="C81" s="83" t="str">
        <x:v>LCSW</x:v>
      </x:c>
      <x:c r="D81" s="83" t="str">
        <x:v>Workbook Question Bank</x:v>
      </x:c>
      <x:c r="E81" s="83" t="n">
        <x:v>5</x:v>
      </x:c>
      <x:c r="F81" s="83" t="str">
        <x:v>Diagnosis, Medical Factors, and Psychopharmacology</x:v>
      </x:c>
      <x:c r="G81" s="83"/>
      <x:c r="H81" s="83" t="n">
        <x:v>12</x:v>
      </x:c>
      <x:c r="I81" s="83" t="str">
        <x:v>Workbook Bank</x:v>
      </x:c>
      <x:c r="J81" s="83" t="str">
        <x:v>II. Assessment and Planning</x:v>
      </x:c>
      <x:c r="K81" s="83" t="str">
        <x:v>Possible medication side effect</x:v>
      </x:c>
      <x:c r="L81" s="83" t="str"/>
      <x:c r="M81" s="83" t="str">
        <x:v>Moderate</x:v>
      </x:c>
      <x:c r="N81" s="83" t="str">
        <x:v>Moderate</x:v>
      </x:c>
      <x:c r="O81" s="83" t="str">
        <x:v>Scenario-Based</x:v>
      </x:c>
      <x:c r="P81" s="83" t="str">
        <x:v>Scenario-Based</x:v>
      </x:c>
      <x:c r="Q81" s="83" t="n">
        <x:v>4</x:v>
      </x:c>
      <x:c r="R81" s="83" t="str">
        <x:v>D</x:v>
      </x:c>
      <x:c r="S81" s="83" t="str">
        <x:v>Approved</x:v>
      </x:c>
      <x:c r="T81" s="83" t="str">
        <x:v>Active</x:v>
      </x:c>
      <x:c r="U81" s="83" t="n">
        <x:v>1</x:v>
      </x:c>
      <x:c r="V81" s="83" t="str"/>
      <x:c r="W81" s="83" t="str">
        <x:v>No additional flag</x:v>
      </x:c>
      <x:c r="X81" s="83" t="str">
        <x:v>No structural flag</x:v>
      </x:c>
      <x:c r="Y81" s="83" t="str">
        <x:v>Not Yet Reviewed</x:v>
      </x:c>
      <x:c r="Z81" s="83" t="str">
        <x:v>CTA LCSW Workbook 5</x:v>
      </x:c>
      <x:c r="AA81" s="83" t="str">
        <x:v>CTA_LCSW_WB5_17_Question_Bank_v1.0.docx</x:v>
      </x:c>
      <x:c r="AB81" s="83" t="str">
        <x:v>1.0</x:v>
      </x:c>
      <x:c r="AC81" s="102"/>
      <x:c r="AD81" s="102" t="n">
        <x:v>46228</x:v>
      </x:c>
      <x:c r="AE81" s="83" t="str"/>
      <x:c r="AF81" s="89" t="str">
        <x:v>Workbook bank; reserve pool after controlled review</x:v>
      </x:c>
    </x:row>
    <x:row r="82">
      <x:c r="A82" s="88" t="str">
        <x:v>CTA-LCSW-MQB-0081</x:v>
      </x:c>
      <x:c r="B82" s="83" t="str">
        <x:v>LCSW-WB05-QB-Q013</x:v>
      </x:c>
      <x:c r="C82" s="83" t="str">
        <x:v>LCSW</x:v>
      </x:c>
      <x:c r="D82" s="83" t="str">
        <x:v>Workbook Question Bank</x:v>
      </x:c>
      <x:c r="E82" s="83" t="n">
        <x:v>5</x:v>
      </x:c>
      <x:c r="F82" s="83" t="str">
        <x:v>Diagnosis, Medical Factors, and Psychopharmacology</x:v>
      </x:c>
      <x:c r="G82" s="83"/>
      <x:c r="H82" s="83" t="n">
        <x:v>13</x:v>
      </x:c>
      <x:c r="I82" s="83" t="str">
        <x:v>Workbook Bank</x:v>
      </x:c>
      <x:c r="J82" s="83" t="str">
        <x:v>II. Assessment and Planning</x:v>
      </x:c>
      <x:c r="K82" s="83" t="str">
        <x:v>Integrated person-in-environment assessment</x:v>
      </x:c>
      <x:c r="L82" s="83" t="str"/>
      <x:c r="M82" s="83" t="str">
        <x:v>Difficult</x:v>
      </x:c>
      <x:c r="N82" s="83" t="str">
        <x:v>Difficult</x:v>
      </x:c>
      <x:c r="O82" s="83" t="str">
        <x:v>Integrated Clinical Reasoning</x:v>
      </x:c>
      <x:c r="P82" s="83" t="str">
        <x:v>Integrated Clinical Reasoning</x:v>
      </x:c>
      <x:c r="Q82" s="83" t="n">
        <x:v>3</x:v>
      </x:c>
      <x:c r="R82" s="83" t="str">
        <x:v>A</x:v>
      </x:c>
      <x:c r="S82" s="83" t="str">
        <x:v>Approved</x:v>
      </x:c>
      <x:c r="T82" s="83" t="str">
        <x:v>Active</x:v>
      </x:c>
      <x:c r="U82" s="83" t="n">
        <x:v>1</x:v>
      </x:c>
      <x:c r="V82" s="83" t="str"/>
      <x:c r="W82" s="83" t="str">
        <x:v>No additional flag</x:v>
      </x:c>
      <x:c r="X82" s="83" t="str">
        <x:v>No structural flag</x:v>
      </x:c>
      <x:c r="Y82" s="83" t="str">
        <x:v>Not Yet Reviewed</x:v>
      </x:c>
      <x:c r="Z82" s="83" t="str">
        <x:v>CTA LCSW Workbook 5</x:v>
      </x:c>
      <x:c r="AA82" s="83" t="str">
        <x:v>CTA_LCSW_WB5_17_Question_Bank_v1.0.docx</x:v>
      </x:c>
      <x:c r="AB82" s="83" t="str">
        <x:v>1.0</x:v>
      </x:c>
      <x:c r="AC82" s="102"/>
      <x:c r="AD82" s="102" t="n">
        <x:v>46228</x:v>
      </x:c>
      <x:c r="AE82" s="83" t="str"/>
      <x:c r="AF82" s="89" t="str">
        <x:v>Workbook bank; reserve pool after controlled review</x:v>
      </x:c>
    </x:row>
    <x:row r="83">
      <x:c r="A83" s="88" t="str">
        <x:v>CTA-LCSW-MQB-0082</x:v>
      </x:c>
      <x:c r="B83" s="83" t="str">
        <x:v>LCSW-WB05-QB-Q014</x:v>
      </x:c>
      <x:c r="C83" s="83" t="str">
        <x:v>LCSW</x:v>
      </x:c>
      <x:c r="D83" s="83" t="str">
        <x:v>Workbook Question Bank</x:v>
      </x:c>
      <x:c r="E83" s="83" t="n">
        <x:v>5</x:v>
      </x:c>
      <x:c r="F83" s="83" t="str">
        <x:v>Diagnosis, Medical Factors, and Psychopharmacology</x:v>
      </x:c>
      <x:c r="G83" s="83"/>
      <x:c r="H83" s="83" t="n">
        <x:v>14</x:v>
      </x:c>
      <x:c r="I83" s="83" t="str">
        <x:v>Workbook Bank</x:v>
      </x:c>
      <x:c r="J83" s="83" t="str">
        <x:v>II. Assessment and Planning</x:v>
      </x:c>
      <x:c r="K83" s="83" t="str">
        <x:v>Grief, depression, cognition, and placement</x:v>
      </x:c>
      <x:c r="L83" s="83" t="str"/>
      <x:c r="M83" s="83" t="str">
        <x:v>Difficult</x:v>
      </x:c>
      <x:c r="N83" s="83" t="str">
        <x:v>Difficult</x:v>
      </x:c>
      <x:c r="O83" s="83" t="str">
        <x:v>Integrated Clinical Reasoning</x:v>
      </x:c>
      <x:c r="P83" s="83" t="str">
        <x:v>Integrated Clinical Reasoning</x:v>
      </x:c>
      <x:c r="Q83" s="83" t="n">
        <x:v>3</x:v>
      </x:c>
      <x:c r="R83" s="83" t="str">
        <x:v>B</x:v>
      </x:c>
      <x:c r="S83" s="83" t="str">
        <x:v>Approved</x:v>
      </x:c>
      <x:c r="T83" s="83" t="str">
        <x:v>Active</x:v>
      </x:c>
      <x:c r="U83" s="83" t="n">
        <x:v>1</x:v>
      </x:c>
      <x:c r="V83" s="83" t="str"/>
      <x:c r="W83" s="83" t="str">
        <x:v>No additional flag</x:v>
      </x:c>
      <x:c r="X83" s="83" t="str">
        <x:v>No structural flag</x:v>
      </x:c>
      <x:c r="Y83" s="83" t="str">
        <x:v>Not Yet Reviewed</x:v>
      </x:c>
      <x:c r="Z83" s="83" t="str">
        <x:v>CTA LCSW Workbook 5</x:v>
      </x:c>
      <x:c r="AA83" s="83" t="str">
        <x:v>CTA_LCSW_WB5_17_Question_Bank_v1.0.docx</x:v>
      </x:c>
      <x:c r="AB83" s="83" t="str">
        <x:v>1.0</x:v>
      </x:c>
      <x:c r="AC83" s="102"/>
      <x:c r="AD83" s="102" t="n">
        <x:v>46228</x:v>
      </x:c>
      <x:c r="AE83" s="83" t="str"/>
      <x:c r="AF83" s="89" t="str">
        <x:v>Workbook bank; reserve pool after controlled review</x:v>
      </x:c>
    </x:row>
    <x:row r="84">
      <x:c r="A84" s="88" t="str">
        <x:v>CTA-LCSW-MQB-0083</x:v>
      </x:c>
      <x:c r="B84" s="83" t="str">
        <x:v>LCSW-WB05-QB-Q015</x:v>
      </x:c>
      <x:c r="C84" s="83" t="str">
        <x:v>LCSW</x:v>
      </x:c>
      <x:c r="D84" s="83" t="str">
        <x:v>Workbook Question Bank</x:v>
      </x:c>
      <x:c r="E84" s="83" t="n">
        <x:v>5</x:v>
      </x:c>
      <x:c r="F84" s="83" t="str">
        <x:v>Diagnosis, Medical Factors, and Psychopharmacology</x:v>
      </x:c>
      <x:c r="G84" s="83"/>
      <x:c r="H84" s="83" t="n">
        <x:v>15</x:v>
      </x:c>
      <x:c r="I84" s="83" t="str">
        <x:v>Workbook Bank</x:v>
      </x:c>
      <x:c r="J84" s="83" t="str">
        <x:v>II. Assessment and Planning</x:v>
      </x:c>
      <x:c r="K84" s="83" t="str">
        <x:v>Pregnancy and medication coordination</x:v>
      </x:c>
      <x:c r="L84" s="83" t="str"/>
      <x:c r="M84" s="83" t="str">
        <x:v>Difficult</x:v>
      </x:c>
      <x:c r="N84" s="83" t="str">
        <x:v>Difficult</x:v>
      </x:c>
      <x:c r="O84" s="83" t="str">
        <x:v>Integrated Clinical Reasoning</x:v>
      </x:c>
      <x:c r="P84" s="83" t="str">
        <x:v>Integrated Clinical Reasoning</x:v>
      </x:c>
      <x:c r="Q84" s="83" t="n">
        <x:v>4</x:v>
      </x:c>
      <x:c r="R84" s="83" t="str">
        <x:v>C</x:v>
      </x:c>
      <x:c r="S84" s="83" t="str">
        <x:v>Approved</x:v>
      </x:c>
      <x:c r="T84" s="83" t="str">
        <x:v>Active</x:v>
      </x:c>
      <x:c r="U84" s="83" t="n">
        <x:v>1</x:v>
      </x:c>
      <x:c r="V84" s="83" t="str"/>
      <x:c r="W84" s="83" t="str">
        <x:v>No additional flag</x:v>
      </x:c>
      <x:c r="X84" s="83" t="str">
        <x:v>No structural flag</x:v>
      </x:c>
      <x:c r="Y84" s="83" t="str">
        <x:v>Not Yet Reviewed</x:v>
      </x:c>
      <x:c r="Z84" s="83" t="str">
        <x:v>CTA LCSW Workbook 5</x:v>
      </x:c>
      <x:c r="AA84" s="83" t="str">
        <x:v>CTA_LCSW_WB5_17_Question_Bank_v1.0.docx</x:v>
      </x:c>
      <x:c r="AB84" s="83" t="str">
        <x:v>1.0</x:v>
      </x:c>
      <x:c r="AC84" s="102"/>
      <x:c r="AD84" s="102" t="n">
        <x:v>46228</x:v>
      </x:c>
      <x:c r="AE84" s="83" t="str"/>
      <x:c r="AF84" s="89" t="str">
        <x:v>Workbook bank; reserve pool after controlled review</x:v>
      </x:c>
    </x:row>
    <x:row r="85">
      <x:c r="A85" s="88" t="str">
        <x:v>CTA-LCSW-MQB-0084</x:v>
      </x:c>
      <x:c r="B85" s="83" t="str">
        <x:v>LCSW-WB05-QB-Q016</x:v>
      </x:c>
      <x:c r="C85" s="83" t="str">
        <x:v>LCSW</x:v>
      </x:c>
      <x:c r="D85" s="83" t="str">
        <x:v>Workbook Question Bank</x:v>
      </x:c>
      <x:c r="E85" s="83" t="n">
        <x:v>5</x:v>
      </x:c>
      <x:c r="F85" s="83" t="str">
        <x:v>Diagnosis, Medical Factors, and Psychopharmacology</x:v>
      </x:c>
      <x:c r="G85" s="83"/>
      <x:c r="H85" s="83" t="n">
        <x:v>16</x:v>
      </x:c>
      <x:c r="I85" s="83" t="str">
        <x:v>Workbook Bank</x:v>
      </x:c>
      <x:c r="J85" s="83" t="str">
        <x:v>II. Assessment and Planning</x:v>
      </x:c>
      <x:c r="K85" s="83" t="str">
        <x:v>Overdose, parenting, readiness, and concrete needs</x:v>
      </x:c>
      <x:c r="L85" s="83" t="str"/>
      <x:c r="M85" s="83" t="str">
        <x:v>Difficult</x:v>
      </x:c>
      <x:c r="N85" s="83" t="str">
        <x:v>Difficult</x:v>
      </x:c>
      <x:c r="O85" s="83" t="str">
        <x:v>Integrated Clinical Reasoning</x:v>
      </x:c>
      <x:c r="P85" s="83" t="str">
        <x:v>Integrated Clinical Reasoning</x:v>
      </x:c>
      <x:c r="Q85" s="83" t="n">
        <x:v>4</x:v>
      </x:c>
      <x:c r="R85" s="83" t="str">
        <x:v>D</x:v>
      </x:c>
      <x:c r="S85" s="83" t="str">
        <x:v>Approved</x:v>
      </x:c>
      <x:c r="T85" s="83" t="str">
        <x:v>Active</x:v>
      </x:c>
      <x:c r="U85" s="83" t="n">
        <x:v>1</x:v>
      </x:c>
      <x:c r="V85" s="83" t="str"/>
      <x:c r="W85" s="83" t="str">
        <x:v>No additional flag</x:v>
      </x:c>
      <x:c r="X85" s="83" t="str">
        <x:v>No structural flag</x:v>
      </x:c>
      <x:c r="Y85" s="83" t="str">
        <x:v>Not Yet Reviewed</x:v>
      </x:c>
      <x:c r="Z85" s="83" t="str">
        <x:v>CTA LCSW Workbook 5</x:v>
      </x:c>
      <x:c r="AA85" s="83" t="str">
        <x:v>CTA_LCSW_WB5_17_Question_Bank_v1.0.docx</x:v>
      </x:c>
      <x:c r="AB85" s="83" t="str">
        <x:v>1.0</x:v>
      </x:c>
      <x:c r="AC85" s="102"/>
      <x:c r="AD85" s="102" t="n">
        <x:v>46228</x:v>
      </x:c>
      <x:c r="AE85" s="83" t="str"/>
      <x:c r="AF85" s="89" t="str">
        <x:v>Workbook bank; reserve pool after controlled review</x:v>
      </x:c>
    </x:row>
    <x:row r="86">
      <x:c r="A86" s="88" t="str">
        <x:v>CTA-LCSW-MQB-0085</x:v>
      </x:c>
      <x:c r="B86" s="83" t="str">
        <x:v>LCSW-WB05-QB-Q017</x:v>
      </x:c>
      <x:c r="C86" s="83" t="str">
        <x:v>LCSW</x:v>
      </x:c>
      <x:c r="D86" s="83" t="str">
        <x:v>Workbook Question Bank</x:v>
      </x:c>
      <x:c r="E86" s="83" t="n">
        <x:v>5</x:v>
      </x:c>
      <x:c r="F86" s="83" t="str">
        <x:v>Diagnosis, Medical Factors, and Psychopharmacology</x:v>
      </x:c>
      <x:c r="G86" s="83"/>
      <x:c r="H86" s="83" t="n">
        <x:v>17</x:v>
      </x:c>
      <x:c r="I86" s="83" t="str">
        <x:v>Workbook Bank</x:v>
      </x:c>
      <x:c r="J86" s="83" t="str">
        <x:v>II. Assessment and Planning</x:v>
      </x:c>
      <x:c r="K86" s="83" t="str">
        <x:v>Integrated health, depression, and access barriers</x:v>
      </x:c>
      <x:c r="L86" s="83" t="str"/>
      <x:c r="M86" s="83" t="str">
        <x:v>Difficult</x:v>
      </x:c>
      <x:c r="N86" s="83" t="str">
        <x:v>Difficult</x:v>
      </x:c>
      <x:c r="O86" s="83" t="str">
        <x:v>Integrated Clinical Reasoning</x:v>
      </x:c>
      <x:c r="P86" s="83" t="str">
        <x:v>Integrated Clinical Reasoning</x:v>
      </x:c>
      <x:c r="Q86" s="83" t="n">
        <x:v>3</x:v>
      </x:c>
      <x:c r="R86" s="83" t="str">
        <x:v>A</x:v>
      </x:c>
      <x:c r="S86" s="83" t="str">
        <x:v>Approved</x:v>
      </x:c>
      <x:c r="T86" s="83" t="str">
        <x:v>Active</x:v>
      </x:c>
      <x:c r="U86" s="83" t="n">
        <x:v>1</x:v>
      </x:c>
      <x:c r="V86" s="83" t="str"/>
      <x:c r="W86" s="83" t="str">
        <x:v>No additional flag</x:v>
      </x:c>
      <x:c r="X86" s="83" t="str">
        <x:v>No structural flag</x:v>
      </x:c>
      <x:c r="Y86" s="83" t="str">
        <x:v>Not Yet Reviewed</x:v>
      </x:c>
      <x:c r="Z86" s="83" t="str">
        <x:v>CTA LCSW Workbook 5</x:v>
      </x:c>
      <x:c r="AA86" s="83" t="str">
        <x:v>CTA_LCSW_WB5_17_Question_Bank_v1.0.docx</x:v>
      </x:c>
      <x:c r="AB86" s="83" t="str">
        <x:v>1.0</x:v>
      </x:c>
      <x:c r="AC86" s="102"/>
      <x:c r="AD86" s="102" t="n">
        <x:v>46228</x:v>
      </x:c>
      <x:c r="AE86" s="83" t="str"/>
      <x:c r="AF86" s="89" t="str">
        <x:v>Workbook bank; reserve pool after controlled review</x:v>
      </x:c>
    </x:row>
    <x:row r="87">
      <x:c r="A87" s="88" t="str">
        <x:v>CTA-LCSW-MQB-0086</x:v>
      </x:c>
      <x:c r="B87" s="83" t="str">
        <x:v>LCSW-WB06-QB-Q001</x:v>
      </x:c>
      <x:c r="C87" s="83" t="str">
        <x:v>LCSW</x:v>
      </x:c>
      <x:c r="D87" s="83" t="str">
        <x:v>Workbook Question Bank</x:v>
      </x:c>
      <x:c r="E87" s="83" t="n">
        <x:v>6</x:v>
      </x:c>
      <x:c r="F87" s="83" t="str">
        <x:v>Crisis, Abuse, and Risk Assessment</x:v>
      </x:c>
      <x:c r="G87" s="83"/>
      <x:c r="H87" s="83" t="n">
        <x:v>1</x:v>
      </x:c>
      <x:c r="I87" s="83" t="str">
        <x:v>Workbook Bank</x:v>
      </x:c>
      <x:c r="J87" s="83" t="str">
        <x:v>II. Assessment and Planning</x:v>
      </x:c>
      <x:c r="K87" s="83" t="str">
        <x:v>National jurisdiction discipline</x:v>
      </x:c>
      <x:c r="L87" s="83" t="str"/>
      <x:c r="M87" s="83" t="str">
        <x:v>Easy</x:v>
      </x:c>
      <x:c r="N87" s="83" t="str">
        <x:v>Easy</x:v>
      </x:c>
      <x:c r="O87" s="83" t="str">
        <x:v>Knowledge &amp; Recall</x:v>
      </x:c>
      <x:c r="P87" s="83" t="str">
        <x:v>Knowledge &amp; Recall</x:v>
      </x:c>
      <x:c r="Q87" s="83" t="n">
        <x:v>3</x:v>
      </x:c>
      <x:c r="R87" s="83" t="str">
        <x:v>B</x:v>
      </x:c>
      <x:c r="S87" s="83" t="str">
        <x:v>Approved</x:v>
      </x:c>
      <x:c r="T87" s="83" t="str">
        <x:v>Active</x:v>
      </x:c>
      <x:c r="U87" s="83" t="n">
        <x:v>1</x:v>
      </x:c>
      <x:c r="V87" s="83" t="str"/>
      <x:c r="W87" s="83" t="str">
        <x:v>No additional flag</x:v>
      </x:c>
      <x:c r="X87" s="83" t="str">
        <x:v>No structural flag</x:v>
      </x:c>
      <x:c r="Y87" s="83" t="str">
        <x:v>Not Yet Reviewed</x:v>
      </x:c>
      <x:c r="Z87" s="83" t="str">
        <x:v>CTA LCSW Workbook 6</x:v>
      </x:c>
      <x:c r="AA87" s="83" t="str">
        <x:v>CTA_LCSW_WB6_17_Question_Bank_v1.0.docx</x:v>
      </x:c>
      <x:c r="AB87" s="83" t="str">
        <x:v>1.0</x:v>
      </x:c>
      <x:c r="AC87" s="102"/>
      <x:c r="AD87" s="102" t="n">
        <x:v>46228</x:v>
      </x:c>
      <x:c r="AE87" s="83" t="str"/>
      <x:c r="AF87" s="89" t="str">
        <x:v>Workbook bank; reserve pool after controlled review</x:v>
      </x:c>
    </x:row>
    <x:row r="88">
      <x:c r="A88" s="88" t="str">
        <x:v>CTA-LCSW-MQB-0087</x:v>
      </x:c>
      <x:c r="B88" s="83" t="str">
        <x:v>LCSW-WB06-QB-Q002</x:v>
      </x:c>
      <x:c r="C88" s="83" t="str">
        <x:v>LCSW</x:v>
      </x:c>
      <x:c r="D88" s="83" t="str">
        <x:v>Workbook Question Bank</x:v>
      </x:c>
      <x:c r="E88" s="83" t="n">
        <x:v>6</x:v>
      </x:c>
      <x:c r="F88" s="83" t="str">
        <x:v>Crisis, Abuse, and Risk Assessment</x:v>
      </x:c>
      <x:c r="G88" s="83"/>
      <x:c r="H88" s="83" t="n">
        <x:v>2</x:v>
      </x:c>
      <x:c r="I88" s="83" t="str">
        <x:v>Workbook Bank</x:v>
      </x:c>
      <x:c r="J88" s="83" t="str">
        <x:v>II. Assessment and Planning</x:v>
      </x:c>
      <x:c r="K88" s="83" t="str">
        <x:v>Person-in-environment referral feasibility</x:v>
      </x:c>
      <x:c r="L88" s="83" t="str"/>
      <x:c r="M88" s="83" t="str">
        <x:v>Easy</x:v>
      </x:c>
      <x:c r="N88" s="83" t="str">
        <x:v>Easy</x:v>
      </x:c>
      <x:c r="O88" s="83" t="str">
        <x:v>Application</x:v>
      </x:c>
      <x:c r="P88" s="83" t="str">
        <x:v>Application</x:v>
      </x:c>
      <x:c r="Q88" s="83" t="n">
        <x:v>3</x:v>
      </x:c>
      <x:c r="R88" s="83" t="str">
        <x:v>A</x:v>
      </x:c>
      <x:c r="S88" s="83" t="str">
        <x:v>Approved</x:v>
      </x:c>
      <x:c r="T88" s="83" t="str">
        <x:v>Active</x:v>
      </x:c>
      <x:c r="U88" s="83" t="n">
        <x:v>1</x:v>
      </x:c>
      <x:c r="V88" s="83" t="str"/>
      <x:c r="W88" s="83" t="str">
        <x:v>No additional flag</x:v>
      </x:c>
      <x:c r="X88" s="83" t="str">
        <x:v>No structural flag</x:v>
      </x:c>
      <x:c r="Y88" s="83" t="str">
        <x:v>Not Yet Reviewed</x:v>
      </x:c>
      <x:c r="Z88" s="83" t="str">
        <x:v>CTA LCSW Workbook 6</x:v>
      </x:c>
      <x:c r="AA88" s="83" t="str">
        <x:v>CTA_LCSW_WB6_17_Question_Bank_v1.0.docx</x:v>
      </x:c>
      <x:c r="AB88" s="83" t="str">
        <x:v>1.0</x:v>
      </x:c>
      <x:c r="AC88" s="102"/>
      <x:c r="AD88" s="102" t="n">
        <x:v>46228</x:v>
      </x:c>
      <x:c r="AE88" s="83" t="str"/>
      <x:c r="AF88" s="89" t="str">
        <x:v>Workbook bank; reserve pool after controlled review</x:v>
      </x:c>
    </x:row>
    <x:row r="89">
      <x:c r="A89" s="88" t="str">
        <x:v>CTA-LCSW-MQB-0088</x:v>
      </x:c>
      <x:c r="B89" s="83" t="str">
        <x:v>LCSW-WB06-QB-Q003</x:v>
      </x:c>
      <x:c r="C89" s="83" t="str">
        <x:v>LCSW</x:v>
      </x:c>
      <x:c r="D89" s="83" t="str">
        <x:v>Workbook Question Bank</x:v>
      </x:c>
      <x:c r="E89" s="83" t="n">
        <x:v>6</x:v>
      </x:c>
      <x:c r="F89" s="83" t="str">
        <x:v>Crisis, Abuse, and Risk Assessment</x:v>
      </x:c>
      <x:c r="G89" s="83"/>
      <x:c r="H89" s="83" t="n">
        <x:v>3</x:v>
      </x:c>
      <x:c r="I89" s="83" t="str">
        <x:v>Workbook Bank</x:v>
      </x:c>
      <x:c r="J89" s="83" t="str">
        <x:v>II. Assessment and Planning</x:v>
      </x:c>
      <x:c r="K89" s="83" t="str">
        <x:v>Least restrictive safe response</x:v>
      </x:c>
      <x:c r="L89" s="83" t="str"/>
      <x:c r="M89" s="83" t="str">
        <x:v>Easy</x:v>
      </x:c>
      <x:c r="N89" s="83" t="str">
        <x:v>Easy</x:v>
      </x:c>
      <x:c r="O89" s="83" t="str">
        <x:v>Knowledge &amp; Recall</x:v>
      </x:c>
      <x:c r="P89" s="83" t="str">
        <x:v>Knowledge &amp; Recall</x:v>
      </x:c>
      <x:c r="Q89" s="83" t="n">
        <x:v>4</x:v>
      </x:c>
      <x:c r="R89" s="83" t="str">
        <x:v>C</x:v>
      </x:c>
      <x:c r="S89" s="83" t="str">
        <x:v>Approved</x:v>
      </x:c>
      <x:c r="T89" s="83" t="str">
        <x:v>Active</x:v>
      </x:c>
      <x:c r="U89" s="83" t="n">
        <x:v>1</x:v>
      </x:c>
      <x:c r="V89" s="83" t="str"/>
      <x:c r="W89" s="83" t="str">
        <x:v>No additional flag</x:v>
      </x:c>
      <x:c r="X89" s="83" t="str">
        <x:v>No structural flag</x:v>
      </x:c>
      <x:c r="Y89" s="83" t="str">
        <x:v>Not Yet Reviewed</x:v>
      </x:c>
      <x:c r="Z89" s="83" t="str">
        <x:v>CTA LCSW Workbook 6</x:v>
      </x:c>
      <x:c r="AA89" s="83" t="str">
        <x:v>CTA_LCSW_WB6_17_Question_Bank_v1.0.docx</x:v>
      </x:c>
      <x:c r="AB89" s="83" t="str">
        <x:v>1.0</x:v>
      </x:c>
      <x:c r="AC89" s="102"/>
      <x:c r="AD89" s="102" t="n">
        <x:v>46228</x:v>
      </x:c>
      <x:c r="AE89" s="83" t="str"/>
      <x:c r="AF89" s="89" t="str">
        <x:v>Workbook bank; reserve pool after controlled review</x:v>
      </x:c>
    </x:row>
    <x:row r="90">
      <x:c r="A90" s="88" t="str">
        <x:v>CTA-LCSW-MQB-0089</x:v>
      </x:c>
      <x:c r="B90" s="83" t="str">
        <x:v>LCSW-WB06-QB-Q004</x:v>
      </x:c>
      <x:c r="C90" s="83" t="str">
        <x:v>LCSW</x:v>
      </x:c>
      <x:c r="D90" s="83" t="str">
        <x:v>Workbook Question Bank</x:v>
      </x:c>
      <x:c r="E90" s="83" t="n">
        <x:v>6</x:v>
      </x:c>
      <x:c r="F90" s="83" t="str">
        <x:v>Crisis, Abuse, and Risk Assessment</x:v>
      </x:c>
      <x:c r="G90" s="83"/>
      <x:c r="H90" s="83" t="n">
        <x:v>4</x:v>
      </x:c>
      <x:c r="I90" s="83" t="str">
        <x:v>Workbook Bank</x:v>
      </x:c>
      <x:c r="J90" s="83" t="str">
        <x:v>II. Assessment and Planning</x:v>
      </x:c>
      <x:c r="K90" s="83" t="str">
        <x:v>Possible overdose</x:v>
      </x:c>
      <x:c r="L90" s="83" t="str"/>
      <x:c r="M90" s="83" t="str">
        <x:v>Easy</x:v>
      </x:c>
      <x:c r="N90" s="83" t="str">
        <x:v>Easy</x:v>
      </x:c>
      <x:c r="O90" s="83" t="str">
        <x:v>Application</x:v>
      </x:c>
      <x:c r="P90" s="83" t="str">
        <x:v>Application</x:v>
      </x:c>
      <x:c r="Q90" s="83" t="n">
        <x:v>4</x:v>
      </x:c>
      <x:c r="R90" s="83" t="str">
        <x:v>D</x:v>
      </x:c>
      <x:c r="S90" s="83" t="str">
        <x:v>Approved</x:v>
      </x:c>
      <x:c r="T90" s="83" t="str">
        <x:v>Active</x:v>
      </x:c>
      <x:c r="U90" s="83" t="n">
        <x:v>1</x:v>
      </x:c>
      <x:c r="V90" s="83" t="str"/>
      <x:c r="W90" s="83" t="str">
        <x:v>No additional flag</x:v>
      </x:c>
      <x:c r="X90" s="83" t="str">
        <x:v>No structural flag</x:v>
      </x:c>
      <x:c r="Y90" s="83" t="str">
        <x:v>Not Yet Reviewed</x:v>
      </x:c>
      <x:c r="Z90" s="83" t="str">
        <x:v>CTA LCSW Workbook 6</x:v>
      </x:c>
      <x:c r="AA90" s="83" t="str">
        <x:v>CTA_LCSW_WB6_17_Question_Bank_v1.0.docx</x:v>
      </x:c>
      <x:c r="AB90" s="83" t="str">
        <x:v>1.0</x:v>
      </x:c>
      <x:c r="AC90" s="102"/>
      <x:c r="AD90" s="102" t="n">
        <x:v>46228</x:v>
      </x:c>
      <x:c r="AE90" s="83" t="str"/>
      <x:c r="AF90" s="89" t="str">
        <x:v>Workbook bank; reserve pool after controlled review</x:v>
      </x:c>
    </x:row>
    <x:row r="91">
      <x:c r="A91" s="88" t="str">
        <x:v>CTA-LCSW-MQB-0090</x:v>
      </x:c>
      <x:c r="B91" s="83" t="str">
        <x:v>LCSW-WB06-QB-Q005</x:v>
      </x:c>
      <x:c r="C91" s="83" t="str">
        <x:v>LCSW</x:v>
      </x:c>
      <x:c r="D91" s="83" t="str">
        <x:v>Workbook Question Bank</x:v>
      </x:c>
      <x:c r="E91" s="83" t="n">
        <x:v>6</x:v>
      </x:c>
      <x:c r="F91" s="83" t="str">
        <x:v>Crisis, Abuse, and Risk Assessment</x:v>
      </x:c>
      <x:c r="G91" s="83"/>
      <x:c r="H91" s="83" t="n">
        <x:v>5</x:v>
      </x:c>
      <x:c r="I91" s="83" t="str">
        <x:v>Workbook Bank</x:v>
      </x:c>
      <x:c r="J91" s="83" t="str">
        <x:v>II. Assessment and Planning</x:v>
      </x:c>
      <x:c r="K91" s="83" t="str">
        <x:v>No-harm promise limitation</x:v>
      </x:c>
      <x:c r="L91" s="83" t="str"/>
      <x:c r="M91" s="83" t="str">
        <x:v>Easy</x:v>
      </x:c>
      <x:c r="N91" s="83" t="str">
        <x:v>Easy</x:v>
      </x:c>
      <x:c r="O91" s="83" t="str">
        <x:v>Knowledge &amp; Recall</x:v>
      </x:c>
      <x:c r="P91" s="83" t="str">
        <x:v>Knowledge &amp; Recall</x:v>
      </x:c>
      <x:c r="Q91" s="83" t="n">
        <x:v>3</x:v>
      </x:c>
      <x:c r="R91" s="83" t="str">
        <x:v>A</x:v>
      </x:c>
      <x:c r="S91" s="83" t="str">
        <x:v>Approved</x:v>
      </x:c>
      <x:c r="T91" s="83" t="str">
        <x:v>Active</x:v>
      </x:c>
      <x:c r="U91" s="83" t="n">
        <x:v>1</x:v>
      </x:c>
      <x:c r="V91" s="83" t="str"/>
      <x:c r="W91" s="83" t="str">
        <x:v>No additional flag</x:v>
      </x:c>
      <x:c r="X91" s="83" t="str">
        <x:v>No structural flag</x:v>
      </x:c>
      <x:c r="Y91" s="83" t="str">
        <x:v>Not Yet Reviewed</x:v>
      </x:c>
      <x:c r="Z91" s="83" t="str">
        <x:v>CTA LCSW Workbook 6</x:v>
      </x:c>
      <x:c r="AA91" s="83" t="str">
        <x:v>CTA_LCSW_WB6_17_Question_Bank_v1.0.docx</x:v>
      </x:c>
      <x:c r="AB91" s="83" t="str">
        <x:v>1.0</x:v>
      </x:c>
      <x:c r="AC91" s="102"/>
      <x:c r="AD91" s="102" t="n">
        <x:v>46228</x:v>
      </x:c>
      <x:c r="AE91" s="83" t="str"/>
      <x:c r="AF91" s="89" t="str">
        <x:v>Workbook bank; reserve pool after controlled review</x:v>
      </x:c>
    </x:row>
    <x:row r="92">
      <x:c r="A92" s="88" t="str">
        <x:v>CTA-LCSW-MQB-0091</x:v>
      </x:c>
      <x:c r="B92" s="83" t="str">
        <x:v>LCSW-WB06-QB-Q006</x:v>
      </x:c>
      <x:c r="C92" s="83" t="str">
        <x:v>LCSW</x:v>
      </x:c>
      <x:c r="D92" s="83" t="str">
        <x:v>Workbook Question Bank</x:v>
      </x:c>
      <x:c r="E92" s="83" t="n">
        <x:v>6</x:v>
      </x:c>
      <x:c r="F92" s="83" t="str">
        <x:v>Crisis, Abuse, and Risk Assessment</x:v>
      </x:c>
      <x:c r="G92" s="83"/>
      <x:c r="H92" s="83" t="n">
        <x:v>6</x:v>
      </x:c>
      <x:c r="I92" s="83" t="str">
        <x:v>Workbook Bank</x:v>
      </x:c>
      <x:c r="J92" s="83" t="str">
        <x:v>II. Assessment and Planning</x:v>
      </x:c>
      <x:c r="K92" s="83" t="str">
        <x:v>Suicide risk and housing stress</x:v>
      </x:c>
      <x:c r="L92" s="83" t="str"/>
      <x:c r="M92" s="83" t="str">
        <x:v>Moderate</x:v>
      </x:c>
      <x:c r="N92" s="83" t="str">
        <x:v>Moderate</x:v>
      </x:c>
      <x:c r="O92" s="83" t="str">
        <x:v>Scenario-Based</x:v>
      </x:c>
      <x:c r="P92" s="83" t="str">
        <x:v>Scenario-Based</x:v>
      </x:c>
      <x:c r="Q92" s="83" t="n">
        <x:v>3</x:v>
      </x:c>
      <x:c r="R92" s="83" t="str">
        <x:v>B</x:v>
      </x:c>
      <x:c r="S92" s="83" t="str">
        <x:v>Approved</x:v>
      </x:c>
      <x:c r="T92" s="83" t="str">
        <x:v>Active</x:v>
      </x:c>
      <x:c r="U92" s="83" t="n">
        <x:v>1</x:v>
      </x:c>
      <x:c r="V92" s="83" t="str"/>
      <x:c r="W92" s="83" t="str">
        <x:v>No additional flag</x:v>
      </x:c>
      <x:c r="X92" s="83" t="str">
        <x:v>No structural flag</x:v>
      </x:c>
      <x:c r="Y92" s="83" t="str">
        <x:v>Not Yet Reviewed</x:v>
      </x:c>
      <x:c r="Z92" s="83" t="str">
        <x:v>CTA LCSW Workbook 6</x:v>
      </x:c>
      <x:c r="AA92" s="83" t="str">
        <x:v>CTA_LCSW_WB6_17_Question_Bank_v1.0.docx</x:v>
      </x:c>
      <x:c r="AB92" s="83" t="str">
        <x:v>1.0</x:v>
      </x:c>
      <x:c r="AC92" s="102"/>
      <x:c r="AD92" s="102" t="n">
        <x:v>46228</x:v>
      </x:c>
      <x:c r="AE92" s="83" t="str"/>
      <x:c r="AF92" s="89" t="str">
        <x:v>Workbook bank; reserve pool after controlled review</x:v>
      </x:c>
    </x:row>
    <x:row r="93">
      <x:c r="A93" s="88" t="str">
        <x:v>CTA-LCSW-MQB-0092</x:v>
      </x:c>
      <x:c r="B93" s="83" t="str">
        <x:v>LCSW-WB06-QB-Q007</x:v>
      </x:c>
      <x:c r="C93" s="83" t="str">
        <x:v>LCSW</x:v>
      </x:c>
      <x:c r="D93" s="83" t="str">
        <x:v>Workbook Question Bank</x:v>
      </x:c>
      <x:c r="E93" s="83" t="n">
        <x:v>6</x:v>
      </x:c>
      <x:c r="F93" s="83" t="str">
        <x:v>Crisis, Abuse, and Risk Assessment</x:v>
      </x:c>
      <x:c r="G93" s="83"/>
      <x:c r="H93" s="83" t="n">
        <x:v>7</x:v>
      </x:c>
      <x:c r="I93" s="83" t="str">
        <x:v>Workbook Bank</x:v>
      </x:c>
      <x:c r="J93" s="83" t="str">
        <x:v>II. Assessment and Planning</x:v>
      </x:c>
      <x:c r="K93" s="83" t="str">
        <x:v>Capacity and medical danger</x:v>
      </x:c>
      <x:c r="L93" s="83" t="str"/>
      <x:c r="M93" s="83" t="str">
        <x:v>Moderate</x:v>
      </x:c>
      <x:c r="N93" s="83" t="str">
        <x:v>Moderate</x:v>
      </x:c>
      <x:c r="O93" s="83" t="str">
        <x:v>Scenario-Based</x:v>
      </x:c>
      <x:c r="P93" s="83" t="str">
        <x:v>Scenario-Based</x:v>
      </x:c>
      <x:c r="Q93" s="83" t="n">
        <x:v>4</x:v>
      </x:c>
      <x:c r="R93" s="83" t="str">
        <x:v>C</x:v>
      </x:c>
      <x:c r="S93" s="83" t="str">
        <x:v>Approved</x:v>
      </x:c>
      <x:c r="T93" s="83" t="str">
        <x:v>Active</x:v>
      </x:c>
      <x:c r="U93" s="83" t="n">
        <x:v>1</x:v>
      </x:c>
      <x:c r="V93" s="83" t="str"/>
      <x:c r="W93" s="83" t="str">
        <x:v>No additional flag</x:v>
      </x:c>
      <x:c r="X93" s="83" t="str">
        <x:v>No structural flag</x:v>
      </x:c>
      <x:c r="Y93" s="83" t="str">
        <x:v>Not Yet Reviewed</x:v>
      </x:c>
      <x:c r="Z93" s="83" t="str">
        <x:v>CTA LCSW Workbook 6</x:v>
      </x:c>
      <x:c r="AA93" s="83" t="str">
        <x:v>CTA_LCSW_WB6_17_Question_Bank_v1.0.docx</x:v>
      </x:c>
      <x:c r="AB93" s="83" t="str">
        <x:v>1.0</x:v>
      </x:c>
      <x:c r="AC93" s="102"/>
      <x:c r="AD93" s="102" t="n">
        <x:v>46228</x:v>
      </x:c>
      <x:c r="AE93" s="83" t="str"/>
      <x:c r="AF93" s="89" t="str">
        <x:v>Workbook bank; reserve pool after controlled review</x:v>
      </x:c>
    </x:row>
    <x:row r="94">
      <x:c r="A94" s="88" t="str">
        <x:v>CTA-LCSW-MQB-0093</x:v>
      </x:c>
      <x:c r="B94" s="83" t="str">
        <x:v>LCSW-WB06-QB-Q008</x:v>
      </x:c>
      <x:c r="C94" s="83" t="str">
        <x:v>LCSW</x:v>
      </x:c>
      <x:c r="D94" s="83" t="str">
        <x:v>Workbook Question Bank</x:v>
      </x:c>
      <x:c r="E94" s="83" t="n">
        <x:v>6</x:v>
      </x:c>
      <x:c r="F94" s="83" t="str">
        <x:v>Crisis, Abuse, and Risk Assessment</x:v>
      </x:c>
      <x:c r="G94" s="83"/>
      <x:c r="H94" s="83" t="n">
        <x:v>8</x:v>
      </x:c>
      <x:c r="I94" s="83" t="str">
        <x:v>Workbook Bank</x:v>
      </x:c>
      <x:c r="J94" s="83" t="str">
        <x:v>II. Assessment and Planning</x:v>
      </x:c>
      <x:c r="K94" s="83" t="str">
        <x:v>IPV safety and self-determination</x:v>
      </x:c>
      <x:c r="L94" s="83" t="str"/>
      <x:c r="M94" s="83" t="str">
        <x:v>Moderate</x:v>
      </x:c>
      <x:c r="N94" s="83" t="str">
        <x:v>Moderate</x:v>
      </x:c>
      <x:c r="O94" s="83" t="str">
        <x:v>Application</x:v>
      </x:c>
      <x:c r="P94" s="83" t="str">
        <x:v>Application</x:v>
      </x:c>
      <x:c r="Q94" s="83" t="n">
        <x:v>4</x:v>
      </x:c>
      <x:c r="R94" s="83" t="str">
        <x:v>D</x:v>
      </x:c>
      <x:c r="S94" s="83" t="str">
        <x:v>Approved</x:v>
      </x:c>
      <x:c r="T94" s="83" t="str">
        <x:v>Active</x:v>
      </x:c>
      <x:c r="U94" s="83" t="n">
        <x:v>1</x:v>
      </x:c>
      <x:c r="V94" s="83" t="str"/>
      <x:c r="W94" s="83" t="str">
        <x:v>No additional flag</x:v>
      </x:c>
      <x:c r="X94" s="83" t="str">
        <x:v>No structural flag</x:v>
      </x:c>
      <x:c r="Y94" s="83" t="str">
        <x:v>Not Yet Reviewed</x:v>
      </x:c>
      <x:c r="Z94" s="83" t="str">
        <x:v>CTA LCSW Workbook 6</x:v>
      </x:c>
      <x:c r="AA94" s="83" t="str">
        <x:v>CTA_LCSW_WB6_17_Question_Bank_v1.0.docx</x:v>
      </x:c>
      <x:c r="AB94" s="83" t="str">
        <x:v>1.0</x:v>
      </x:c>
      <x:c r="AC94" s="102"/>
      <x:c r="AD94" s="102" t="n">
        <x:v>46228</x:v>
      </x:c>
      <x:c r="AE94" s="83" t="str"/>
      <x:c r="AF94" s="89" t="str">
        <x:v>Workbook bank; reserve pool after controlled review</x:v>
      </x:c>
    </x:row>
    <x:row r="95">
      <x:c r="A95" s="88" t="str">
        <x:v>CTA-LCSW-MQB-0094</x:v>
      </x:c>
      <x:c r="B95" s="83" t="str">
        <x:v>LCSW-WB06-QB-Q009</x:v>
      </x:c>
      <x:c r="C95" s="83" t="str">
        <x:v>LCSW</x:v>
      </x:c>
      <x:c r="D95" s="83" t="str">
        <x:v>Workbook Question Bank</x:v>
      </x:c>
      <x:c r="E95" s="83" t="n">
        <x:v>6</x:v>
      </x:c>
      <x:c r="F95" s="83" t="str">
        <x:v>Crisis, Abuse, and Risk Assessment</x:v>
      </x:c>
      <x:c r="G95" s="83"/>
      <x:c r="H95" s="83" t="n">
        <x:v>9</x:v>
      </x:c>
      <x:c r="I95" s="83" t="str">
        <x:v>Workbook Bank</x:v>
      </x:c>
      <x:c r="J95" s="83" t="str">
        <x:v>II. Assessment and Planning</x:v>
      </x:c>
      <x:c r="K95" s="83" t="str">
        <x:v>Supplied child-reporting law</x:v>
      </x:c>
      <x:c r="L95" s="83" t="str"/>
      <x:c r="M95" s="83" t="str">
        <x:v>Moderate</x:v>
      </x:c>
      <x:c r="N95" s="83" t="str">
        <x:v>Moderate</x:v>
      </x:c>
      <x:c r="O95" s="83" t="str">
        <x:v>Application</x:v>
      </x:c>
      <x:c r="P95" s="83" t="str">
        <x:v>Application</x:v>
      </x:c>
      <x:c r="Q95" s="83" t="n">
        <x:v>3</x:v>
      </x:c>
      <x:c r="R95" s="83" t="str">
        <x:v>A</x:v>
      </x:c>
      <x:c r="S95" s="83" t="str">
        <x:v>Approved</x:v>
      </x:c>
      <x:c r="T95" s="83" t="str">
        <x:v>Active</x:v>
      </x:c>
      <x:c r="U95" s="83" t="n">
        <x:v>1</x:v>
      </x:c>
      <x:c r="V95" s="83" t="str"/>
      <x:c r="W95" s="83" t="str">
        <x:v>No additional flag</x:v>
      </x:c>
      <x:c r="X95" s="83" t="str">
        <x:v>No structural flag</x:v>
      </x:c>
      <x:c r="Y95" s="83" t="str">
        <x:v>Not Yet Reviewed</x:v>
      </x:c>
      <x:c r="Z95" s="83" t="str">
        <x:v>CTA LCSW Workbook 6</x:v>
      </x:c>
      <x:c r="AA95" s="83" t="str">
        <x:v>CTA_LCSW_WB6_17_Question_Bank_v1.0.docx</x:v>
      </x:c>
      <x:c r="AB95" s="83" t="str">
        <x:v>1.0</x:v>
      </x:c>
      <x:c r="AC95" s="102"/>
      <x:c r="AD95" s="102" t="n">
        <x:v>46228</x:v>
      </x:c>
      <x:c r="AE95" s="83" t="str"/>
      <x:c r="AF95" s="89" t="str">
        <x:v>Workbook bank; reserve pool after controlled review</x:v>
      </x:c>
    </x:row>
    <x:row r="96">
      <x:c r="A96" s="88" t="str">
        <x:v>CTA-LCSW-MQB-0095</x:v>
      </x:c>
      <x:c r="B96" s="83" t="str">
        <x:v>LCSW-WB06-QB-Q010</x:v>
      </x:c>
      <x:c r="C96" s="83" t="str">
        <x:v>LCSW</x:v>
      </x:c>
      <x:c r="D96" s="83" t="str">
        <x:v>Workbook Question Bank</x:v>
      </x:c>
      <x:c r="E96" s="83" t="n">
        <x:v>6</x:v>
      </x:c>
      <x:c r="F96" s="83" t="str">
        <x:v>Crisis, Abuse, and Risk Assessment</x:v>
      </x:c>
      <x:c r="G96" s="83"/>
      <x:c r="H96" s="83" t="n">
        <x:v>10</x:v>
      </x:c>
      <x:c r="I96" s="83" t="str">
        <x:v>Workbook Bank</x:v>
      </x:c>
      <x:c r="J96" s="83" t="str">
        <x:v>II. Assessment and Planning</x:v>
      </x:c>
      <x:c r="K96" s="83" t="str">
        <x:v>Psychosis, homelessness, and outreach</x:v>
      </x:c>
      <x:c r="L96" s="83" t="str"/>
      <x:c r="M96" s="83" t="str">
        <x:v>Moderate</x:v>
      </x:c>
      <x:c r="N96" s="83" t="str">
        <x:v>Moderate</x:v>
      </x:c>
      <x:c r="O96" s="83" t="str">
        <x:v>Scenario-Based</x:v>
      </x:c>
      <x:c r="P96" s="83" t="str">
        <x:v>Scenario-Based</x:v>
      </x:c>
      <x:c r="Q96" s="83" t="n">
        <x:v>3</x:v>
      </x:c>
      <x:c r="R96" s="83" t="str">
        <x:v>B</x:v>
      </x:c>
      <x:c r="S96" s="83" t="str">
        <x:v>Approved</x:v>
      </x:c>
      <x:c r="T96" s="83" t="str">
        <x:v>Active</x:v>
      </x:c>
      <x:c r="U96" s="83" t="n">
        <x:v>1</x:v>
      </x:c>
      <x:c r="V96" s="83" t="str"/>
      <x:c r="W96" s="83" t="str">
        <x:v>No additional flag</x:v>
      </x:c>
      <x:c r="X96" s="83" t="str">
        <x:v>No structural flag</x:v>
      </x:c>
      <x:c r="Y96" s="83" t="str">
        <x:v>Not Yet Reviewed</x:v>
      </x:c>
      <x:c r="Z96" s="83" t="str">
        <x:v>CTA LCSW Workbook 6</x:v>
      </x:c>
      <x:c r="AA96" s="83" t="str">
        <x:v>CTA_LCSW_WB6_17_Question_Bank_v1.0.docx</x:v>
      </x:c>
      <x:c r="AB96" s="83" t="str">
        <x:v>1.0</x:v>
      </x:c>
      <x:c r="AC96" s="102"/>
      <x:c r="AD96" s="102" t="n">
        <x:v>46228</x:v>
      </x:c>
      <x:c r="AE96" s="83" t="str"/>
      <x:c r="AF96" s="89" t="str">
        <x:v>Workbook bank; reserve pool after controlled review</x:v>
      </x:c>
    </x:row>
    <x:row r="97">
      <x:c r="A97" s="88" t="str">
        <x:v>CTA-LCSW-MQB-0096</x:v>
      </x:c>
      <x:c r="B97" s="83" t="str">
        <x:v>LCSW-WB06-QB-Q011</x:v>
      </x:c>
      <x:c r="C97" s="83" t="str">
        <x:v>LCSW</x:v>
      </x:c>
      <x:c r="D97" s="83" t="str">
        <x:v>Workbook Question Bank</x:v>
      </x:c>
      <x:c r="E97" s="83" t="n">
        <x:v>6</x:v>
      </x:c>
      <x:c r="F97" s="83" t="str">
        <x:v>Crisis, Abuse, and Risk Assessment</x:v>
      </x:c>
      <x:c r="G97" s="83"/>
      <x:c r="H97" s="83" t="n">
        <x:v>11</x:v>
      </x:c>
      <x:c r="I97" s="83" t="str">
        <x:v>Workbook Bank</x:v>
      </x:c>
      <x:c r="J97" s="83" t="str">
        <x:v>II. Assessment and Planning</x:v>
      </x:c>
      <x:c r="K97" s="83" t="str">
        <x:v>Sexual violence, housing, and client choice</x:v>
      </x:c>
      <x:c r="L97" s="83" t="str"/>
      <x:c r="M97" s="83" t="str">
        <x:v>Moderate</x:v>
      </x:c>
      <x:c r="N97" s="83" t="str">
        <x:v>Moderate</x:v>
      </x:c>
      <x:c r="O97" s="83" t="str">
        <x:v>Scenario-Based</x:v>
      </x:c>
      <x:c r="P97" s="83" t="str">
        <x:v>Scenario-Based</x:v>
      </x:c>
      <x:c r="Q97" s="83" t="n">
        <x:v>3</x:v>
      </x:c>
      <x:c r="R97" s="83" t="str">
        <x:v>C</x:v>
      </x:c>
      <x:c r="S97" s="83" t="str">
        <x:v>Approved</x:v>
      </x:c>
      <x:c r="T97" s="83" t="str">
        <x:v>Active</x:v>
      </x:c>
      <x:c r="U97" s="83" t="n">
        <x:v>1</x:v>
      </x:c>
      <x:c r="V97" s="83" t="str"/>
      <x:c r="W97" s="83" t="str">
        <x:v>No additional flag</x:v>
      </x:c>
      <x:c r="X97" s="83" t="str">
        <x:v>No structural flag</x:v>
      </x:c>
      <x:c r="Y97" s="83" t="str">
        <x:v>Not Yet Reviewed</x:v>
      </x:c>
      <x:c r="Z97" s="83" t="str">
        <x:v>CTA LCSW Workbook 6</x:v>
      </x:c>
      <x:c r="AA97" s="83" t="str">
        <x:v>CTA_LCSW_WB6_17_Question_Bank_v1.0.docx</x:v>
      </x:c>
      <x:c r="AB97" s="83" t="str">
        <x:v>1.0</x:v>
      </x:c>
      <x:c r="AC97" s="102"/>
      <x:c r="AD97" s="102" t="n">
        <x:v>46228</x:v>
      </x:c>
      <x:c r="AE97" s="83" t="str"/>
      <x:c r="AF97" s="89" t="str">
        <x:v>Workbook bank; reserve pool after controlled review</x:v>
      </x:c>
    </x:row>
    <x:row r="98">
      <x:c r="A98" s="88" t="str">
        <x:v>CTA-LCSW-MQB-0097</x:v>
      </x:c>
      <x:c r="B98" s="83" t="str">
        <x:v>LCSW-WB06-QB-Q012</x:v>
      </x:c>
      <x:c r="C98" s="83" t="str">
        <x:v>LCSW</x:v>
      </x:c>
      <x:c r="D98" s="83" t="str">
        <x:v>Workbook Question Bank</x:v>
      </x:c>
      <x:c r="E98" s="83" t="n">
        <x:v>6</x:v>
      </x:c>
      <x:c r="F98" s="83" t="str">
        <x:v>Crisis, Abuse, and Risk Assessment</x:v>
      </x:c>
      <x:c r="G98" s="83"/>
      <x:c r="H98" s="83" t="n">
        <x:v>12</x:v>
      </x:c>
      <x:c r="I98" s="83" t="str">
        <x:v>Workbook Bank</x:v>
      </x:c>
      <x:c r="J98" s="83" t="str">
        <x:v>II. Assessment and Planning</x:v>
      </x:c>
      <x:c r="K98" s="83" t="str">
        <x:v>Disaster response and basic needs</x:v>
      </x:c>
      <x:c r="L98" s="83" t="str"/>
      <x:c r="M98" s="83" t="str">
        <x:v>Moderate</x:v>
      </x:c>
      <x:c r="N98" s="83" t="str">
        <x:v>Moderate</x:v>
      </x:c>
      <x:c r="O98" s="83" t="str">
        <x:v>Scenario-Based</x:v>
      </x:c>
      <x:c r="P98" s="83" t="str">
        <x:v>Scenario-Based</x:v>
      </x:c>
      <x:c r="Q98" s="83" t="n">
        <x:v>4</x:v>
      </x:c>
      <x:c r="R98" s="83" t="str">
        <x:v>D</x:v>
      </x:c>
      <x:c r="S98" s="83" t="str">
        <x:v>Approved</x:v>
      </x:c>
      <x:c r="T98" s="83" t="str">
        <x:v>Active</x:v>
      </x:c>
      <x:c r="U98" s="83" t="n">
        <x:v>1</x:v>
      </x:c>
      <x:c r="V98" s="83" t="str"/>
      <x:c r="W98" s="83" t="str">
        <x:v>No additional flag</x:v>
      </x:c>
      <x:c r="X98" s="83" t="str">
        <x:v>No structural flag</x:v>
      </x:c>
      <x:c r="Y98" s="83" t="str">
        <x:v>Not Yet Reviewed</x:v>
      </x:c>
      <x:c r="Z98" s="83" t="str">
        <x:v>CTA LCSW Workbook 6</x:v>
      </x:c>
      <x:c r="AA98" s="83" t="str">
        <x:v>CTA_LCSW_WB6_17_Question_Bank_v1.0.docx</x:v>
      </x:c>
      <x:c r="AB98" s="83" t="str">
        <x:v>1.0</x:v>
      </x:c>
      <x:c r="AC98" s="102"/>
      <x:c r="AD98" s="102" t="n">
        <x:v>46228</x:v>
      </x:c>
      <x:c r="AE98" s="83" t="str"/>
      <x:c r="AF98" s="89" t="str">
        <x:v>Workbook bank; reserve pool after controlled review</x:v>
      </x:c>
    </x:row>
    <x:row r="99">
      <x:c r="A99" s="88" t="str">
        <x:v>CTA-LCSW-MQB-0098</x:v>
      </x:c>
      <x:c r="B99" s="83" t="str">
        <x:v>LCSW-WB06-QB-Q013</x:v>
      </x:c>
      <x:c r="C99" s="83" t="str">
        <x:v>LCSW</x:v>
      </x:c>
      <x:c r="D99" s="83" t="str">
        <x:v>Workbook Question Bank</x:v>
      </x:c>
      <x:c r="E99" s="83" t="n">
        <x:v>6</x:v>
      </x:c>
      <x:c r="F99" s="83" t="str">
        <x:v>Crisis, Abuse, and Risk Assessment</x:v>
      </x:c>
      <x:c r="G99" s="83"/>
      <x:c r="H99" s="83" t="n">
        <x:v>13</x:v>
      </x:c>
      <x:c r="I99" s="83" t="str">
        <x:v>Workbook Bank</x:v>
      </x:c>
      <x:c r="J99" s="83" t="str">
        <x:v>II. Assessment and Planning</x:v>
      </x:c>
      <x:c r="K99" s="83" t="str">
        <x:v>Accessible refugee crisis planning</x:v>
      </x:c>
      <x:c r="L99" s="83" t="str"/>
      <x:c r="M99" s="83" t="str">
        <x:v>Difficult</x:v>
      </x:c>
      <x:c r="N99" s="83" t="str">
        <x:v>Difficult</x:v>
      </x:c>
      <x:c r="O99" s="83" t="str">
        <x:v>Integrated Clinical Reasoning</x:v>
      </x:c>
      <x:c r="P99" s="83" t="str">
        <x:v>Integrated Clinical Reasoning</x:v>
      </x:c>
      <x:c r="Q99" s="83" t="n">
        <x:v>3</x:v>
      </x:c>
      <x:c r="R99" s="83" t="str">
        <x:v>A</x:v>
      </x:c>
      <x:c r="S99" s="83" t="str">
        <x:v>Approved</x:v>
      </x:c>
      <x:c r="T99" s="83" t="str">
        <x:v>Active</x:v>
      </x:c>
      <x:c r="U99" s="83" t="n">
        <x:v>1</x:v>
      </x:c>
      <x:c r="V99" s="83" t="str"/>
      <x:c r="W99" s="83" t="str">
        <x:v>No additional flag</x:v>
      </x:c>
      <x:c r="X99" s="83" t="str">
        <x:v>No structural flag</x:v>
      </x:c>
      <x:c r="Y99" s="83" t="str">
        <x:v>Not Yet Reviewed</x:v>
      </x:c>
      <x:c r="Z99" s="83" t="str">
        <x:v>CTA LCSW Workbook 6</x:v>
      </x:c>
      <x:c r="AA99" s="83" t="str">
        <x:v>CTA_LCSW_WB6_17_Question_Bank_v1.0.docx</x:v>
      </x:c>
      <x:c r="AB99" s="83" t="str">
        <x:v>1.0</x:v>
      </x:c>
      <x:c r="AC99" s="102"/>
      <x:c r="AD99" s="102" t="n">
        <x:v>46228</x:v>
      </x:c>
      <x:c r="AE99" s="83" t="str"/>
      <x:c r="AF99" s="89" t="str">
        <x:v>Workbook bank; reserve pool after controlled review</x:v>
      </x:c>
    </x:row>
    <x:row r="100">
      <x:c r="A100" s="88" t="str">
        <x:v>CTA-LCSW-MQB-0099</x:v>
      </x:c>
      <x:c r="B100" s="83" t="str">
        <x:v>LCSW-WB06-QB-Q014</x:v>
      </x:c>
      <x:c r="C100" s="83" t="str">
        <x:v>LCSW</x:v>
      </x:c>
      <x:c r="D100" s="83" t="str">
        <x:v>Workbook Question Bank</x:v>
      </x:c>
      <x:c r="E100" s="83" t="n">
        <x:v>6</x:v>
      </x:c>
      <x:c r="F100" s="83" t="str">
        <x:v>Crisis, Abuse, and Risk Assessment</x:v>
      </x:c>
      <x:c r="G100" s="83"/>
      <x:c r="H100" s="83" t="n">
        <x:v>14</x:v>
      </x:c>
      <x:c r="I100" s="83" t="str">
        <x:v>Workbook Bank</x:v>
      </x:c>
      <x:c r="J100" s="83" t="str">
        <x:v>II. Assessment and Planning</x:v>
      </x:c>
      <x:c r="K100" s="83" t="str">
        <x:v>Medical emergency with suicidal statement</x:v>
      </x:c>
      <x:c r="L100" s="83" t="str"/>
      <x:c r="M100" s="83" t="str">
        <x:v>Difficult</x:v>
      </x:c>
      <x:c r="N100" s="83" t="str">
        <x:v>Difficult</x:v>
      </x:c>
      <x:c r="O100" s="83" t="str">
        <x:v>Integrated Clinical Reasoning</x:v>
      </x:c>
      <x:c r="P100" s="83" t="str">
        <x:v>Integrated Clinical Reasoning</x:v>
      </x:c>
      <x:c r="Q100" s="83" t="n">
        <x:v>3</x:v>
      </x:c>
      <x:c r="R100" s="83" t="str">
        <x:v>B</x:v>
      </x:c>
      <x:c r="S100" s="83" t="str">
        <x:v>Approved</x:v>
      </x:c>
      <x:c r="T100" s="83" t="str">
        <x:v>Active</x:v>
      </x:c>
      <x:c r="U100" s="83" t="n">
        <x:v>1</x:v>
      </x:c>
      <x:c r="V100" s="83" t="str"/>
      <x:c r="W100" s="83" t="str">
        <x:v>No additional flag</x:v>
      </x:c>
      <x:c r="X100" s="83" t="str">
        <x:v>No structural flag</x:v>
      </x:c>
      <x:c r="Y100" s="83" t="str">
        <x:v>Not Yet Reviewed</x:v>
      </x:c>
      <x:c r="Z100" s="83" t="str">
        <x:v>CTA LCSW Workbook 6</x:v>
      </x:c>
      <x:c r="AA100" s="83" t="str">
        <x:v>CTA_LCSW_WB6_17_Question_Bank_v1.0.docx</x:v>
      </x:c>
      <x:c r="AB100" s="83" t="str">
        <x:v>1.0</x:v>
      </x:c>
      <x:c r="AC100" s="102"/>
      <x:c r="AD100" s="102" t="n">
        <x:v>46228</x:v>
      </x:c>
      <x:c r="AE100" s="83" t="str"/>
      <x:c r="AF100" s="89" t="str">
        <x:v>Workbook bank; reserve pool after controlled review</x:v>
      </x:c>
    </x:row>
    <x:row r="101">
      <x:c r="A101" s="88" t="str">
        <x:v>CTA-LCSW-MQB-0100</x:v>
      </x:c>
      <x:c r="B101" s="83" t="str">
        <x:v>LCSW-WB06-QB-Q015</x:v>
      </x:c>
      <x:c r="C101" s="83" t="str">
        <x:v>LCSW</x:v>
      </x:c>
      <x:c r="D101" s="83" t="str">
        <x:v>Workbook Question Bank</x:v>
      </x:c>
      <x:c r="E101" s="83" t="n">
        <x:v>6</x:v>
      </x:c>
      <x:c r="F101" s="83" t="str">
        <x:v>Crisis, Abuse, and Risk Assessment</x:v>
      </x:c>
      <x:c r="G101" s="83"/>
      <x:c r="H101" s="83" t="n">
        <x:v>15</x:v>
      </x:c>
      <x:c r="I101" s="83" t="str">
        <x:v>Workbook Bank</x:v>
      </x:c>
      <x:c r="J101" s="83" t="str">
        <x:v>II. Assessment and Planning</x:v>
      </x:c>
      <x:c r="K101" s="83" t="str">
        <x:v>Possible financial exploitation</x:v>
      </x:c>
      <x:c r="L101" s="83" t="str"/>
      <x:c r="M101" s="83" t="str">
        <x:v>Difficult</x:v>
      </x:c>
      <x:c r="N101" s="83" t="str">
        <x:v>Difficult</x:v>
      </x:c>
      <x:c r="O101" s="83" t="str">
        <x:v>Integrated Clinical Reasoning</x:v>
      </x:c>
      <x:c r="P101" s="83" t="str">
        <x:v>Integrated Clinical Reasoning</x:v>
      </x:c>
      <x:c r="Q101" s="83" t="n">
        <x:v>4</x:v>
      </x:c>
      <x:c r="R101" s="83" t="str">
        <x:v>C</x:v>
      </x:c>
      <x:c r="S101" s="83" t="str">
        <x:v>Approved</x:v>
      </x:c>
      <x:c r="T101" s="83" t="str">
        <x:v>Active</x:v>
      </x:c>
      <x:c r="U101" s="83" t="n">
        <x:v>1</x:v>
      </x:c>
      <x:c r="V101" s="83" t="str"/>
      <x:c r="W101" s="83" t="str">
        <x:v>No additional flag</x:v>
      </x:c>
      <x:c r="X101" s="83" t="str">
        <x:v>No structural flag</x:v>
      </x:c>
      <x:c r="Y101" s="83" t="str">
        <x:v>Not Yet Reviewed</x:v>
      </x:c>
      <x:c r="Z101" s="83" t="str">
        <x:v>CTA LCSW Workbook 6</x:v>
      </x:c>
      <x:c r="AA101" s="83" t="str">
        <x:v>CTA_LCSW_WB6_17_Question_Bank_v1.0.docx</x:v>
      </x:c>
      <x:c r="AB101" s="83" t="str">
        <x:v>1.0</x:v>
      </x:c>
      <x:c r="AC101" s="102"/>
      <x:c r="AD101" s="102" t="n">
        <x:v>46228</x:v>
      </x:c>
      <x:c r="AE101" s="83" t="str"/>
      <x:c r="AF101" s="89" t="str">
        <x:v>Workbook bank; reserve pool after controlled review</x:v>
      </x:c>
    </x:row>
    <x:row r="102">
      <x:c r="A102" s="88" t="str">
        <x:v>CTA-LCSW-MQB-0101</x:v>
      </x:c>
      <x:c r="B102" s="83" t="str">
        <x:v>LCSW-WB06-QB-Q016</x:v>
      </x:c>
      <x:c r="C102" s="83" t="str">
        <x:v>LCSW</x:v>
      </x:c>
      <x:c r="D102" s="83" t="str">
        <x:v>Workbook Question Bank</x:v>
      </x:c>
      <x:c r="E102" s="83" t="n">
        <x:v>6</x:v>
      </x:c>
      <x:c r="F102" s="83" t="str">
        <x:v>Crisis, Abuse, and Risk Assessment</x:v>
      </x:c>
      <x:c r="G102" s="83"/>
      <x:c r="H102" s="83" t="n">
        <x:v>16</x:v>
      </x:c>
      <x:c r="I102" s="83" t="str">
        <x:v>Workbook Bank</x:v>
      </x:c>
      <x:c r="J102" s="83" t="str">
        <x:v>II. Assessment and Planning</x:v>
      </x:c>
      <x:c r="K102" s="83" t="str">
        <x:v>Threat assessment without supplied jurisdiction</x:v>
      </x:c>
      <x:c r="L102" s="83" t="str"/>
      <x:c r="M102" s="83" t="str">
        <x:v>Difficult</x:v>
      </x:c>
      <x:c r="N102" s="83" t="str">
        <x:v>Difficult</x:v>
      </x:c>
      <x:c r="O102" s="83" t="str">
        <x:v>Integrated Clinical Reasoning</x:v>
      </x:c>
      <x:c r="P102" s="83" t="str">
        <x:v>Integrated Clinical Reasoning</x:v>
      </x:c>
      <x:c r="Q102" s="83" t="n">
        <x:v>4</x:v>
      </x:c>
      <x:c r="R102" s="83" t="str">
        <x:v>D</x:v>
      </x:c>
      <x:c r="S102" s="83" t="str">
        <x:v>Approved</x:v>
      </x:c>
      <x:c r="T102" s="83" t="str">
        <x:v>Active</x:v>
      </x:c>
      <x:c r="U102" s="83" t="n">
        <x:v>1</x:v>
      </x:c>
      <x:c r="V102" s="83" t="str"/>
      <x:c r="W102" s="83" t="str">
        <x:v>No additional flag</x:v>
      </x:c>
      <x:c r="X102" s="83" t="str">
        <x:v>No structural flag</x:v>
      </x:c>
      <x:c r="Y102" s="83" t="str">
        <x:v>Not Yet Reviewed</x:v>
      </x:c>
      <x:c r="Z102" s="83" t="str">
        <x:v>CTA LCSW Workbook 6</x:v>
      </x:c>
      <x:c r="AA102" s="83" t="str">
        <x:v>CTA_LCSW_WB6_17_Question_Bank_v1.0.docx</x:v>
      </x:c>
      <x:c r="AB102" s="83" t="str">
        <x:v>1.0</x:v>
      </x:c>
      <x:c r="AC102" s="102"/>
      <x:c r="AD102" s="102" t="n">
        <x:v>46228</x:v>
      </x:c>
      <x:c r="AE102" s="83" t="str"/>
      <x:c r="AF102" s="89" t="str">
        <x:v>Workbook bank; reserve pool after controlled review</x:v>
      </x:c>
    </x:row>
    <x:row r="103">
      <x:c r="A103" s="88" t="str">
        <x:v>CTA-LCSW-MQB-0102</x:v>
      </x:c>
      <x:c r="B103" s="83" t="str">
        <x:v>LCSW-WB06-QB-Q017</x:v>
      </x:c>
      <x:c r="C103" s="83" t="str">
        <x:v>LCSW</x:v>
      </x:c>
      <x:c r="D103" s="83" t="str">
        <x:v>Workbook Question Bank</x:v>
      </x:c>
      <x:c r="E103" s="83" t="n">
        <x:v>6</x:v>
      </x:c>
      <x:c r="F103" s="83" t="str">
        <x:v>Crisis, Abuse, and Risk Assessment</x:v>
      </x:c>
      <x:c r="G103" s="83"/>
      <x:c r="H103" s="83" t="n">
        <x:v>17</x:v>
      </x:c>
      <x:c r="I103" s="83" t="str">
        <x:v>Workbook Bank</x:v>
      </x:c>
      <x:c r="J103" s="83" t="str">
        <x:v>II. Assessment and Planning</x:v>
      </x:c>
      <x:c r="K103" s="83" t="str">
        <x:v>Caregiving and access in safety planning</x:v>
      </x:c>
      <x:c r="L103" s="83" t="str"/>
      <x:c r="M103" s="83" t="str">
        <x:v>Difficult</x:v>
      </x:c>
      <x:c r="N103" s="83" t="str">
        <x:v>Difficult</x:v>
      </x:c>
      <x:c r="O103" s="83" t="str">
        <x:v>Integrated Clinical Reasoning</x:v>
      </x:c>
      <x:c r="P103" s="83" t="str">
        <x:v>Integrated Clinical Reasoning</x:v>
      </x:c>
      <x:c r="Q103" s="83" t="n">
        <x:v>3</x:v>
      </x:c>
      <x:c r="R103" s="83" t="str">
        <x:v>A</x:v>
      </x:c>
      <x:c r="S103" s="83" t="str">
        <x:v>Approved</x:v>
      </x:c>
      <x:c r="T103" s="83" t="str">
        <x:v>Active</x:v>
      </x:c>
      <x:c r="U103" s="83" t="n">
        <x:v>1</x:v>
      </x:c>
      <x:c r="V103" s="83" t="str"/>
      <x:c r="W103" s="83" t="str">
        <x:v>No additional flag</x:v>
      </x:c>
      <x:c r="X103" s="83" t="str">
        <x:v>No structural flag</x:v>
      </x:c>
      <x:c r="Y103" s="83" t="str">
        <x:v>Not Yet Reviewed</x:v>
      </x:c>
      <x:c r="Z103" s="83" t="str">
        <x:v>CTA LCSW Workbook 6</x:v>
      </x:c>
      <x:c r="AA103" s="83" t="str">
        <x:v>CTA_LCSW_WB6_17_Question_Bank_v1.0.docx</x:v>
      </x:c>
      <x:c r="AB103" s="83" t="str">
        <x:v>1.0</x:v>
      </x:c>
      <x:c r="AC103" s="102"/>
      <x:c r="AD103" s="102" t="n">
        <x:v>46228</x:v>
      </x:c>
      <x:c r="AE103" s="83" t="str"/>
      <x:c r="AF103" s="89" t="str">
        <x:v>Workbook bank; reserve pool after controlled review</x:v>
      </x:c>
    </x:row>
    <x:row r="104">
      <x:c r="A104" s="88" t="str">
        <x:v>CTA-LCSW-MQB-0103</x:v>
      </x:c>
      <x:c r="B104" s="83" t="str">
        <x:v>LCSW-WB07-QB-Q001</x:v>
      </x:c>
      <x:c r="C104" s="83" t="str">
        <x:v>LCSW</x:v>
      </x:c>
      <x:c r="D104" s="83" t="str">
        <x:v>Workbook Question Bank</x:v>
      </x:c>
      <x:c r="E104" s="83" t="n">
        <x:v>7</x:v>
      </x:c>
      <x:c r="F104" s="83" t="str">
        <x:v>Treatment and Service Planning</x:v>
      </x:c>
      <x:c r="G104" s="83"/>
      <x:c r="H104" s="83" t="n">
        <x:v>1</x:v>
      </x:c>
      <x:c r="I104" s="83" t="str">
        <x:v>Workbook Bank</x:v>
      </x:c>
      <x:c r="J104" s="83" t="str">
        <x:v>II. Assessment and Planning</x:v>
      </x:c>
      <x:c r="K104" s="83" t="str">
        <x:v>PLAN-ER sequence</x:v>
      </x:c>
      <x:c r="L104" s="83" t="str"/>
      <x:c r="M104" s="83" t="str">
        <x:v>Easy</x:v>
      </x:c>
      <x:c r="N104" s="83" t="str">
        <x:v>Easy</x:v>
      </x:c>
      <x:c r="O104" s="83" t="str">
        <x:v>Knowledge &amp; Recall</x:v>
      </x:c>
      <x:c r="P104" s="83" t="str">
        <x:v>Knowledge &amp; Recall</x:v>
      </x:c>
      <x:c r="Q104" s="83" t="n">
        <x:v>4</x:v>
      </x:c>
      <x:c r="R104" s="83" t="str">
        <x:v>A</x:v>
      </x:c>
      <x:c r="S104" s="83" t="str">
        <x:v>Approved</x:v>
      </x:c>
      <x:c r="T104" s="83" t="str">
        <x:v>Active</x:v>
      </x:c>
      <x:c r="U104" s="83" t="n">
        <x:v>1</x:v>
      </x:c>
      <x:c r="V104" s="83" t="str"/>
      <x:c r="W104" s="83" t="str">
        <x:v>No additional flag</x:v>
      </x:c>
      <x:c r="X104" s="83" t="str">
        <x:v>No structural flag</x:v>
      </x:c>
      <x:c r="Y104" s="83" t="str">
        <x:v>Not Yet Reviewed</x:v>
      </x:c>
      <x:c r="Z104" s="83" t="str">
        <x:v>CTA LCSW Workbook 7</x:v>
      </x:c>
      <x:c r="AA104" s="83" t="str">
        <x:v>CTA_LCSW_WB7_17_Question_Bank_v1.0.docx</x:v>
      </x:c>
      <x:c r="AB104" s="83" t="str">
        <x:v>1.0</x:v>
      </x:c>
      <x:c r="AC104" s="102"/>
      <x:c r="AD104" s="102" t="n">
        <x:v>46228</x:v>
      </x:c>
      <x:c r="AE104" s="83" t="str"/>
      <x:c r="AF104" s="89" t="str">
        <x:v>Workbook bank; reserve pool after controlled review</x:v>
      </x:c>
    </x:row>
    <x:row r="105">
      <x:c r="A105" s="88" t="str">
        <x:v>CTA-LCSW-MQB-0104</x:v>
      </x:c>
      <x:c r="B105" s="83" t="str">
        <x:v>LCSW-WB07-QB-Q002</x:v>
      </x:c>
      <x:c r="C105" s="83" t="str">
        <x:v>LCSW</x:v>
      </x:c>
      <x:c r="D105" s="83" t="str">
        <x:v>Workbook Question Bank</x:v>
      </x:c>
      <x:c r="E105" s="83" t="n">
        <x:v>7</x:v>
      </x:c>
      <x:c r="F105" s="83" t="str">
        <x:v>Treatment and Service Planning</x:v>
      </x:c>
      <x:c r="G105" s="83"/>
      <x:c r="H105" s="83" t="n">
        <x:v>2</x:v>
      </x:c>
      <x:c r="I105" s="83" t="str">
        <x:v>Workbook Bank</x:v>
      </x:c>
      <x:c r="J105" s="83" t="str">
        <x:v>II. Assessment and Planning</x:v>
      </x:c>
      <x:c r="K105" s="83" t="str">
        <x:v>Person-in-environment priority setting</x:v>
      </x:c>
      <x:c r="L105" s="83" t="str"/>
      <x:c r="M105" s="83" t="str">
        <x:v>Easy</x:v>
      </x:c>
      <x:c r="N105" s="83" t="str">
        <x:v>Easy</x:v>
      </x:c>
      <x:c r="O105" s="83" t="str">
        <x:v>Application</x:v>
      </x:c>
      <x:c r="P105" s="83" t="str">
        <x:v>Application</x:v>
      </x:c>
      <x:c r="Q105" s="83" t="n">
        <x:v>4</x:v>
      </x:c>
      <x:c r="R105" s="83" t="str">
        <x:v>B</x:v>
      </x:c>
      <x:c r="S105" s="83" t="str">
        <x:v>Approved</x:v>
      </x:c>
      <x:c r="T105" s="83" t="str">
        <x:v>Active</x:v>
      </x:c>
      <x:c r="U105" s="83" t="n">
        <x:v>1</x:v>
      </x:c>
      <x:c r="V105" s="83" t="str"/>
      <x:c r="W105" s="83" t="str">
        <x:v>No additional flag</x:v>
      </x:c>
      <x:c r="X105" s="83" t="str">
        <x:v>No structural flag</x:v>
      </x:c>
      <x:c r="Y105" s="83" t="str">
        <x:v>Not Yet Reviewed</x:v>
      </x:c>
      <x:c r="Z105" s="83" t="str">
        <x:v>CTA LCSW Workbook 7</x:v>
      </x:c>
      <x:c r="AA105" s="83" t="str">
        <x:v>CTA_LCSW_WB7_17_Question_Bank_v1.0.docx</x:v>
      </x:c>
      <x:c r="AB105" s="83" t="str">
        <x:v>1.0</x:v>
      </x:c>
      <x:c r="AC105" s="102"/>
      <x:c r="AD105" s="102" t="n">
        <x:v>46228</x:v>
      </x:c>
      <x:c r="AE105" s="83" t="str"/>
      <x:c r="AF105" s="89" t="str">
        <x:v>Workbook bank; reserve pool after controlled review</x:v>
      </x:c>
    </x:row>
    <x:row r="106">
      <x:c r="A106" s="88" t="str">
        <x:v>CTA-LCSW-MQB-0105</x:v>
      </x:c>
      <x:c r="B106" s="83" t="str">
        <x:v>LCSW-WB07-QB-Q003</x:v>
      </x:c>
      <x:c r="C106" s="83" t="str">
        <x:v>LCSW</x:v>
      </x:c>
      <x:c r="D106" s="83" t="str">
        <x:v>Workbook Question Bank</x:v>
      </x:c>
      <x:c r="E106" s="83" t="n">
        <x:v>7</x:v>
      </x:c>
      <x:c r="F106" s="83" t="str">
        <x:v>Treatment and Service Planning</x:v>
      </x:c>
      <x:c r="G106" s="83"/>
      <x:c r="H106" s="83" t="n">
        <x:v>3</x:v>
      </x:c>
      <x:c r="I106" s="83" t="str">
        <x:v>Workbook Bank</x:v>
      </x:c>
      <x:c r="J106" s="83" t="str">
        <x:v>II. Assessment and Planning</x:v>
      </x:c>
      <x:c r="K106" s="83" t="str">
        <x:v>Measurable objectives</x:v>
      </x:c>
      <x:c r="L106" s="83" t="str"/>
      <x:c r="M106" s="83" t="str">
        <x:v>Easy</x:v>
      </x:c>
      <x:c r="N106" s="83" t="str">
        <x:v>Easy</x:v>
      </x:c>
      <x:c r="O106" s="83" t="str">
        <x:v>Knowledge &amp; Recall</x:v>
      </x:c>
      <x:c r="P106" s="83" t="str">
        <x:v>Knowledge &amp; Recall</x:v>
      </x:c>
      <x:c r="Q106" s="83" t="n">
        <x:v>4</x:v>
      </x:c>
      <x:c r="R106" s="83" t="str">
        <x:v>C</x:v>
      </x:c>
      <x:c r="S106" s="83" t="str">
        <x:v>Approved</x:v>
      </x:c>
      <x:c r="T106" s="83" t="str">
        <x:v>Active</x:v>
      </x:c>
      <x:c r="U106" s="83" t="n">
        <x:v>1</x:v>
      </x:c>
      <x:c r="V106" s="83" t="str"/>
      <x:c r="W106" s="83" t="str">
        <x:v>No additional flag</x:v>
      </x:c>
      <x:c r="X106" s="83" t="str">
        <x:v>No structural flag</x:v>
      </x:c>
      <x:c r="Y106" s="83" t="str">
        <x:v>Not Yet Reviewed</x:v>
      </x:c>
      <x:c r="Z106" s="83" t="str">
        <x:v>CTA LCSW Workbook 7</x:v>
      </x:c>
      <x:c r="AA106" s="83" t="str">
        <x:v>CTA_LCSW_WB7_17_Question_Bank_v1.0.docx</x:v>
      </x:c>
      <x:c r="AB106" s="83" t="str">
        <x:v>1.0</x:v>
      </x:c>
      <x:c r="AC106" s="102"/>
      <x:c r="AD106" s="102" t="n">
        <x:v>46228</x:v>
      </x:c>
      <x:c r="AE106" s="83" t="str"/>
      <x:c r="AF106" s="89" t="str">
        <x:v>Workbook bank; reserve pool after controlled review</x:v>
      </x:c>
    </x:row>
    <x:row r="107">
      <x:c r="A107" s="88" t="str">
        <x:v>CTA-LCSW-MQB-0106</x:v>
      </x:c>
      <x:c r="B107" s="83" t="str">
        <x:v>LCSW-WB07-QB-Q004</x:v>
      </x:c>
      <x:c r="C107" s="83" t="str">
        <x:v>LCSW</x:v>
      </x:c>
      <x:c r="D107" s="83" t="str">
        <x:v>Workbook Question Bank</x:v>
      </x:c>
      <x:c r="E107" s="83" t="n">
        <x:v>7</x:v>
      </x:c>
      <x:c r="F107" s="83" t="str">
        <x:v>Treatment and Service Planning</x:v>
      </x:c>
      <x:c r="G107" s="83"/>
      <x:c r="H107" s="83" t="n">
        <x:v>4</x:v>
      </x:c>
      <x:c r="I107" s="83" t="str">
        <x:v>Workbook Bank</x:v>
      </x:c>
      <x:c r="J107" s="83" t="str">
        <x:v>II. Assessment and Planning</x:v>
      </x:c>
      <x:c r="K107" s="83" t="str">
        <x:v>Self-determination</x:v>
      </x:c>
      <x:c r="L107" s="83" t="str"/>
      <x:c r="M107" s="83" t="str">
        <x:v>Easy</x:v>
      </x:c>
      <x:c r="N107" s="83" t="str">
        <x:v>Easy</x:v>
      </x:c>
      <x:c r="O107" s="83" t="str">
        <x:v>Scenario-Based</x:v>
      </x:c>
      <x:c r="P107" s="83" t="str">
        <x:v>Scenario-Based</x:v>
      </x:c>
      <x:c r="Q107" s="83" t="n">
        <x:v>4</x:v>
      </x:c>
      <x:c r="R107" s="83" t="str">
        <x:v>D</x:v>
      </x:c>
      <x:c r="S107" s="83" t="str">
        <x:v>Approved</x:v>
      </x:c>
      <x:c r="T107" s="83" t="str">
        <x:v>Active</x:v>
      </x:c>
      <x:c r="U107" s="83" t="n">
        <x:v>1</x:v>
      </x:c>
      <x:c r="V107" s="83" t="str"/>
      <x:c r="W107" s="83" t="str">
        <x:v>No additional flag</x:v>
      </x:c>
      <x:c r="X107" s="83" t="str">
        <x:v>No structural flag</x:v>
      </x:c>
      <x:c r="Y107" s="83" t="str">
        <x:v>Not Yet Reviewed</x:v>
      </x:c>
      <x:c r="Z107" s="83" t="str">
        <x:v>CTA LCSW Workbook 7</x:v>
      </x:c>
      <x:c r="AA107" s="83" t="str">
        <x:v>CTA_LCSW_WB7_17_Question_Bank_v1.0.docx</x:v>
      </x:c>
      <x:c r="AB107" s="83" t="str">
        <x:v>1.0</x:v>
      </x:c>
      <x:c r="AC107" s="102"/>
      <x:c r="AD107" s="102" t="n">
        <x:v>46228</x:v>
      </x:c>
      <x:c r="AE107" s="83" t="str"/>
      <x:c r="AF107" s="89" t="str">
        <x:v>Workbook bank; reserve pool after controlled review</x:v>
      </x:c>
    </x:row>
    <x:row r="108">
      <x:c r="A108" s="88" t="str">
        <x:v>CTA-LCSW-MQB-0107</x:v>
      </x:c>
      <x:c r="B108" s="83" t="str">
        <x:v>LCSW-WB07-QB-Q005</x:v>
      </x:c>
      <x:c r="C108" s="83" t="str">
        <x:v>LCSW</x:v>
      </x:c>
      <x:c r="D108" s="83" t="str">
        <x:v>Workbook Question Bank</x:v>
      </x:c>
      <x:c r="E108" s="83" t="n">
        <x:v>7</x:v>
      </x:c>
      <x:c r="F108" s="83" t="str">
        <x:v>Treatment and Service Planning</x:v>
      </x:c>
      <x:c r="G108" s="83"/>
      <x:c r="H108" s="83" t="n">
        <x:v>5</x:v>
      </x:c>
      <x:c r="I108" s="83" t="str">
        <x:v>Workbook Bank</x:v>
      </x:c>
      <x:c r="J108" s="83" t="str">
        <x:v>II. Assessment and Planning</x:v>
      </x:c>
      <x:c r="K108" s="83" t="str">
        <x:v>Resource fit</x:v>
      </x:c>
      <x:c r="L108" s="83" t="str"/>
      <x:c r="M108" s="83" t="str">
        <x:v>Easy</x:v>
      </x:c>
      <x:c r="N108" s="83" t="str">
        <x:v>Easy</x:v>
      </x:c>
      <x:c r="O108" s="83" t="str">
        <x:v>Application</x:v>
      </x:c>
      <x:c r="P108" s="83" t="str">
        <x:v>Application</x:v>
      </x:c>
      <x:c r="Q108" s="83" t="n">
        <x:v>4</x:v>
      </x:c>
      <x:c r="R108" s="83" t="str">
        <x:v>A</x:v>
      </x:c>
      <x:c r="S108" s="83" t="str">
        <x:v>Approved</x:v>
      </x:c>
      <x:c r="T108" s="83" t="str">
        <x:v>Active</x:v>
      </x:c>
      <x:c r="U108" s="83" t="n">
        <x:v>1</x:v>
      </x:c>
      <x:c r="V108" s="83" t="str"/>
      <x:c r="W108" s="83" t="str">
        <x:v>No additional flag</x:v>
      </x:c>
      <x:c r="X108" s="83" t="str">
        <x:v>No structural flag</x:v>
      </x:c>
      <x:c r="Y108" s="83" t="str">
        <x:v>Not Yet Reviewed</x:v>
      </x:c>
      <x:c r="Z108" s="83" t="str">
        <x:v>CTA LCSW Workbook 7</x:v>
      </x:c>
      <x:c r="AA108" s="83" t="str">
        <x:v>CTA_LCSW_WB7_17_Question_Bank_v1.0.docx</x:v>
      </x:c>
      <x:c r="AB108" s="83" t="str">
        <x:v>1.0</x:v>
      </x:c>
      <x:c r="AC108" s="102"/>
      <x:c r="AD108" s="102" t="n">
        <x:v>46228</x:v>
      </x:c>
      <x:c r="AE108" s="83" t="str"/>
      <x:c r="AF108" s="89" t="str">
        <x:v>Workbook bank; reserve pool after controlled review</x:v>
      </x:c>
    </x:row>
    <x:row r="109">
      <x:c r="A109" s="88" t="str">
        <x:v>CTA-LCSW-MQB-0108</x:v>
      </x:c>
      <x:c r="B109" s="83" t="str">
        <x:v>LCSW-WB07-QB-Q006</x:v>
      </x:c>
      <x:c r="C109" s="83" t="str">
        <x:v>LCSW</x:v>
      </x:c>
      <x:c r="D109" s="83" t="str">
        <x:v>Workbook Question Bank</x:v>
      </x:c>
      <x:c r="E109" s="83" t="n">
        <x:v>7</x:v>
      </x:c>
      <x:c r="F109" s="83" t="str">
        <x:v>Treatment and Service Planning</x:v>
      </x:c>
      <x:c r="G109" s="83"/>
      <x:c r="H109" s="83" t="n">
        <x:v>6</x:v>
      </x:c>
      <x:c r="I109" s="83" t="str">
        <x:v>Workbook Bank</x:v>
      </x:c>
      <x:c r="J109" s="83" t="str">
        <x:v>II. Assessment and Planning</x:v>
      </x:c>
      <x:c r="K109" s="83" t="str">
        <x:v>Warm handoff</x:v>
      </x:c>
      <x:c r="L109" s="83" t="str"/>
      <x:c r="M109" s="83" t="str">
        <x:v>Moderate</x:v>
      </x:c>
      <x:c r="N109" s="83" t="str">
        <x:v>Moderate</x:v>
      </x:c>
      <x:c r="O109" s="83" t="str">
        <x:v>Scenario-Based</x:v>
      </x:c>
      <x:c r="P109" s="83" t="str">
        <x:v>Scenario-Based</x:v>
      </x:c>
      <x:c r="Q109" s="83" t="n">
        <x:v>4</x:v>
      </x:c>
      <x:c r="R109" s="83" t="str">
        <x:v>D</x:v>
      </x:c>
      <x:c r="S109" s="83" t="str">
        <x:v>Approved</x:v>
      </x:c>
      <x:c r="T109" s="83" t="str">
        <x:v>Active</x:v>
      </x:c>
      <x:c r="U109" s="83" t="n">
        <x:v>1</x:v>
      </x:c>
      <x:c r="V109" s="83" t="str"/>
      <x:c r="W109" s="83" t="str">
        <x:v>No additional flag</x:v>
      </x:c>
      <x:c r="X109" s="83" t="str">
        <x:v>No structural flag</x:v>
      </x:c>
      <x:c r="Y109" s="83" t="str">
        <x:v>Not Yet Reviewed</x:v>
      </x:c>
      <x:c r="Z109" s="83" t="str">
        <x:v>CTA LCSW Workbook 7</x:v>
      </x:c>
      <x:c r="AA109" s="83" t="str">
        <x:v>CTA_LCSW_WB7_17_Question_Bank_v1.0.docx</x:v>
      </x:c>
      <x:c r="AB109" s="83" t="str">
        <x:v>1.0</x:v>
      </x:c>
      <x:c r="AC109" s="102"/>
      <x:c r="AD109" s="102" t="n">
        <x:v>46228</x:v>
      </x:c>
      <x:c r="AE109" s="83" t="str"/>
      <x:c r="AF109" s="89" t="str">
        <x:v>Workbook bank; reserve pool after controlled review</x:v>
      </x:c>
    </x:row>
    <x:row r="110">
      <x:c r="A110" s="88" t="str">
        <x:v>CTA-LCSW-MQB-0109</x:v>
      </x:c>
      <x:c r="B110" s="83" t="str">
        <x:v>LCSW-WB07-QB-Q007</x:v>
      </x:c>
      <x:c r="C110" s="83" t="str">
        <x:v>LCSW</x:v>
      </x:c>
      <x:c r="D110" s="83" t="str">
        <x:v>Workbook Question Bank</x:v>
      </x:c>
      <x:c r="E110" s="83" t="n">
        <x:v>7</x:v>
      </x:c>
      <x:c r="F110" s="83" t="str">
        <x:v>Treatment and Service Planning</x:v>
      </x:c>
      <x:c r="G110" s="83"/>
      <x:c r="H110" s="83" t="n">
        <x:v>7</x:v>
      </x:c>
      <x:c r="I110" s="83" t="str">
        <x:v>Workbook Bank</x:v>
      </x:c>
      <x:c r="J110" s="83" t="str">
        <x:v>II. Assessment and Planning</x:v>
      </x:c>
      <x:c r="K110" s="83" t="str">
        <x:v>Outcome monitoring</x:v>
      </x:c>
      <x:c r="L110" s="83" t="str"/>
      <x:c r="M110" s="83" t="str">
        <x:v>Moderate</x:v>
      </x:c>
      <x:c r="N110" s="83" t="str">
        <x:v>Moderate</x:v>
      </x:c>
      <x:c r="O110" s="83" t="str">
        <x:v>Application</x:v>
      </x:c>
      <x:c r="P110" s="83" t="str">
        <x:v>Application</x:v>
      </x:c>
      <x:c r="Q110" s="83" t="n">
        <x:v>4</x:v>
      </x:c>
      <x:c r="R110" s="83" t="str">
        <x:v>B</x:v>
      </x:c>
      <x:c r="S110" s="83" t="str">
        <x:v>Approved</x:v>
      </x:c>
      <x:c r="T110" s="83" t="str">
        <x:v>Active</x:v>
      </x:c>
      <x:c r="U110" s="83" t="n">
        <x:v>1</x:v>
      </x:c>
      <x:c r="V110" s="83" t="str"/>
      <x:c r="W110" s="83" t="str">
        <x:v>No additional flag</x:v>
      </x:c>
      <x:c r="X110" s="83" t="str">
        <x:v>No structural flag</x:v>
      </x:c>
      <x:c r="Y110" s="83" t="str">
        <x:v>Not Yet Reviewed</x:v>
      </x:c>
      <x:c r="Z110" s="83" t="str">
        <x:v>CTA LCSW Workbook 7</x:v>
      </x:c>
      <x:c r="AA110" s="83" t="str">
        <x:v>CTA_LCSW_WB7_17_Question_Bank_v1.0.docx</x:v>
      </x:c>
      <x:c r="AB110" s="83" t="str">
        <x:v>1.0</x:v>
      </x:c>
      <x:c r="AC110" s="102"/>
      <x:c r="AD110" s="102" t="n">
        <x:v>46228</x:v>
      </x:c>
      <x:c r="AE110" s="83" t="str"/>
      <x:c r="AF110" s="89" t="str">
        <x:v>Workbook bank; reserve pool after controlled review</x:v>
      </x:c>
    </x:row>
    <x:row r="111">
      <x:c r="A111" s="88" t="str">
        <x:v>CTA-LCSW-MQB-0110</x:v>
      </x:c>
      <x:c r="B111" s="83" t="str">
        <x:v>LCSW-WB07-QB-Q008</x:v>
      </x:c>
      <x:c r="C111" s="83" t="str">
        <x:v>LCSW</x:v>
      </x:c>
      <x:c r="D111" s="83" t="str">
        <x:v>Workbook Question Bank</x:v>
      </x:c>
      <x:c r="E111" s="83" t="n">
        <x:v>7</x:v>
      </x:c>
      <x:c r="F111" s="83" t="str">
        <x:v>Treatment and Service Planning</x:v>
      </x:c>
      <x:c r="G111" s="83"/>
      <x:c r="H111" s="83" t="n">
        <x:v>8</x:v>
      </x:c>
      <x:c r="I111" s="83" t="str">
        <x:v>Workbook Bank</x:v>
      </x:c>
      <x:c r="J111" s="83" t="str">
        <x:v>II. Assessment and Planning</x:v>
      </x:c>
      <x:c r="K111" s="83" t="str">
        <x:v>Plan revision</x:v>
      </x:c>
      <x:c r="L111" s="83" t="str"/>
      <x:c r="M111" s="83" t="str">
        <x:v>Moderate</x:v>
      </x:c>
      <x:c r="N111" s="83" t="str">
        <x:v>Moderate</x:v>
      </x:c>
      <x:c r="O111" s="83" t="str">
        <x:v>Scenario-Based</x:v>
      </x:c>
      <x:c r="P111" s="83" t="str">
        <x:v>Scenario-Based</x:v>
      </x:c>
      <x:c r="Q111" s="83" t="n">
        <x:v>4</x:v>
      </x:c>
      <x:c r="R111" s="83" t="str">
        <x:v>C</x:v>
      </x:c>
      <x:c r="S111" s="83" t="str">
        <x:v>Approved</x:v>
      </x:c>
      <x:c r="T111" s="83" t="str">
        <x:v>Active</x:v>
      </x:c>
      <x:c r="U111" s="83" t="n">
        <x:v>1</x:v>
      </x:c>
      <x:c r="V111" s="83" t="str"/>
      <x:c r="W111" s="83" t="str">
        <x:v>No additional flag</x:v>
      </x:c>
      <x:c r="X111" s="83" t="str">
        <x:v>No structural flag</x:v>
      </x:c>
      <x:c r="Y111" s="83" t="str">
        <x:v>Not Yet Reviewed</x:v>
      </x:c>
      <x:c r="Z111" s="83" t="str">
        <x:v>CTA LCSW Workbook 7</x:v>
      </x:c>
      <x:c r="AA111" s="83" t="str">
        <x:v>CTA_LCSW_WB7_17_Question_Bank_v1.0.docx</x:v>
      </x:c>
      <x:c r="AB111" s="83" t="str">
        <x:v>1.0</x:v>
      </x:c>
      <x:c r="AC111" s="102"/>
      <x:c r="AD111" s="102" t="n">
        <x:v>46228</x:v>
      </x:c>
      <x:c r="AE111" s="83" t="str"/>
      <x:c r="AF111" s="89" t="str">
        <x:v>Workbook bank; reserve pool after controlled review</x:v>
      </x:c>
    </x:row>
    <x:row r="112">
      <x:c r="A112" s="88" t="str">
        <x:v>CTA-LCSW-MQB-0111</x:v>
      </x:c>
      <x:c r="B112" s="83" t="str">
        <x:v>LCSW-WB07-QB-Q009</x:v>
      </x:c>
      <x:c r="C112" s="83" t="str">
        <x:v>LCSW</x:v>
      </x:c>
      <x:c r="D112" s="83" t="str">
        <x:v>Workbook Question Bank</x:v>
      </x:c>
      <x:c r="E112" s="83" t="n">
        <x:v>7</x:v>
      </x:c>
      <x:c r="F112" s="83" t="str">
        <x:v>Treatment and Service Planning</x:v>
      </x:c>
      <x:c r="G112" s="83"/>
      <x:c r="H112" s="83" t="n">
        <x:v>9</x:v>
      </x:c>
      <x:c r="I112" s="83" t="str">
        <x:v>Workbook Bank</x:v>
      </x:c>
      <x:c r="J112" s="83" t="str">
        <x:v>II. Assessment and Planning</x:v>
      </x:c>
      <x:c r="K112" s="83" t="str">
        <x:v>Modality selection</x:v>
      </x:c>
      <x:c r="L112" s="83" t="str"/>
      <x:c r="M112" s="83" t="str">
        <x:v>Moderate</x:v>
      </x:c>
      <x:c r="N112" s="83" t="str">
        <x:v>Moderate</x:v>
      </x:c>
      <x:c r="O112" s="83" t="str">
        <x:v>Scenario-Based</x:v>
      </x:c>
      <x:c r="P112" s="83" t="str">
        <x:v>Scenario-Based</x:v>
      </x:c>
      <x:c r="Q112" s="83" t="n">
        <x:v>4</x:v>
      </x:c>
      <x:c r="R112" s="83" t="str">
        <x:v>A</x:v>
      </x:c>
      <x:c r="S112" s="83" t="str">
        <x:v>Approved</x:v>
      </x:c>
      <x:c r="T112" s="83" t="str">
        <x:v>Active</x:v>
      </x:c>
      <x:c r="U112" s="83" t="n">
        <x:v>1</x:v>
      </x:c>
      <x:c r="V112" s="83" t="str"/>
      <x:c r="W112" s="83" t="str">
        <x:v>No additional flag</x:v>
      </x:c>
      <x:c r="X112" s="83" t="str">
        <x:v>No structural flag</x:v>
      </x:c>
      <x:c r="Y112" s="83" t="str">
        <x:v>Not Yet Reviewed</x:v>
      </x:c>
      <x:c r="Z112" s="83" t="str">
        <x:v>CTA LCSW Workbook 7</x:v>
      </x:c>
      <x:c r="AA112" s="83" t="str">
        <x:v>CTA_LCSW_WB7_17_Question_Bank_v1.0.docx</x:v>
      </x:c>
      <x:c r="AB112" s="83" t="str">
        <x:v>1.0</x:v>
      </x:c>
      <x:c r="AC112" s="102"/>
      <x:c r="AD112" s="102" t="n">
        <x:v>46228</x:v>
      </x:c>
      <x:c r="AE112" s="83" t="str"/>
      <x:c r="AF112" s="89" t="str">
        <x:v>Workbook bank; reserve pool after controlled review</x:v>
      </x:c>
    </x:row>
    <x:row r="113">
      <x:c r="A113" s="88" t="str">
        <x:v>CTA-LCSW-MQB-0112</x:v>
      </x:c>
      <x:c r="B113" s="83" t="str">
        <x:v>LCSW-WB07-QB-Q010</x:v>
      </x:c>
      <x:c r="C113" s="83" t="str">
        <x:v>LCSW</x:v>
      </x:c>
      <x:c r="D113" s="83" t="str">
        <x:v>Workbook Question Bank</x:v>
      </x:c>
      <x:c r="E113" s="83" t="n">
        <x:v>7</x:v>
      </x:c>
      <x:c r="F113" s="83" t="str">
        <x:v>Treatment and Service Planning</x:v>
      </x:c>
      <x:c r="G113" s="83"/>
      <x:c r="H113" s="83" t="n">
        <x:v>10</x:v>
      </x:c>
      <x:c r="I113" s="83" t="str">
        <x:v>Workbook Bank</x:v>
      </x:c>
      <x:c r="J113" s="83" t="str">
        <x:v>II. Assessment and Planning</x:v>
      </x:c>
      <x:c r="K113" s="83" t="str">
        <x:v>Service-plan coordination</x:v>
      </x:c>
      <x:c r="L113" s="83" t="str"/>
      <x:c r="M113" s="83" t="str">
        <x:v>Moderate</x:v>
      </x:c>
      <x:c r="N113" s="83" t="str">
        <x:v>Moderate</x:v>
      </x:c>
      <x:c r="O113" s="83" t="str">
        <x:v>Application</x:v>
      </x:c>
      <x:c r="P113" s="83" t="str">
        <x:v>Application</x:v>
      </x:c>
      <x:c r="Q113" s="83" t="n">
        <x:v>4</x:v>
      </x:c>
      <x:c r="R113" s="83" t="str">
        <x:v>C</x:v>
      </x:c>
      <x:c r="S113" s="83" t="str">
        <x:v>Approved</x:v>
      </x:c>
      <x:c r="T113" s="83" t="str">
        <x:v>Active</x:v>
      </x:c>
      <x:c r="U113" s="83" t="n">
        <x:v>1</x:v>
      </x:c>
      <x:c r="V113" s="83" t="str"/>
      <x:c r="W113" s="83" t="str">
        <x:v>No additional flag</x:v>
      </x:c>
      <x:c r="X113" s="83" t="str">
        <x:v>No structural flag</x:v>
      </x:c>
      <x:c r="Y113" s="83" t="str">
        <x:v>Not Yet Reviewed</x:v>
      </x:c>
      <x:c r="Z113" s="83" t="str">
        <x:v>CTA LCSW Workbook 7</x:v>
      </x:c>
      <x:c r="AA113" s="83" t="str">
        <x:v>CTA_LCSW_WB7_17_Question_Bank_v1.0.docx</x:v>
      </x:c>
      <x:c r="AB113" s="83" t="str">
        <x:v>1.0</x:v>
      </x:c>
      <x:c r="AC113" s="102"/>
      <x:c r="AD113" s="102" t="n">
        <x:v>46228</x:v>
      </x:c>
      <x:c r="AE113" s="83" t="str"/>
      <x:c r="AF113" s="89" t="str">
        <x:v>Workbook bank; reserve pool after controlled review</x:v>
      </x:c>
    </x:row>
    <x:row r="114">
      <x:c r="A114" s="88" t="str">
        <x:v>CTA-LCSW-MQB-0113</x:v>
      </x:c>
      <x:c r="B114" s="83" t="str">
        <x:v>LCSW-WB07-QB-Q011</x:v>
      </x:c>
      <x:c r="C114" s="83" t="str">
        <x:v>LCSW</x:v>
      </x:c>
      <x:c r="D114" s="83" t="str">
        <x:v>Workbook Question Bank</x:v>
      </x:c>
      <x:c r="E114" s="83" t="n">
        <x:v>7</x:v>
      </x:c>
      <x:c r="F114" s="83" t="str">
        <x:v>Treatment and Service Planning</x:v>
      </x:c>
      <x:c r="G114" s="83"/>
      <x:c r="H114" s="83" t="n">
        <x:v>11</x:v>
      </x:c>
      <x:c r="I114" s="83" t="str">
        <x:v>Workbook Bank</x:v>
      </x:c>
      <x:c r="J114" s="83" t="str">
        <x:v>II. Assessment and Planning</x:v>
      </x:c>
      <x:c r="K114" s="83" t="str">
        <x:v>Program closure and continuity</x:v>
      </x:c>
      <x:c r="L114" s="83" t="str"/>
      <x:c r="M114" s="83" t="str">
        <x:v>Moderate</x:v>
      </x:c>
      <x:c r="N114" s="83" t="str">
        <x:v>Moderate</x:v>
      </x:c>
      <x:c r="O114" s="83" t="str">
        <x:v>Scenario-Based</x:v>
      </x:c>
      <x:c r="P114" s="83" t="str">
        <x:v>Scenario-Based</x:v>
      </x:c>
      <x:c r="Q114" s="83" t="n">
        <x:v>4</x:v>
      </x:c>
      <x:c r="R114" s="83" t="str">
        <x:v>D</x:v>
      </x:c>
      <x:c r="S114" s="83" t="str">
        <x:v>Approved</x:v>
      </x:c>
      <x:c r="T114" s="83" t="str">
        <x:v>Active</x:v>
      </x:c>
      <x:c r="U114" s="83" t="n">
        <x:v>1</x:v>
      </x:c>
      <x:c r="V114" s="83" t="str"/>
      <x:c r="W114" s="83" t="str">
        <x:v>No additional flag</x:v>
      </x:c>
      <x:c r="X114" s="83" t="str">
        <x:v>No structural flag</x:v>
      </x:c>
      <x:c r="Y114" s="83" t="str">
        <x:v>Not Yet Reviewed</x:v>
      </x:c>
      <x:c r="Z114" s="83" t="str">
        <x:v>CTA LCSW Workbook 7</x:v>
      </x:c>
      <x:c r="AA114" s="83" t="str">
        <x:v>CTA_LCSW_WB7_17_Question_Bank_v1.0.docx</x:v>
      </x:c>
      <x:c r="AB114" s="83" t="str">
        <x:v>1.0</x:v>
      </x:c>
      <x:c r="AC114" s="102"/>
      <x:c r="AD114" s="102" t="n">
        <x:v>46228</x:v>
      </x:c>
      <x:c r="AE114" s="83" t="str"/>
      <x:c r="AF114" s="89" t="str">
        <x:v>Workbook bank; reserve pool after controlled review</x:v>
      </x:c>
    </x:row>
    <x:row r="115">
      <x:c r="A115" s="88" t="str">
        <x:v>CTA-LCSW-MQB-0114</x:v>
      </x:c>
      <x:c r="B115" s="83" t="str">
        <x:v>LCSW-WB07-QB-Q012</x:v>
      </x:c>
      <x:c r="C115" s="83" t="str">
        <x:v>LCSW</x:v>
      </x:c>
      <x:c r="D115" s="83" t="str">
        <x:v>Workbook Question Bank</x:v>
      </x:c>
      <x:c r="E115" s="83" t="n">
        <x:v>7</x:v>
      </x:c>
      <x:c r="F115" s="83" t="str">
        <x:v>Treatment and Service Planning</x:v>
      </x:c>
      <x:c r="G115" s="83"/>
      <x:c r="H115" s="83" t="n">
        <x:v>12</x:v>
      </x:c>
      <x:c r="I115" s="83" t="str">
        <x:v>Workbook Bank</x:v>
      </x:c>
      <x:c r="J115" s="83" t="str">
        <x:v>II. Assessment and Planning</x:v>
      </x:c>
      <x:c r="K115" s="83" t="str">
        <x:v>Termination readiness</x:v>
      </x:c>
      <x:c r="L115" s="83" t="str"/>
      <x:c r="M115" s="83" t="str">
        <x:v>Moderate</x:v>
      </x:c>
      <x:c r="N115" s="83" t="str">
        <x:v>Moderate</x:v>
      </x:c>
      <x:c r="O115" s="83" t="str">
        <x:v>Knowledge &amp; Recall</x:v>
      </x:c>
      <x:c r="P115" s="83" t="str">
        <x:v>Knowledge &amp; Recall</x:v>
      </x:c>
      <x:c r="Q115" s="83" t="n">
        <x:v>4</x:v>
      </x:c>
      <x:c r="R115" s="83" t="str">
        <x:v>B</x:v>
      </x:c>
      <x:c r="S115" s="83" t="str">
        <x:v>Approved</x:v>
      </x:c>
      <x:c r="T115" s="83" t="str">
        <x:v>Active</x:v>
      </x:c>
      <x:c r="U115" s="83" t="n">
        <x:v>1</x:v>
      </x:c>
      <x:c r="V115" s="83" t="str"/>
      <x:c r="W115" s="83" t="str">
        <x:v>No additional flag</x:v>
      </x:c>
      <x:c r="X115" s="83" t="str">
        <x:v>No structural flag</x:v>
      </x:c>
      <x:c r="Y115" s="83" t="str">
        <x:v>Not Yet Reviewed</x:v>
      </x:c>
      <x:c r="Z115" s="83" t="str">
        <x:v>CTA LCSW Workbook 7</x:v>
      </x:c>
      <x:c r="AA115" s="83" t="str">
        <x:v>CTA_LCSW_WB7_17_Question_Bank_v1.0.docx</x:v>
      </x:c>
      <x:c r="AB115" s="83" t="str">
        <x:v>1.0</x:v>
      </x:c>
      <x:c r="AC115" s="102"/>
      <x:c r="AD115" s="102" t="n">
        <x:v>46228</x:v>
      </x:c>
      <x:c r="AE115" s="83" t="str"/>
      <x:c r="AF115" s="89" t="str">
        <x:v>Workbook bank; reserve pool after controlled review</x:v>
      </x:c>
    </x:row>
    <x:row r="116">
      <x:c r="A116" s="88" t="str">
        <x:v>CTA-LCSW-MQB-0115</x:v>
      </x:c>
      <x:c r="B116" s="83" t="str">
        <x:v>LCSW-WB07-QB-Q013</x:v>
      </x:c>
      <x:c r="C116" s="83" t="str">
        <x:v>LCSW</x:v>
      </x:c>
      <x:c r="D116" s="83" t="str">
        <x:v>Workbook Question Bank</x:v>
      </x:c>
      <x:c r="E116" s="83" t="n">
        <x:v>7</x:v>
      </x:c>
      <x:c r="F116" s="83" t="str">
        <x:v>Treatment and Service Planning</x:v>
      </x:c>
      <x:c r="G116" s="83"/>
      <x:c r="H116" s="83" t="n">
        <x:v>13</x:v>
      </x:c>
      <x:c r="I116" s="83" t="str">
        <x:v>Workbook Bank</x:v>
      </x:c>
      <x:c r="J116" s="83" t="str">
        <x:v>II. Assessment and Planning</x:v>
      </x:c>
      <x:c r="K116" s="83" t="str">
        <x:v>Integrated housing, mental health, and access planning</x:v>
      </x:c>
      <x:c r="L116" s="83" t="str"/>
      <x:c r="M116" s="83" t="str">
        <x:v>Difficult</x:v>
      </x:c>
      <x:c r="N116" s="83" t="str">
        <x:v>Difficult</x:v>
      </x:c>
      <x:c r="O116" s="83" t="str">
        <x:v>Integrated Clinical Reasoning</x:v>
      </x:c>
      <x:c r="P116" s="83" t="str">
        <x:v>Integrated Clinical Reasoning</x:v>
      </x:c>
      <x:c r="Q116" s="83" t="n">
        <x:v>4</x:v>
      </x:c>
      <x:c r="R116" s="83" t="str">
        <x:v>A</x:v>
      </x:c>
      <x:c r="S116" s="83" t="str">
        <x:v>Approved</x:v>
      </x:c>
      <x:c r="T116" s="83" t="str">
        <x:v>Active</x:v>
      </x:c>
      <x:c r="U116" s="83" t="n">
        <x:v>1</x:v>
      </x:c>
      <x:c r="V116" s="83" t="str"/>
      <x:c r="W116" s="83" t="str">
        <x:v>No additional flag</x:v>
      </x:c>
      <x:c r="X116" s="83" t="str">
        <x:v>No structural flag</x:v>
      </x:c>
      <x:c r="Y116" s="83" t="str">
        <x:v>Not Yet Reviewed</x:v>
      </x:c>
      <x:c r="Z116" s="83" t="str">
        <x:v>CTA LCSW Workbook 7</x:v>
      </x:c>
      <x:c r="AA116" s="83" t="str">
        <x:v>CTA_LCSW_WB7_17_Question_Bank_v1.0.docx</x:v>
      </x:c>
      <x:c r="AB116" s="83" t="str">
        <x:v>1.0</x:v>
      </x:c>
      <x:c r="AC116" s="102"/>
      <x:c r="AD116" s="102" t="n">
        <x:v>46228</x:v>
      </x:c>
      <x:c r="AE116" s="83" t="str"/>
      <x:c r="AF116" s="89" t="str">
        <x:v>Workbook bank; reserve pool after controlled review</x:v>
      </x:c>
    </x:row>
    <x:row r="117">
      <x:c r="A117" s="88" t="str">
        <x:v>CTA-LCSW-MQB-0116</x:v>
      </x:c>
      <x:c r="B117" s="83" t="str">
        <x:v>LCSW-WB07-QB-Q014</x:v>
      </x:c>
      <x:c r="C117" s="83" t="str">
        <x:v>LCSW</x:v>
      </x:c>
      <x:c r="D117" s="83" t="str">
        <x:v>Workbook Question Bank</x:v>
      </x:c>
      <x:c r="E117" s="83" t="n">
        <x:v>7</x:v>
      </x:c>
      <x:c r="F117" s="83" t="str">
        <x:v>Treatment and Service Planning</x:v>
      </x:c>
      <x:c r="G117" s="83"/>
      <x:c r="H117" s="83" t="n">
        <x:v>14</x:v>
      </x:c>
      <x:c r="I117" s="83" t="str">
        <x:v>Workbook Bank</x:v>
      </x:c>
      <x:c r="J117" s="83" t="str">
        <x:v>II. Assessment and Planning</x:v>
      </x:c>
      <x:c r="K117" s="83" t="str">
        <x:v>Integrated self-determination and risk</x:v>
      </x:c>
      <x:c r="L117" s="83" t="str"/>
      <x:c r="M117" s="83" t="str">
        <x:v>Difficult</x:v>
      </x:c>
      <x:c r="N117" s="83" t="str">
        <x:v>Difficult</x:v>
      </x:c>
      <x:c r="O117" s="83" t="str">
        <x:v>Integrated Clinical Reasoning</x:v>
      </x:c>
      <x:c r="P117" s="83" t="str">
        <x:v>Integrated Clinical Reasoning</x:v>
      </x:c>
      <x:c r="Q117" s="83" t="n">
        <x:v>4</x:v>
      </x:c>
      <x:c r="R117" s="83" t="str">
        <x:v>D</x:v>
      </x:c>
      <x:c r="S117" s="83" t="str">
        <x:v>Approved</x:v>
      </x:c>
      <x:c r="T117" s="83" t="str">
        <x:v>Active</x:v>
      </x:c>
      <x:c r="U117" s="83" t="n">
        <x:v>1</x:v>
      </x:c>
      <x:c r="V117" s="83" t="str"/>
      <x:c r="W117" s="83" t="str">
        <x:v>No additional flag</x:v>
      </x:c>
      <x:c r="X117" s="83" t="str">
        <x:v>No structural flag</x:v>
      </x:c>
      <x:c r="Y117" s="83" t="str">
        <x:v>Not Yet Reviewed</x:v>
      </x:c>
      <x:c r="Z117" s="83" t="str">
        <x:v>CTA LCSW Workbook 7</x:v>
      </x:c>
      <x:c r="AA117" s="83" t="str">
        <x:v>CTA_LCSW_WB7_17_Question_Bank_v1.0.docx</x:v>
      </x:c>
      <x:c r="AB117" s="83" t="str">
        <x:v>1.0</x:v>
      </x:c>
      <x:c r="AC117" s="102"/>
      <x:c r="AD117" s="102" t="n">
        <x:v>46228</x:v>
      </x:c>
      <x:c r="AE117" s="83" t="str"/>
      <x:c r="AF117" s="89" t="str">
        <x:v>Workbook bank; reserve pool after controlled review</x:v>
      </x:c>
    </x:row>
    <x:row r="118">
      <x:c r="A118" s="88" t="str">
        <x:v>CTA-LCSW-MQB-0117</x:v>
      </x:c>
      <x:c r="B118" s="83" t="str">
        <x:v>LCSW-WB07-QB-Q015</x:v>
      </x:c>
      <x:c r="C118" s="83" t="str">
        <x:v>LCSW</x:v>
      </x:c>
      <x:c r="D118" s="83" t="str">
        <x:v>Workbook Question Bank</x:v>
      </x:c>
      <x:c r="E118" s="83" t="n">
        <x:v>7</x:v>
      </x:c>
      <x:c r="F118" s="83" t="str">
        <x:v>Treatment and Service Planning</x:v>
      </x:c>
      <x:c r="G118" s="83"/>
      <x:c r="H118" s="83" t="n">
        <x:v>15</x:v>
      </x:c>
      <x:c r="I118" s="83" t="str">
        <x:v>Workbook Bank</x:v>
      </x:c>
      <x:c r="J118" s="83" t="str">
        <x:v>II. Assessment and Planning</x:v>
      </x:c>
      <x:c r="K118" s="83" t="str">
        <x:v>Integrated discharge after missed visits</x:v>
      </x:c>
      <x:c r="L118" s="83" t="str"/>
      <x:c r="M118" s="83" t="str">
        <x:v>Difficult</x:v>
      </x:c>
      <x:c r="N118" s="83" t="str">
        <x:v>Difficult</x:v>
      </x:c>
      <x:c r="O118" s="83" t="str">
        <x:v>Integrated Clinical Reasoning</x:v>
      </x:c>
      <x:c r="P118" s="83" t="str">
        <x:v>Integrated Clinical Reasoning</x:v>
      </x:c>
      <x:c r="Q118" s="83" t="n">
        <x:v>4</x:v>
      </x:c>
      <x:c r="R118" s="83" t="str">
        <x:v>B</x:v>
      </x:c>
      <x:c r="S118" s="83" t="str">
        <x:v>Approved</x:v>
      </x:c>
      <x:c r="T118" s="83" t="str">
        <x:v>Active</x:v>
      </x:c>
      <x:c r="U118" s="83" t="n">
        <x:v>1</x:v>
      </x:c>
      <x:c r="V118" s="83" t="str"/>
      <x:c r="W118" s="83" t="str">
        <x:v>No additional flag</x:v>
      </x:c>
      <x:c r="X118" s="83" t="str">
        <x:v>No structural flag</x:v>
      </x:c>
      <x:c r="Y118" s="83" t="str">
        <x:v>Not Yet Reviewed</x:v>
      </x:c>
      <x:c r="Z118" s="83" t="str">
        <x:v>CTA LCSW Workbook 7</x:v>
      </x:c>
      <x:c r="AA118" s="83" t="str">
        <x:v>CTA_LCSW_WB7_17_Question_Bank_v1.0.docx</x:v>
      </x:c>
      <x:c r="AB118" s="83" t="str">
        <x:v>1.0</x:v>
      </x:c>
      <x:c r="AC118" s="102"/>
      <x:c r="AD118" s="102" t="n">
        <x:v>46228</x:v>
      </x:c>
      <x:c r="AE118" s="83" t="str"/>
      <x:c r="AF118" s="89" t="str">
        <x:v>Workbook bank; reserve pool after controlled review</x:v>
      </x:c>
    </x:row>
    <x:row r="119">
      <x:c r="A119" s="88" t="str">
        <x:v>CTA-LCSW-MQB-0118</x:v>
      </x:c>
      <x:c r="B119" s="83" t="str">
        <x:v>LCSW-WB07-QB-Q016</x:v>
      </x:c>
      <x:c r="C119" s="83" t="str">
        <x:v>LCSW</x:v>
      </x:c>
      <x:c r="D119" s="83" t="str">
        <x:v>Workbook Question Bank</x:v>
      </x:c>
      <x:c r="E119" s="83" t="n">
        <x:v>7</x:v>
      </x:c>
      <x:c r="F119" s="83" t="str">
        <x:v>Treatment and Service Planning</x:v>
      </x:c>
      <x:c r="G119" s="83"/>
      <x:c r="H119" s="83" t="n">
        <x:v>16</x:v>
      </x:c>
      <x:c r="I119" s="83" t="str">
        <x:v>Workbook Bank</x:v>
      </x:c>
      <x:c r="J119" s="83" t="str">
        <x:v>II. Assessment and Planning</x:v>
      </x:c>
      <x:c r="K119" s="83" t="str">
        <x:v>Integrated medical and psychopharmacology coordination</x:v>
      </x:c>
      <x:c r="L119" s="83" t="str"/>
      <x:c r="M119" s="83" t="str">
        <x:v>Difficult</x:v>
      </x:c>
      <x:c r="N119" s="83" t="str">
        <x:v>Difficult</x:v>
      </x:c>
      <x:c r="O119" s="83" t="str">
        <x:v>Integrated Clinical Reasoning</x:v>
      </x:c>
      <x:c r="P119" s="83" t="str">
        <x:v>Integrated Clinical Reasoning</x:v>
      </x:c>
      <x:c r="Q119" s="83" t="n">
        <x:v>4</x:v>
      </x:c>
      <x:c r="R119" s="83" t="str">
        <x:v>C</x:v>
      </x:c>
      <x:c r="S119" s="83" t="str">
        <x:v>Approved</x:v>
      </x:c>
      <x:c r="T119" s="83" t="str">
        <x:v>Active</x:v>
      </x:c>
      <x:c r="U119" s="83" t="n">
        <x:v>1</x:v>
      </x:c>
      <x:c r="V119" s="83" t="str"/>
      <x:c r="W119" s="83" t="str">
        <x:v>No additional flag</x:v>
      </x:c>
      <x:c r="X119" s="83" t="str">
        <x:v>No structural flag</x:v>
      </x:c>
      <x:c r="Y119" s="83" t="str">
        <x:v>Not Yet Reviewed</x:v>
      </x:c>
      <x:c r="Z119" s="83" t="str">
        <x:v>CTA LCSW Workbook 7</x:v>
      </x:c>
      <x:c r="AA119" s="83" t="str">
        <x:v>CTA_LCSW_WB7_17_Question_Bank_v1.0.docx</x:v>
      </x:c>
      <x:c r="AB119" s="83" t="str">
        <x:v>1.0</x:v>
      </x:c>
      <x:c r="AC119" s="102"/>
      <x:c r="AD119" s="102" t="n">
        <x:v>46228</x:v>
      </x:c>
      <x:c r="AE119" s="83" t="str"/>
      <x:c r="AF119" s="89" t="str">
        <x:v>Workbook bank; reserve pool after controlled review</x:v>
      </x:c>
    </x:row>
    <x:row r="120">
      <x:c r="A120" s="88" t="str">
        <x:v>CTA-LCSW-MQB-0119</x:v>
      </x:c>
      <x:c r="B120" s="83" t="str">
        <x:v>LCSW-WB07-QB-Q017</x:v>
      </x:c>
      <x:c r="C120" s="83" t="str">
        <x:v>LCSW</x:v>
      </x:c>
      <x:c r="D120" s="83" t="str">
        <x:v>Workbook Question Bank</x:v>
      </x:c>
      <x:c r="E120" s="83" t="n">
        <x:v>7</x:v>
      </x:c>
      <x:c r="F120" s="83" t="str">
        <x:v>Treatment and Service Planning</x:v>
      </x:c>
      <x:c r="G120" s="83"/>
      <x:c r="H120" s="83" t="n">
        <x:v>17</x:v>
      </x:c>
      <x:c r="I120" s="83" t="str">
        <x:v>Workbook Bank</x:v>
      </x:c>
      <x:c r="J120" s="83" t="str">
        <x:v>II. Assessment and Planning</x:v>
      </x:c>
      <x:c r="K120" s="83" t="str">
        <x:v>Integrated transition from intensive services</x:v>
      </x:c>
      <x:c r="L120" s="83" t="str"/>
      <x:c r="M120" s="83" t="str">
        <x:v>Difficult</x:v>
      </x:c>
      <x:c r="N120" s="83" t="str">
        <x:v>Difficult</x:v>
      </x:c>
      <x:c r="O120" s="83" t="str">
        <x:v>Integrated Clinical Reasoning</x:v>
      </x:c>
      <x:c r="P120" s="83" t="str">
        <x:v>Integrated Clinical Reasoning</x:v>
      </x:c>
      <x:c r="Q120" s="83" t="n">
        <x:v>4</x:v>
      </x:c>
      <x:c r="R120" s="83" t="str">
        <x:v>A</x:v>
      </x:c>
      <x:c r="S120" s="83" t="str">
        <x:v>Approved</x:v>
      </x:c>
      <x:c r="T120" s="83" t="str">
        <x:v>Active</x:v>
      </x:c>
      <x:c r="U120" s="83" t="n">
        <x:v>1</x:v>
      </x:c>
      <x:c r="V120" s="83" t="str"/>
      <x:c r="W120" s="83" t="str">
        <x:v>No additional flag</x:v>
      </x:c>
      <x:c r="X120" s="83" t="str">
        <x:v>No structural flag</x:v>
      </x:c>
      <x:c r="Y120" s="83" t="str">
        <x:v>Not Yet Reviewed</x:v>
      </x:c>
      <x:c r="Z120" s="83" t="str">
        <x:v>CTA LCSW Workbook 7</x:v>
      </x:c>
      <x:c r="AA120" s="83" t="str">
        <x:v>CTA_LCSW_WB7_17_Question_Bank_v1.0.docx</x:v>
      </x:c>
      <x:c r="AB120" s="83" t="str">
        <x:v>1.0</x:v>
      </x:c>
      <x:c r="AC120" s="102"/>
      <x:c r="AD120" s="102" t="n">
        <x:v>46228</x:v>
      </x:c>
      <x:c r="AE120" s="83" t="str"/>
      <x:c r="AF120" s="89" t="str">
        <x:v>Workbook bank; reserve pool after controlled review</x:v>
      </x:c>
    </x:row>
    <x:row r="121">
      <x:c r="A121" s="88" t="str">
        <x:v>CTA-LCSW-MQB-0120</x:v>
      </x:c>
      <x:c r="B121" s="83" t="str">
        <x:v>LCSW-WB08-QB-Q001</x:v>
      </x:c>
      <x:c r="C121" s="83" t="str">
        <x:v>LCSW</x:v>
      </x:c>
      <x:c r="D121" s="83" t="str">
        <x:v>Workbook Question Bank</x:v>
      </x:c>
      <x:c r="E121" s="83" t="n">
        <x:v>8</x:v>
      </x:c>
      <x:c r="F121" s="83" t="str">
        <x:v>Clinical Interventions and Trauma-Informed Practice</x:v>
      </x:c>
      <x:c r="G121" s="83"/>
      <x:c r="H121" s="83" t="n">
        <x:v>1</x:v>
      </x:c>
      <x:c r="I121" s="83" t="str">
        <x:v>Workbook Bank</x:v>
      </x:c>
      <x:c r="J121" s="83" t="str">
        <x:v>III. Intervention and Practice</x:v>
      </x:c>
      <x:c r="K121" s="83" t="str">
        <x:v>FITS suitability</x:v>
      </x:c>
      <x:c r="L121" s="83" t="str"/>
      <x:c r="M121" s="83" t="str">
        <x:v>Easy</x:v>
      </x:c>
      <x:c r="N121" s="83" t="str">
        <x:v>Easy</x:v>
      </x:c>
      <x:c r="O121" s="83" t="str">
        <x:v>Knowledge &amp; Recall</x:v>
      </x:c>
      <x:c r="P121" s="83" t="str">
        <x:v>Knowledge &amp; Recall</x:v>
      </x:c>
      <x:c r="Q121" s="83" t="n">
        <x:v>4</x:v>
      </x:c>
      <x:c r="R121" s="83" t="str">
        <x:v>B</x:v>
      </x:c>
      <x:c r="S121" s="83" t="str">
        <x:v>Approved</x:v>
      </x:c>
      <x:c r="T121" s="83" t="str">
        <x:v>Active</x:v>
      </x:c>
      <x:c r="U121" s="83" t="n">
        <x:v>1</x:v>
      </x:c>
      <x:c r="V121" s="83" t="str"/>
      <x:c r="W121" s="83" t="str">
        <x:v>No additional flag</x:v>
      </x:c>
      <x:c r="X121" s="83" t="str">
        <x:v>No structural flag</x:v>
      </x:c>
      <x:c r="Y121" s="83" t="str">
        <x:v>Not Yet Reviewed</x:v>
      </x:c>
      <x:c r="Z121" s="83" t="str">
        <x:v>CTA LCSW Workbook 8</x:v>
      </x:c>
      <x:c r="AA121" s="83" t="str">
        <x:v>CTA_LCSW_WB8_17_Question_Bank_v1.0.docx</x:v>
      </x:c>
      <x:c r="AB121" s="83" t="str">
        <x:v>1.0</x:v>
      </x:c>
      <x:c r="AC121" s="102"/>
      <x:c r="AD121" s="102" t="n">
        <x:v>46228</x:v>
      </x:c>
      <x:c r="AE121" s="83" t="str"/>
      <x:c r="AF121" s="89" t="str">
        <x:v>Workbook bank; reserve pool after controlled review</x:v>
      </x:c>
    </x:row>
    <x:row r="122">
      <x:c r="A122" s="88" t="str">
        <x:v>CTA-LCSW-MQB-0121</x:v>
      </x:c>
      <x:c r="B122" s="83" t="str">
        <x:v>LCSW-WB08-QB-Q002</x:v>
      </x:c>
      <x:c r="C122" s="83" t="str">
        <x:v>LCSW</x:v>
      </x:c>
      <x:c r="D122" s="83" t="str">
        <x:v>Workbook Question Bank</x:v>
      </x:c>
      <x:c r="E122" s="83" t="n">
        <x:v>8</x:v>
      </x:c>
      <x:c r="F122" s="83" t="str">
        <x:v>Clinical Interventions and Trauma-Informed Practice</x:v>
      </x:c>
      <x:c r="G122" s="83"/>
      <x:c r="H122" s="83" t="n">
        <x:v>2</x:v>
      </x:c>
      <x:c r="I122" s="83" t="str">
        <x:v>Workbook Bank</x:v>
      </x:c>
      <x:c r="J122" s="83" t="str">
        <x:v>III. Intervention and Practice</x:v>
      </x:c>
      <x:c r="K122" s="83" t="str">
        <x:v>Teach-back and health literacy</x:v>
      </x:c>
      <x:c r="L122" s="83" t="str"/>
      <x:c r="M122" s="83" t="str">
        <x:v>Easy</x:v>
      </x:c>
      <x:c r="N122" s="83" t="str">
        <x:v>Easy</x:v>
      </x:c>
      <x:c r="O122" s="83" t="str">
        <x:v>Application</x:v>
      </x:c>
      <x:c r="P122" s="83" t="str">
        <x:v>Application</x:v>
      </x:c>
      <x:c r="Q122" s="83" t="n">
        <x:v>4</x:v>
      </x:c>
      <x:c r="R122" s="83" t="str">
        <x:v>A</x:v>
      </x:c>
      <x:c r="S122" s="83" t="str">
        <x:v>Approved</x:v>
      </x:c>
      <x:c r="T122" s="83" t="str">
        <x:v>Active</x:v>
      </x:c>
      <x:c r="U122" s="83" t="n">
        <x:v>1</x:v>
      </x:c>
      <x:c r="V122" s="83" t="str"/>
      <x:c r="W122" s="83" t="str">
        <x:v>No additional flag</x:v>
      </x:c>
      <x:c r="X122" s="83" t="str">
        <x:v>No structural flag</x:v>
      </x:c>
      <x:c r="Y122" s="83" t="str">
        <x:v>Not Yet Reviewed</x:v>
      </x:c>
      <x:c r="Z122" s="83" t="str">
        <x:v>CTA LCSW Workbook 8</x:v>
      </x:c>
      <x:c r="AA122" s="83" t="str">
        <x:v>CTA_LCSW_WB8_17_Question_Bank_v1.0.docx</x:v>
      </x:c>
      <x:c r="AB122" s="83" t="str">
        <x:v>1.0</x:v>
      </x:c>
      <x:c r="AC122" s="102"/>
      <x:c r="AD122" s="102" t="n">
        <x:v>46228</x:v>
      </x:c>
      <x:c r="AE122" s="83" t="str"/>
      <x:c r="AF122" s="89" t="str">
        <x:v>Workbook bank; reserve pool after controlled review</x:v>
      </x:c>
    </x:row>
    <x:row r="123">
      <x:c r="A123" s="88" t="str">
        <x:v>CTA-LCSW-MQB-0122</x:v>
      </x:c>
      <x:c r="B123" s="83" t="str">
        <x:v>LCSW-WB08-QB-Q003</x:v>
      </x:c>
      <x:c r="C123" s="83" t="str">
        <x:v>LCSW</x:v>
      </x:c>
      <x:c r="D123" s="83" t="str">
        <x:v>Workbook Question Bank</x:v>
      </x:c>
      <x:c r="E123" s="83" t="n">
        <x:v>8</x:v>
      </x:c>
      <x:c r="F123" s="83" t="str">
        <x:v>Clinical Interventions and Trauma-Informed Practice</x:v>
      </x:c>
      <x:c r="G123" s="83"/>
      <x:c r="H123" s="83" t="n">
        <x:v>3</x:v>
      </x:c>
      <x:c r="I123" s="83" t="str">
        <x:v>Workbook Bank</x:v>
      </x:c>
      <x:c r="J123" s="83" t="str">
        <x:v>III. Intervention and Practice</x:v>
      </x:c>
      <x:c r="K123" s="83" t="str">
        <x:v>Behavioral activation</x:v>
      </x:c>
      <x:c r="L123" s="83" t="str"/>
      <x:c r="M123" s="83" t="str">
        <x:v>Easy</x:v>
      </x:c>
      <x:c r="N123" s="83" t="str">
        <x:v>Easy</x:v>
      </x:c>
      <x:c r="O123" s="83" t="str">
        <x:v>Knowledge &amp; Recall</x:v>
      </x:c>
      <x:c r="P123" s="83" t="str">
        <x:v>Knowledge &amp; Recall</x:v>
      </x:c>
      <x:c r="Q123" s="83" t="n">
        <x:v>4</x:v>
      </x:c>
      <x:c r="R123" s="83" t="str">
        <x:v>C</x:v>
      </x:c>
      <x:c r="S123" s="83" t="str">
        <x:v>Approved</x:v>
      </x:c>
      <x:c r="T123" s="83" t="str">
        <x:v>Active</x:v>
      </x:c>
      <x:c r="U123" s="83" t="n">
        <x:v>1</x:v>
      </x:c>
      <x:c r="V123" s="83" t="str"/>
      <x:c r="W123" s="83" t="str">
        <x:v>No additional flag</x:v>
      </x:c>
      <x:c r="X123" s="83" t="str">
        <x:v>No structural flag</x:v>
      </x:c>
      <x:c r="Y123" s="83" t="str">
        <x:v>Not Yet Reviewed</x:v>
      </x:c>
      <x:c r="Z123" s="83" t="str">
        <x:v>CTA LCSW Workbook 8</x:v>
      </x:c>
      <x:c r="AA123" s="83" t="str">
        <x:v>CTA_LCSW_WB8_17_Question_Bank_v1.0.docx</x:v>
      </x:c>
      <x:c r="AB123" s="83" t="str">
        <x:v>1.0</x:v>
      </x:c>
      <x:c r="AC123" s="102"/>
      <x:c r="AD123" s="102" t="n">
        <x:v>46228</x:v>
      </x:c>
      <x:c r="AE123" s="83" t="str"/>
      <x:c r="AF123" s="89" t="str">
        <x:v>Workbook bank; reserve pool after controlled review</x:v>
      </x:c>
    </x:row>
    <x:row r="124">
      <x:c r="A124" s="88" t="str">
        <x:v>CTA-LCSW-MQB-0123</x:v>
      </x:c>
      <x:c r="B124" s="83" t="str">
        <x:v>LCSW-WB08-QB-Q004</x:v>
      </x:c>
      <x:c r="C124" s="83" t="str">
        <x:v>LCSW</x:v>
      </x:c>
      <x:c r="D124" s="83" t="str">
        <x:v>Workbook Question Bank</x:v>
      </x:c>
      <x:c r="E124" s="83" t="n">
        <x:v>8</x:v>
      </x:c>
      <x:c r="F124" s="83" t="str">
        <x:v>Clinical Interventions and Trauma-Informed Practice</x:v>
      </x:c>
      <x:c r="G124" s="83"/>
      <x:c r="H124" s="83" t="n">
        <x:v>4</x:v>
      </x:c>
      <x:c r="I124" s="83" t="str">
        <x:v>Workbook Bank</x:v>
      </x:c>
      <x:c r="J124" s="83" t="str">
        <x:v>III. Intervention and Practice</x:v>
      </x:c>
      <x:c r="K124" s="83" t="str">
        <x:v>Cognitive and behavioral formulation</x:v>
      </x:c>
      <x:c r="L124" s="83" t="str"/>
      <x:c r="M124" s="83" t="str">
        <x:v>Easy</x:v>
      </x:c>
      <x:c r="N124" s="83" t="str">
        <x:v>Easy</x:v>
      </x:c>
      <x:c r="O124" s="83" t="str">
        <x:v>Scenario-Based</x:v>
      </x:c>
      <x:c r="P124" s="83" t="str">
        <x:v>Scenario-Based</x:v>
      </x:c>
      <x:c r="Q124" s="83" t="n">
        <x:v>4</x:v>
      </x:c>
      <x:c r="R124" s="83" t="str">
        <x:v>D</x:v>
      </x:c>
      <x:c r="S124" s="83" t="str">
        <x:v>Approved</x:v>
      </x:c>
      <x:c r="T124" s="83" t="str">
        <x:v>Active</x:v>
      </x:c>
      <x:c r="U124" s="83" t="n">
        <x:v>1</x:v>
      </x:c>
      <x:c r="V124" s="83" t="str"/>
      <x:c r="W124" s="83" t="str">
        <x:v>No additional flag</x:v>
      </x:c>
      <x:c r="X124" s="83" t="str">
        <x:v>No structural flag</x:v>
      </x:c>
      <x:c r="Y124" s="83" t="str">
        <x:v>Not Yet Reviewed</x:v>
      </x:c>
      <x:c r="Z124" s="83" t="str">
        <x:v>CTA LCSW Workbook 8</x:v>
      </x:c>
      <x:c r="AA124" s="83" t="str">
        <x:v>CTA_LCSW_WB8_17_Question_Bank_v1.0.docx</x:v>
      </x:c>
      <x:c r="AB124" s="83" t="str">
        <x:v>1.0</x:v>
      </x:c>
      <x:c r="AC124" s="102"/>
      <x:c r="AD124" s="102" t="n">
        <x:v>46228</x:v>
      </x:c>
      <x:c r="AE124" s="83" t="str"/>
      <x:c r="AF124" s="89" t="str">
        <x:v>Workbook bank; reserve pool after controlled review</x:v>
      </x:c>
    </x:row>
    <x:row r="125">
      <x:c r="A125" s="88" t="str">
        <x:v>CTA-LCSW-MQB-0124</x:v>
      </x:c>
      <x:c r="B125" s="83" t="str">
        <x:v>LCSW-WB08-QB-Q005</x:v>
      </x:c>
      <x:c r="C125" s="83" t="str">
        <x:v>LCSW</x:v>
      </x:c>
      <x:c r="D125" s="83" t="str">
        <x:v>Workbook Question Bank</x:v>
      </x:c>
      <x:c r="E125" s="83" t="n">
        <x:v>8</x:v>
      </x:c>
      <x:c r="F125" s="83" t="str">
        <x:v>Clinical Interventions and Trauma-Informed Practice</x:v>
      </x:c>
      <x:c r="G125" s="83"/>
      <x:c r="H125" s="83" t="n">
        <x:v>5</x:v>
      </x:c>
      <x:c r="I125" s="83" t="str">
        <x:v>Workbook Bank</x:v>
      </x:c>
      <x:c r="J125" s="83" t="str">
        <x:v>III. Intervention and Practice</x:v>
      </x:c>
      <x:c r="K125" s="83" t="str">
        <x:v>Motivational interviewing reflection</x:v>
      </x:c>
      <x:c r="L125" s="83" t="str"/>
      <x:c r="M125" s="83" t="str">
        <x:v>Easy</x:v>
      </x:c>
      <x:c r="N125" s="83" t="str">
        <x:v>Easy</x:v>
      </x:c>
      <x:c r="O125" s="83" t="str">
        <x:v>Application</x:v>
      </x:c>
      <x:c r="P125" s="83" t="str">
        <x:v>Application</x:v>
      </x:c>
      <x:c r="Q125" s="83" t="n">
        <x:v>4</x:v>
      </x:c>
      <x:c r="R125" s="83" t="str">
        <x:v>A</x:v>
      </x:c>
      <x:c r="S125" s="83" t="str">
        <x:v>Approved</x:v>
      </x:c>
      <x:c r="T125" s="83" t="str">
        <x:v>Active</x:v>
      </x:c>
      <x:c r="U125" s="83" t="n">
        <x:v>1</x:v>
      </x:c>
      <x:c r="V125" s="83" t="str"/>
      <x:c r="W125" s="83" t="str">
        <x:v>No additional flag</x:v>
      </x:c>
      <x:c r="X125" s="83" t="str">
        <x:v>No structural flag</x:v>
      </x:c>
      <x:c r="Y125" s="83" t="str">
        <x:v>Not Yet Reviewed</x:v>
      </x:c>
      <x:c r="Z125" s="83" t="str">
        <x:v>CTA LCSW Workbook 8</x:v>
      </x:c>
      <x:c r="AA125" s="83" t="str">
        <x:v>CTA_LCSW_WB8_17_Question_Bank_v1.0.docx</x:v>
      </x:c>
      <x:c r="AB125" s="83" t="str">
        <x:v>1.0</x:v>
      </x:c>
      <x:c r="AC125" s="102"/>
      <x:c r="AD125" s="102" t="n">
        <x:v>46228</x:v>
      </x:c>
      <x:c r="AE125" s="83" t="str"/>
      <x:c r="AF125" s="89" t="str">
        <x:v>Workbook bank; reserve pool after controlled review</x:v>
      </x:c>
    </x:row>
    <x:row r="126">
      <x:c r="A126" s="88" t="str">
        <x:v>CTA-LCSW-MQB-0125</x:v>
      </x:c>
      <x:c r="B126" s="83" t="str">
        <x:v>LCSW-WB08-QB-Q006</x:v>
      </x:c>
      <x:c r="C126" s="83" t="str">
        <x:v>LCSW</x:v>
      </x:c>
      <x:c r="D126" s="83" t="str">
        <x:v>Workbook Question Bank</x:v>
      </x:c>
      <x:c r="E126" s="83" t="n">
        <x:v>8</x:v>
      </x:c>
      <x:c r="F126" s="83" t="str">
        <x:v>Clinical Interventions and Trauma-Informed Practice</x:v>
      </x:c>
      <x:c r="G126" s="83"/>
      <x:c r="H126" s="83" t="n">
        <x:v>6</x:v>
      </x:c>
      <x:c r="I126" s="83" t="str">
        <x:v>Workbook Bank</x:v>
      </x:c>
      <x:c r="J126" s="83" t="str">
        <x:v>III. Intervention and Practice</x:v>
      </x:c>
      <x:c r="K126" s="83" t="str">
        <x:v>Trauma-informed stabilization</x:v>
      </x:c>
      <x:c r="L126" s="83" t="str"/>
      <x:c r="M126" s="83" t="str">
        <x:v>Moderate</x:v>
      </x:c>
      <x:c r="N126" s="83" t="str">
        <x:v>Moderate</x:v>
      </x:c>
      <x:c r="O126" s="83" t="str">
        <x:v>Scenario-Based</x:v>
      </x:c>
      <x:c r="P126" s="83" t="str">
        <x:v>Scenario-Based</x:v>
      </x:c>
      <x:c r="Q126" s="83" t="n">
        <x:v>4</x:v>
      </x:c>
      <x:c r="R126" s="83" t="str">
        <x:v>D</x:v>
      </x:c>
      <x:c r="S126" s="83" t="str">
        <x:v>Approved</x:v>
      </x:c>
      <x:c r="T126" s="83" t="str">
        <x:v>Active</x:v>
      </x:c>
      <x:c r="U126" s="83" t="n">
        <x:v>1</x:v>
      </x:c>
      <x:c r="V126" s="83" t="str"/>
      <x:c r="W126" s="83" t="str">
        <x:v>No additional flag</x:v>
      </x:c>
      <x:c r="X126" s="83" t="str">
        <x:v>No structural flag</x:v>
      </x:c>
      <x:c r="Y126" s="83" t="str">
        <x:v>Not Yet Reviewed</x:v>
      </x:c>
      <x:c r="Z126" s="83" t="str">
        <x:v>CTA LCSW Workbook 8</x:v>
      </x:c>
      <x:c r="AA126" s="83" t="str">
        <x:v>CTA_LCSW_WB8_17_Question_Bank_v1.0.docx</x:v>
      </x:c>
      <x:c r="AB126" s="83" t="str">
        <x:v>1.0</x:v>
      </x:c>
      <x:c r="AC126" s="102"/>
      <x:c r="AD126" s="102" t="n">
        <x:v>46228</x:v>
      </x:c>
      <x:c r="AE126" s="83" t="str"/>
      <x:c r="AF126" s="89" t="str">
        <x:v>Workbook bank; reserve pool after controlled review</x:v>
      </x:c>
    </x:row>
    <x:row r="127">
      <x:c r="A127" s="88" t="str">
        <x:v>CTA-LCSW-MQB-0126</x:v>
      </x:c>
      <x:c r="B127" s="83" t="str">
        <x:v>LCSW-WB08-QB-Q007</x:v>
      </x:c>
      <x:c r="C127" s="83" t="str">
        <x:v>LCSW</x:v>
      </x:c>
      <x:c r="D127" s="83" t="str">
        <x:v>Workbook Question Bank</x:v>
      </x:c>
      <x:c r="E127" s="83" t="n">
        <x:v>8</x:v>
      </x:c>
      <x:c r="F127" s="83" t="str">
        <x:v>Clinical Interventions and Trauma-Informed Practice</x:v>
      </x:c>
      <x:c r="G127" s="83"/>
      <x:c r="H127" s="83" t="n">
        <x:v>7</x:v>
      </x:c>
      <x:c r="I127" s="83" t="str">
        <x:v>Workbook Bank</x:v>
      </x:c>
      <x:c r="J127" s="83" t="str">
        <x:v>III. Intervention and Practice</x:v>
      </x:c>
      <x:c r="K127" s="83" t="str">
        <x:v>Behavior chain analysis</x:v>
      </x:c>
      <x:c r="L127" s="83" t="str"/>
      <x:c r="M127" s="83" t="str">
        <x:v>Moderate</x:v>
      </x:c>
      <x:c r="N127" s="83" t="str">
        <x:v>Moderate</x:v>
      </x:c>
      <x:c r="O127" s="83" t="str">
        <x:v>Application</x:v>
      </x:c>
      <x:c r="P127" s="83" t="str">
        <x:v>Application</x:v>
      </x:c>
      <x:c r="Q127" s="83" t="n">
        <x:v>4</x:v>
      </x:c>
      <x:c r="R127" s="83" t="str">
        <x:v>C</x:v>
      </x:c>
      <x:c r="S127" s="83" t="str">
        <x:v>Approved</x:v>
      </x:c>
      <x:c r="T127" s="83" t="str">
        <x:v>Active</x:v>
      </x:c>
      <x:c r="U127" s="83" t="n">
        <x:v>1</x:v>
      </x:c>
      <x:c r="V127" s="83" t="str"/>
      <x:c r="W127" s="83" t="str">
        <x:v>No additional flag</x:v>
      </x:c>
      <x:c r="X127" s="83" t="str">
        <x:v>No structural flag</x:v>
      </x:c>
      <x:c r="Y127" s="83" t="str">
        <x:v>Not Yet Reviewed</x:v>
      </x:c>
      <x:c r="Z127" s="83" t="str">
        <x:v>CTA LCSW Workbook 8</x:v>
      </x:c>
      <x:c r="AA127" s="83" t="str">
        <x:v>CTA_LCSW_WB8_17_Question_Bank_v1.0.docx</x:v>
      </x:c>
      <x:c r="AB127" s="83" t="str">
        <x:v>1.0</x:v>
      </x:c>
      <x:c r="AC127" s="102"/>
      <x:c r="AD127" s="102" t="n">
        <x:v>46228</x:v>
      </x:c>
      <x:c r="AE127" s="83" t="str"/>
      <x:c r="AF127" s="89" t="str">
        <x:v>Workbook bank; reserve pool after controlled review</x:v>
      </x:c>
    </x:row>
    <x:row r="128">
      <x:c r="A128" s="88" t="str">
        <x:v>CTA-LCSW-MQB-0127</x:v>
      </x:c>
      <x:c r="B128" s="83" t="str">
        <x:v>LCSW-WB08-QB-Q008</x:v>
      </x:c>
      <x:c r="C128" s="83" t="str">
        <x:v>LCSW</x:v>
      </x:c>
      <x:c r="D128" s="83" t="str">
        <x:v>Workbook Question Bank</x:v>
      </x:c>
      <x:c r="E128" s="83" t="n">
        <x:v>8</x:v>
      </x:c>
      <x:c r="F128" s="83" t="str">
        <x:v>Clinical Interventions and Trauma-Informed Practice</x:v>
      </x:c>
      <x:c r="G128" s="83"/>
      <x:c r="H128" s="83" t="n">
        <x:v>8</x:v>
      </x:c>
      <x:c r="I128" s="83" t="str">
        <x:v>Workbook Bank</x:v>
      </x:c>
      <x:c r="J128" s="83" t="str">
        <x:v>III. Intervention and Practice</x:v>
      </x:c>
      <x:c r="K128" s="83" t="str">
        <x:v>Withdrawal and medical priority</x:v>
      </x:c>
      <x:c r="L128" s="83" t="str"/>
      <x:c r="M128" s="83" t="str">
        <x:v>Moderate</x:v>
      </x:c>
      <x:c r="N128" s="83" t="str">
        <x:v>Moderate</x:v>
      </x:c>
      <x:c r="O128" s="83" t="str">
        <x:v>Scenario-Based</x:v>
      </x:c>
      <x:c r="P128" s="83" t="str">
        <x:v>Scenario-Based</x:v>
      </x:c>
      <x:c r="Q128" s="83" t="n">
        <x:v>4</x:v>
      </x:c>
      <x:c r="R128" s="83" t="str">
        <x:v>B</x:v>
      </x:c>
      <x:c r="S128" s="83" t="str">
        <x:v>Approved</x:v>
      </x:c>
      <x:c r="T128" s="83" t="str">
        <x:v>Active</x:v>
      </x:c>
      <x:c r="U128" s="83" t="n">
        <x:v>1</x:v>
      </x:c>
      <x:c r="V128" s="83" t="str"/>
      <x:c r="W128" s="83" t="str">
        <x:v>No additional flag</x:v>
      </x:c>
      <x:c r="X128" s="83" t="str">
        <x:v>No structural flag</x:v>
      </x:c>
      <x:c r="Y128" s="83" t="str">
        <x:v>Not Yet Reviewed</x:v>
      </x:c>
      <x:c r="Z128" s="83" t="str">
        <x:v>CTA LCSW Workbook 8</x:v>
      </x:c>
      <x:c r="AA128" s="83" t="str">
        <x:v>CTA_LCSW_WB8_17_Question_Bank_v1.0.docx</x:v>
      </x:c>
      <x:c r="AB128" s="83" t="str">
        <x:v>1.0</x:v>
      </x:c>
      <x:c r="AC128" s="102"/>
      <x:c r="AD128" s="102" t="n">
        <x:v>46228</x:v>
      </x:c>
      <x:c r="AE128" s="83" t="str"/>
      <x:c r="AF128" s="89" t="str">
        <x:v>Workbook bank; reserve pool after controlled review</x:v>
      </x:c>
    </x:row>
    <x:row r="129">
      <x:c r="A129" s="88" t="str">
        <x:v>CTA-LCSW-MQB-0128</x:v>
      </x:c>
      <x:c r="B129" s="83" t="str">
        <x:v>LCSW-WB08-QB-Q009</x:v>
      </x:c>
      <x:c r="C129" s="83" t="str">
        <x:v>LCSW</x:v>
      </x:c>
      <x:c r="D129" s="83" t="str">
        <x:v>Workbook Question Bank</x:v>
      </x:c>
      <x:c r="E129" s="83" t="n">
        <x:v>8</x:v>
      </x:c>
      <x:c r="F129" s="83" t="str">
        <x:v>Clinical Interventions and Trauma-Informed Practice</x:v>
      </x:c>
      <x:c r="G129" s="83"/>
      <x:c r="H129" s="83" t="n">
        <x:v>9</x:v>
      </x:c>
      <x:c r="I129" s="83" t="str">
        <x:v>Workbook Bank</x:v>
      </x:c>
      <x:c r="J129" s="83" t="str">
        <x:v>III. Intervention and Practice</x:v>
      </x:c>
      <x:c r="K129" s="83" t="str">
        <x:v>Accessible skills intervention</x:v>
      </x:c>
      <x:c r="L129" s="83" t="str"/>
      <x:c r="M129" s="83" t="str">
        <x:v>Moderate</x:v>
      </x:c>
      <x:c r="N129" s="83" t="str">
        <x:v>Moderate</x:v>
      </x:c>
      <x:c r="O129" s="83" t="str">
        <x:v>Scenario-Based</x:v>
      </x:c>
      <x:c r="P129" s="83" t="str">
        <x:v>Scenario-Based</x:v>
      </x:c>
      <x:c r="Q129" s="83" t="n">
        <x:v>4</x:v>
      </x:c>
      <x:c r="R129" s="83" t="str">
        <x:v>A</x:v>
      </x:c>
      <x:c r="S129" s="83" t="str">
        <x:v>Approved</x:v>
      </x:c>
      <x:c r="T129" s="83" t="str">
        <x:v>Active</x:v>
      </x:c>
      <x:c r="U129" s="83" t="n">
        <x:v>1</x:v>
      </x:c>
      <x:c r="V129" s="83" t="str"/>
      <x:c r="W129" s="83" t="str">
        <x:v>No additional flag</x:v>
      </x:c>
      <x:c r="X129" s="83" t="str">
        <x:v>No structural flag</x:v>
      </x:c>
      <x:c r="Y129" s="83" t="str">
        <x:v>Not Yet Reviewed</x:v>
      </x:c>
      <x:c r="Z129" s="83" t="str">
        <x:v>CTA LCSW Workbook 8</x:v>
      </x:c>
      <x:c r="AA129" s="83" t="str">
        <x:v>CTA_LCSW_WB8_17_Question_Bank_v1.0.docx</x:v>
      </x:c>
      <x:c r="AB129" s="83" t="str">
        <x:v>1.0</x:v>
      </x:c>
      <x:c r="AC129" s="102"/>
      <x:c r="AD129" s="102" t="n">
        <x:v>46228</x:v>
      </x:c>
      <x:c r="AE129" s="83" t="str"/>
      <x:c r="AF129" s="89" t="str">
        <x:v>Workbook bank; reserve pool after controlled review</x:v>
      </x:c>
    </x:row>
    <x:row r="130">
      <x:c r="A130" s="88" t="str">
        <x:v>CTA-LCSW-MQB-0129</x:v>
      </x:c>
      <x:c r="B130" s="83" t="str">
        <x:v>LCSW-WB08-QB-Q010</x:v>
      </x:c>
      <x:c r="C130" s="83" t="str">
        <x:v>LCSW</x:v>
      </x:c>
      <x:c r="D130" s="83" t="str">
        <x:v>Workbook Question Bank</x:v>
      </x:c>
      <x:c r="E130" s="83" t="n">
        <x:v>8</x:v>
      </x:c>
      <x:c r="F130" s="83" t="str">
        <x:v>Clinical Interventions and Trauma-Informed Practice</x:v>
      </x:c>
      <x:c r="G130" s="83"/>
      <x:c r="H130" s="83" t="n">
        <x:v>10</x:v>
      </x:c>
      <x:c r="I130" s="83" t="str">
        <x:v>Workbook Bank</x:v>
      </x:c>
      <x:c r="J130" s="83" t="str">
        <x:v>III. Intervention and Practice</x:v>
      </x:c>
      <x:c r="K130" s="83" t="str">
        <x:v>Person-in-environment intervention</x:v>
      </x:c>
      <x:c r="L130" s="83" t="str"/>
      <x:c r="M130" s="83" t="str">
        <x:v>Moderate</x:v>
      </x:c>
      <x:c r="N130" s="83" t="str">
        <x:v>Moderate</x:v>
      </x:c>
      <x:c r="O130" s="83" t="str">
        <x:v>Application</x:v>
      </x:c>
      <x:c r="P130" s="83" t="str">
        <x:v>Application</x:v>
      </x:c>
      <x:c r="Q130" s="83" t="n">
        <x:v>4</x:v>
      </x:c>
      <x:c r="R130" s="83" t="str">
        <x:v>C</x:v>
      </x:c>
      <x:c r="S130" s="83" t="str">
        <x:v>Approved</x:v>
      </x:c>
      <x:c r="T130" s="83" t="str">
        <x:v>Active</x:v>
      </x:c>
      <x:c r="U130" s="83" t="n">
        <x:v>1</x:v>
      </x:c>
      <x:c r="V130" s="83" t="str"/>
      <x:c r="W130" s="83" t="str">
        <x:v>No additional flag</x:v>
      </x:c>
      <x:c r="X130" s="83" t="str">
        <x:v>No structural flag</x:v>
      </x:c>
      <x:c r="Y130" s="83" t="str">
        <x:v>Not Yet Reviewed</x:v>
      </x:c>
      <x:c r="Z130" s="83" t="str">
        <x:v>CTA LCSW Workbook 8</x:v>
      </x:c>
      <x:c r="AA130" s="83" t="str">
        <x:v>CTA_LCSW_WB8_17_Question_Bank_v1.0.docx</x:v>
      </x:c>
      <x:c r="AB130" s="83" t="str">
        <x:v>1.0</x:v>
      </x:c>
      <x:c r="AC130" s="102"/>
      <x:c r="AD130" s="102" t="n">
        <x:v>46228</x:v>
      </x:c>
      <x:c r="AE130" s="83" t="str"/>
      <x:c r="AF130" s="89" t="str">
        <x:v>Workbook bank; reserve pool after controlled review</x:v>
      </x:c>
    </x:row>
    <x:row r="131">
      <x:c r="A131" s="88" t="str">
        <x:v>CTA-LCSW-MQB-0130</x:v>
      </x:c>
      <x:c r="B131" s="83" t="str">
        <x:v>LCSW-WB08-QB-Q011</x:v>
      </x:c>
      <x:c r="C131" s="83" t="str">
        <x:v>LCSW</x:v>
      </x:c>
      <x:c r="D131" s="83" t="str">
        <x:v>Workbook Question Bank</x:v>
      </x:c>
      <x:c r="E131" s="83" t="n">
        <x:v>8</x:v>
      </x:c>
      <x:c r="F131" s="83" t="str">
        <x:v>Clinical Interventions and Trauma-Informed Practice</x:v>
      </x:c>
      <x:c r="G131" s="83"/>
      <x:c r="H131" s="83" t="n">
        <x:v>11</x:v>
      </x:c>
      <x:c r="I131" s="83" t="str">
        <x:v>Workbook Bank</x:v>
      </x:c>
      <x:c r="J131" s="83" t="str">
        <x:v>III. Intervention and Practice</x:v>
      </x:c>
      <x:c r="K131" s="83" t="str">
        <x:v>Intervention response review</x:v>
      </x:c>
      <x:c r="L131" s="83" t="str"/>
      <x:c r="M131" s="83" t="str">
        <x:v>Moderate</x:v>
      </x:c>
      <x:c r="N131" s="83" t="str">
        <x:v>Moderate</x:v>
      </x:c>
      <x:c r="O131" s="83" t="str">
        <x:v>Scenario-Based</x:v>
      </x:c>
      <x:c r="P131" s="83" t="str">
        <x:v>Scenario-Based</x:v>
      </x:c>
      <x:c r="Q131" s="83" t="n">
        <x:v>4</x:v>
      </x:c>
      <x:c r="R131" s="83" t="str">
        <x:v>D</x:v>
      </x:c>
      <x:c r="S131" s="83" t="str">
        <x:v>Approved</x:v>
      </x:c>
      <x:c r="T131" s="83" t="str">
        <x:v>Active</x:v>
      </x:c>
      <x:c r="U131" s="83" t="n">
        <x:v>1</x:v>
      </x:c>
      <x:c r="V131" s="83" t="str"/>
      <x:c r="W131" s="83" t="str">
        <x:v>No additional flag</x:v>
      </x:c>
      <x:c r="X131" s="83" t="str">
        <x:v>No structural flag</x:v>
      </x:c>
      <x:c r="Y131" s="83" t="str">
        <x:v>Not Yet Reviewed</x:v>
      </x:c>
      <x:c r="Z131" s="83" t="str">
        <x:v>CTA LCSW Workbook 8</x:v>
      </x:c>
      <x:c r="AA131" s="83" t="str">
        <x:v>CTA_LCSW_WB8_17_Question_Bank_v1.0.docx</x:v>
      </x:c>
      <x:c r="AB131" s="83" t="str">
        <x:v>1.0</x:v>
      </x:c>
      <x:c r="AC131" s="102"/>
      <x:c r="AD131" s="102" t="n">
        <x:v>46228</x:v>
      </x:c>
      <x:c r="AE131" s="83" t="str"/>
      <x:c r="AF131" s="89" t="str">
        <x:v>Workbook bank; reserve pool after controlled review</x:v>
      </x:c>
    </x:row>
    <x:row r="132">
      <x:c r="A132" s="88" t="str">
        <x:v>CTA-LCSW-MQB-0131</x:v>
      </x:c>
      <x:c r="B132" s="83" t="str">
        <x:v>LCSW-WB08-QB-Q012</x:v>
      </x:c>
      <x:c r="C132" s="83" t="str">
        <x:v>LCSW</x:v>
      </x:c>
      <x:c r="D132" s="83" t="str">
        <x:v>Workbook Question Bank</x:v>
      </x:c>
      <x:c r="E132" s="83" t="n">
        <x:v>8</x:v>
      </x:c>
      <x:c r="F132" s="83" t="str">
        <x:v>Clinical Interventions and Trauma-Informed Practice</x:v>
      </x:c>
      <x:c r="G132" s="83"/>
      <x:c r="H132" s="83" t="n">
        <x:v>12</x:v>
      </x:c>
      <x:c r="I132" s="83" t="str">
        <x:v>Workbook Bank</x:v>
      </x:c>
      <x:c r="J132" s="83" t="str">
        <x:v>III. Intervention and Practice</x:v>
      </x:c>
      <x:c r="K132" s="83" t="str">
        <x:v>Harm reduction and recovery continuum</x:v>
      </x:c>
      <x:c r="L132" s="83" t="str"/>
      <x:c r="M132" s="83" t="str">
        <x:v>Moderate</x:v>
      </x:c>
      <x:c r="N132" s="83" t="str">
        <x:v>Moderate</x:v>
      </x:c>
      <x:c r="O132" s="83" t="str">
        <x:v>Knowledge &amp; Recall</x:v>
      </x:c>
      <x:c r="P132" s="83" t="str">
        <x:v>Knowledge &amp; Recall</x:v>
      </x:c>
      <x:c r="Q132" s="83" t="n">
        <x:v>4</x:v>
      </x:c>
      <x:c r="R132" s="83" t="str">
        <x:v>B</x:v>
      </x:c>
      <x:c r="S132" s="83" t="str">
        <x:v>Approved</x:v>
      </x:c>
      <x:c r="T132" s="83" t="str">
        <x:v>Active</x:v>
      </x:c>
      <x:c r="U132" s="83" t="n">
        <x:v>1</x:v>
      </x:c>
      <x:c r="V132" s="83" t="str"/>
      <x:c r="W132" s="83" t="str">
        <x:v>No additional flag</x:v>
      </x:c>
      <x:c r="X132" s="83" t="str">
        <x:v>No structural flag</x:v>
      </x:c>
      <x:c r="Y132" s="83" t="str">
        <x:v>Not Yet Reviewed</x:v>
      </x:c>
      <x:c r="Z132" s="83" t="str">
        <x:v>CTA LCSW Workbook 8</x:v>
      </x:c>
      <x:c r="AA132" s="83" t="str">
        <x:v>CTA_LCSW_WB8_17_Question_Bank_v1.0.docx</x:v>
      </x:c>
      <x:c r="AB132" s="83" t="str">
        <x:v>1.0</x:v>
      </x:c>
      <x:c r="AC132" s="102"/>
      <x:c r="AD132" s="102" t="n">
        <x:v>46228</x:v>
      </x:c>
      <x:c r="AE132" s="83" t="str"/>
      <x:c r="AF132" s="89" t="str">
        <x:v>Workbook bank; reserve pool after controlled review</x:v>
      </x:c>
    </x:row>
    <x:row r="133">
      <x:c r="A133" s="88" t="str">
        <x:v>CTA-LCSW-MQB-0132</x:v>
      </x:c>
      <x:c r="B133" s="83" t="str">
        <x:v>LCSW-WB08-QB-Q013</x:v>
      </x:c>
      <x:c r="C133" s="83" t="str">
        <x:v>LCSW</x:v>
      </x:c>
      <x:c r="D133" s="83" t="str">
        <x:v>Workbook Question Bank</x:v>
      </x:c>
      <x:c r="E133" s="83" t="n">
        <x:v>8</x:v>
      </x:c>
      <x:c r="F133" s="83" t="str">
        <x:v>Clinical Interventions and Trauma-Informed Practice</x:v>
      </x:c>
      <x:c r="G133" s="83"/>
      <x:c r="H133" s="83" t="n">
        <x:v>13</x:v>
      </x:c>
      <x:c r="I133" s="83" t="str">
        <x:v>Workbook Bank</x:v>
      </x:c>
      <x:c r="J133" s="83" t="str">
        <x:v>III. Intervention and Practice</x:v>
      </x:c>
      <x:c r="K133" s="83" t="str">
        <x:v>Integrated trauma, housing, and access plan</x:v>
      </x:c>
      <x:c r="L133" s="83" t="str"/>
      <x:c r="M133" s="83" t="str">
        <x:v>Difficult</x:v>
      </x:c>
      <x:c r="N133" s="83" t="str">
        <x:v>Difficult</x:v>
      </x:c>
      <x:c r="O133" s="83" t="str">
        <x:v>Integrated Clinical Reasoning</x:v>
      </x:c>
      <x:c r="P133" s="83" t="str">
        <x:v>Integrated Clinical Reasoning</x:v>
      </x:c>
      <x:c r="Q133" s="83" t="n">
        <x:v>4</x:v>
      </x:c>
      <x:c r="R133" s="83" t="str">
        <x:v>A</x:v>
      </x:c>
      <x:c r="S133" s="83" t="str">
        <x:v>Approved</x:v>
      </x:c>
      <x:c r="T133" s="83" t="str">
        <x:v>Active</x:v>
      </x:c>
      <x:c r="U133" s="83" t="n">
        <x:v>1</x:v>
      </x:c>
      <x:c r="V133" s="83" t="str"/>
      <x:c r="W133" s="83" t="str">
        <x:v>No additional flag</x:v>
      </x:c>
      <x:c r="X133" s="83" t="str">
        <x:v>No structural flag</x:v>
      </x:c>
      <x:c r="Y133" s="83" t="str">
        <x:v>Not Yet Reviewed</x:v>
      </x:c>
      <x:c r="Z133" s="83" t="str">
        <x:v>CTA LCSW Workbook 8</x:v>
      </x:c>
      <x:c r="AA133" s="83" t="str">
        <x:v>CTA_LCSW_WB8_17_Question_Bank_v1.0.docx</x:v>
      </x:c>
      <x:c r="AB133" s="83" t="str">
        <x:v>1.0</x:v>
      </x:c>
      <x:c r="AC133" s="102"/>
      <x:c r="AD133" s="102" t="n">
        <x:v>46228</x:v>
      </x:c>
      <x:c r="AE133" s="83" t="str"/>
      <x:c r="AF133" s="89" t="str">
        <x:v>Workbook bank; reserve pool after controlled review</x:v>
      </x:c>
    </x:row>
    <x:row r="134">
      <x:c r="A134" s="88" t="str">
        <x:v>CTA-LCSW-MQB-0133</x:v>
      </x:c>
      <x:c r="B134" s="83" t="str">
        <x:v>LCSW-WB08-QB-Q014</x:v>
      </x:c>
      <x:c r="C134" s="83" t="str">
        <x:v>LCSW</x:v>
      </x:c>
      <x:c r="D134" s="83" t="str">
        <x:v>Workbook Question Bank</x:v>
      </x:c>
      <x:c r="E134" s="83" t="n">
        <x:v>8</x:v>
      </x:c>
      <x:c r="F134" s="83" t="str">
        <x:v>Clinical Interventions and Trauma-Informed Practice</x:v>
      </x:c>
      <x:c r="G134" s="83"/>
      <x:c r="H134" s="83" t="n">
        <x:v>14</x:v>
      </x:c>
      <x:c r="I134" s="83" t="str">
        <x:v>Workbook Bank</x:v>
      </x:c>
      <x:c r="J134" s="83" t="str">
        <x:v>III. Intervention and Practice</x:v>
      </x:c>
      <x:c r="K134" s="83" t="str">
        <x:v>Integrated motivational work with mandate</x:v>
      </x:c>
      <x:c r="L134" s="83" t="str"/>
      <x:c r="M134" s="83" t="str">
        <x:v>Difficult</x:v>
      </x:c>
      <x:c r="N134" s="83" t="str">
        <x:v>Difficult</x:v>
      </x:c>
      <x:c r="O134" s="83" t="str">
        <x:v>Integrated Clinical Reasoning</x:v>
      </x:c>
      <x:c r="P134" s="83" t="str">
        <x:v>Integrated Clinical Reasoning</x:v>
      </x:c>
      <x:c r="Q134" s="83" t="n">
        <x:v>4</x:v>
      </x:c>
      <x:c r="R134" s="83" t="str">
        <x:v>D</x:v>
      </x:c>
      <x:c r="S134" s="83" t="str">
        <x:v>Approved</x:v>
      </x:c>
      <x:c r="T134" s="83" t="str">
        <x:v>Active</x:v>
      </x:c>
      <x:c r="U134" s="83" t="n">
        <x:v>1</x:v>
      </x:c>
      <x:c r="V134" s="83" t="str"/>
      <x:c r="W134" s="83" t="str">
        <x:v>No additional flag</x:v>
      </x:c>
      <x:c r="X134" s="83" t="str">
        <x:v>No structural flag</x:v>
      </x:c>
      <x:c r="Y134" s="83" t="str">
        <x:v>Not Yet Reviewed</x:v>
      </x:c>
      <x:c r="Z134" s="83" t="str">
        <x:v>CTA LCSW Workbook 8</x:v>
      </x:c>
      <x:c r="AA134" s="83" t="str">
        <x:v>CTA_LCSW_WB8_17_Question_Bank_v1.0.docx</x:v>
      </x:c>
      <x:c r="AB134" s="83" t="str">
        <x:v>1.0</x:v>
      </x:c>
      <x:c r="AC134" s="102"/>
      <x:c r="AD134" s="102" t="n">
        <x:v>46228</x:v>
      </x:c>
      <x:c r="AE134" s="83" t="str"/>
      <x:c r="AF134" s="89" t="str">
        <x:v>Workbook bank; reserve pool after controlled review</x:v>
      </x:c>
    </x:row>
    <x:row r="135">
      <x:c r="A135" s="88" t="str">
        <x:v>CTA-LCSW-MQB-0134</x:v>
      </x:c>
      <x:c r="B135" s="83" t="str">
        <x:v>LCSW-WB08-QB-Q015</x:v>
      </x:c>
      <x:c r="C135" s="83" t="str">
        <x:v>LCSW</x:v>
      </x:c>
      <x:c r="D135" s="83" t="str">
        <x:v>Workbook Question Bank</x:v>
      </x:c>
      <x:c r="E135" s="83" t="n">
        <x:v>8</x:v>
      </x:c>
      <x:c r="F135" s="83" t="str">
        <x:v>Clinical Interventions and Trauma-Informed Practice</x:v>
      </x:c>
      <x:c r="G135" s="83"/>
      <x:c r="H135" s="83" t="n">
        <x:v>15</x:v>
      </x:c>
      <x:c r="I135" s="83" t="str">
        <x:v>Workbook Bank</x:v>
      </x:c>
      <x:c r="J135" s="83" t="str">
        <x:v>III. Intervention and Practice</x:v>
      </x:c>
      <x:c r="K135" s="83" t="str">
        <x:v>Integrated grief, medication, and functioning</x:v>
      </x:c>
      <x:c r="L135" s="83" t="str"/>
      <x:c r="M135" s="83" t="str">
        <x:v>Difficult</x:v>
      </x:c>
      <x:c r="N135" s="83" t="str">
        <x:v>Difficult</x:v>
      </x:c>
      <x:c r="O135" s="83" t="str">
        <x:v>Integrated Clinical Reasoning</x:v>
      </x:c>
      <x:c r="P135" s="83" t="str">
        <x:v>Integrated Clinical Reasoning</x:v>
      </x:c>
      <x:c r="Q135" s="83" t="n">
        <x:v>4</x:v>
      </x:c>
      <x:c r="R135" s="83" t="str">
        <x:v>C</x:v>
      </x:c>
      <x:c r="S135" s="83" t="str">
        <x:v>Approved</x:v>
      </x:c>
      <x:c r="T135" s="83" t="str">
        <x:v>Active</x:v>
      </x:c>
      <x:c r="U135" s="83" t="n">
        <x:v>1</x:v>
      </x:c>
      <x:c r="V135" s="83" t="str"/>
      <x:c r="W135" s="83" t="str">
        <x:v>No additional flag</x:v>
      </x:c>
      <x:c r="X135" s="83" t="str">
        <x:v>No structural flag</x:v>
      </x:c>
      <x:c r="Y135" s="83" t="str">
        <x:v>Not Yet Reviewed</x:v>
      </x:c>
      <x:c r="Z135" s="83" t="str">
        <x:v>CTA LCSW Workbook 8</x:v>
      </x:c>
      <x:c r="AA135" s="83" t="str">
        <x:v>CTA_LCSW_WB8_17_Question_Bank_v1.0.docx</x:v>
      </x:c>
      <x:c r="AB135" s="83" t="str">
        <x:v>1.0</x:v>
      </x:c>
      <x:c r="AC135" s="102"/>
      <x:c r="AD135" s="102" t="n">
        <x:v>46228</x:v>
      </x:c>
      <x:c r="AE135" s="83" t="str"/>
      <x:c r="AF135" s="89" t="str">
        <x:v>Workbook bank; reserve pool after controlled review</x:v>
      </x:c>
    </x:row>
    <x:row r="136">
      <x:c r="A136" s="88" t="str">
        <x:v>CTA-LCSW-MQB-0135</x:v>
      </x:c>
      <x:c r="B136" s="83" t="str">
        <x:v>LCSW-WB08-QB-Q016</x:v>
      </x:c>
      <x:c r="C136" s="83" t="str">
        <x:v>LCSW</x:v>
      </x:c>
      <x:c r="D136" s="83" t="str">
        <x:v>Workbook Question Bank</x:v>
      </x:c>
      <x:c r="E136" s="83" t="n">
        <x:v>8</x:v>
      </x:c>
      <x:c r="F136" s="83" t="str">
        <x:v>Clinical Interventions and Trauma-Informed Practice</x:v>
      </x:c>
      <x:c r="G136" s="83"/>
      <x:c r="H136" s="83" t="n">
        <x:v>16</x:v>
      </x:c>
      <x:c r="I136" s="83" t="str">
        <x:v>Workbook Bank</x:v>
      </x:c>
      <x:c r="J136" s="83" t="str">
        <x:v>III. Intervention and Practice</x:v>
      </x:c>
      <x:c r="K136" s="83" t="str">
        <x:v>Integrated competence and service scarcity</x:v>
      </x:c>
      <x:c r="L136" s="83" t="str"/>
      <x:c r="M136" s="83" t="str">
        <x:v>Difficult</x:v>
      </x:c>
      <x:c r="N136" s="83" t="str">
        <x:v>Difficult</x:v>
      </x:c>
      <x:c r="O136" s="83" t="str">
        <x:v>Integrated Clinical Reasoning</x:v>
      </x:c>
      <x:c r="P136" s="83" t="str">
        <x:v>Integrated Clinical Reasoning</x:v>
      </x:c>
      <x:c r="Q136" s="83" t="n">
        <x:v>4</x:v>
      </x:c>
      <x:c r="R136" s="83" t="str">
        <x:v>B</x:v>
      </x:c>
      <x:c r="S136" s="83" t="str">
        <x:v>Approved</x:v>
      </x:c>
      <x:c r="T136" s="83" t="str">
        <x:v>Active</x:v>
      </x:c>
      <x:c r="U136" s="83" t="n">
        <x:v>1</x:v>
      </x:c>
      <x:c r="V136" s="83" t="str"/>
      <x:c r="W136" s="83" t="str">
        <x:v>No additional flag</x:v>
      </x:c>
      <x:c r="X136" s="83" t="str">
        <x:v>No structural flag</x:v>
      </x:c>
      <x:c r="Y136" s="83" t="str">
        <x:v>Not Yet Reviewed</x:v>
      </x:c>
      <x:c r="Z136" s="83" t="str">
        <x:v>CTA LCSW Workbook 8</x:v>
      </x:c>
      <x:c r="AA136" s="83" t="str">
        <x:v>CTA_LCSW_WB8_17_Question_Bank_v1.0.docx</x:v>
      </x:c>
      <x:c r="AB136" s="83" t="str">
        <x:v>1.0</x:v>
      </x:c>
      <x:c r="AC136" s="102"/>
      <x:c r="AD136" s="102" t="n">
        <x:v>46228</x:v>
      </x:c>
      <x:c r="AE136" s="83" t="str"/>
      <x:c r="AF136" s="89" t="str">
        <x:v>Workbook bank; reserve pool after controlled review</x:v>
      </x:c>
    </x:row>
    <x:row r="137">
      <x:c r="A137" s="88" t="str">
        <x:v>CTA-LCSW-MQB-0136</x:v>
      </x:c>
      <x:c r="B137" s="83" t="str">
        <x:v>LCSW-WB08-QB-Q017</x:v>
      </x:c>
      <x:c r="C137" s="83" t="str">
        <x:v>LCSW</x:v>
      </x:c>
      <x:c r="D137" s="83" t="str">
        <x:v>Workbook Question Bank</x:v>
      </x:c>
      <x:c r="E137" s="83" t="n">
        <x:v>8</x:v>
      </x:c>
      <x:c r="F137" s="83" t="str">
        <x:v>Clinical Interventions and Trauma-Informed Practice</x:v>
      </x:c>
      <x:c r="G137" s="83"/>
      <x:c r="H137" s="83" t="n">
        <x:v>17</x:v>
      </x:c>
      <x:c r="I137" s="83" t="str">
        <x:v>Workbook Bank</x:v>
      </x:c>
      <x:c r="J137" s="83" t="str">
        <x:v>III. Intervention and Practice</x:v>
      </x:c>
      <x:c r="K137" s="83" t="str">
        <x:v>Integrated crisis, culture, language, and choice</x:v>
      </x:c>
      <x:c r="L137" s="83" t="str"/>
      <x:c r="M137" s="83" t="str">
        <x:v>Difficult</x:v>
      </x:c>
      <x:c r="N137" s="83" t="str">
        <x:v>Difficult</x:v>
      </x:c>
      <x:c r="O137" s="83" t="str">
        <x:v>Integrated Clinical Reasoning</x:v>
      </x:c>
      <x:c r="P137" s="83" t="str">
        <x:v>Integrated Clinical Reasoning</x:v>
      </x:c>
      <x:c r="Q137" s="83" t="n">
        <x:v>4</x:v>
      </x:c>
      <x:c r="R137" s="83" t="str">
        <x:v>A</x:v>
      </x:c>
      <x:c r="S137" s="83" t="str">
        <x:v>Approved</x:v>
      </x:c>
      <x:c r="T137" s="83" t="str">
        <x:v>Active</x:v>
      </x:c>
      <x:c r="U137" s="83" t="n">
        <x:v>1</x:v>
      </x:c>
      <x:c r="V137" s="83" t="str"/>
      <x:c r="W137" s="83" t="str">
        <x:v>No additional flag</x:v>
      </x:c>
      <x:c r="X137" s="83" t="str">
        <x:v>No structural flag</x:v>
      </x:c>
      <x:c r="Y137" s="83" t="str">
        <x:v>Not Yet Reviewed</x:v>
      </x:c>
      <x:c r="Z137" s="83" t="str">
        <x:v>CTA LCSW Workbook 8</x:v>
      </x:c>
      <x:c r="AA137" s="83" t="str">
        <x:v>CTA_LCSW_WB8_17_Question_Bank_v1.0.docx</x:v>
      </x:c>
      <x:c r="AB137" s="83" t="str">
        <x:v>1.0</x:v>
      </x:c>
      <x:c r="AC137" s="102"/>
      <x:c r="AD137" s="102" t="n">
        <x:v>46228</x:v>
      </x:c>
      <x:c r="AE137" s="83" t="str"/>
      <x:c r="AF137" s="89" t="str">
        <x:v>Workbook bank; reserve pool after controlled review</x:v>
      </x:c>
    </x:row>
    <x:row r="138">
      <x:c r="A138" s="88" t="str">
        <x:v>CTA-LCSW-MQB-0137</x:v>
      </x:c>
      <x:c r="B138" s="83" t="str">
        <x:v>LCSW-WB09-QB-Q001</x:v>
      </x:c>
      <x:c r="C138" s="83" t="str">
        <x:v>LCSW</x:v>
      </x:c>
      <x:c r="D138" s="83" t="str">
        <x:v>Workbook Question Bank</x:v>
      </x:c>
      <x:c r="E138" s="83" t="n">
        <x:v>9</x:v>
      </x:c>
      <x:c r="F138" s="83" t="str">
        <x:v>Family, Couple, Group, and Parenting Interventions</x:v>
      </x:c>
      <x:c r="G138" s="83"/>
      <x:c r="H138" s="83" t="n">
        <x:v>1</x:v>
      </x:c>
      <x:c r="I138" s="83" t="str">
        <x:v>Workbook Bank</x:v>
      </x:c>
      <x:c r="J138" s="83" t="str">
        <x:v>III. Intervention and Practice</x:v>
      </x:c>
      <x:c r="K138" s="83" t="str">
        <x:v>Smallest sufficient client-system level</x:v>
      </x:c>
      <x:c r="L138" s="83" t="str"/>
      <x:c r="M138" s="83" t="str">
        <x:v>Easy</x:v>
      </x:c>
      <x:c r="N138" s="83" t="str">
        <x:v>Easy</x:v>
      </x:c>
      <x:c r="O138" s="83" t="str">
        <x:v>Knowledge &amp; Recall</x:v>
      </x:c>
      <x:c r="P138" s="83" t="str">
        <x:v>Knowledge &amp; Recall</x:v>
      </x:c>
      <x:c r="Q138" s="83" t="n">
        <x:v>4</x:v>
      </x:c>
      <x:c r="R138" s="83" t="str">
        <x:v>A</x:v>
      </x:c>
      <x:c r="S138" s="83" t="str">
        <x:v>Approved</x:v>
      </x:c>
      <x:c r="T138" s="83" t="str">
        <x:v>Active</x:v>
      </x:c>
      <x:c r="U138" s="83" t="n">
        <x:v>1</x:v>
      </x:c>
      <x:c r="V138" s="83" t="str"/>
      <x:c r="W138" s="83" t="str">
        <x:v>No additional flag</x:v>
      </x:c>
      <x:c r="X138" s="83" t="str">
        <x:v>No structural flag</x:v>
      </x:c>
      <x:c r="Y138" s="83" t="str">
        <x:v>Not Yet Reviewed</x:v>
      </x:c>
      <x:c r="Z138" s="83" t="str">
        <x:v>CTA LCSW Workbook 9</x:v>
      </x:c>
      <x:c r="AA138" s="83" t="str">
        <x:v>CTA_LCSW_WB9_17_Question_Bank_v1.0.docx</x:v>
      </x:c>
      <x:c r="AB138" s="83" t="str">
        <x:v>1.0</x:v>
      </x:c>
      <x:c r="AC138" s="102"/>
      <x:c r="AD138" s="102" t="n">
        <x:v>46228</x:v>
      </x:c>
      <x:c r="AE138" s="83" t="str"/>
      <x:c r="AF138" s="89" t="str">
        <x:v>Workbook bank; reserve pool after controlled review</x:v>
      </x:c>
    </x:row>
    <x:row r="139">
      <x:c r="A139" s="88" t="str">
        <x:v>CTA-LCSW-MQB-0138</x:v>
      </x:c>
      <x:c r="B139" s="83" t="str">
        <x:v>LCSW-WB09-QB-Q002</x:v>
      </x:c>
      <x:c r="C139" s="83" t="str">
        <x:v>LCSW</x:v>
      </x:c>
      <x:c r="D139" s="83" t="str">
        <x:v>Workbook Question Bank</x:v>
      </x:c>
      <x:c r="E139" s="83" t="n">
        <x:v>9</x:v>
      </x:c>
      <x:c r="F139" s="83" t="str">
        <x:v>Family, Couple, Group, and Parenting Interventions</x:v>
      </x:c>
      <x:c r="G139" s="83"/>
      <x:c r="H139" s="83" t="n">
        <x:v>2</x:v>
      </x:c>
      <x:c r="I139" s="83" t="str">
        <x:v>Workbook Bank</x:v>
      </x:c>
      <x:c r="J139" s="83" t="str">
        <x:v>III. Intervention and Practice</x:v>
      </x:c>
      <x:c r="K139" s="83" t="str">
        <x:v>Family assessment and basic needs</x:v>
      </x:c>
      <x:c r="L139" s="83" t="str"/>
      <x:c r="M139" s="83" t="str">
        <x:v>Easy</x:v>
      </x:c>
      <x:c r="N139" s="83" t="str">
        <x:v>Easy</x:v>
      </x:c>
      <x:c r="O139" s="83" t="str">
        <x:v>Application</x:v>
      </x:c>
      <x:c r="P139" s="83" t="str">
        <x:v>Application</x:v>
      </x:c>
      <x:c r="Q139" s="83" t="n">
        <x:v>4</x:v>
      </x:c>
      <x:c r="R139" s="83" t="str">
        <x:v>B</x:v>
      </x:c>
      <x:c r="S139" s="83" t="str">
        <x:v>Approved</x:v>
      </x:c>
      <x:c r="T139" s="83" t="str">
        <x:v>Active</x:v>
      </x:c>
      <x:c r="U139" s="83" t="n">
        <x:v>1</x:v>
      </x:c>
      <x:c r="V139" s="83" t="str"/>
      <x:c r="W139" s="83" t="str">
        <x:v>No additional flag</x:v>
      </x:c>
      <x:c r="X139" s="83" t="str">
        <x:v>No structural flag</x:v>
      </x:c>
      <x:c r="Y139" s="83" t="str">
        <x:v>Not Yet Reviewed</x:v>
      </x:c>
      <x:c r="Z139" s="83" t="str">
        <x:v>CTA LCSW Workbook 9</x:v>
      </x:c>
      <x:c r="AA139" s="83" t="str">
        <x:v>CTA_LCSW_WB9_17_Question_Bank_v1.0.docx</x:v>
      </x:c>
      <x:c r="AB139" s="83" t="str">
        <x:v>1.0</x:v>
      </x:c>
      <x:c r="AC139" s="102"/>
      <x:c r="AD139" s="102" t="n">
        <x:v>46228</x:v>
      </x:c>
      <x:c r="AE139" s="83" t="str"/>
      <x:c r="AF139" s="89" t="str">
        <x:v>Workbook bank; reserve pool after controlled review</x:v>
      </x:c>
    </x:row>
    <x:row r="140">
      <x:c r="A140" s="88" t="str">
        <x:v>CTA-LCSW-MQB-0139</x:v>
      </x:c>
      <x:c r="B140" s="83" t="str">
        <x:v>LCSW-WB09-QB-Q003</x:v>
      </x:c>
      <x:c r="C140" s="83" t="str">
        <x:v>LCSW</x:v>
      </x:c>
      <x:c r="D140" s="83" t="str">
        <x:v>Workbook Question Bank</x:v>
      </x:c>
      <x:c r="E140" s="83" t="n">
        <x:v>9</x:v>
      </x:c>
      <x:c r="F140" s="83" t="str">
        <x:v>Family, Couple, Group, and Parenting Interventions</x:v>
      </x:c>
      <x:c r="G140" s="83"/>
      <x:c r="H140" s="83" t="n">
        <x:v>3</x:v>
      </x:c>
      <x:c r="I140" s="83" t="str">
        <x:v>Workbook Bank</x:v>
      </x:c>
      <x:c r="J140" s="83" t="str">
        <x:v>III. Intervention and Practice</x:v>
      </x:c>
      <x:c r="K140" s="83" t="str">
        <x:v>Client choice in family involvement</x:v>
      </x:c>
      <x:c r="L140" s="83" t="str"/>
      <x:c r="M140" s="83" t="str">
        <x:v>Easy</x:v>
      </x:c>
      <x:c r="N140" s="83" t="str">
        <x:v>Easy</x:v>
      </x:c>
      <x:c r="O140" s="83" t="str">
        <x:v>Knowledge &amp; Recall</x:v>
      </x:c>
      <x:c r="P140" s="83" t="str">
        <x:v>Knowledge &amp; Recall</x:v>
      </x:c>
      <x:c r="Q140" s="83" t="n">
        <x:v>4</x:v>
      </x:c>
      <x:c r="R140" s="83" t="str">
        <x:v>C</x:v>
      </x:c>
      <x:c r="S140" s="83" t="str">
        <x:v>Approved</x:v>
      </x:c>
      <x:c r="T140" s="83" t="str">
        <x:v>Active</x:v>
      </x:c>
      <x:c r="U140" s="83" t="n">
        <x:v>1</x:v>
      </x:c>
      <x:c r="V140" s="83" t="str"/>
      <x:c r="W140" s="83" t="str">
        <x:v>No additional flag</x:v>
      </x:c>
      <x:c r="X140" s="83" t="str">
        <x:v>No structural flag</x:v>
      </x:c>
      <x:c r="Y140" s="83" t="str">
        <x:v>Not Yet Reviewed</x:v>
      </x:c>
      <x:c r="Z140" s="83" t="str">
        <x:v>CTA LCSW Workbook 9</x:v>
      </x:c>
      <x:c r="AA140" s="83" t="str">
        <x:v>CTA_LCSW_WB9_17_Question_Bank_v1.0.docx</x:v>
      </x:c>
      <x:c r="AB140" s="83" t="str">
        <x:v>1.0</x:v>
      </x:c>
      <x:c r="AC140" s="102"/>
      <x:c r="AD140" s="102" t="n">
        <x:v>46228</x:v>
      </x:c>
      <x:c r="AE140" s="83" t="str"/>
      <x:c r="AF140" s="89" t="str">
        <x:v>Workbook bank; reserve pool after controlled review</x:v>
      </x:c>
    </x:row>
    <x:row r="141">
      <x:c r="A141" s="88" t="str">
        <x:v>CTA-LCSW-MQB-0140</x:v>
      </x:c>
      <x:c r="B141" s="83" t="str">
        <x:v>LCSW-WB09-QB-Q004</x:v>
      </x:c>
      <x:c r="C141" s="83" t="str">
        <x:v>LCSW</x:v>
      </x:c>
      <x:c r="D141" s="83" t="str">
        <x:v>Workbook Question Bank</x:v>
      </x:c>
      <x:c r="E141" s="83" t="n">
        <x:v>9</x:v>
      </x:c>
      <x:c r="F141" s="83" t="str">
        <x:v>Family, Couple, Group, and Parenting Interventions</x:v>
      </x:c>
      <x:c r="G141" s="83"/>
      <x:c r="H141" s="83" t="n">
        <x:v>4</x:v>
      </x:c>
      <x:c r="I141" s="83" t="str">
        <x:v>Workbook Bank</x:v>
      </x:c>
      <x:c r="J141" s="83" t="str">
        <x:v>III. Intervention and Practice</x:v>
      </x:c>
      <x:c r="K141" s="83" t="str">
        <x:v>Parenting intervention fit</x:v>
      </x:c>
      <x:c r="L141" s="83" t="str"/>
      <x:c r="M141" s="83" t="str">
        <x:v>Easy</x:v>
      </x:c>
      <x:c r="N141" s="83" t="str">
        <x:v>Easy</x:v>
      </x:c>
      <x:c r="O141" s="83" t="str">
        <x:v>Scenario-Based</x:v>
      </x:c>
      <x:c r="P141" s="83" t="str">
        <x:v>Scenario-Based</x:v>
      </x:c>
      <x:c r="Q141" s="83" t="n">
        <x:v>4</x:v>
      </x:c>
      <x:c r="R141" s="83" t="str">
        <x:v>D</x:v>
      </x:c>
      <x:c r="S141" s="83" t="str">
        <x:v>Approved</x:v>
      </x:c>
      <x:c r="T141" s="83" t="str">
        <x:v>Active</x:v>
      </x:c>
      <x:c r="U141" s="83" t="n">
        <x:v>1</x:v>
      </x:c>
      <x:c r="V141" s="83" t="str"/>
      <x:c r="W141" s="83" t="str">
        <x:v>No additional flag</x:v>
      </x:c>
      <x:c r="X141" s="83" t="str">
        <x:v>No structural flag</x:v>
      </x:c>
      <x:c r="Y141" s="83" t="str">
        <x:v>Not Yet Reviewed</x:v>
      </x:c>
      <x:c r="Z141" s="83" t="str">
        <x:v>CTA LCSW Workbook 9</x:v>
      </x:c>
      <x:c r="AA141" s="83" t="str">
        <x:v>CTA_LCSW_WB9_17_Question_Bank_v1.0.docx</x:v>
      </x:c>
      <x:c r="AB141" s="83" t="str">
        <x:v>1.0</x:v>
      </x:c>
      <x:c r="AC141" s="102"/>
      <x:c r="AD141" s="102" t="n">
        <x:v>46228</x:v>
      </x:c>
      <x:c r="AE141" s="83" t="str"/>
      <x:c r="AF141" s="89" t="str">
        <x:v>Workbook bank; reserve pool after controlled review</x:v>
      </x:c>
    </x:row>
    <x:row r="142">
      <x:c r="A142" s="88" t="str">
        <x:v>CTA-LCSW-MQB-0141</x:v>
      </x:c>
      <x:c r="B142" s="83" t="str">
        <x:v>LCSW-WB09-QB-Q005</x:v>
      </x:c>
      <x:c r="C142" s="83" t="str">
        <x:v>LCSW</x:v>
      </x:c>
      <x:c r="D142" s="83" t="str">
        <x:v>Workbook Question Bank</x:v>
      </x:c>
      <x:c r="E142" s="83" t="n">
        <x:v>9</x:v>
      </x:c>
      <x:c r="F142" s="83" t="str">
        <x:v>Family, Couple, Group, and Parenting Interventions</x:v>
      </x:c>
      <x:c r="G142" s="83"/>
      <x:c r="H142" s="83" t="n">
        <x:v>5</x:v>
      </x:c>
      <x:c r="I142" s="83" t="str">
        <x:v>Workbook Bank</x:v>
      </x:c>
      <x:c r="J142" s="83" t="str">
        <x:v>III. Intervention and Practice</x:v>
      </x:c>
      <x:c r="K142" s="83" t="str">
        <x:v>Couple and family safety</x:v>
      </x:c>
      <x:c r="L142" s="83" t="str"/>
      <x:c r="M142" s="83" t="str">
        <x:v>Easy</x:v>
      </x:c>
      <x:c r="N142" s="83" t="str">
        <x:v>Easy</x:v>
      </x:c>
      <x:c r="O142" s="83" t="str">
        <x:v>Application</x:v>
      </x:c>
      <x:c r="P142" s="83" t="str">
        <x:v>Application</x:v>
      </x:c>
      <x:c r="Q142" s="83" t="n">
        <x:v>4</x:v>
      </x:c>
      <x:c r="R142" s="83" t="str">
        <x:v>A</x:v>
      </x:c>
      <x:c r="S142" s="83" t="str">
        <x:v>Approved</x:v>
      </x:c>
      <x:c r="T142" s="83" t="str">
        <x:v>Active</x:v>
      </x:c>
      <x:c r="U142" s="83" t="n">
        <x:v>1</x:v>
      </x:c>
      <x:c r="V142" s="83" t="str"/>
      <x:c r="W142" s="83" t="str">
        <x:v>No additional flag</x:v>
      </x:c>
      <x:c r="X142" s="83" t="str">
        <x:v>No structural flag</x:v>
      </x:c>
      <x:c r="Y142" s="83" t="str">
        <x:v>Not Yet Reviewed</x:v>
      </x:c>
      <x:c r="Z142" s="83" t="str">
        <x:v>CTA LCSW Workbook 9</x:v>
      </x:c>
      <x:c r="AA142" s="83" t="str">
        <x:v>CTA_LCSW_WB9_17_Question_Bank_v1.0.docx</x:v>
      </x:c>
      <x:c r="AB142" s="83" t="str">
        <x:v>1.0</x:v>
      </x:c>
      <x:c r="AC142" s="102"/>
      <x:c r="AD142" s="102" t="n">
        <x:v>46228</x:v>
      </x:c>
      <x:c r="AE142" s="83" t="str"/>
      <x:c r="AF142" s="89" t="str">
        <x:v>Workbook bank; reserve pool after controlled review</x:v>
      </x:c>
    </x:row>
    <x:row r="143">
      <x:c r="A143" s="88" t="str">
        <x:v>CTA-LCSW-MQB-0142</x:v>
      </x:c>
      <x:c r="B143" s="83" t="str">
        <x:v>LCSW-WB09-QB-Q006</x:v>
      </x:c>
      <x:c r="C143" s="83" t="str">
        <x:v>LCSW</x:v>
      </x:c>
      <x:c r="D143" s="83" t="str">
        <x:v>Workbook Question Bank</x:v>
      </x:c>
      <x:c r="E143" s="83" t="n">
        <x:v>9</x:v>
      </x:c>
      <x:c r="F143" s="83" t="str">
        <x:v>Family, Couple, Group, and Parenting Interventions</x:v>
      </x:c>
      <x:c r="G143" s="83"/>
      <x:c r="H143" s="83" t="n">
        <x:v>6</x:v>
      </x:c>
      <x:c r="I143" s="83" t="str">
        <x:v>Workbook Bank</x:v>
      </x:c>
      <x:c r="J143" s="83" t="str">
        <x:v>III. Intervention and Practice</x:v>
      </x:c>
      <x:c r="K143" s="83" t="str">
        <x:v>Group screening and fit</x:v>
      </x:c>
      <x:c r="L143" s="83" t="str"/>
      <x:c r="M143" s="83" t="str">
        <x:v>Moderate</x:v>
      </x:c>
      <x:c r="N143" s="83" t="str">
        <x:v>Moderate</x:v>
      </x:c>
      <x:c r="O143" s="83" t="str">
        <x:v>Scenario-Based</x:v>
      </x:c>
      <x:c r="P143" s="83" t="str">
        <x:v>Scenario-Based</x:v>
      </x:c>
      <x:c r="Q143" s="83" t="n">
        <x:v>4</x:v>
      </x:c>
      <x:c r="R143" s="83" t="str">
        <x:v>B</x:v>
      </x:c>
      <x:c r="S143" s="83" t="str">
        <x:v>Approved</x:v>
      </x:c>
      <x:c r="T143" s="83" t="str">
        <x:v>Active</x:v>
      </x:c>
      <x:c r="U143" s="83" t="n">
        <x:v>1</x:v>
      </x:c>
      <x:c r="V143" s="83" t="str"/>
      <x:c r="W143" s="83" t="str">
        <x:v>No additional flag</x:v>
      </x:c>
      <x:c r="X143" s="83" t="str">
        <x:v>No structural flag</x:v>
      </x:c>
      <x:c r="Y143" s="83" t="str">
        <x:v>Not Yet Reviewed</x:v>
      </x:c>
      <x:c r="Z143" s="83" t="str">
        <x:v>CTA LCSW Workbook 9</x:v>
      </x:c>
      <x:c r="AA143" s="83" t="str">
        <x:v>CTA_LCSW_WB9_17_Question_Bank_v1.0.docx</x:v>
      </x:c>
      <x:c r="AB143" s="83" t="str">
        <x:v>1.0</x:v>
      </x:c>
      <x:c r="AC143" s="102"/>
      <x:c r="AD143" s="102" t="n">
        <x:v>46228</x:v>
      </x:c>
      <x:c r="AE143" s="83" t="str"/>
      <x:c r="AF143" s="89" t="str">
        <x:v>Workbook bank; reserve pool after controlled review</x:v>
      </x:c>
    </x:row>
    <x:row r="144">
      <x:c r="A144" s="88" t="str">
        <x:v>CTA-LCSW-MQB-0143</x:v>
      </x:c>
      <x:c r="B144" s="83" t="str">
        <x:v>LCSW-WB09-QB-Q007</x:v>
      </x:c>
      <x:c r="C144" s="83" t="str">
        <x:v>LCSW</x:v>
      </x:c>
      <x:c r="D144" s="83" t="str">
        <x:v>Workbook Question Bank</x:v>
      </x:c>
      <x:c r="E144" s="83" t="n">
        <x:v>9</x:v>
      </x:c>
      <x:c r="F144" s="83" t="str">
        <x:v>Family, Couple, Group, and Parenting Interventions</x:v>
      </x:c>
      <x:c r="G144" s="83"/>
      <x:c r="H144" s="83" t="n">
        <x:v>7</x:v>
      </x:c>
      <x:c r="I144" s="83" t="str">
        <x:v>Workbook Bank</x:v>
      </x:c>
      <x:c r="J144" s="83" t="str">
        <x:v>III. Intervention and Practice</x:v>
      </x:c>
      <x:c r="K144" s="83" t="str">
        <x:v>Group process facilitation</x:v>
      </x:c>
      <x:c r="L144" s="83" t="str"/>
      <x:c r="M144" s="83" t="str">
        <x:v>Moderate</x:v>
      </x:c>
      <x:c r="N144" s="83" t="str">
        <x:v>Moderate</x:v>
      </x:c>
      <x:c r="O144" s="83" t="str">
        <x:v>Application</x:v>
      </x:c>
      <x:c r="P144" s="83" t="str">
        <x:v>Application</x:v>
      </x:c>
      <x:c r="Q144" s="83" t="n">
        <x:v>4</x:v>
      </x:c>
      <x:c r="R144" s="83" t="str">
        <x:v>C</x:v>
      </x:c>
      <x:c r="S144" s="83" t="str">
        <x:v>Approved</x:v>
      </x:c>
      <x:c r="T144" s="83" t="str">
        <x:v>Active</x:v>
      </x:c>
      <x:c r="U144" s="83" t="n">
        <x:v>1</x:v>
      </x:c>
      <x:c r="V144" s="83" t="str"/>
      <x:c r="W144" s="83" t="str">
        <x:v>Review Candidate</x:v>
      </x:c>
      <x:c r="X144" s="83" t="str">
        <x:v>No structural flag</x:v>
      </x:c>
      <x:c r="Y144" s="83" t="str">
        <x:v>Not Yet Reviewed</x:v>
      </x:c>
      <x:c r="Z144" s="83" t="str">
        <x:v>CTA LCSW Workbook 9</x:v>
      </x:c>
      <x:c r="AA144" s="83" t="str">
        <x:v>CTA_LCSW_WB9_17_Question_Bank_v1.0.docx</x:v>
      </x:c>
      <x:c r="AB144" s="83" t="str">
        <x:v>1.0</x:v>
      </x:c>
      <x:c r="AC144" s="102"/>
      <x:c r="AD144" s="102" t="n">
        <x:v>46228</x:v>
      </x:c>
      <x:c r="AE144" s="83" t="str"/>
      <x:c r="AF144" s="89" t="str">
        <x:v>Workbook bank; reserve pool after controlled review</x:v>
      </x:c>
    </x:row>
    <x:row r="145">
      <x:c r="A145" s="88" t="str">
        <x:v>CTA-LCSW-MQB-0144</x:v>
      </x:c>
      <x:c r="B145" s="83" t="str">
        <x:v>LCSW-WB09-QB-Q008</x:v>
      </x:c>
      <x:c r="C145" s="83" t="str">
        <x:v>LCSW</x:v>
      </x:c>
      <x:c r="D145" s="83" t="str">
        <x:v>Workbook Question Bank</x:v>
      </x:c>
      <x:c r="E145" s="83" t="n">
        <x:v>9</x:v>
      </x:c>
      <x:c r="F145" s="83" t="str">
        <x:v>Family, Couple, Group, and Parenting Interventions</x:v>
      </x:c>
      <x:c r="G145" s="83"/>
      <x:c r="H145" s="83" t="n">
        <x:v>8</x:v>
      </x:c>
      <x:c r="I145" s="83" t="str">
        <x:v>Workbook Bank</x:v>
      </x:c>
      <x:c r="J145" s="83" t="str">
        <x:v>III. Intervention and Practice</x:v>
      </x:c>
      <x:c r="K145" s="83" t="str">
        <x:v>Accessible warm handoff</x:v>
      </x:c>
      <x:c r="L145" s="83" t="str"/>
      <x:c r="M145" s="83" t="str">
        <x:v>Moderate</x:v>
      </x:c>
      <x:c r="N145" s="83" t="str">
        <x:v>Moderate</x:v>
      </x:c>
      <x:c r="O145" s="83" t="str">
        <x:v>Scenario-Based</x:v>
      </x:c>
      <x:c r="P145" s="83" t="str">
        <x:v>Scenario-Based</x:v>
      </x:c>
      <x:c r="Q145" s="83" t="n">
        <x:v>4</x:v>
      </x:c>
      <x:c r="R145" s="83" t="str">
        <x:v>D</x:v>
      </x:c>
      <x:c r="S145" s="83" t="str">
        <x:v>Approved</x:v>
      </x:c>
      <x:c r="T145" s="83" t="str">
        <x:v>Active</x:v>
      </x:c>
      <x:c r="U145" s="83" t="n">
        <x:v>1</x:v>
      </x:c>
      <x:c r="V145" s="83" t="str"/>
      <x:c r="W145" s="83" t="str">
        <x:v>No additional flag</x:v>
      </x:c>
      <x:c r="X145" s="83" t="str">
        <x:v>No structural flag</x:v>
      </x:c>
      <x:c r="Y145" s="83" t="str">
        <x:v>Not Yet Reviewed</x:v>
      </x:c>
      <x:c r="Z145" s="83" t="str">
        <x:v>CTA LCSW Workbook 9</x:v>
      </x:c>
      <x:c r="AA145" s="83" t="str">
        <x:v>CTA_LCSW_WB9_17_Question_Bank_v1.0.docx</x:v>
      </x:c>
      <x:c r="AB145" s="83" t="str">
        <x:v>1.0</x:v>
      </x:c>
      <x:c r="AC145" s="102"/>
      <x:c r="AD145" s="102" t="n">
        <x:v>46228</x:v>
      </x:c>
      <x:c r="AE145" s="83" t="str"/>
      <x:c r="AF145" s="89" t="str">
        <x:v>Workbook bank; reserve pool after controlled review</x:v>
      </x:c>
    </x:row>
    <x:row r="146">
      <x:c r="A146" s="88" t="str">
        <x:v>CTA-LCSW-MQB-0145</x:v>
      </x:c>
      <x:c r="B146" s="83" t="str">
        <x:v>LCSW-WB09-QB-Q009</x:v>
      </x:c>
      <x:c r="C146" s="83" t="str">
        <x:v>LCSW</x:v>
      </x:c>
      <x:c r="D146" s="83" t="str">
        <x:v>Workbook Question Bank</x:v>
      </x:c>
      <x:c r="E146" s="83" t="n">
        <x:v>9</x:v>
      </x:c>
      <x:c r="F146" s="83" t="str">
        <x:v>Family, Couple, Group, and Parenting Interventions</x:v>
      </x:c>
      <x:c r="G146" s="83"/>
      <x:c r="H146" s="83" t="n">
        <x:v>9</x:v>
      </x:c>
      <x:c r="I146" s="83" t="str">
        <x:v>Workbook Bank</x:v>
      </x:c>
      <x:c r="J146" s="83" t="str">
        <x:v>III. Intervention and Practice</x:v>
      </x:c>
      <x:c r="K146" s="83" t="str">
        <x:v>Case-management role clarity</x:v>
      </x:c>
      <x:c r="L146" s="83" t="str"/>
      <x:c r="M146" s="83" t="str">
        <x:v>Moderate</x:v>
      </x:c>
      <x:c r="N146" s="83" t="str">
        <x:v>Moderate</x:v>
      </x:c>
      <x:c r="O146" s="83" t="str">
        <x:v>Scenario-Based</x:v>
      </x:c>
      <x:c r="P146" s="83" t="str">
        <x:v>Scenario-Based</x:v>
      </x:c>
      <x:c r="Q146" s="83" t="n">
        <x:v>4</x:v>
      </x:c>
      <x:c r="R146" s="83" t="str">
        <x:v>A</x:v>
      </x:c>
      <x:c r="S146" s="83" t="str">
        <x:v>Approved</x:v>
      </x:c>
      <x:c r="T146" s="83" t="str">
        <x:v>Active</x:v>
      </x:c>
      <x:c r="U146" s="83" t="n">
        <x:v>1</x:v>
      </x:c>
      <x:c r="V146" s="83" t="str"/>
      <x:c r="W146" s="83" t="str">
        <x:v>No additional flag</x:v>
      </x:c>
      <x:c r="X146" s="83" t="str">
        <x:v>No structural flag</x:v>
      </x:c>
      <x:c r="Y146" s="83" t="str">
        <x:v>Not Yet Reviewed</x:v>
      </x:c>
      <x:c r="Z146" s="83" t="str">
        <x:v>CTA LCSW Workbook 9</x:v>
      </x:c>
      <x:c r="AA146" s="83" t="str">
        <x:v>CTA_LCSW_WB9_17_Question_Bank_v1.0.docx</x:v>
      </x:c>
      <x:c r="AB146" s="83" t="str">
        <x:v>1.0</x:v>
      </x:c>
      <x:c r="AC146" s="102"/>
      <x:c r="AD146" s="102" t="n">
        <x:v>46228</x:v>
      </x:c>
      <x:c r="AE146" s="83" t="str"/>
      <x:c r="AF146" s="89" t="str">
        <x:v>Workbook bank; reserve pool after controlled review</x:v>
      </x:c>
    </x:row>
    <x:row r="147">
      <x:c r="A147" s="88" t="str">
        <x:v>CTA-LCSW-MQB-0146</x:v>
      </x:c>
      <x:c r="B147" s="83" t="str">
        <x:v>LCSW-WB09-QB-Q010</x:v>
      </x:c>
      <x:c r="C147" s="83" t="str">
        <x:v>LCSW</x:v>
      </x:c>
      <x:c r="D147" s="83" t="str">
        <x:v>Workbook Question Bank</x:v>
      </x:c>
      <x:c r="E147" s="83" t="n">
        <x:v>9</x:v>
      </x:c>
      <x:c r="F147" s="83" t="str">
        <x:v>Family, Couple, Group, and Parenting Interventions</x:v>
      </x:c>
      <x:c r="G147" s="83"/>
      <x:c r="H147" s="83" t="n">
        <x:v>10</x:v>
      </x:c>
      <x:c r="I147" s="83" t="str">
        <x:v>Workbook Bank</x:v>
      </x:c>
      <x:c r="J147" s="83" t="str">
        <x:v>III. Intervention and Practice</x:v>
      </x:c>
      <x:c r="K147" s="83" t="str">
        <x:v>Interdisciplinary client participation</x:v>
      </x:c>
      <x:c r="L147" s="83" t="str"/>
      <x:c r="M147" s="83" t="str">
        <x:v>Moderate</x:v>
      </x:c>
      <x:c r="N147" s="83" t="str">
        <x:v>Moderate</x:v>
      </x:c>
      <x:c r="O147" s="83" t="str">
        <x:v>Application</x:v>
      </x:c>
      <x:c r="P147" s="83" t="str">
        <x:v>Application</x:v>
      </x:c>
      <x:c r="Q147" s="83" t="n">
        <x:v>4</x:v>
      </x:c>
      <x:c r="R147" s="83" t="str">
        <x:v>B</x:v>
      </x:c>
      <x:c r="S147" s="83" t="str">
        <x:v>Approved</x:v>
      </x:c>
      <x:c r="T147" s="83" t="str">
        <x:v>Active</x:v>
      </x:c>
      <x:c r="U147" s="83" t="n">
        <x:v>1</x:v>
      </x:c>
      <x:c r="V147" s="83" t="str"/>
      <x:c r="W147" s="83" t="str">
        <x:v>No additional flag</x:v>
      </x:c>
      <x:c r="X147" s="83" t="str">
        <x:v>No structural flag</x:v>
      </x:c>
      <x:c r="Y147" s="83" t="str">
        <x:v>Not Yet Reviewed</x:v>
      </x:c>
      <x:c r="Z147" s="83" t="str">
        <x:v>CTA LCSW Workbook 9</x:v>
      </x:c>
      <x:c r="AA147" s="83" t="str">
        <x:v>CTA_LCSW_WB9_17_Question_Bank_v1.0.docx</x:v>
      </x:c>
      <x:c r="AB147" s="83" t="str">
        <x:v>1.0</x:v>
      </x:c>
      <x:c r="AC147" s="102"/>
      <x:c r="AD147" s="102" t="n">
        <x:v>46228</x:v>
      </x:c>
      <x:c r="AE147" s="83" t="str"/>
      <x:c r="AF147" s="89" t="str">
        <x:v>Workbook bank; reserve pool after controlled review</x:v>
      </x:c>
    </x:row>
    <x:row r="148">
      <x:c r="A148" s="88" t="str">
        <x:v>CTA-LCSW-MQB-0147</x:v>
      </x:c>
      <x:c r="B148" s="83" t="str">
        <x:v>LCSW-WB09-QB-Q011</x:v>
      </x:c>
      <x:c r="C148" s="83" t="str">
        <x:v>LCSW</x:v>
      </x:c>
      <x:c r="D148" s="83" t="str">
        <x:v>Workbook Question Bank</x:v>
      </x:c>
      <x:c r="E148" s="83" t="n">
        <x:v>9</x:v>
      </x:c>
      <x:c r="F148" s="83" t="str">
        <x:v>Family, Couple, Group, and Parenting Interventions</x:v>
      </x:c>
      <x:c r="G148" s="83"/>
      <x:c r="H148" s="83" t="n">
        <x:v>11</x:v>
      </x:c>
      <x:c r="I148" s="83" t="str">
        <x:v>Workbook Bank</x:v>
      </x:c>
      <x:c r="J148" s="83" t="str">
        <x:v>III. Intervention and Practice</x:v>
      </x:c>
      <x:c r="K148" s="83" t="str">
        <x:v>Permanency and identity</x:v>
      </x:c>
      <x:c r="L148" s="83" t="str"/>
      <x:c r="M148" s="83" t="str">
        <x:v>Moderate</x:v>
      </x:c>
      <x:c r="N148" s="83" t="str">
        <x:v>Moderate</x:v>
      </x:c>
      <x:c r="O148" s="83" t="str">
        <x:v>Scenario-Based</x:v>
      </x:c>
      <x:c r="P148" s="83" t="str">
        <x:v>Scenario-Based</x:v>
      </x:c>
      <x:c r="Q148" s="83" t="n">
        <x:v>4</x:v>
      </x:c>
      <x:c r="R148" s="83" t="str">
        <x:v>C</x:v>
      </x:c>
      <x:c r="S148" s="83" t="str">
        <x:v>Approved</x:v>
      </x:c>
      <x:c r="T148" s="83" t="str">
        <x:v>Active</x:v>
      </x:c>
      <x:c r="U148" s="83" t="n">
        <x:v>1</x:v>
      </x:c>
      <x:c r="V148" s="83" t="str"/>
      <x:c r="W148" s="83" t="str">
        <x:v>No additional flag</x:v>
      </x:c>
      <x:c r="X148" s="83" t="str">
        <x:v>No structural flag</x:v>
      </x:c>
      <x:c r="Y148" s="83" t="str">
        <x:v>Not Yet Reviewed</x:v>
      </x:c>
      <x:c r="Z148" s="83" t="str">
        <x:v>CTA LCSW Workbook 9</x:v>
      </x:c>
      <x:c r="AA148" s="83" t="str">
        <x:v>CTA_LCSW_WB9_17_Question_Bank_v1.0.docx</x:v>
      </x:c>
      <x:c r="AB148" s="83" t="str">
        <x:v>1.0</x:v>
      </x:c>
      <x:c r="AC148" s="102"/>
      <x:c r="AD148" s="102" t="n">
        <x:v>46228</x:v>
      </x:c>
      <x:c r="AE148" s="83" t="str"/>
      <x:c r="AF148" s="89" t="str">
        <x:v>Workbook bank; reserve pool after controlled review</x:v>
      </x:c>
    </x:row>
    <x:row r="149">
      <x:c r="A149" s="88" t="str">
        <x:v>CTA-LCSW-MQB-0148</x:v>
      </x:c>
      <x:c r="B149" s="83" t="str">
        <x:v>LCSW-WB09-QB-Q012</x:v>
      </x:c>
      <x:c r="C149" s="83" t="str">
        <x:v>LCSW</x:v>
      </x:c>
      <x:c r="D149" s="83" t="str">
        <x:v>Workbook Question Bank</x:v>
      </x:c>
      <x:c r="E149" s="83" t="n">
        <x:v>9</x:v>
      </x:c>
      <x:c r="F149" s="83" t="str">
        <x:v>Family, Couple, Group, and Parenting Interventions</x:v>
      </x:c>
      <x:c r="G149" s="83"/>
      <x:c r="H149" s="83" t="n">
        <x:v>12</x:v>
      </x:c>
      <x:c r="I149" s="83" t="str">
        <x:v>Workbook Bank</x:v>
      </x:c>
      <x:c r="J149" s="83" t="str">
        <x:v>III. Intervention and Practice</x:v>
      </x:c>
      <x:c r="K149" s="83" t="str">
        <x:v>Community participation</x:v>
      </x:c>
      <x:c r="L149" s="83" t="str"/>
      <x:c r="M149" s="83" t="str">
        <x:v>Moderate</x:v>
      </x:c>
      <x:c r="N149" s="83" t="str">
        <x:v>Moderate</x:v>
      </x:c>
      <x:c r="O149" s="83" t="str">
        <x:v>Knowledge &amp; Recall</x:v>
      </x:c>
      <x:c r="P149" s="83" t="str">
        <x:v>Knowledge &amp; Recall</x:v>
      </x:c>
      <x:c r="Q149" s="83" t="n">
        <x:v>4</x:v>
      </x:c>
      <x:c r="R149" s="83" t="str">
        <x:v>D</x:v>
      </x:c>
      <x:c r="S149" s="83" t="str">
        <x:v>Approved</x:v>
      </x:c>
      <x:c r="T149" s="83" t="str">
        <x:v>Active</x:v>
      </x:c>
      <x:c r="U149" s="83" t="n">
        <x:v>1</x:v>
      </x:c>
      <x:c r="V149" s="83" t="str"/>
      <x:c r="W149" s="83" t="str">
        <x:v>No additional flag</x:v>
      </x:c>
      <x:c r="X149" s="83" t="str">
        <x:v>No structural flag</x:v>
      </x:c>
      <x:c r="Y149" s="83" t="str">
        <x:v>Not Yet Reviewed</x:v>
      </x:c>
      <x:c r="Z149" s="83" t="str">
        <x:v>CTA LCSW Workbook 9</x:v>
      </x:c>
      <x:c r="AA149" s="83" t="str">
        <x:v>CTA_LCSW_WB9_17_Question_Bank_v1.0.docx</x:v>
      </x:c>
      <x:c r="AB149" s="83" t="str">
        <x:v>1.0</x:v>
      </x:c>
      <x:c r="AC149" s="102"/>
      <x:c r="AD149" s="102" t="n">
        <x:v>46228</x:v>
      </x:c>
      <x:c r="AE149" s="83" t="str"/>
      <x:c r="AF149" s="89" t="str">
        <x:v>Workbook bank; reserve pool after controlled review</x:v>
      </x:c>
    </x:row>
    <x:row r="150">
      <x:c r="A150" s="88" t="str">
        <x:v>CTA-LCSW-MQB-0149</x:v>
      </x:c>
      <x:c r="B150" s="83" t="str">
        <x:v>LCSW-WB09-QB-Q013</x:v>
      </x:c>
      <x:c r="C150" s="83" t="str">
        <x:v>LCSW</x:v>
      </x:c>
      <x:c r="D150" s="83" t="str">
        <x:v>Workbook Question Bank</x:v>
      </x:c>
      <x:c r="E150" s="83" t="n">
        <x:v>9</x:v>
      </x:c>
      <x:c r="F150" s="83" t="str">
        <x:v>Family, Couple, Group, and Parenting Interventions</x:v>
      </x:c>
      <x:c r="G150" s="83"/>
      <x:c r="H150" s="83" t="n">
        <x:v>13</x:v>
      </x:c>
      <x:c r="I150" s="83" t="str">
        <x:v>Workbook Bank</x:v>
      </x:c>
      <x:c r="J150" s="83" t="str">
        <x:v>III. Intervention and Practice</x:v>
      </x:c>
      <x:c r="K150" s="83" t="str">
        <x:v>Integrated family choice and safety</x:v>
      </x:c>
      <x:c r="L150" s="83" t="str"/>
      <x:c r="M150" s="83" t="str">
        <x:v>Difficult</x:v>
      </x:c>
      <x:c r="N150" s="83" t="str">
        <x:v>Difficult</x:v>
      </x:c>
      <x:c r="O150" s="83" t="str">
        <x:v>Integrated Clinical Reasoning</x:v>
      </x:c>
      <x:c r="P150" s="83" t="str">
        <x:v>Integrated Clinical Reasoning</x:v>
      </x:c>
      <x:c r="Q150" s="83" t="n">
        <x:v>4</x:v>
      </x:c>
      <x:c r="R150" s="83" t="str">
        <x:v>A</x:v>
      </x:c>
      <x:c r="S150" s="83" t="str">
        <x:v>Approved</x:v>
      </x:c>
      <x:c r="T150" s="83" t="str">
        <x:v>Active</x:v>
      </x:c>
      <x:c r="U150" s="83" t="n">
        <x:v>1</x:v>
      </x:c>
      <x:c r="V150" s="83" t="str"/>
      <x:c r="W150" s="83" t="str">
        <x:v>No additional flag</x:v>
      </x:c>
      <x:c r="X150" s="83" t="str">
        <x:v>No structural flag</x:v>
      </x:c>
      <x:c r="Y150" s="83" t="str">
        <x:v>Not Yet Reviewed</x:v>
      </x:c>
      <x:c r="Z150" s="83" t="str">
        <x:v>CTA LCSW Workbook 9</x:v>
      </x:c>
      <x:c r="AA150" s="83" t="str">
        <x:v>CTA_LCSW_WB9_17_Question_Bank_v1.0.docx</x:v>
      </x:c>
      <x:c r="AB150" s="83" t="str">
        <x:v>1.0</x:v>
      </x:c>
      <x:c r="AC150" s="102"/>
      <x:c r="AD150" s="102" t="n">
        <x:v>46228</x:v>
      </x:c>
      <x:c r="AE150" s="83" t="str"/>
      <x:c r="AF150" s="89" t="str">
        <x:v>Workbook bank; reserve pool after controlled review</x:v>
      </x:c>
    </x:row>
    <x:row r="151">
      <x:c r="A151" s="88" t="str">
        <x:v>CTA-LCSW-MQB-0150</x:v>
      </x:c>
      <x:c r="B151" s="83" t="str">
        <x:v>LCSW-WB09-QB-Q014</x:v>
      </x:c>
      <x:c r="C151" s="83" t="str">
        <x:v>LCSW</x:v>
      </x:c>
      <x:c r="D151" s="83" t="str">
        <x:v>Workbook Question Bank</x:v>
      </x:c>
      <x:c r="E151" s="83" t="n">
        <x:v>9</x:v>
      </x:c>
      <x:c r="F151" s="83" t="str">
        <x:v>Family, Couple, Group, and Parenting Interventions</x:v>
      </x:c>
      <x:c r="G151" s="83"/>
      <x:c r="H151" s="83" t="n">
        <x:v>14</x:v>
      </x:c>
      <x:c r="I151" s="83" t="str">
        <x:v>Workbook Bank</x:v>
      </x:c>
      <x:c r="J151" s="83" t="str">
        <x:v>III. Intervention and Practice</x:v>
      </x:c>
      <x:c r="K151" s="83" t="str">
        <x:v>Integrated group access and mandate</x:v>
      </x:c>
      <x:c r="L151" s="83" t="str"/>
      <x:c r="M151" s="83" t="str">
        <x:v>Difficult</x:v>
      </x:c>
      <x:c r="N151" s="83" t="str">
        <x:v>Difficult</x:v>
      </x:c>
      <x:c r="O151" s="83" t="str">
        <x:v>Integrated Clinical Reasoning</x:v>
      </x:c>
      <x:c r="P151" s="83" t="str">
        <x:v>Integrated Clinical Reasoning</x:v>
      </x:c>
      <x:c r="Q151" s="83" t="n">
        <x:v>4</x:v>
      </x:c>
      <x:c r="R151" s="83" t="str">
        <x:v>B</x:v>
      </x:c>
      <x:c r="S151" s="83" t="str">
        <x:v>Approved</x:v>
      </x:c>
      <x:c r="T151" s="83" t="str">
        <x:v>Active</x:v>
      </x:c>
      <x:c r="U151" s="83" t="n">
        <x:v>1</x:v>
      </x:c>
      <x:c r="V151" s="83" t="str"/>
      <x:c r="W151" s="83" t="str">
        <x:v>No additional flag</x:v>
      </x:c>
      <x:c r="X151" s="83" t="str">
        <x:v>No structural flag</x:v>
      </x:c>
      <x:c r="Y151" s="83" t="str">
        <x:v>Not Yet Reviewed</x:v>
      </x:c>
      <x:c r="Z151" s="83" t="str">
        <x:v>CTA LCSW Workbook 9</x:v>
      </x:c>
      <x:c r="AA151" s="83" t="str">
        <x:v>CTA_LCSW_WB9_17_Question_Bank_v1.0.docx</x:v>
      </x:c>
      <x:c r="AB151" s="83" t="str">
        <x:v>1.0</x:v>
      </x:c>
      <x:c r="AC151" s="102"/>
      <x:c r="AD151" s="102" t="n">
        <x:v>46228</x:v>
      </x:c>
      <x:c r="AE151" s="83" t="str"/>
      <x:c r="AF151" s="89" t="str">
        <x:v>Workbook bank; reserve pool after controlled review</x:v>
      </x:c>
    </x:row>
    <x:row r="152">
      <x:c r="A152" s="88" t="str">
        <x:v>CTA-LCSW-MQB-0151</x:v>
      </x:c>
      <x:c r="B152" s="83" t="str">
        <x:v>LCSW-WB09-QB-Q015</x:v>
      </x:c>
      <x:c r="C152" s="83" t="str">
        <x:v>LCSW</x:v>
      </x:c>
      <x:c r="D152" s="83" t="str">
        <x:v>Workbook Question Bank</x:v>
      </x:c>
      <x:c r="E152" s="83" t="n">
        <x:v>9</x:v>
      </x:c>
      <x:c r="F152" s="83" t="str">
        <x:v>Family, Couple, Group, and Parenting Interventions</x:v>
      </x:c>
      <x:c r="G152" s="83"/>
      <x:c r="H152" s="83" t="n">
        <x:v>15</x:v>
      </x:c>
      <x:c r="I152" s="83" t="str">
        <x:v>Workbook Bank</x:v>
      </x:c>
      <x:c r="J152" s="83" t="str">
        <x:v>III. Intervention and Practice</x:v>
      </x:c>
      <x:c r="K152" s="83" t="str">
        <x:v>Integrated service-network troubleshooting</x:v>
      </x:c>
      <x:c r="L152" s="83" t="str"/>
      <x:c r="M152" s="83" t="str">
        <x:v>Difficult</x:v>
      </x:c>
      <x:c r="N152" s="83" t="str">
        <x:v>Difficult</x:v>
      </x:c>
      <x:c r="O152" s="83" t="str">
        <x:v>Integrated Clinical Reasoning</x:v>
      </x:c>
      <x:c r="P152" s="83" t="str">
        <x:v>Integrated Clinical Reasoning</x:v>
      </x:c>
      <x:c r="Q152" s="83" t="n">
        <x:v>4</x:v>
      </x:c>
      <x:c r="R152" s="83" t="str">
        <x:v>C</x:v>
      </x:c>
      <x:c r="S152" s="83" t="str">
        <x:v>Approved</x:v>
      </x:c>
      <x:c r="T152" s="83" t="str">
        <x:v>Active</x:v>
      </x:c>
      <x:c r="U152" s="83" t="n">
        <x:v>1</x:v>
      </x:c>
      <x:c r="V152" s="83" t="str"/>
      <x:c r="W152" s="83" t="str">
        <x:v>No additional flag</x:v>
      </x:c>
      <x:c r="X152" s="83" t="str">
        <x:v>No structural flag</x:v>
      </x:c>
      <x:c r="Y152" s="83" t="str">
        <x:v>Not Yet Reviewed</x:v>
      </x:c>
      <x:c r="Z152" s="83" t="str">
        <x:v>CTA LCSW Workbook 9</x:v>
      </x:c>
      <x:c r="AA152" s="83" t="str">
        <x:v>CTA_LCSW_WB9_17_Question_Bank_v1.0.docx</x:v>
      </x:c>
      <x:c r="AB152" s="83" t="str">
        <x:v>1.0</x:v>
      </x:c>
      <x:c r="AC152" s="102"/>
      <x:c r="AD152" s="102" t="n">
        <x:v>46228</x:v>
      </x:c>
      <x:c r="AE152" s="83" t="str"/>
      <x:c r="AF152" s="89" t="str">
        <x:v>Workbook bank; reserve pool after controlled review</x:v>
      </x:c>
    </x:row>
    <x:row r="153">
      <x:c r="A153" s="88" t="str">
        <x:v>CTA-LCSW-MQB-0152</x:v>
      </x:c>
      <x:c r="B153" s="83" t="str">
        <x:v>LCSW-WB09-QB-Q016</x:v>
      </x:c>
      <x:c r="C153" s="83" t="str">
        <x:v>LCSW</x:v>
      </x:c>
      <x:c r="D153" s="83" t="str">
        <x:v>Workbook Question Bank</x:v>
      </x:c>
      <x:c r="E153" s="83" t="n">
        <x:v>9</x:v>
      </x:c>
      <x:c r="F153" s="83" t="str">
        <x:v>Family, Couple, Group, and Parenting Interventions</x:v>
      </x:c>
      <x:c r="G153" s="83"/>
      <x:c r="H153" s="83" t="n">
        <x:v>16</x:v>
      </x:c>
      <x:c r="I153" s="83" t="str">
        <x:v>Workbook Bank</x:v>
      </x:c>
      <x:c r="J153" s="83" t="str">
        <x:v>III. Intervention and Practice</x:v>
      </x:c>
      <x:c r="K153" s="83" t="str">
        <x:v>Integrated school-team advocacy</x:v>
      </x:c>
      <x:c r="L153" s="83" t="str"/>
      <x:c r="M153" s="83" t="str">
        <x:v>Difficult</x:v>
      </x:c>
      <x:c r="N153" s="83" t="str">
        <x:v>Difficult</x:v>
      </x:c>
      <x:c r="O153" s="83" t="str">
        <x:v>Integrated Clinical Reasoning</x:v>
      </x:c>
      <x:c r="P153" s="83" t="str">
        <x:v>Integrated Clinical Reasoning</x:v>
      </x:c>
      <x:c r="Q153" s="83" t="n">
        <x:v>4</x:v>
      </x:c>
      <x:c r="R153" s="83" t="str">
        <x:v>D</x:v>
      </x:c>
      <x:c r="S153" s="83" t="str">
        <x:v>Approved</x:v>
      </x:c>
      <x:c r="T153" s="83" t="str">
        <x:v>Active</x:v>
      </x:c>
      <x:c r="U153" s="83" t="n">
        <x:v>1</x:v>
      </x:c>
      <x:c r="V153" s="83" t="str"/>
      <x:c r="W153" s="83" t="str">
        <x:v>No additional flag</x:v>
      </x:c>
      <x:c r="X153" s="83" t="str">
        <x:v>No structural flag</x:v>
      </x:c>
      <x:c r="Y153" s="83" t="str">
        <x:v>Not Yet Reviewed</x:v>
      </x:c>
      <x:c r="Z153" s="83" t="str">
        <x:v>CTA LCSW Workbook 9</x:v>
      </x:c>
      <x:c r="AA153" s="83" t="str">
        <x:v>CTA_LCSW_WB9_17_Question_Bank_v1.0.docx</x:v>
      </x:c>
      <x:c r="AB153" s="83" t="str">
        <x:v>1.0</x:v>
      </x:c>
      <x:c r="AC153" s="102"/>
      <x:c r="AD153" s="102" t="n">
        <x:v>46228</x:v>
      </x:c>
      <x:c r="AE153" s="83" t="str"/>
      <x:c r="AF153" s="89" t="str">
        <x:v>Workbook bank; reserve pool after controlled review</x:v>
      </x:c>
    </x:row>
    <x:row r="154">
      <x:c r="A154" s="88" t="str">
        <x:v>CTA-LCSW-MQB-0153</x:v>
      </x:c>
      <x:c r="B154" s="83" t="str">
        <x:v>LCSW-WB09-QB-Q017</x:v>
      </x:c>
      <x:c r="C154" s="83" t="str">
        <x:v>LCSW</x:v>
      </x:c>
      <x:c r="D154" s="83" t="str">
        <x:v>Workbook Question Bank</x:v>
      </x:c>
      <x:c r="E154" s="83" t="n">
        <x:v>9</x:v>
      </x:c>
      <x:c r="F154" s="83" t="str">
        <x:v>Family, Couple, Group, and Parenting Interventions</x:v>
      </x:c>
      <x:c r="G154" s="83"/>
      <x:c r="H154" s="83" t="n">
        <x:v>17</x:v>
      </x:c>
      <x:c r="I154" s="83" t="str">
        <x:v>Workbook Bank</x:v>
      </x:c>
      <x:c r="J154" s="83" t="str">
        <x:v>III. Intervention and Practice</x:v>
      </x:c>
      <x:c r="K154" s="83" t="str">
        <x:v>Integrated community power and evaluation</x:v>
      </x:c>
      <x:c r="L154" s="83" t="str"/>
      <x:c r="M154" s="83" t="str">
        <x:v>Difficult</x:v>
      </x:c>
      <x:c r="N154" s="83" t="str">
        <x:v>Difficult</x:v>
      </x:c>
      <x:c r="O154" s="83" t="str">
        <x:v>Integrated Clinical Reasoning</x:v>
      </x:c>
      <x:c r="P154" s="83" t="str">
        <x:v>Integrated Clinical Reasoning</x:v>
      </x:c>
      <x:c r="Q154" s="83" t="n">
        <x:v>4</x:v>
      </x:c>
      <x:c r="R154" s="83" t="str">
        <x:v>A</x:v>
      </x:c>
      <x:c r="S154" s="83" t="str">
        <x:v>Approved</x:v>
      </x:c>
      <x:c r="T154" s="83" t="str">
        <x:v>Active</x:v>
      </x:c>
      <x:c r="U154" s="83" t="n">
        <x:v>1</x:v>
      </x:c>
      <x:c r="V154" s="83" t="str"/>
      <x:c r="W154" s="83" t="str">
        <x:v>No additional flag</x:v>
      </x:c>
      <x:c r="X154" s="83" t="str">
        <x:v>No structural flag</x:v>
      </x:c>
      <x:c r="Y154" s="83" t="str">
        <x:v>Not Yet Reviewed</x:v>
      </x:c>
      <x:c r="Z154" s="83" t="str">
        <x:v>CTA LCSW Workbook 9</x:v>
      </x:c>
      <x:c r="AA154" s="83" t="str">
        <x:v>CTA_LCSW_WB9_17_Question_Bank_v1.0.docx</x:v>
      </x:c>
      <x:c r="AB154" s="83" t="str">
        <x:v>1.0</x:v>
      </x:c>
      <x:c r="AC154" s="102"/>
      <x:c r="AD154" s="102" t="n">
        <x:v>46228</x:v>
      </x:c>
      <x:c r="AE154" s="83" t="str"/>
      <x:c r="AF154" s="89" t="str">
        <x:v>Workbook bank; reserve pool after controlled review</x:v>
      </x:c>
    </x:row>
    <x:row r="155">
      <x:c r="A155" s="88" t="str">
        <x:v>CTA-LCSW-MQB-0154</x:v>
      </x:c>
      <x:c r="B155" s="83" t="str">
        <x:v>LCSW-WB10-QB-Q001</x:v>
      </x:c>
      <x:c r="C155" s="83" t="str">
        <x:v>LCSW</x:v>
      </x:c>
      <x:c r="D155" s="83" t="str">
        <x:v>Workbook Question Bank</x:v>
      </x:c>
      <x:c r="E155" s="83" t="n">
        <x:v>10</x:v>
      </x:c>
      <x:c r="F155" s="83" t="str">
        <x:v>Case Management, Advocacy, Resources, and Collaboration</x:v>
      </x:c>
      <x:c r="G155" s="83"/>
      <x:c r="H155" s="83" t="n">
        <x:v>1</x:v>
      </x:c>
      <x:c r="I155" s="83" t="str">
        <x:v>Workbook Bank</x:v>
      </x:c>
      <x:c r="J155" s="83" t="str">
        <x:v>III. Intervention and Practice</x:v>
      </x:c>
      <x:c r="K155" s="83" t="str">
        <x:v>BRIDGE coordination sequence</x:v>
      </x:c>
      <x:c r="L155" s="83" t="str"/>
      <x:c r="M155" s="83" t="str">
        <x:v>Easy</x:v>
      </x:c>
      <x:c r="N155" s="83" t="str">
        <x:v>Easy</x:v>
      </x:c>
      <x:c r="O155" s="83" t="str">
        <x:v>Knowledge &amp; Recall</x:v>
      </x:c>
      <x:c r="P155" s="83" t="str">
        <x:v>Knowledge &amp; Recall</x:v>
      </x:c>
      <x:c r="Q155" s="83" t="n">
        <x:v>4</x:v>
      </x:c>
      <x:c r="R155" s="83" t="str">
        <x:v>A</x:v>
      </x:c>
      <x:c r="S155" s="83" t="str">
        <x:v>Approved</x:v>
      </x:c>
      <x:c r="T155" s="83" t="str">
        <x:v>Active</x:v>
      </x:c>
      <x:c r="U155" s="83" t="n">
        <x:v>1</x:v>
      </x:c>
      <x:c r="V155" s="83" t="str"/>
      <x:c r="W155" s="83" t="str">
        <x:v>No additional flag</x:v>
      </x:c>
      <x:c r="X155" s="83" t="str">
        <x:v>No structural flag</x:v>
      </x:c>
      <x:c r="Y155" s="83" t="str">
        <x:v>Not Yet Reviewed</x:v>
      </x:c>
      <x:c r="Z155" s="83" t="str">
        <x:v>CTA LCSW Workbook 10</x:v>
      </x:c>
      <x:c r="AA155" s="83" t="str">
        <x:v>CTA_LCSW_WB10_17_Question_Bank_v1.0.docx</x:v>
      </x:c>
      <x:c r="AB155" s="83" t="str">
        <x:v>1.0</x:v>
      </x:c>
      <x:c r="AC155" s="102"/>
      <x:c r="AD155" s="102" t="n">
        <x:v>46228</x:v>
      </x:c>
      <x:c r="AE155" s="83" t="str"/>
      <x:c r="AF155" s="89" t="str">
        <x:v>Workbook bank; reserve pool after controlled review</x:v>
      </x:c>
    </x:row>
    <x:row r="156">
      <x:c r="A156" s="88" t="str">
        <x:v>CTA-LCSW-MQB-0155</x:v>
      </x:c>
      <x:c r="B156" s="83" t="str">
        <x:v>LCSW-WB10-QB-Q002</x:v>
      </x:c>
      <x:c r="C156" s="83" t="str">
        <x:v>LCSW</x:v>
      </x:c>
      <x:c r="D156" s="83" t="str">
        <x:v>Workbook Question Bank</x:v>
      </x:c>
      <x:c r="E156" s="83" t="n">
        <x:v>10</x:v>
      </x:c>
      <x:c r="F156" s="83" t="str">
        <x:v>Case Management, Advocacy, Resources, and Collaboration</x:v>
      </x:c>
      <x:c r="G156" s="83"/>
      <x:c r="H156" s="83" t="n">
        <x:v>2</x:v>
      </x:c>
      <x:c r="I156" s="83" t="str">
        <x:v>Workbook Bank</x:v>
      </x:c>
      <x:c r="J156" s="83" t="str">
        <x:v>III. Intervention and Practice</x:v>
      </x:c>
      <x:c r="K156" s="83" t="str">
        <x:v>Case management as integrated clinical practice</x:v>
      </x:c>
      <x:c r="L156" s="83" t="str"/>
      <x:c r="M156" s="83" t="str">
        <x:v>Easy</x:v>
      </x:c>
      <x:c r="N156" s="83" t="str">
        <x:v>Easy</x:v>
      </x:c>
      <x:c r="O156" s="83" t="str">
        <x:v>Knowledge &amp; Recall</x:v>
      </x:c>
      <x:c r="P156" s="83" t="str">
        <x:v>Knowledge &amp; Recall</x:v>
      </x:c>
      <x:c r="Q156" s="83" t="n">
        <x:v>4</x:v>
      </x:c>
      <x:c r="R156" s="83" t="str">
        <x:v>B</x:v>
      </x:c>
      <x:c r="S156" s="83" t="str">
        <x:v>Approved</x:v>
      </x:c>
      <x:c r="T156" s="83" t="str">
        <x:v>Active</x:v>
      </x:c>
      <x:c r="U156" s="83" t="n">
        <x:v>1</x:v>
      </x:c>
      <x:c r="V156" s="83" t="str"/>
      <x:c r="W156" s="83" t="str">
        <x:v>No additional flag</x:v>
      </x:c>
      <x:c r="X156" s="83" t="str">
        <x:v>No structural flag</x:v>
      </x:c>
      <x:c r="Y156" s="83" t="str">
        <x:v>Not Yet Reviewed</x:v>
      </x:c>
      <x:c r="Z156" s="83" t="str">
        <x:v>CTA LCSW Workbook 10</x:v>
      </x:c>
      <x:c r="AA156" s="83" t="str">
        <x:v>CTA_LCSW_WB10_17_Question_Bank_v1.0.docx</x:v>
      </x:c>
      <x:c r="AB156" s="83" t="str">
        <x:v>1.0</x:v>
      </x:c>
      <x:c r="AC156" s="102"/>
      <x:c r="AD156" s="102" t="n">
        <x:v>46228</x:v>
      </x:c>
      <x:c r="AE156" s="83" t="str"/>
      <x:c r="AF156" s="89" t="str">
        <x:v>Workbook bank; reserve pool after controlled review</x:v>
      </x:c>
    </x:row>
    <x:row r="157">
      <x:c r="A157" s="88" t="str">
        <x:v>CTA-LCSW-MQB-0156</x:v>
      </x:c>
      <x:c r="B157" s="83" t="str">
        <x:v>LCSW-WB10-QB-Q003</x:v>
      </x:c>
      <x:c r="C157" s="83" t="str">
        <x:v>LCSW</x:v>
      </x:c>
      <x:c r="D157" s="83" t="str">
        <x:v>Workbook Question Bank</x:v>
      </x:c>
      <x:c r="E157" s="83" t="n">
        <x:v>10</x:v>
      </x:c>
      <x:c r="F157" s="83" t="str">
        <x:v>Case Management, Advocacy, Resources, and Collaboration</x:v>
      </x:c>
      <x:c r="G157" s="83"/>
      <x:c r="H157" s="83" t="n">
        <x:v>3</x:v>
      </x:c>
      <x:c r="I157" s="83" t="str">
        <x:v>Workbook Bank</x:v>
      </x:c>
      <x:c r="J157" s="83" t="str">
        <x:v>III. Intervention and Practice</x:v>
      </x:c>
      <x:c r="K157" s="83" t="str">
        <x:v>Resource fit, eligibility, access, and choice</x:v>
      </x:c>
      <x:c r="L157" s="83" t="str"/>
      <x:c r="M157" s="83" t="str">
        <x:v>Easy</x:v>
      </x:c>
      <x:c r="N157" s="83" t="str">
        <x:v>Easy</x:v>
      </x:c>
      <x:c r="O157" s="83" t="str">
        <x:v>Application</x:v>
      </x:c>
      <x:c r="P157" s="83" t="str">
        <x:v>Application</x:v>
      </x:c>
      <x:c r="Q157" s="83" t="n">
        <x:v>4</x:v>
      </x:c>
      <x:c r="R157" s="83" t="str">
        <x:v>C</x:v>
      </x:c>
      <x:c r="S157" s="83" t="str">
        <x:v>Approved</x:v>
      </x:c>
      <x:c r="T157" s="83" t="str">
        <x:v>Active</x:v>
      </x:c>
      <x:c r="U157" s="83" t="n">
        <x:v>1</x:v>
      </x:c>
      <x:c r="V157" s="83" t="str"/>
      <x:c r="W157" s="83" t="str">
        <x:v>No additional flag</x:v>
      </x:c>
      <x:c r="X157" s="83" t="str">
        <x:v>No structural flag</x:v>
      </x:c>
      <x:c r="Y157" s="83" t="str">
        <x:v>Not Yet Reviewed</x:v>
      </x:c>
      <x:c r="Z157" s="83" t="str">
        <x:v>CTA LCSW Workbook 10</x:v>
      </x:c>
      <x:c r="AA157" s="83" t="str">
        <x:v>CTA_LCSW_WB10_17_Question_Bank_v1.0.docx</x:v>
      </x:c>
      <x:c r="AB157" s="83" t="str">
        <x:v>1.0</x:v>
      </x:c>
      <x:c r="AC157" s="102"/>
      <x:c r="AD157" s="102" t="n">
        <x:v>46228</x:v>
      </x:c>
      <x:c r="AE157" s="83" t="str"/>
      <x:c r="AF157" s="89" t="str">
        <x:v>Workbook bank; reserve pool after controlled review</x:v>
      </x:c>
    </x:row>
    <x:row r="158">
      <x:c r="A158" s="88" t="str">
        <x:v>CTA-LCSW-MQB-0157</x:v>
      </x:c>
      <x:c r="B158" s="83" t="str">
        <x:v>LCSW-WB10-QB-Q004</x:v>
      </x:c>
      <x:c r="C158" s="83" t="str">
        <x:v>LCSW</x:v>
      </x:c>
      <x:c r="D158" s="83" t="str">
        <x:v>Workbook Question Bank</x:v>
      </x:c>
      <x:c r="E158" s="83" t="n">
        <x:v>10</x:v>
      </x:c>
      <x:c r="F158" s="83" t="str">
        <x:v>Case Management, Advocacy, Resources, and Collaboration</x:v>
      </x:c>
      <x:c r="G158" s="83"/>
      <x:c r="H158" s="83" t="n">
        <x:v>4</x:v>
      </x:c>
      <x:c r="I158" s="83" t="str">
        <x:v>Workbook Bank</x:v>
      </x:c>
      <x:c r="J158" s="83" t="str">
        <x:v>III. Intervention and Practice</x:v>
      </x:c>
      <x:c r="K158" s="83" t="str">
        <x:v>Warm handoff and continuity</x:v>
      </x:c>
      <x:c r="L158" s="83" t="str"/>
      <x:c r="M158" s="83" t="str">
        <x:v>Easy</x:v>
      </x:c>
      <x:c r="N158" s="83" t="str">
        <x:v>Easy</x:v>
      </x:c>
      <x:c r="O158" s="83" t="str">
        <x:v>Knowledge &amp; Recall</x:v>
      </x:c>
      <x:c r="P158" s="83" t="str">
        <x:v>Knowledge &amp; Recall</x:v>
      </x:c>
      <x:c r="Q158" s="83" t="n">
        <x:v>4</x:v>
      </x:c>
      <x:c r="R158" s="83" t="str">
        <x:v>D</x:v>
      </x:c>
      <x:c r="S158" s="83" t="str">
        <x:v>Approved</x:v>
      </x:c>
      <x:c r="T158" s="83" t="str">
        <x:v>Active</x:v>
      </x:c>
      <x:c r="U158" s="83" t="n">
        <x:v>1</x:v>
      </x:c>
      <x:c r="V158" s="83" t="str"/>
      <x:c r="W158" s="83" t="str">
        <x:v>No additional flag</x:v>
      </x:c>
      <x:c r="X158" s="83" t="str">
        <x:v>No structural flag</x:v>
      </x:c>
      <x:c r="Y158" s="83" t="str">
        <x:v>Not Yet Reviewed</x:v>
      </x:c>
      <x:c r="Z158" s="83" t="str">
        <x:v>CTA LCSW Workbook 10</x:v>
      </x:c>
      <x:c r="AA158" s="83" t="str">
        <x:v>CTA_LCSW_WB10_17_Question_Bank_v1.0.docx</x:v>
      </x:c>
      <x:c r="AB158" s="83" t="str">
        <x:v>1.0</x:v>
      </x:c>
      <x:c r="AC158" s="102"/>
      <x:c r="AD158" s="102" t="n">
        <x:v>46228</x:v>
      </x:c>
      <x:c r="AE158" s="83" t="str"/>
      <x:c r="AF158" s="89" t="str">
        <x:v>Workbook bank; reserve pool after controlled review</x:v>
      </x:c>
    </x:row>
    <x:row r="159">
      <x:c r="A159" s="88" t="str">
        <x:v>CTA-LCSW-MQB-0158</x:v>
      </x:c>
      <x:c r="B159" s="83" t="str">
        <x:v>LCSW-WB10-QB-Q005</x:v>
      </x:c>
      <x:c r="C159" s="83" t="str">
        <x:v>LCSW</x:v>
      </x:c>
      <x:c r="D159" s="83" t="str">
        <x:v>Workbook Question Bank</x:v>
      </x:c>
      <x:c r="E159" s="83" t="n">
        <x:v>10</x:v>
      </x:c>
      <x:c r="F159" s="83" t="str">
        <x:v>Case Management, Advocacy, Resources, and Collaboration</x:v>
      </x:c>
      <x:c r="G159" s="83"/>
      <x:c r="H159" s="83" t="n">
        <x:v>5</x:v>
      </x:c>
      <x:c r="I159" s="83" t="str">
        <x:v>Workbook Bank</x:v>
      </x:c>
      <x:c r="J159" s="83" t="str">
        <x:v>III. Intervention and Practice</x:v>
      </x:c>
      <x:c r="K159" s="83" t="str">
        <x:v>Accountable coordination documentation</x:v>
      </x:c>
      <x:c r="L159" s="83" t="str"/>
      <x:c r="M159" s="83" t="str">
        <x:v>Easy</x:v>
      </x:c>
      <x:c r="N159" s="83" t="str">
        <x:v>Easy</x:v>
      </x:c>
      <x:c r="O159" s="83" t="str">
        <x:v>Application</x:v>
      </x:c>
      <x:c r="P159" s="83" t="str">
        <x:v>Application</x:v>
      </x:c>
      <x:c r="Q159" s="83" t="n">
        <x:v>4</x:v>
      </x:c>
      <x:c r="R159" s="83" t="str">
        <x:v>A</x:v>
      </x:c>
      <x:c r="S159" s="83" t="str">
        <x:v>Approved</x:v>
      </x:c>
      <x:c r="T159" s="83" t="str">
        <x:v>Active</x:v>
      </x:c>
      <x:c r="U159" s="83" t="n">
        <x:v>1</x:v>
      </x:c>
      <x:c r="V159" s="83" t="str"/>
      <x:c r="W159" s="83" t="str">
        <x:v>No additional flag</x:v>
      </x:c>
      <x:c r="X159" s="83" t="str">
        <x:v>No structural flag</x:v>
      </x:c>
      <x:c r="Y159" s="83" t="str">
        <x:v>Not Yet Reviewed</x:v>
      </x:c>
      <x:c r="Z159" s="83" t="str">
        <x:v>CTA LCSW Workbook 10</x:v>
      </x:c>
      <x:c r="AA159" s="83" t="str">
        <x:v>CTA_LCSW_WB10_17_Question_Bank_v1.0.docx</x:v>
      </x:c>
      <x:c r="AB159" s="83" t="str">
        <x:v>1.0</x:v>
      </x:c>
      <x:c r="AC159" s="102"/>
      <x:c r="AD159" s="102" t="n">
        <x:v>46228</x:v>
      </x:c>
      <x:c r="AE159" s="83" t="str"/>
      <x:c r="AF159" s="89" t="str">
        <x:v>Workbook bank; reserve pool after controlled review</x:v>
      </x:c>
    </x:row>
    <x:row r="160">
      <x:c r="A160" s="88" t="str">
        <x:v>CTA-LCSW-MQB-0159</x:v>
      </x:c>
      <x:c r="B160" s="83" t="str">
        <x:v>LCSW-WB10-QB-Q006</x:v>
      </x:c>
      <x:c r="C160" s="83" t="str">
        <x:v>LCSW</x:v>
      </x:c>
      <x:c r="D160" s="83" t="str">
        <x:v>Workbook Question Bank</x:v>
      </x:c>
      <x:c r="E160" s="83" t="n">
        <x:v>10</x:v>
      </x:c>
      <x:c r="F160" s="83" t="str">
        <x:v>Case Management, Advocacy, Resources, and Collaboration</x:v>
      </x:c>
      <x:c r="G160" s="83"/>
      <x:c r="H160" s="83" t="n">
        <x:v>6</x:v>
      </x:c>
      <x:c r="I160" s="83" t="str">
        <x:v>Workbook Bank</x:v>
      </x:c>
      <x:c r="J160" s="83" t="str">
        <x:v>III. Intervention and Practice</x:v>
      </x:c>
      <x:c r="K160" s="83" t="str">
        <x:v>Prioritization of urgent and time-sensitive needs</x:v>
      </x:c>
      <x:c r="L160" s="83" t="str"/>
      <x:c r="M160" s="83" t="str">
        <x:v>Moderate</x:v>
      </x:c>
      <x:c r="N160" s="83" t="str">
        <x:v>Moderate</x:v>
      </x:c>
      <x:c r="O160" s="83" t="str">
        <x:v>Application</x:v>
      </x:c>
      <x:c r="P160" s="83" t="str">
        <x:v>Application</x:v>
      </x:c>
      <x:c r="Q160" s="83" t="n">
        <x:v>4</x:v>
      </x:c>
      <x:c r="R160" s="83" t="str">
        <x:v>B</x:v>
      </x:c>
      <x:c r="S160" s="83" t="str">
        <x:v>Approved</x:v>
      </x:c>
      <x:c r="T160" s="83" t="str">
        <x:v>Active</x:v>
      </x:c>
      <x:c r="U160" s="83" t="n">
        <x:v>1</x:v>
      </x:c>
      <x:c r="V160" s="83" t="str"/>
      <x:c r="W160" s="83" t="str">
        <x:v>No additional flag</x:v>
      </x:c>
      <x:c r="X160" s="83" t="str">
        <x:v>No structural flag</x:v>
      </x:c>
      <x:c r="Y160" s="83" t="str">
        <x:v>Not Yet Reviewed</x:v>
      </x:c>
      <x:c r="Z160" s="83" t="str">
        <x:v>CTA LCSW Workbook 10</x:v>
      </x:c>
      <x:c r="AA160" s="83" t="str">
        <x:v>CTA_LCSW_WB10_17_Question_Bank_v1.0.docx</x:v>
      </x:c>
      <x:c r="AB160" s="83" t="str">
        <x:v>1.0</x:v>
      </x:c>
      <x:c r="AC160" s="102"/>
      <x:c r="AD160" s="102" t="n">
        <x:v>46228</x:v>
      </x:c>
      <x:c r="AE160" s="83" t="str"/>
      <x:c r="AF160" s="89" t="str">
        <x:v>Workbook bank; reserve pool after controlled review</x:v>
      </x:c>
    </x:row>
    <x:row r="161">
      <x:c r="A161" s="88" t="str">
        <x:v>CTA-LCSW-MQB-0160</x:v>
      </x:c>
      <x:c r="B161" s="83" t="str">
        <x:v>LCSW-WB10-QB-Q007</x:v>
      </x:c>
      <x:c r="C161" s="83" t="str">
        <x:v>LCSW</x:v>
      </x:c>
      <x:c r="D161" s="83" t="str">
        <x:v>Workbook Question Bank</x:v>
      </x:c>
      <x:c r="E161" s="83" t="n">
        <x:v>10</x:v>
      </x:c>
      <x:c r="F161" s="83" t="str">
        <x:v>Case Management, Advocacy, Resources, and Collaboration</x:v>
      </x:c>
      <x:c r="G161" s="83"/>
      <x:c r="H161" s="83" t="n">
        <x:v>7</x:v>
      </x:c>
      <x:c r="I161" s="83" t="str">
        <x:v>Workbook Bank</x:v>
      </x:c>
      <x:c r="J161" s="83" t="str">
        <x:v>III. Intervention and Practice</x:v>
      </x:c>
      <x:c r="K161" s="83" t="str">
        <x:v>Barrier assessment before labeling nonadherence</x:v>
      </x:c>
      <x:c r="L161" s="83" t="str"/>
      <x:c r="M161" s="83" t="str">
        <x:v>Moderate</x:v>
      </x:c>
      <x:c r="N161" s="83" t="str">
        <x:v>Moderate</x:v>
      </x:c>
      <x:c r="O161" s="83" t="str">
        <x:v>Scenario-Based</x:v>
      </x:c>
      <x:c r="P161" s="83" t="str">
        <x:v>Scenario-Based</x:v>
      </x:c>
      <x:c r="Q161" s="83" t="n">
        <x:v>4</x:v>
      </x:c>
      <x:c r="R161" s="83" t="str">
        <x:v>C</x:v>
      </x:c>
      <x:c r="S161" s="83" t="str">
        <x:v>Approved</x:v>
      </x:c>
      <x:c r="T161" s="83" t="str">
        <x:v>Active</x:v>
      </x:c>
      <x:c r="U161" s="83" t="n">
        <x:v>1</x:v>
      </x:c>
      <x:c r="V161" s="83" t="str"/>
      <x:c r="W161" s="83" t="str">
        <x:v>No additional flag</x:v>
      </x:c>
      <x:c r="X161" s="83" t="str">
        <x:v>No structural flag</x:v>
      </x:c>
      <x:c r="Y161" s="83" t="str">
        <x:v>Not Yet Reviewed</x:v>
      </x:c>
      <x:c r="Z161" s="83" t="str">
        <x:v>CTA LCSW Workbook 10</x:v>
      </x:c>
      <x:c r="AA161" s="83" t="str">
        <x:v>CTA_LCSW_WB10_17_Question_Bank_v1.0.docx</x:v>
      </x:c>
      <x:c r="AB161" s="83" t="str">
        <x:v>1.0</x:v>
      </x:c>
      <x:c r="AC161" s="102"/>
      <x:c r="AD161" s="102" t="n">
        <x:v>46228</x:v>
      </x:c>
      <x:c r="AE161" s="83" t="str"/>
      <x:c r="AF161" s="89" t="str">
        <x:v>Workbook bank; reserve pool after controlled review</x:v>
      </x:c>
    </x:row>
    <x:row r="162">
      <x:c r="A162" s="88" t="str">
        <x:v>CTA-LCSW-MQB-0161</x:v>
      </x:c>
      <x:c r="B162" s="83" t="str">
        <x:v>LCSW-WB10-QB-Q008</x:v>
      </x:c>
      <x:c r="C162" s="83" t="str">
        <x:v>LCSW</x:v>
      </x:c>
      <x:c r="D162" s="83" t="str">
        <x:v>Workbook Question Bank</x:v>
      </x:c>
      <x:c r="E162" s="83" t="n">
        <x:v>10</x:v>
      </x:c>
      <x:c r="F162" s="83" t="str">
        <x:v>Case Management, Advocacy, Resources, and Collaboration</x:v>
      </x:c>
      <x:c r="G162" s="83"/>
      <x:c r="H162" s="83" t="n">
        <x:v>8</x:v>
      </x:c>
      <x:c r="I162" s="83" t="str">
        <x:v>Workbook Bank</x:v>
      </x:c>
      <x:c r="J162" s="83" t="str">
        <x:v>III. Intervention and Practice</x:v>
      </x:c>
      <x:c r="K162" s="83" t="str">
        <x:v>Interdisciplinary role clarity and authority</x:v>
      </x:c>
      <x:c r="L162" s="83" t="str"/>
      <x:c r="M162" s="83" t="str">
        <x:v>Moderate</x:v>
      </x:c>
      <x:c r="N162" s="83" t="str">
        <x:v>Moderate</x:v>
      </x:c>
      <x:c r="O162" s="83" t="str">
        <x:v>Scenario-Based</x:v>
      </x:c>
      <x:c r="P162" s="83" t="str">
        <x:v>Scenario-Based</x:v>
      </x:c>
      <x:c r="Q162" s="83" t="n">
        <x:v>4</x:v>
      </x:c>
      <x:c r="R162" s="83" t="str">
        <x:v>D</x:v>
      </x:c>
      <x:c r="S162" s="83" t="str">
        <x:v>Approved</x:v>
      </x:c>
      <x:c r="T162" s="83" t="str">
        <x:v>Active</x:v>
      </x:c>
      <x:c r="U162" s="83" t="n">
        <x:v>1</x:v>
      </x:c>
      <x:c r="V162" s="83" t="str"/>
      <x:c r="W162" s="83" t="str">
        <x:v>No additional flag</x:v>
      </x:c>
      <x:c r="X162" s="83" t="str">
        <x:v>No structural flag</x:v>
      </x:c>
      <x:c r="Y162" s="83" t="str">
        <x:v>Not Yet Reviewed</x:v>
      </x:c>
      <x:c r="Z162" s="83" t="str">
        <x:v>CTA LCSW Workbook 10</x:v>
      </x:c>
      <x:c r="AA162" s="83" t="str">
        <x:v>CTA_LCSW_WB10_17_Question_Bank_v1.0.docx</x:v>
      </x:c>
      <x:c r="AB162" s="83" t="str">
        <x:v>1.0</x:v>
      </x:c>
      <x:c r="AC162" s="102"/>
      <x:c r="AD162" s="102" t="n">
        <x:v>46228</x:v>
      </x:c>
      <x:c r="AE162" s="83" t="str"/>
      <x:c r="AF162" s="89" t="str">
        <x:v>Workbook bank; reserve pool after controlled review</x:v>
      </x:c>
    </x:row>
    <x:row r="163">
      <x:c r="A163" s="88" t="str">
        <x:v>CTA-LCSW-MQB-0162</x:v>
      </x:c>
      <x:c r="B163" s="83" t="str">
        <x:v>LCSW-WB10-QB-Q009</x:v>
      </x:c>
      <x:c r="C163" s="83" t="str">
        <x:v>LCSW</x:v>
      </x:c>
      <x:c r="D163" s="83" t="str">
        <x:v>Workbook Question Bank</x:v>
      </x:c>
      <x:c r="E163" s="83" t="n">
        <x:v>10</x:v>
      </x:c>
      <x:c r="F163" s="83" t="str">
        <x:v>Case Management, Advocacy, Resources, and Collaboration</x:v>
      </x:c>
      <x:c r="G163" s="83"/>
      <x:c r="H163" s="83" t="n">
        <x:v>9</x:v>
      </x:c>
      <x:c r="I163" s="83" t="str">
        <x:v>Workbook Bank</x:v>
      </x:c>
      <x:c r="J163" s="83" t="str">
        <x:v>III. Intervention and Practice</x:v>
      </x:c>
      <x:c r="K163" s="83" t="str">
        <x:v>Selecting the correct advocacy level</x:v>
      </x:c>
      <x:c r="L163" s="83" t="str"/>
      <x:c r="M163" s="83" t="str">
        <x:v>Moderate</x:v>
      </x:c>
      <x:c r="N163" s="83" t="str">
        <x:v>Moderate</x:v>
      </x:c>
      <x:c r="O163" s="83" t="str">
        <x:v>Application</x:v>
      </x:c>
      <x:c r="P163" s="83" t="str">
        <x:v>Application</x:v>
      </x:c>
      <x:c r="Q163" s="83" t="n">
        <x:v>4</x:v>
      </x:c>
      <x:c r="R163" s="83" t="str">
        <x:v>A</x:v>
      </x:c>
      <x:c r="S163" s="83" t="str">
        <x:v>Approved</x:v>
      </x:c>
      <x:c r="T163" s="83" t="str">
        <x:v>Active</x:v>
      </x:c>
      <x:c r="U163" s="83" t="n">
        <x:v>1</x:v>
      </x:c>
      <x:c r="V163" s="83" t="str"/>
      <x:c r="W163" s="83" t="str">
        <x:v>No additional flag</x:v>
      </x:c>
      <x:c r="X163" s="83" t="str">
        <x:v>No structural flag</x:v>
      </x:c>
      <x:c r="Y163" s="83" t="str">
        <x:v>Not Yet Reviewed</x:v>
      </x:c>
      <x:c r="Z163" s="83" t="str">
        <x:v>CTA LCSW Workbook 10</x:v>
      </x:c>
      <x:c r="AA163" s="83" t="str">
        <x:v>CTA_LCSW_WB10_17_Question_Bank_v1.0.docx</x:v>
      </x:c>
      <x:c r="AB163" s="83" t="str">
        <x:v>1.0</x:v>
      </x:c>
      <x:c r="AC163" s="102"/>
      <x:c r="AD163" s="102" t="n">
        <x:v>46228</x:v>
      </x:c>
      <x:c r="AE163" s="83" t="str"/>
      <x:c r="AF163" s="89" t="str">
        <x:v>Workbook bank; reserve pool after controlled review</x:v>
      </x:c>
    </x:row>
    <x:row r="164">
      <x:c r="A164" s="88" t="str">
        <x:v>CTA-LCSW-MQB-0163</x:v>
      </x:c>
      <x:c r="B164" s="83" t="str">
        <x:v>LCSW-WB10-QB-Q010</x:v>
      </x:c>
      <x:c r="C164" s="83" t="str">
        <x:v>LCSW</x:v>
      </x:c>
      <x:c r="D164" s="83" t="str">
        <x:v>Workbook Question Bank</x:v>
      </x:c>
      <x:c r="E164" s="83" t="n">
        <x:v>10</x:v>
      </x:c>
      <x:c r="F164" s="83" t="str">
        <x:v>Case Management, Advocacy, Resources, and Collaboration</x:v>
      </x:c>
      <x:c r="G164" s="83"/>
      <x:c r="H164" s="83" t="n">
        <x:v>10</x:v>
      </x:c>
      <x:c r="I164" s="83" t="str">
        <x:v>Workbook Bank</x:v>
      </x:c>
      <x:c r="J164" s="83" t="str">
        <x:v>III. Intervention and Practice</x:v>
      </x:c>
      <x:c r="K164" s="83" t="str">
        <x:v>Time-sensitive benefits access and literacy support</x:v>
      </x:c>
      <x:c r="L164" s="83" t="str"/>
      <x:c r="M164" s="83" t="str">
        <x:v>Moderate</x:v>
      </x:c>
      <x:c r="N164" s="83" t="str">
        <x:v>Moderate</x:v>
      </x:c>
      <x:c r="O164" s="83" t="str">
        <x:v>Scenario-Based</x:v>
      </x:c>
      <x:c r="P164" s="83" t="str">
        <x:v>Scenario-Based</x:v>
      </x:c>
      <x:c r="Q164" s="83" t="n">
        <x:v>4</x:v>
      </x:c>
      <x:c r="R164" s="83" t="str">
        <x:v>B</x:v>
      </x:c>
      <x:c r="S164" s="83" t="str">
        <x:v>Approved</x:v>
      </x:c>
      <x:c r="T164" s="83" t="str">
        <x:v>Active</x:v>
      </x:c>
      <x:c r="U164" s="83" t="n">
        <x:v>1</x:v>
      </x:c>
      <x:c r="V164" s="83" t="str"/>
      <x:c r="W164" s="83" t="str">
        <x:v>No additional flag</x:v>
      </x:c>
      <x:c r="X164" s="83" t="str">
        <x:v>No structural flag</x:v>
      </x:c>
      <x:c r="Y164" s="83" t="str">
        <x:v>Not Yet Reviewed</x:v>
      </x:c>
      <x:c r="Z164" s="83" t="str">
        <x:v>CTA LCSW Workbook 10</x:v>
      </x:c>
      <x:c r="AA164" s="83" t="str">
        <x:v>CTA_LCSW_WB10_17_Question_Bank_v1.0.docx</x:v>
      </x:c>
      <x:c r="AB164" s="83" t="str">
        <x:v>1.0</x:v>
      </x:c>
      <x:c r="AC164" s="102"/>
      <x:c r="AD164" s="102" t="n">
        <x:v>46228</x:v>
      </x:c>
      <x:c r="AE164" s="83" t="str"/>
      <x:c r="AF164" s="89" t="str">
        <x:v>Workbook bank; reserve pool after controlled review</x:v>
      </x:c>
    </x:row>
    <x:row r="165">
      <x:c r="A165" s="88" t="str">
        <x:v>CTA-LCSW-MQB-0164</x:v>
      </x:c>
      <x:c r="B165" s="83" t="str">
        <x:v>LCSW-WB10-QB-Q011</x:v>
      </x:c>
      <x:c r="C165" s="83" t="str">
        <x:v>LCSW</x:v>
      </x:c>
      <x:c r="D165" s="83" t="str">
        <x:v>Workbook Question Bank</x:v>
      </x:c>
      <x:c r="E165" s="83" t="n">
        <x:v>10</x:v>
      </x:c>
      <x:c r="F165" s="83" t="str">
        <x:v>Case Management, Advocacy, Resources, and Collaboration</x:v>
      </x:c>
      <x:c r="G165" s="83"/>
      <x:c r="H165" s="83" t="n">
        <x:v>11</x:v>
      </x:c>
      <x:c r="I165" s="83" t="str">
        <x:v>Workbook Bank</x:v>
      </x:c>
      <x:c r="J165" s="83" t="str">
        <x:v>III. Intervention and Practice</x:v>
      </x:c>
      <x:c r="K165" s="83" t="str">
        <x:v>Minimum necessary information in collaboration</x:v>
      </x:c>
      <x:c r="L165" s="83" t="str"/>
      <x:c r="M165" s="83" t="str">
        <x:v>Moderate</x:v>
      </x:c>
      <x:c r="N165" s="83" t="str">
        <x:v>Moderate</x:v>
      </x:c>
      <x:c r="O165" s="83" t="str">
        <x:v>Scenario-Based</x:v>
      </x:c>
      <x:c r="P165" s="83" t="str">
        <x:v>Scenario-Based</x:v>
      </x:c>
      <x:c r="Q165" s="83" t="n">
        <x:v>4</x:v>
      </x:c>
      <x:c r="R165" s="83" t="str">
        <x:v>C</x:v>
      </x:c>
      <x:c r="S165" s="83" t="str">
        <x:v>Approved</x:v>
      </x:c>
      <x:c r="T165" s="83" t="str">
        <x:v>Active</x:v>
      </x:c>
      <x:c r="U165" s="83" t="n">
        <x:v>1</x:v>
      </x:c>
      <x:c r="V165" s="83" t="str"/>
      <x:c r="W165" s="83" t="str">
        <x:v>No additional flag</x:v>
      </x:c>
      <x:c r="X165" s="83" t="str">
        <x:v>No structural flag</x:v>
      </x:c>
      <x:c r="Y165" s="83" t="str">
        <x:v>Not Yet Reviewed</x:v>
      </x:c>
      <x:c r="Z165" s="83" t="str">
        <x:v>CTA LCSW Workbook 10</x:v>
      </x:c>
      <x:c r="AA165" s="83" t="str">
        <x:v>CTA_LCSW_WB10_17_Question_Bank_v1.0.docx</x:v>
      </x:c>
      <x:c r="AB165" s="83" t="str">
        <x:v>1.0</x:v>
      </x:c>
      <x:c r="AC165" s="102"/>
      <x:c r="AD165" s="102" t="n">
        <x:v>46228</x:v>
      </x:c>
      <x:c r="AE165" s="83" t="str"/>
      <x:c r="AF165" s="89" t="str">
        <x:v>Workbook bank; reserve pool after controlled review</x:v>
      </x:c>
    </x:row>
    <x:row r="166">
      <x:c r="A166" s="88" t="str">
        <x:v>CTA-LCSW-MQB-0165</x:v>
      </x:c>
      <x:c r="B166" s="83" t="str">
        <x:v>LCSW-WB10-QB-Q012</x:v>
      </x:c>
      <x:c r="C166" s="83" t="str">
        <x:v>LCSW</x:v>
      </x:c>
      <x:c r="D166" s="83" t="str">
        <x:v>Workbook Question Bank</x:v>
      </x:c>
      <x:c r="E166" s="83" t="n">
        <x:v>10</x:v>
      </x:c>
      <x:c r="F166" s="83" t="str">
        <x:v>Case Management, Advocacy, Resources, and Collaboration</x:v>
      </x:c>
      <x:c r="G166" s="83"/>
      <x:c r="H166" s="83" t="n">
        <x:v>12</x:v>
      </x:c>
      <x:c r="I166" s="83" t="str">
        <x:v>Workbook Bank</x:v>
      </x:c>
      <x:c r="J166" s="83" t="str">
        <x:v>III. Intervention and Practice</x:v>
      </x:c>
      <x:c r="K166" s="83" t="str">
        <x:v>School collaboration, language access, and client participation</x:v>
      </x:c>
      <x:c r="L166" s="83" t="str"/>
      <x:c r="M166" s="83" t="str">
        <x:v>Moderate</x:v>
      </x:c>
      <x:c r="N166" s="83" t="str">
        <x:v>Moderate</x:v>
      </x:c>
      <x:c r="O166" s="83" t="str">
        <x:v>Integrated Clinical Reasoning</x:v>
      </x:c>
      <x:c r="P166" s="83" t="str">
        <x:v>Integrated Clinical Reasoning</x:v>
      </x:c>
      <x:c r="Q166" s="83" t="n">
        <x:v>4</x:v>
      </x:c>
      <x:c r="R166" s="83" t="str">
        <x:v>D</x:v>
      </x:c>
      <x:c r="S166" s="83" t="str">
        <x:v>Approved</x:v>
      </x:c>
      <x:c r="T166" s="83" t="str">
        <x:v>Active</x:v>
      </x:c>
      <x:c r="U166" s="83" t="n">
        <x:v>1</x:v>
      </x:c>
      <x:c r="V166" s="83" t="str"/>
      <x:c r="W166" s="83" t="str">
        <x:v>No additional flag</x:v>
      </x:c>
      <x:c r="X166" s="83" t="str">
        <x:v>No structural flag</x:v>
      </x:c>
      <x:c r="Y166" s="83" t="str">
        <x:v>Not Yet Reviewed</x:v>
      </x:c>
      <x:c r="Z166" s="83" t="str">
        <x:v>CTA LCSW Workbook 10</x:v>
      </x:c>
      <x:c r="AA166" s="83" t="str">
        <x:v>CTA_LCSW_WB10_17_Question_Bank_v1.0.docx</x:v>
      </x:c>
      <x:c r="AB166" s="83" t="str">
        <x:v>1.0</x:v>
      </x:c>
      <x:c r="AC166" s="102"/>
      <x:c r="AD166" s="102" t="n">
        <x:v>46228</x:v>
      </x:c>
      <x:c r="AE166" s="83" t="str"/>
      <x:c r="AF166" s="89" t="str">
        <x:v>Workbook bank; reserve pool after controlled review</x:v>
      </x:c>
    </x:row>
    <x:row r="167">
      <x:c r="A167" s="88" t="str">
        <x:v>CTA-LCSW-MQB-0166</x:v>
      </x:c>
      <x:c r="B167" s="83" t="str">
        <x:v>LCSW-WB10-QB-Q013</x:v>
      </x:c>
      <x:c r="C167" s="83" t="str">
        <x:v>LCSW</x:v>
      </x:c>
      <x:c r="D167" s="83" t="str">
        <x:v>Workbook Question Bank</x:v>
      </x:c>
      <x:c r="E167" s="83" t="n">
        <x:v>10</x:v>
      </x:c>
      <x:c r="F167" s="83" t="str">
        <x:v>Case Management, Advocacy, Resources, and Collaboration</x:v>
      </x:c>
      <x:c r="G167" s="83"/>
      <x:c r="H167" s="83" t="n">
        <x:v>13</x:v>
      </x:c>
      <x:c r="I167" s="83" t="str">
        <x:v>Workbook Bank</x:v>
      </x:c>
      <x:c r="J167" s="83" t="str">
        <x:v>III. Intervention and Practice</x:v>
      </x:c>
      <x:c r="K167" s="83" t="str">
        <x:v>Integrated medical, suicide, housing, and communication triage</x:v>
      </x:c>
      <x:c r="L167" s="83" t="str"/>
      <x:c r="M167" s="83" t="str">
        <x:v>Difficult</x:v>
      </x:c>
      <x:c r="N167" s="83" t="str">
        <x:v>Difficult</x:v>
      </x:c>
      <x:c r="O167" s="83" t="str">
        <x:v>Scenario-Based</x:v>
      </x:c>
      <x:c r="P167" s="83" t="str">
        <x:v>Scenario-Based</x:v>
      </x:c>
      <x:c r="Q167" s="83" t="n">
        <x:v>4</x:v>
      </x:c>
      <x:c r="R167" s="83" t="str">
        <x:v>A</x:v>
      </x:c>
      <x:c r="S167" s="83" t="str">
        <x:v>Approved</x:v>
      </x:c>
      <x:c r="T167" s="83" t="str">
        <x:v>Active</x:v>
      </x:c>
      <x:c r="U167" s="83" t="n">
        <x:v>1</x:v>
      </x:c>
      <x:c r="V167" s="83" t="str"/>
      <x:c r="W167" s="83" t="str">
        <x:v>No additional flag</x:v>
      </x:c>
      <x:c r="X167" s="83" t="str">
        <x:v>No structural flag</x:v>
      </x:c>
      <x:c r="Y167" s="83" t="str">
        <x:v>Not Yet Reviewed</x:v>
      </x:c>
      <x:c r="Z167" s="83" t="str">
        <x:v>CTA LCSW Workbook 10</x:v>
      </x:c>
      <x:c r="AA167" s="83" t="str">
        <x:v>CTA_LCSW_WB10_17_Question_Bank_v1.0.docx</x:v>
      </x:c>
      <x:c r="AB167" s="83" t="str">
        <x:v>1.0</x:v>
      </x:c>
      <x:c r="AC167" s="102"/>
      <x:c r="AD167" s="102" t="n">
        <x:v>46228</x:v>
      </x:c>
      <x:c r="AE167" s="83" t="str"/>
      <x:c r="AF167" s="89" t="str">
        <x:v>Workbook bank; reserve pool after controlled review</x:v>
      </x:c>
    </x:row>
    <x:row r="168">
      <x:c r="A168" s="88" t="str">
        <x:v>CTA-LCSW-MQB-0167</x:v>
      </x:c>
      <x:c r="B168" s="83" t="str">
        <x:v>LCSW-WB10-QB-Q014</x:v>
      </x:c>
      <x:c r="C168" s="83" t="str">
        <x:v>LCSW</x:v>
      </x:c>
      <x:c r="D168" s="83" t="str">
        <x:v>Workbook Question Bank</x:v>
      </x:c>
      <x:c r="E168" s="83" t="n">
        <x:v>10</x:v>
      </x:c>
      <x:c r="F168" s="83" t="str">
        <x:v>Case Management, Advocacy, Resources, and Collaboration</x:v>
      </x:c>
      <x:c r="G168" s="83"/>
      <x:c r="H168" s="83" t="n">
        <x:v>14</x:v>
      </x:c>
      <x:c r="I168" s="83" t="str">
        <x:v>Workbook Bank</x:v>
      </x:c>
      <x:c r="J168" s="83" t="str">
        <x:v>III. Intervention and Practice</x:v>
      </x:c>
      <x:c r="K168" s="83" t="str">
        <x:v>Immigration-related benefit concern and professional competence</x:v>
      </x:c>
      <x:c r="L168" s="83" t="str"/>
      <x:c r="M168" s="83" t="str">
        <x:v>Difficult</x:v>
      </x:c>
      <x:c r="N168" s="83" t="str">
        <x:v>Difficult</x:v>
      </x:c>
      <x:c r="O168" s="83" t="str">
        <x:v>Integrated Clinical Reasoning</x:v>
      </x:c>
      <x:c r="P168" s="83" t="str">
        <x:v>Integrated Clinical Reasoning</x:v>
      </x:c>
      <x:c r="Q168" s="83" t="n">
        <x:v>4</x:v>
      </x:c>
      <x:c r="R168" s="83" t="str">
        <x:v>B</x:v>
      </x:c>
      <x:c r="S168" s="83" t="str">
        <x:v>Approved</x:v>
      </x:c>
      <x:c r="T168" s="83" t="str">
        <x:v>Active</x:v>
      </x:c>
      <x:c r="U168" s="83" t="n">
        <x:v>1</x:v>
      </x:c>
      <x:c r="V168" s="83" t="str"/>
      <x:c r="W168" s="83" t="str">
        <x:v>No additional flag</x:v>
      </x:c>
      <x:c r="X168" s="83" t="str">
        <x:v>No structural flag</x:v>
      </x:c>
      <x:c r="Y168" s="83" t="str">
        <x:v>Not Yet Reviewed</x:v>
      </x:c>
      <x:c r="Z168" s="83" t="str">
        <x:v>CTA LCSW Workbook 10</x:v>
      </x:c>
      <x:c r="AA168" s="83" t="str">
        <x:v>CTA_LCSW_WB10_17_Question_Bank_v1.0.docx</x:v>
      </x:c>
      <x:c r="AB168" s="83" t="str">
        <x:v>1.0</x:v>
      </x:c>
      <x:c r="AC168" s="102"/>
      <x:c r="AD168" s="102" t="n">
        <x:v>46228</x:v>
      </x:c>
      <x:c r="AE168" s="83" t="str"/>
      <x:c r="AF168" s="89" t="str">
        <x:v>Workbook bank; reserve pool after controlled review</x:v>
      </x:c>
    </x:row>
    <x:row r="169">
      <x:c r="A169" s="88" t="str">
        <x:v>CTA-LCSW-MQB-0168</x:v>
      </x:c>
      <x:c r="B169" s="83" t="str">
        <x:v>LCSW-WB10-QB-Q015</x:v>
      </x:c>
      <x:c r="C169" s="83" t="str">
        <x:v>LCSW</x:v>
      </x:c>
      <x:c r="D169" s="83" t="str">
        <x:v>Workbook Question Bank</x:v>
      </x:c>
      <x:c r="E169" s="83" t="n">
        <x:v>10</x:v>
      </x:c>
      <x:c r="F169" s="83" t="str">
        <x:v>Case Management, Advocacy, Resources, and Collaboration</x:v>
      </x:c>
      <x:c r="G169" s="83"/>
      <x:c r="H169" s="83" t="n">
        <x:v>15</x:v>
      </x:c>
      <x:c r="I169" s="83" t="str">
        <x:v>Workbook Bank</x:v>
      </x:c>
      <x:c r="J169" s="83" t="str">
        <x:v>III. Intervention and Practice</x:v>
      </x:c>
      <x:c r="K169" s="83" t="str">
        <x:v>Self-determination, capacity, and family involvement</x:v>
      </x:c>
      <x:c r="L169" s="83" t="str"/>
      <x:c r="M169" s="83" t="str">
        <x:v>Difficult</x:v>
      </x:c>
      <x:c r="N169" s="83" t="str">
        <x:v>Difficult</x:v>
      </x:c>
      <x:c r="O169" s="83" t="str">
        <x:v>Integrated Clinical Reasoning</x:v>
      </x:c>
      <x:c r="P169" s="83" t="str">
        <x:v>Integrated Clinical Reasoning</x:v>
      </x:c>
      <x:c r="Q169" s="83" t="n">
        <x:v>4</x:v>
      </x:c>
      <x:c r="R169" s="83" t="str">
        <x:v>C</x:v>
      </x:c>
      <x:c r="S169" s="83" t="str">
        <x:v>Approved</x:v>
      </x:c>
      <x:c r="T169" s="83" t="str">
        <x:v>Active</x:v>
      </x:c>
      <x:c r="U169" s="83" t="n">
        <x:v>1</x:v>
      </x:c>
      <x:c r="V169" s="83" t="str"/>
      <x:c r="W169" s="83" t="str">
        <x:v>No additional flag</x:v>
      </x:c>
      <x:c r="X169" s="83" t="str">
        <x:v>No structural flag</x:v>
      </x:c>
      <x:c r="Y169" s="83" t="str">
        <x:v>Not Yet Reviewed</x:v>
      </x:c>
      <x:c r="Z169" s="83" t="str">
        <x:v>CTA LCSW Workbook 10</x:v>
      </x:c>
      <x:c r="AA169" s="83" t="str">
        <x:v>CTA_LCSW_WB10_17_Question_Bank_v1.0.docx</x:v>
      </x:c>
      <x:c r="AB169" s="83" t="str">
        <x:v>1.0</x:v>
      </x:c>
      <x:c r="AC169" s="102"/>
      <x:c r="AD169" s="102" t="n">
        <x:v>46228</x:v>
      </x:c>
      <x:c r="AE169" s="83" t="str"/>
      <x:c r="AF169" s="89" t="str">
        <x:v>Workbook bank; reserve pool after controlled review</x:v>
      </x:c>
    </x:row>
    <x:row r="170">
      <x:c r="A170" s="88" t="str">
        <x:v>CTA-LCSW-MQB-0169</x:v>
      </x:c>
      <x:c r="B170" s="83" t="str">
        <x:v>LCSW-WB10-QB-Q016</x:v>
      </x:c>
      <x:c r="C170" s="83" t="str">
        <x:v>LCSW</x:v>
      </x:c>
      <x:c r="D170" s="83" t="str">
        <x:v>Workbook Question Bank</x:v>
      </x:c>
      <x:c r="E170" s="83" t="n">
        <x:v>10</x:v>
      </x:c>
      <x:c r="F170" s="83" t="str">
        <x:v>Case Management, Advocacy, Resources, and Collaboration</x:v>
      </x:c>
      <x:c r="G170" s="83"/>
      <x:c r="H170" s="83" t="n">
        <x:v>16</x:v>
      </x:c>
      <x:c r="I170" s="83" t="str">
        <x:v>Workbook Bank</x:v>
      </x:c>
      <x:c r="J170" s="83" t="str">
        <x:v>III. Intervention and Practice</x:v>
      </x:c>
      <x:c r="K170" s="83" t="str">
        <x:v>Organizational disability-access advocacy</x:v>
      </x:c>
      <x:c r="L170" s="83" t="str"/>
      <x:c r="M170" s="83" t="str">
        <x:v>Difficult</x:v>
      </x:c>
      <x:c r="N170" s="83" t="str">
        <x:v>Difficult</x:v>
      </x:c>
      <x:c r="O170" s="83" t="str">
        <x:v>Integrated Clinical Reasoning</x:v>
      </x:c>
      <x:c r="P170" s="83" t="str">
        <x:v>Integrated Clinical Reasoning</x:v>
      </x:c>
      <x:c r="Q170" s="83" t="n">
        <x:v>4</x:v>
      </x:c>
      <x:c r="R170" s="83" t="str">
        <x:v>D</x:v>
      </x:c>
      <x:c r="S170" s="83" t="str">
        <x:v>Approved</x:v>
      </x:c>
      <x:c r="T170" s="83" t="str">
        <x:v>Active</x:v>
      </x:c>
      <x:c r="U170" s="83" t="n">
        <x:v>1</x:v>
      </x:c>
      <x:c r="V170" s="83" t="str"/>
      <x:c r="W170" s="83" t="str">
        <x:v>No additional flag</x:v>
      </x:c>
      <x:c r="X170" s="83" t="str">
        <x:v>No structural flag</x:v>
      </x:c>
      <x:c r="Y170" s="83" t="str">
        <x:v>Not Yet Reviewed</x:v>
      </x:c>
      <x:c r="Z170" s="83" t="str">
        <x:v>CTA LCSW Workbook 10</x:v>
      </x:c>
      <x:c r="AA170" s="83" t="str">
        <x:v>CTA_LCSW_WB10_17_Question_Bank_v1.0.docx</x:v>
      </x:c>
      <x:c r="AB170" s="83" t="str">
        <x:v>1.0</x:v>
      </x:c>
      <x:c r="AC170" s="102"/>
      <x:c r="AD170" s="102" t="n">
        <x:v>46228</x:v>
      </x:c>
      <x:c r="AE170" s="83" t="str"/>
      <x:c r="AF170" s="89" t="str">
        <x:v>Workbook bank; reserve pool after controlled review</x:v>
      </x:c>
    </x:row>
    <x:row r="171">
      <x:c r="A171" s="88" t="str">
        <x:v>CTA-LCSW-MQB-0170</x:v>
      </x:c>
      <x:c r="B171" s="83" t="str">
        <x:v>LCSW-WB10-QB-Q017</x:v>
      </x:c>
      <x:c r="C171" s="83" t="str">
        <x:v>LCSW</x:v>
      </x:c>
      <x:c r="D171" s="83" t="str">
        <x:v>Workbook Question Bank</x:v>
      </x:c>
      <x:c r="E171" s="83" t="n">
        <x:v>10</x:v>
      </x:c>
      <x:c r="F171" s="83" t="str">
        <x:v>Case Management, Advocacy, Resources, and Collaboration</x:v>
      </x:c>
      <x:c r="G171" s="83"/>
      <x:c r="H171" s="83" t="n">
        <x:v>17</x:v>
      </x:c>
      <x:c r="I171" s="83" t="str">
        <x:v>Workbook Bank</x:v>
      </x:c>
      <x:c r="J171" s="83" t="str">
        <x:v>III. Intervention and Practice</x:v>
      </x:c>
      <x:c r="K171" s="83" t="str">
        <x:v>Failed service plan, role mapping, and continuity</x:v>
      </x:c>
      <x:c r="L171" s="83" t="str"/>
      <x:c r="M171" s="83" t="str">
        <x:v>Difficult</x:v>
      </x:c>
      <x:c r="N171" s="83" t="str">
        <x:v>Difficult</x:v>
      </x:c>
      <x:c r="O171" s="83" t="str">
        <x:v>Integrated Clinical Reasoning</x:v>
      </x:c>
      <x:c r="P171" s="83" t="str">
        <x:v>Integrated Clinical Reasoning</x:v>
      </x:c>
      <x:c r="Q171" s="83" t="n">
        <x:v>4</x:v>
      </x:c>
      <x:c r="R171" s="83" t="str">
        <x:v>A</x:v>
      </x:c>
      <x:c r="S171" s="83" t="str">
        <x:v>Approved</x:v>
      </x:c>
      <x:c r="T171" s="83" t="str">
        <x:v>Active</x:v>
      </x:c>
      <x:c r="U171" s="83" t="n">
        <x:v>1</x:v>
      </x:c>
      <x:c r="V171" s="83" t="str"/>
      <x:c r="W171" s="83" t="str">
        <x:v>No additional flag</x:v>
      </x:c>
      <x:c r="X171" s="83" t="str">
        <x:v>No structural flag</x:v>
      </x:c>
      <x:c r="Y171" s="83" t="str">
        <x:v>Not Yet Reviewed</x:v>
      </x:c>
      <x:c r="Z171" s="83" t="str">
        <x:v>CTA LCSW Workbook 10</x:v>
      </x:c>
      <x:c r="AA171" s="83" t="str">
        <x:v>CTA_LCSW_WB10_17_Question_Bank_v1.0.docx</x:v>
      </x:c>
      <x:c r="AB171" s="83" t="str">
        <x:v>1.0</x:v>
      </x:c>
      <x:c r="AC171" s="102"/>
      <x:c r="AD171" s="102" t="n">
        <x:v>46228</x:v>
      </x:c>
      <x:c r="AE171" s="83" t="str"/>
      <x:c r="AF171" s="89" t="str">
        <x:v>Workbook bank; reserve pool after controlled review</x:v>
      </x:c>
    </x:row>
    <x:row r="172">
      <x:c r="A172" s="88" t="str">
        <x:v>CTA-LCSW-MQB-0171</x:v>
      </x:c>
      <x:c r="B172" s="83" t="str">
        <x:v>LCSW-WB11-QB-Q001</x:v>
      </x:c>
      <x:c r="C172" s="83" t="str">
        <x:v>LCSW</x:v>
      </x:c>
      <x:c r="D172" s="83" t="str">
        <x:v>Workbook Question Bank</x:v>
      </x:c>
      <x:c r="E172" s="83" t="n">
        <x:v>11</x:v>
      </x:c>
      <x:c r="F172" s="83" t="str">
        <x:v>Practice Evaluation, Research, Supervision, and Administration</x:v>
      </x:c>
      <x:c r="G172" s="83"/>
      <x:c r="H172" s="83" t="n">
        <x:v>1</x:v>
      </x:c>
      <x:c r="I172" s="83" t="str">
        <x:v>Workbook Bank</x:v>
      </x:c>
      <x:c r="J172" s="83" t="str">
        <x:v>III. Intervention and Practice</x:v>
      </x:c>
      <x:c r="K172" s="83" t="str">
        <x:v>Sensitivity to change</x:v>
      </x:c>
      <x:c r="L172" s="83" t="str"/>
      <x:c r="M172" s="83" t="str">
        <x:v>Easy</x:v>
      </x:c>
      <x:c r="N172" s="83" t="str">
        <x:v>Easy</x:v>
      </x:c>
      <x:c r="O172" s="83" t="str">
        <x:v>Knowledge &amp; Recall</x:v>
      </x:c>
      <x:c r="P172" s="83" t="str">
        <x:v>Knowledge &amp; Recall</x:v>
      </x:c>
      <x:c r="Q172" s="83" t="n">
        <x:v>4</x:v>
      </x:c>
      <x:c r="R172" s="83" t="str">
        <x:v>A</x:v>
      </x:c>
      <x:c r="S172" s="83" t="str">
        <x:v>Approved</x:v>
      </x:c>
      <x:c r="T172" s="83" t="str">
        <x:v>Active</x:v>
      </x:c>
      <x:c r="U172" s="83" t="n">
        <x:v>1</x:v>
      </x:c>
      <x:c r="V172" s="83" t="str"/>
      <x:c r="W172" s="83" t="str">
        <x:v>No additional flag</x:v>
      </x:c>
      <x:c r="X172" s="83" t="str">
        <x:v>No structural flag</x:v>
      </x:c>
      <x:c r="Y172" s="83" t="str">
        <x:v>Not Yet Reviewed</x:v>
      </x:c>
      <x:c r="Z172" s="83" t="str">
        <x:v>CTA LCSW Workbook 11</x:v>
      </x:c>
      <x:c r="AA172" s="83" t="str">
        <x:v>CTA_LCSW_WB11_17_Question_Bank_v1.0.docx</x:v>
      </x:c>
      <x:c r="AB172" s="83" t="str">
        <x:v>1.0</x:v>
      </x:c>
      <x:c r="AC172" s="102"/>
      <x:c r="AD172" s="102" t="n">
        <x:v>46228</x:v>
      </x:c>
      <x:c r="AE172" s="83" t="str"/>
      <x:c r="AF172" s="89" t="str">
        <x:v>Workbook bank; reserve pool after controlled review</x:v>
      </x:c>
    </x:row>
    <x:row r="173">
      <x:c r="A173" s="88" t="str">
        <x:v>CTA-LCSW-MQB-0172</x:v>
      </x:c>
      <x:c r="B173" s="83" t="str">
        <x:v>LCSW-WB11-QB-Q002</x:v>
      </x:c>
      <x:c r="C173" s="83" t="str">
        <x:v>LCSW</x:v>
      </x:c>
      <x:c r="D173" s="83" t="str">
        <x:v>Workbook Question Bank</x:v>
      </x:c>
      <x:c r="E173" s="83" t="n">
        <x:v>11</x:v>
      </x:c>
      <x:c r="F173" s="83" t="str">
        <x:v>Practice Evaluation, Research, Supervision, and Administration</x:v>
      </x:c>
      <x:c r="G173" s="83"/>
      <x:c r="H173" s="83" t="n">
        <x:v>2</x:v>
      </x:c>
      <x:c r="I173" s="83" t="str">
        <x:v>Workbook Bank</x:v>
      </x:c>
      <x:c r="J173" s="83" t="str">
        <x:v>III. Intervention and Practice</x:v>
      </x:c>
      <x:c r="K173" s="83" t="str">
        <x:v>Process versus outcome evaluation</x:v>
      </x:c>
      <x:c r="L173" s="83" t="str"/>
      <x:c r="M173" s="83" t="str">
        <x:v>Easy</x:v>
      </x:c>
      <x:c r="N173" s="83" t="str">
        <x:v>Easy</x:v>
      </x:c>
      <x:c r="O173" s="83" t="str">
        <x:v>Knowledge &amp; Recall</x:v>
      </x:c>
      <x:c r="P173" s="83" t="str">
        <x:v>Knowledge &amp; Recall</x:v>
      </x:c>
      <x:c r="Q173" s="83" t="n">
        <x:v>4</x:v>
      </x:c>
      <x:c r="R173" s="83" t="str">
        <x:v>B</x:v>
      </x:c>
      <x:c r="S173" s="83" t="str">
        <x:v>Approved</x:v>
      </x:c>
      <x:c r="T173" s="83" t="str">
        <x:v>Active</x:v>
      </x:c>
      <x:c r="U173" s="83" t="n">
        <x:v>1</x:v>
      </x:c>
      <x:c r="V173" s="83" t="str"/>
      <x:c r="W173" s="83" t="str">
        <x:v>No additional flag</x:v>
      </x:c>
      <x:c r="X173" s="83" t="str">
        <x:v>No structural flag</x:v>
      </x:c>
      <x:c r="Y173" s="83" t="str">
        <x:v>Not Yet Reviewed</x:v>
      </x:c>
      <x:c r="Z173" s="83" t="str">
        <x:v>CTA LCSW Workbook 11</x:v>
      </x:c>
      <x:c r="AA173" s="83" t="str">
        <x:v>CTA_LCSW_WB11_17_Question_Bank_v1.0.docx</x:v>
      </x:c>
      <x:c r="AB173" s="83" t="str">
        <x:v>1.0</x:v>
      </x:c>
      <x:c r="AC173" s="102"/>
      <x:c r="AD173" s="102" t="n">
        <x:v>46228</x:v>
      </x:c>
      <x:c r="AE173" s="83" t="str"/>
      <x:c r="AF173" s="89" t="str">
        <x:v>Workbook bank; reserve pool after controlled review</x:v>
      </x:c>
    </x:row>
    <x:row r="174">
      <x:c r="A174" s="88" t="str">
        <x:v>CTA-LCSW-MQB-0173</x:v>
      </x:c>
      <x:c r="B174" s="83" t="str">
        <x:v>LCSW-WB11-QB-Q003</x:v>
      </x:c>
      <x:c r="C174" s="83" t="str">
        <x:v>LCSW</x:v>
      </x:c>
      <x:c r="D174" s="83" t="str">
        <x:v>Workbook Question Bank</x:v>
      </x:c>
      <x:c r="E174" s="83" t="n">
        <x:v>11</x:v>
      </x:c>
      <x:c r="F174" s="83" t="str">
        <x:v>Practice Evaluation, Research, Supervision, and Administration</x:v>
      </x:c>
      <x:c r="G174" s="83"/>
      <x:c r="H174" s="83" t="n">
        <x:v>3</x:v>
      </x:c>
      <x:c r="I174" s="83" t="str">
        <x:v>Workbook Bank</x:v>
      </x:c>
      <x:c r="J174" s="83" t="str">
        <x:v>III. Intervention and Practice</x:v>
      </x:c>
      <x:c r="K174" s="83" t="str">
        <x:v>Measurable objective</x:v>
      </x:c>
      <x:c r="L174" s="83" t="str"/>
      <x:c r="M174" s="83" t="str">
        <x:v>Easy</x:v>
      </x:c>
      <x:c r="N174" s="83" t="str">
        <x:v>Easy</x:v>
      </x:c>
      <x:c r="O174" s="83" t="str">
        <x:v>Application</x:v>
      </x:c>
      <x:c r="P174" s="83" t="str">
        <x:v>Application</x:v>
      </x:c>
      <x:c r="Q174" s="83" t="n">
        <x:v>4</x:v>
      </x:c>
      <x:c r="R174" s="83" t="str">
        <x:v>C</x:v>
      </x:c>
      <x:c r="S174" s="83" t="str">
        <x:v>Approved</x:v>
      </x:c>
      <x:c r="T174" s="83" t="str">
        <x:v>Active</x:v>
      </x:c>
      <x:c r="U174" s="83" t="n">
        <x:v>1</x:v>
      </x:c>
      <x:c r="V174" s="83" t="str"/>
      <x:c r="W174" s="83" t="str">
        <x:v>No additional flag</x:v>
      </x:c>
      <x:c r="X174" s="83" t="str">
        <x:v>No structural flag</x:v>
      </x:c>
      <x:c r="Y174" s="83" t="str">
        <x:v>Not Yet Reviewed</x:v>
      </x:c>
      <x:c r="Z174" s="83" t="str">
        <x:v>CTA LCSW Workbook 11</x:v>
      </x:c>
      <x:c r="AA174" s="83" t="str">
        <x:v>CTA_LCSW_WB11_17_Question_Bank_v1.0.docx</x:v>
      </x:c>
      <x:c r="AB174" s="83" t="str">
        <x:v>1.0</x:v>
      </x:c>
      <x:c r="AC174" s="102"/>
      <x:c r="AD174" s="102" t="n">
        <x:v>46228</x:v>
      </x:c>
      <x:c r="AE174" s="83" t="str"/>
      <x:c r="AF174" s="89" t="str">
        <x:v>Workbook bank; reserve pool after controlled review</x:v>
      </x:c>
    </x:row>
    <x:row r="175">
      <x:c r="A175" s="88" t="str">
        <x:v>CTA-LCSW-MQB-0174</x:v>
      </x:c>
      <x:c r="B175" s="83" t="str">
        <x:v>LCSW-WB11-QB-Q004</x:v>
      </x:c>
      <x:c r="C175" s="83" t="str">
        <x:v>LCSW</x:v>
      </x:c>
      <x:c r="D175" s="83" t="str">
        <x:v>Workbook Question Bank</x:v>
      </x:c>
      <x:c r="E175" s="83" t="n">
        <x:v>11</x:v>
      </x:c>
      <x:c r="F175" s="83" t="str">
        <x:v>Practice Evaluation, Research, Supervision, and Administration</x:v>
      </x:c>
      <x:c r="G175" s="83"/>
      <x:c r="H175" s="83" t="n">
        <x:v>4</x:v>
      </x:c>
      <x:c r="I175" s="83" t="str">
        <x:v>Workbook Bank</x:v>
      </x:c>
      <x:c r="J175" s="83" t="str">
        <x:v>III. Intervention and Practice</x:v>
      </x:c>
      <x:c r="K175" s="83" t="str">
        <x:v>Function of clinical supervision</x:v>
      </x:c>
      <x:c r="L175" s="83" t="str"/>
      <x:c r="M175" s="83" t="str">
        <x:v>Easy</x:v>
      </x:c>
      <x:c r="N175" s="83" t="str">
        <x:v>Easy</x:v>
      </x:c>
      <x:c r="O175" s="83" t="str">
        <x:v>Knowledge &amp; Recall</x:v>
      </x:c>
      <x:c r="P175" s="83" t="str">
        <x:v>Knowledge &amp; Recall</x:v>
      </x:c>
      <x:c r="Q175" s="83" t="n">
        <x:v>4</x:v>
      </x:c>
      <x:c r="R175" s="83" t="str">
        <x:v>D</x:v>
      </x:c>
      <x:c r="S175" s="83" t="str">
        <x:v>Approved</x:v>
      </x:c>
      <x:c r="T175" s="83" t="str">
        <x:v>Active</x:v>
      </x:c>
      <x:c r="U175" s="83" t="n">
        <x:v>1</x:v>
      </x:c>
      <x:c r="V175" s="83" t="str"/>
      <x:c r="W175" s="83" t="str">
        <x:v>Review Candidate</x:v>
      </x:c>
      <x:c r="X175" s="83" t="str">
        <x:v>No structural flag</x:v>
      </x:c>
      <x:c r="Y175" s="83" t="str">
        <x:v>Not Yet Reviewed</x:v>
      </x:c>
      <x:c r="Z175" s="83" t="str">
        <x:v>CTA LCSW Workbook 11</x:v>
      </x:c>
      <x:c r="AA175" s="83" t="str">
        <x:v>CTA_LCSW_WB11_17_Question_Bank_v1.0.docx</x:v>
      </x:c>
      <x:c r="AB175" s="83" t="str">
        <x:v>1.0</x:v>
      </x:c>
      <x:c r="AC175" s="102"/>
      <x:c r="AD175" s="102" t="n">
        <x:v>46228</x:v>
      </x:c>
      <x:c r="AE175" s="83" t="str"/>
      <x:c r="AF175" s="89" t="str">
        <x:v>Workbook bank; reserve pool after controlled review</x:v>
      </x:c>
    </x:row>
    <x:row r="176">
      <x:c r="A176" s="88" t="str">
        <x:v>CTA-LCSW-MQB-0175</x:v>
      </x:c>
      <x:c r="B176" s="83" t="str">
        <x:v>LCSW-WB11-QB-Q005</x:v>
      </x:c>
      <x:c r="C176" s="83" t="str">
        <x:v>LCSW</x:v>
      </x:c>
      <x:c r="D176" s="83" t="str">
        <x:v>Workbook Question Bank</x:v>
      </x:c>
      <x:c r="E176" s="83" t="n">
        <x:v>11</x:v>
      </x:c>
      <x:c r="F176" s="83" t="str">
        <x:v>Practice Evaluation, Research, Supervision, and Administration</x:v>
      </x:c>
      <x:c r="G176" s="83"/>
      <x:c r="H176" s="83" t="n">
        <x:v>5</x:v>
      </x:c>
      <x:c r="I176" s="83" t="str">
        <x:v>Workbook Bank</x:v>
      </x:c>
      <x:c r="J176" s="83" t="str">
        <x:v>III. Intervention and Practice</x:v>
      </x:c>
      <x:c r="K176" s="83" t="str">
        <x:v>Quality improvement versus research</x:v>
      </x:c>
      <x:c r="L176" s="83" t="str"/>
      <x:c r="M176" s="83" t="str">
        <x:v>Easy</x:v>
      </x:c>
      <x:c r="N176" s="83" t="str">
        <x:v>Easy</x:v>
      </x:c>
      <x:c r="O176" s="83" t="str">
        <x:v>Application</x:v>
      </x:c>
      <x:c r="P176" s="83" t="str">
        <x:v>Application</x:v>
      </x:c>
      <x:c r="Q176" s="83" t="n">
        <x:v>4</x:v>
      </x:c>
      <x:c r="R176" s="83" t="str">
        <x:v>A</x:v>
      </x:c>
      <x:c r="S176" s="83" t="str">
        <x:v>Approved</x:v>
      </x:c>
      <x:c r="T176" s="83" t="str">
        <x:v>Active</x:v>
      </x:c>
      <x:c r="U176" s="83" t="n">
        <x:v>1</x:v>
      </x:c>
      <x:c r="V176" s="83" t="str"/>
      <x:c r="W176" s="83" t="str">
        <x:v>No additional flag</x:v>
      </x:c>
      <x:c r="X176" s="83" t="str">
        <x:v>No structural flag</x:v>
      </x:c>
      <x:c r="Y176" s="83" t="str">
        <x:v>Not Yet Reviewed</x:v>
      </x:c>
      <x:c r="Z176" s="83" t="str">
        <x:v>CTA LCSW Workbook 11</x:v>
      </x:c>
      <x:c r="AA176" s="83" t="str">
        <x:v>CTA_LCSW_WB11_17_Question_Bank_v1.0.docx</x:v>
      </x:c>
      <x:c r="AB176" s="83" t="str">
        <x:v>1.0</x:v>
      </x:c>
      <x:c r="AC176" s="102"/>
      <x:c r="AD176" s="102" t="n">
        <x:v>46228</x:v>
      </x:c>
      <x:c r="AE176" s="83" t="str"/>
      <x:c r="AF176" s="89" t="str">
        <x:v>Workbook bank; reserve pool after controlled review</x:v>
      </x:c>
    </x:row>
    <x:row r="177">
      <x:c r="A177" s="88" t="str">
        <x:v>CTA-LCSW-MQB-0176</x:v>
      </x:c>
      <x:c r="B177" s="83" t="str">
        <x:v>LCSW-WB11-QB-Q006</x:v>
      </x:c>
      <x:c r="C177" s="83" t="str">
        <x:v>LCSW</x:v>
      </x:c>
      <x:c r="D177" s="83" t="str">
        <x:v>Workbook Question Bank</x:v>
      </x:c>
      <x:c r="E177" s="83" t="n">
        <x:v>11</x:v>
      </x:c>
      <x:c r="F177" s="83" t="str">
        <x:v>Practice Evaluation, Research, Supervision, and Administration</x:v>
      </x:c>
      <x:c r="G177" s="83"/>
      <x:c r="H177" s="83" t="n">
        <x:v>6</x:v>
      </x:c>
      <x:c r="I177" s="83" t="str">
        <x:v>Workbook Bank</x:v>
      </x:c>
      <x:c r="J177" s="83" t="str">
        <x:v>III. Intervention and Practice</x:v>
      </x:c>
      <x:c r="K177" s="83" t="str">
        <x:v>Needs assessment before program selection</x:v>
      </x:c>
      <x:c r="L177" s="83" t="str"/>
      <x:c r="M177" s="83" t="str">
        <x:v>Moderate</x:v>
      </x:c>
      <x:c r="N177" s="83" t="str">
        <x:v>Moderate</x:v>
      </x:c>
      <x:c r="O177" s="83" t="str">
        <x:v>Scenario-Based</x:v>
      </x:c>
      <x:c r="P177" s="83" t="str">
        <x:v>Scenario-Based</x:v>
      </x:c>
      <x:c r="Q177" s="83" t="n">
        <x:v>4</x:v>
      </x:c>
      <x:c r="R177" s="83" t="str">
        <x:v>B</x:v>
      </x:c>
      <x:c r="S177" s="83" t="str">
        <x:v>Approved</x:v>
      </x:c>
      <x:c r="T177" s="83" t="str">
        <x:v>Active</x:v>
      </x:c>
      <x:c r="U177" s="83" t="n">
        <x:v>1</x:v>
      </x:c>
      <x:c r="V177" s="83" t="str"/>
      <x:c r="W177" s="83" t="str">
        <x:v>No additional flag</x:v>
      </x:c>
      <x:c r="X177" s="83" t="str">
        <x:v>No structural flag</x:v>
      </x:c>
      <x:c r="Y177" s="83" t="str">
        <x:v>Not Yet Reviewed</x:v>
      </x:c>
      <x:c r="Z177" s="83" t="str">
        <x:v>CTA LCSW Workbook 11</x:v>
      </x:c>
      <x:c r="AA177" s="83" t="str">
        <x:v>CTA_LCSW_WB11_17_Question_Bank_v1.0.docx</x:v>
      </x:c>
      <x:c r="AB177" s="83" t="str">
        <x:v>1.0</x:v>
      </x:c>
      <x:c r="AC177" s="102"/>
      <x:c r="AD177" s="102" t="n">
        <x:v>46228</x:v>
      </x:c>
      <x:c r="AE177" s="83" t="str"/>
      <x:c r="AF177" s="89" t="str">
        <x:v>Workbook bank; reserve pool after controlled review</x:v>
      </x:c>
    </x:row>
    <x:row r="178">
      <x:c r="A178" s="88" t="str">
        <x:v>CTA-LCSW-MQB-0177</x:v>
      </x:c>
      <x:c r="B178" s="83" t="str">
        <x:v>LCSW-WB11-QB-Q007</x:v>
      </x:c>
      <x:c r="C178" s="83" t="str">
        <x:v>LCSW</x:v>
      </x:c>
      <x:c r="D178" s="83" t="str">
        <x:v>Workbook Question Bank</x:v>
      </x:c>
      <x:c r="E178" s="83" t="n">
        <x:v>11</x:v>
      </x:c>
      <x:c r="F178" s="83" t="str">
        <x:v>Practice Evaluation, Research, Supervision, and Administration</x:v>
      </x:c>
      <x:c r="G178" s="83"/>
      <x:c r="H178" s="83" t="n">
        <x:v>7</x:v>
      </x:c>
      <x:c r="I178" s="83" t="str">
        <x:v>Workbook Bank</x:v>
      </x:c>
      <x:c r="J178" s="83" t="str">
        <x:v>III. Intervention and Practice</x:v>
      </x:c>
      <x:c r="K178" s="83" t="str">
        <x:v>Sampling and digital-access bias</x:v>
      </x:c>
      <x:c r="L178" s="83" t="str"/>
      <x:c r="M178" s="83" t="str">
        <x:v>Moderate</x:v>
      </x:c>
      <x:c r="N178" s="83" t="str">
        <x:v>Moderate</x:v>
      </x:c>
      <x:c r="O178" s="83" t="str">
        <x:v>Application</x:v>
      </x:c>
      <x:c r="P178" s="83" t="str">
        <x:v>Application</x:v>
      </x:c>
      <x:c r="Q178" s="83" t="n">
        <x:v>4</x:v>
      </x:c>
      <x:c r="R178" s="83" t="str">
        <x:v>C</x:v>
      </x:c>
      <x:c r="S178" s="83" t="str">
        <x:v>Approved</x:v>
      </x:c>
      <x:c r="T178" s="83" t="str">
        <x:v>Active</x:v>
      </x:c>
      <x:c r="U178" s="83" t="n">
        <x:v>1</x:v>
      </x:c>
      <x:c r="V178" s="83" t="str"/>
      <x:c r="W178" s="83" t="str">
        <x:v>No additional flag</x:v>
      </x:c>
      <x:c r="X178" s="83" t="str">
        <x:v>No structural flag</x:v>
      </x:c>
      <x:c r="Y178" s="83" t="str">
        <x:v>Not Yet Reviewed</x:v>
      </x:c>
      <x:c r="Z178" s="83" t="str">
        <x:v>CTA LCSW Workbook 11</x:v>
      </x:c>
      <x:c r="AA178" s="83" t="str">
        <x:v>CTA_LCSW_WB11_17_Question_Bank_v1.0.docx</x:v>
      </x:c>
      <x:c r="AB178" s="83" t="str">
        <x:v>1.0</x:v>
      </x:c>
      <x:c r="AC178" s="102"/>
      <x:c r="AD178" s="102" t="n">
        <x:v>46228</x:v>
      </x:c>
      <x:c r="AE178" s="83" t="str"/>
      <x:c r="AF178" s="89" t="str">
        <x:v>Workbook bank; reserve pool after controlled review</x:v>
      </x:c>
    </x:row>
    <x:row r="179">
      <x:c r="A179" s="88" t="str">
        <x:v>CTA-LCSW-MQB-0178</x:v>
      </x:c>
      <x:c r="B179" s="83" t="str">
        <x:v>LCSW-WB11-QB-Q008</x:v>
      </x:c>
      <x:c r="C179" s="83" t="str">
        <x:v>LCSW</x:v>
      </x:c>
      <x:c r="D179" s="83" t="str">
        <x:v>Workbook Question Bank</x:v>
      </x:c>
      <x:c r="E179" s="83" t="n">
        <x:v>11</x:v>
      </x:c>
      <x:c r="F179" s="83" t="str">
        <x:v>Practice Evaluation, Research, Supervision, and Administration</x:v>
      </x:c>
      <x:c r="G179" s="83"/>
      <x:c r="H179" s="83" t="n">
        <x:v>8</x:v>
      </x:c>
      <x:c r="I179" s="83" t="str">
        <x:v>Workbook Bank</x:v>
      </x:c>
      <x:c r="J179" s="83" t="str">
        <x:v>III. Intervention and Practice</x:v>
      </x:c>
      <x:c r="K179" s="83" t="str">
        <x:v>Voluntariness in research recruitment</x:v>
      </x:c>
      <x:c r="L179" s="83" t="str"/>
      <x:c r="M179" s="83" t="str">
        <x:v>Moderate</x:v>
      </x:c>
      <x:c r="N179" s="83" t="str">
        <x:v>Moderate</x:v>
      </x:c>
      <x:c r="O179" s="83" t="str">
        <x:v>Scenario-Based</x:v>
      </x:c>
      <x:c r="P179" s="83" t="str">
        <x:v>Scenario-Based</x:v>
      </x:c>
      <x:c r="Q179" s="83" t="n">
        <x:v>4</x:v>
      </x:c>
      <x:c r="R179" s="83" t="str">
        <x:v>D</x:v>
      </x:c>
      <x:c r="S179" s="83" t="str">
        <x:v>Approved</x:v>
      </x:c>
      <x:c r="T179" s="83" t="str">
        <x:v>Active</x:v>
      </x:c>
      <x:c r="U179" s="83" t="n">
        <x:v>1</x:v>
      </x:c>
      <x:c r="V179" s="83" t="str"/>
      <x:c r="W179" s="83" t="str">
        <x:v>No additional flag</x:v>
      </x:c>
      <x:c r="X179" s="83" t="str">
        <x:v>No structural flag</x:v>
      </x:c>
      <x:c r="Y179" s="83" t="str">
        <x:v>Not Yet Reviewed</x:v>
      </x:c>
      <x:c r="Z179" s="83" t="str">
        <x:v>CTA LCSW Workbook 11</x:v>
      </x:c>
      <x:c r="AA179" s="83" t="str">
        <x:v>CTA_LCSW_WB11_17_Question_Bank_v1.0.docx</x:v>
      </x:c>
      <x:c r="AB179" s="83" t="str">
        <x:v>1.0</x:v>
      </x:c>
      <x:c r="AC179" s="102"/>
      <x:c r="AD179" s="102" t="n">
        <x:v>46228</x:v>
      </x:c>
      <x:c r="AE179" s="83" t="str"/>
      <x:c r="AF179" s="89" t="str">
        <x:v>Workbook bank; reserve pool after controlled review</x:v>
      </x:c>
    </x:row>
    <x:row r="180">
      <x:c r="A180" s="88" t="str">
        <x:v>CTA-LCSW-MQB-0179</x:v>
      </x:c>
      <x:c r="B180" s="83" t="str">
        <x:v>LCSW-WB11-QB-Q009</x:v>
      </x:c>
      <x:c r="C180" s="83" t="str">
        <x:v>LCSW</x:v>
      </x:c>
      <x:c r="D180" s="83" t="str">
        <x:v>Workbook Question Bank</x:v>
      </x:c>
      <x:c r="E180" s="83" t="n">
        <x:v>11</x:v>
      </x:c>
      <x:c r="F180" s="83" t="str">
        <x:v>Practice Evaluation, Research, Supervision, and Administration</x:v>
      </x:c>
      <x:c r="G180" s="83"/>
      <x:c r="H180" s="83" t="n">
        <x:v>9</x:v>
      </x:c>
      <x:c r="I180" s="83" t="str">
        <x:v>Workbook Bank</x:v>
      </x:c>
      <x:c r="J180" s="83" t="str">
        <x:v>III. Intervention and Practice</x:v>
      </x:c>
      <x:c r="K180" s="83" t="str">
        <x:v>Countertransference and supervision</x:v>
      </x:c>
      <x:c r="L180" s="83" t="str"/>
      <x:c r="M180" s="83" t="str">
        <x:v>Moderate</x:v>
      </x:c>
      <x:c r="N180" s="83" t="str">
        <x:v>Moderate</x:v>
      </x:c>
      <x:c r="O180" s="83" t="str">
        <x:v>Scenario-Based</x:v>
      </x:c>
      <x:c r="P180" s="83" t="str">
        <x:v>Scenario-Based</x:v>
      </x:c>
      <x:c r="Q180" s="83" t="n">
        <x:v>4</x:v>
      </x:c>
      <x:c r="R180" s="83" t="str">
        <x:v>A</x:v>
      </x:c>
      <x:c r="S180" s="83" t="str">
        <x:v>Approved</x:v>
      </x:c>
      <x:c r="T180" s="83" t="str">
        <x:v>Active</x:v>
      </x:c>
      <x:c r="U180" s="83" t="n">
        <x:v>1</x:v>
      </x:c>
      <x:c r="V180" s="83" t="str"/>
      <x:c r="W180" s="83" t="str">
        <x:v>No additional flag</x:v>
      </x:c>
      <x:c r="X180" s="83" t="str">
        <x:v>No structural flag</x:v>
      </x:c>
      <x:c r="Y180" s="83" t="str">
        <x:v>Not Yet Reviewed</x:v>
      </x:c>
      <x:c r="Z180" s="83" t="str">
        <x:v>CTA LCSW Workbook 11</x:v>
      </x:c>
      <x:c r="AA180" s="83" t="str">
        <x:v>CTA_LCSW_WB11_17_Question_Bank_v1.0.docx</x:v>
      </x:c>
      <x:c r="AB180" s="83" t="str">
        <x:v>1.0</x:v>
      </x:c>
      <x:c r="AC180" s="102"/>
      <x:c r="AD180" s="102" t="n">
        <x:v>46228</x:v>
      </x:c>
      <x:c r="AE180" s="83" t="str"/>
      <x:c r="AF180" s="89" t="str">
        <x:v>Workbook bank; reserve pool after controlled review</x:v>
      </x:c>
    </x:row>
    <x:row r="181">
      <x:c r="A181" s="88" t="str">
        <x:v>CTA-LCSW-MQB-0180</x:v>
      </x:c>
      <x:c r="B181" s="83" t="str">
        <x:v>LCSW-WB11-QB-Q010</x:v>
      </x:c>
      <x:c r="C181" s="83" t="str">
        <x:v>LCSW</x:v>
      </x:c>
      <x:c r="D181" s="83" t="str">
        <x:v>Workbook Question Bank</x:v>
      </x:c>
      <x:c r="E181" s="83" t="n">
        <x:v>11</x:v>
      </x:c>
      <x:c r="F181" s="83" t="str">
        <x:v>Practice Evaluation, Research, Supervision, and Administration</x:v>
      </x:c>
      <x:c r="G181" s="83"/>
      <x:c r="H181" s="83" t="n">
        <x:v>10</x:v>
      </x:c>
      <x:c r="I181" s="83" t="str">
        <x:v>Workbook Bank</x:v>
      </x:c>
      <x:c r="J181" s="83" t="str">
        <x:v>III. Intervention and Practice</x:v>
      </x:c>
      <x:c r="K181" s="83" t="str">
        <x:v>Supervisor competence and specialized practice</x:v>
      </x:c>
      <x:c r="L181" s="83" t="str"/>
      <x:c r="M181" s="83" t="str">
        <x:v>Moderate</x:v>
      </x:c>
      <x:c r="N181" s="83" t="str">
        <x:v>Moderate</x:v>
      </x:c>
      <x:c r="O181" s="83" t="str">
        <x:v>Application</x:v>
      </x:c>
      <x:c r="P181" s="83" t="str">
        <x:v>Application</x:v>
      </x:c>
      <x:c r="Q181" s="83" t="n">
        <x:v>4</x:v>
      </x:c>
      <x:c r="R181" s="83" t="str">
        <x:v>B</x:v>
      </x:c>
      <x:c r="S181" s="83" t="str">
        <x:v>Approved</x:v>
      </x:c>
      <x:c r="T181" s="83" t="str">
        <x:v>Active</x:v>
      </x:c>
      <x:c r="U181" s="83" t="n">
        <x:v>1</x:v>
      </x:c>
      <x:c r="V181" s="83" t="str"/>
      <x:c r="W181" s="83" t="str">
        <x:v>Review Candidate</x:v>
      </x:c>
      <x:c r="X181" s="83" t="str">
        <x:v>No structural flag</x:v>
      </x:c>
      <x:c r="Y181" s="83" t="str">
        <x:v>Not Yet Reviewed</x:v>
      </x:c>
      <x:c r="Z181" s="83" t="str">
        <x:v>CTA LCSW Workbook 11</x:v>
      </x:c>
      <x:c r="AA181" s="83" t="str">
        <x:v>CTA_LCSW_WB11_17_Question_Bank_v1.0.docx</x:v>
      </x:c>
      <x:c r="AB181" s="83" t="str">
        <x:v>1.0</x:v>
      </x:c>
      <x:c r="AC181" s="102"/>
      <x:c r="AD181" s="102" t="n">
        <x:v>46228</x:v>
      </x:c>
      <x:c r="AE181" s="83" t="str"/>
      <x:c r="AF181" s="89" t="str">
        <x:v>Workbook bank; reserve pool after controlled review</x:v>
      </x:c>
    </x:row>
    <x:row r="182">
      <x:c r="A182" s="88" t="str">
        <x:v>CTA-LCSW-MQB-0181</x:v>
      </x:c>
      <x:c r="B182" s="83" t="str">
        <x:v>LCSW-WB11-QB-Q011</x:v>
      </x:c>
      <x:c r="C182" s="83" t="str">
        <x:v>LCSW</x:v>
      </x:c>
      <x:c r="D182" s="83" t="str">
        <x:v>Workbook Question Bank</x:v>
      </x:c>
      <x:c r="E182" s="83" t="n">
        <x:v>11</x:v>
      </x:c>
      <x:c r="F182" s="83" t="str">
        <x:v>Practice Evaluation, Research, Supervision, and Administration</x:v>
      </x:c>
      <x:c r="G182" s="83"/>
      <x:c r="H182" s="83" t="n">
        <x:v>11</x:v>
      </x:c>
      <x:c r="I182" s="83" t="str">
        <x:v>Workbook Bank</x:v>
      </x:c>
      <x:c r="J182" s="83" t="str">
        <x:v>III. Intervention and Practice</x:v>
      </x:c>
      <x:c r="K182" s="83" t="str">
        <x:v>Quality assurance and systems analysis</x:v>
      </x:c>
      <x:c r="L182" s="83" t="str"/>
      <x:c r="M182" s="83" t="str">
        <x:v>Moderate</x:v>
      </x:c>
      <x:c r="N182" s="83" t="str">
        <x:v>Moderate</x:v>
      </x:c>
      <x:c r="O182" s="83" t="str">
        <x:v>Scenario-Based</x:v>
      </x:c>
      <x:c r="P182" s="83" t="str">
        <x:v>Scenario-Based</x:v>
      </x:c>
      <x:c r="Q182" s="83" t="n">
        <x:v>4</x:v>
      </x:c>
      <x:c r="R182" s="83" t="str">
        <x:v>C</x:v>
      </x:c>
      <x:c r="S182" s="83" t="str">
        <x:v>Approved</x:v>
      </x:c>
      <x:c r="T182" s="83" t="str">
        <x:v>Active</x:v>
      </x:c>
      <x:c r="U182" s="83" t="n">
        <x:v>1</x:v>
      </x:c>
      <x:c r="V182" s="83" t="str"/>
      <x:c r="W182" s="83" t="str">
        <x:v>No additional flag</x:v>
      </x:c>
      <x:c r="X182" s="83" t="str">
        <x:v>No structural flag</x:v>
      </x:c>
      <x:c r="Y182" s="83" t="str">
        <x:v>Not Yet Reviewed</x:v>
      </x:c>
      <x:c r="Z182" s="83" t="str">
        <x:v>CTA LCSW Workbook 11</x:v>
      </x:c>
      <x:c r="AA182" s="83" t="str">
        <x:v>CTA_LCSW_WB11_17_Question_Bank_v1.0.docx</x:v>
      </x:c>
      <x:c r="AB182" s="83" t="str">
        <x:v>1.0</x:v>
      </x:c>
      <x:c r="AC182" s="102"/>
      <x:c r="AD182" s="102" t="n">
        <x:v>46228</x:v>
      </x:c>
      <x:c r="AE182" s="83" t="str"/>
      <x:c r="AF182" s="89" t="str">
        <x:v>Workbook bank; reserve pool after controlled review</x:v>
      </x:c>
    </x:row>
    <x:row r="183">
      <x:c r="A183" s="88" t="str">
        <x:v>CTA-LCSW-MQB-0182</x:v>
      </x:c>
      <x:c r="B183" s="83" t="str">
        <x:v>LCSW-WB11-QB-Q012</x:v>
      </x:c>
      <x:c r="C183" s="83" t="str">
        <x:v>LCSW</x:v>
      </x:c>
      <x:c r="D183" s="83" t="str">
        <x:v>Workbook Question Bank</x:v>
      </x:c>
      <x:c r="E183" s="83" t="n">
        <x:v>11</x:v>
      </x:c>
      <x:c r="F183" s="83" t="str">
        <x:v>Practice Evaluation, Research, Supervision, and Administration</x:v>
      </x:c>
      <x:c r="G183" s="83"/>
      <x:c r="H183" s="83" t="n">
        <x:v>12</x:v>
      </x:c>
      <x:c r="I183" s="83" t="str">
        <x:v>Workbook Bank</x:v>
      </x:c>
      <x:c r="J183" s="83" t="str">
        <x:v>III. Intervention and Practice</x:v>
      </x:c>
      <x:c r="K183" s="83" t="str">
        <x:v>Participatory implementation of policy</x:v>
      </x:c>
      <x:c r="L183" s="83" t="str"/>
      <x:c r="M183" s="83" t="str">
        <x:v>Moderate</x:v>
      </x:c>
      <x:c r="N183" s="83" t="str">
        <x:v>Moderate</x:v>
      </x:c>
      <x:c r="O183" s="83" t="str">
        <x:v>Scenario-Based</x:v>
      </x:c>
      <x:c r="P183" s="83" t="str">
        <x:v>Scenario-Based</x:v>
      </x:c>
      <x:c r="Q183" s="83" t="n">
        <x:v>4</x:v>
      </x:c>
      <x:c r="R183" s="83" t="str">
        <x:v>D</x:v>
      </x:c>
      <x:c r="S183" s="83" t="str">
        <x:v>Approved</x:v>
      </x:c>
      <x:c r="T183" s="83" t="str">
        <x:v>Active</x:v>
      </x:c>
      <x:c r="U183" s="83" t="n">
        <x:v>1</x:v>
      </x:c>
      <x:c r="V183" s="83" t="str"/>
      <x:c r="W183" s="83" t="str">
        <x:v>No additional flag</x:v>
      </x:c>
      <x:c r="X183" s="83" t="str">
        <x:v>No structural flag</x:v>
      </x:c>
      <x:c r="Y183" s="83" t="str">
        <x:v>Not Yet Reviewed</x:v>
      </x:c>
      <x:c r="Z183" s="83" t="str">
        <x:v>CTA LCSW Workbook 11</x:v>
      </x:c>
      <x:c r="AA183" s="83" t="str">
        <x:v>CTA_LCSW_WB11_17_Question_Bank_v1.0.docx</x:v>
      </x:c>
      <x:c r="AB183" s="83" t="str">
        <x:v>1.0</x:v>
      </x:c>
      <x:c r="AC183" s="102"/>
      <x:c r="AD183" s="102" t="n">
        <x:v>46228</x:v>
      </x:c>
      <x:c r="AE183" s="83" t="str"/>
      <x:c r="AF183" s="89" t="str">
        <x:v>Workbook bank; reserve pool after controlled review</x:v>
      </x:c>
    </x:row>
    <x:row r="184">
      <x:c r="A184" s="88" t="str">
        <x:v>CTA-LCSW-MQB-0183</x:v>
      </x:c>
      <x:c r="B184" s="83" t="str">
        <x:v>LCSW-WB11-QB-Q013</x:v>
      </x:c>
      <x:c r="C184" s="83" t="str">
        <x:v>LCSW</x:v>
      </x:c>
      <x:c r="D184" s="83" t="str">
        <x:v>Workbook Question Bank</x:v>
      </x:c>
      <x:c r="E184" s="83" t="n">
        <x:v>11</x:v>
      </x:c>
      <x:c r="F184" s="83" t="str">
        <x:v>Practice Evaluation, Research, Supervision, and Administration</x:v>
      </x:c>
      <x:c r="G184" s="83"/>
      <x:c r="H184" s="83" t="n">
        <x:v>13</x:v>
      </x:c>
      <x:c r="I184" s="83" t="str">
        <x:v>Workbook Bank</x:v>
      </x:c>
      <x:c r="J184" s="83" t="str">
        <x:v>III. Intervention and Practice</x:v>
      </x:c>
      <x:c r="K184" s="83" t="str">
        <x:v>Measurement validity across language groups</x:v>
      </x:c>
      <x:c r="L184" s="83" t="str"/>
      <x:c r="M184" s="83" t="str">
        <x:v>Difficult</x:v>
      </x:c>
      <x:c r="N184" s="83" t="str">
        <x:v>Difficult</x:v>
      </x:c>
      <x:c r="O184" s="83" t="str">
        <x:v>Integrated Clinical Reasoning</x:v>
      </x:c>
      <x:c r="P184" s="83" t="str">
        <x:v>Integrated Clinical Reasoning</x:v>
      </x:c>
      <x:c r="Q184" s="83" t="n">
        <x:v>4</x:v>
      </x:c>
      <x:c r="R184" s="83" t="str">
        <x:v>A</x:v>
      </x:c>
      <x:c r="S184" s="83" t="str">
        <x:v>Approved</x:v>
      </x:c>
      <x:c r="T184" s="83" t="str">
        <x:v>Active</x:v>
      </x:c>
      <x:c r="U184" s="83" t="n">
        <x:v>1</x:v>
      </x:c>
      <x:c r="V184" s="83" t="str"/>
      <x:c r="W184" s="83" t="str">
        <x:v>No additional flag</x:v>
      </x:c>
      <x:c r="X184" s="83" t="str">
        <x:v>No structural flag</x:v>
      </x:c>
      <x:c r="Y184" s="83" t="str">
        <x:v>Not Yet Reviewed</x:v>
      </x:c>
      <x:c r="Z184" s="83" t="str">
        <x:v>CTA LCSW Workbook 11</x:v>
      </x:c>
      <x:c r="AA184" s="83" t="str">
        <x:v>CTA_LCSW_WB11_17_Question_Bank_v1.0.docx</x:v>
      </x:c>
      <x:c r="AB184" s="83" t="str">
        <x:v>1.0</x:v>
      </x:c>
      <x:c r="AC184" s="102"/>
      <x:c r="AD184" s="102" t="n">
        <x:v>46228</x:v>
      </x:c>
      <x:c r="AE184" s="83" t="str"/>
      <x:c r="AF184" s="89" t="str">
        <x:v>Workbook bank; reserve pool after controlled review</x:v>
      </x:c>
    </x:row>
    <x:row r="185">
      <x:c r="A185" s="88" t="str">
        <x:v>CTA-LCSW-MQB-0184</x:v>
      </x:c>
      <x:c r="B185" s="83" t="str">
        <x:v>LCSW-WB11-QB-Q014</x:v>
      </x:c>
      <x:c r="C185" s="83" t="str">
        <x:v>LCSW</x:v>
      </x:c>
      <x:c r="D185" s="83" t="str">
        <x:v>Workbook Question Bank</x:v>
      </x:c>
      <x:c r="E185" s="83" t="n">
        <x:v>11</x:v>
      </x:c>
      <x:c r="F185" s="83" t="str">
        <x:v>Practice Evaluation, Research, Supervision, and Administration</x:v>
      </x:c>
      <x:c r="G185" s="83"/>
      <x:c r="H185" s="83" t="n">
        <x:v>14</x:v>
      </x:c>
      <x:c r="I185" s="83" t="str">
        <x:v>Workbook Bank</x:v>
      </x:c>
      <x:c r="J185" s="83" t="str">
        <x:v>III. Intervention and Practice</x:v>
      </x:c>
      <x:c r="K185" s="83" t="str">
        <x:v>Self-selection and causal claims</x:v>
      </x:c>
      <x:c r="L185" s="83" t="str"/>
      <x:c r="M185" s="83" t="str">
        <x:v>Difficult</x:v>
      </x:c>
      <x:c r="N185" s="83" t="str">
        <x:v>Difficult</x:v>
      </x:c>
      <x:c r="O185" s="83" t="str">
        <x:v>Integrated Clinical Reasoning</x:v>
      </x:c>
      <x:c r="P185" s="83" t="str">
        <x:v>Integrated Clinical Reasoning</x:v>
      </x:c>
      <x:c r="Q185" s="83" t="n">
        <x:v>4</x:v>
      </x:c>
      <x:c r="R185" s="83" t="str">
        <x:v>B</x:v>
      </x:c>
      <x:c r="S185" s="83" t="str">
        <x:v>Approved</x:v>
      </x:c>
      <x:c r="T185" s="83" t="str">
        <x:v>Active</x:v>
      </x:c>
      <x:c r="U185" s="83" t="n">
        <x:v>1</x:v>
      </x:c>
      <x:c r="V185" s="83" t="str"/>
      <x:c r="W185" s="83" t="str">
        <x:v>No additional flag</x:v>
      </x:c>
      <x:c r="X185" s="83" t="str">
        <x:v>No structural flag</x:v>
      </x:c>
      <x:c r="Y185" s="83" t="str">
        <x:v>Not Yet Reviewed</x:v>
      </x:c>
      <x:c r="Z185" s="83" t="str">
        <x:v>CTA LCSW Workbook 11</x:v>
      </x:c>
      <x:c r="AA185" s="83" t="str">
        <x:v>CTA_LCSW_WB11_17_Question_Bank_v1.0.docx</x:v>
      </x:c>
      <x:c r="AB185" s="83" t="str">
        <x:v>1.0</x:v>
      </x:c>
      <x:c r="AC185" s="102"/>
      <x:c r="AD185" s="102" t="n">
        <x:v>46228</x:v>
      </x:c>
      <x:c r="AE185" s="83" t="str"/>
      <x:c r="AF185" s="89" t="str">
        <x:v>Workbook bank; reserve pool after controlled review</x:v>
      </x:c>
    </x:row>
    <x:row r="186">
      <x:c r="A186" s="88" t="str">
        <x:v>CTA-LCSW-MQB-0185</x:v>
      </x:c>
      <x:c r="B186" s="83" t="str">
        <x:v>LCSW-WB11-QB-Q015</x:v>
      </x:c>
      <x:c r="C186" s="83" t="str">
        <x:v>LCSW</x:v>
      </x:c>
      <x:c r="D186" s="83" t="str">
        <x:v>Workbook Question Bank</x:v>
      </x:c>
      <x:c r="E186" s="83" t="n">
        <x:v>11</x:v>
      </x:c>
      <x:c r="F186" s="83" t="str">
        <x:v>Practice Evaluation, Research, Supervision, and Administration</x:v>
      </x:c>
      <x:c r="G186" s="83"/>
      <x:c r="H186" s="83" t="n">
        <x:v>15</x:v>
      </x:c>
      <x:c r="I186" s="83" t="str">
        <x:v>Workbook Bank</x:v>
      </x:c>
      <x:c r="J186" s="83" t="str">
        <x:v>III. Intervention and Practice</x:v>
      </x:c>
      <x:c r="K186" s="83" t="str">
        <x:v>Ethical retrospective record review</x:v>
      </x:c>
      <x:c r="L186" s="83" t="str"/>
      <x:c r="M186" s="83" t="str">
        <x:v>Difficult</x:v>
      </x:c>
      <x:c r="N186" s="83" t="str">
        <x:v>Difficult</x:v>
      </x:c>
      <x:c r="O186" s="83" t="str">
        <x:v>Integrated Clinical Reasoning</x:v>
      </x:c>
      <x:c r="P186" s="83" t="str">
        <x:v>Integrated Clinical Reasoning</x:v>
      </x:c>
      <x:c r="Q186" s="83" t="n">
        <x:v>4</x:v>
      </x:c>
      <x:c r="R186" s="83" t="str">
        <x:v>C</x:v>
      </x:c>
      <x:c r="S186" s="83" t="str">
        <x:v>Approved</x:v>
      </x:c>
      <x:c r="T186" s="83" t="str">
        <x:v>Active</x:v>
      </x:c>
      <x:c r="U186" s="83" t="n">
        <x:v>1</x:v>
      </x:c>
      <x:c r="V186" s="83" t="str"/>
      <x:c r="W186" s="83" t="str">
        <x:v>No additional flag</x:v>
      </x:c>
      <x:c r="X186" s="83" t="str">
        <x:v>No structural flag</x:v>
      </x:c>
      <x:c r="Y186" s="83" t="str">
        <x:v>Not Yet Reviewed</x:v>
      </x:c>
      <x:c r="Z186" s="83" t="str">
        <x:v>CTA LCSW Workbook 11</x:v>
      </x:c>
      <x:c r="AA186" s="83" t="str">
        <x:v>CTA_LCSW_WB11_17_Question_Bank_v1.0.docx</x:v>
      </x:c>
      <x:c r="AB186" s="83" t="str">
        <x:v>1.0</x:v>
      </x:c>
      <x:c r="AC186" s="102"/>
      <x:c r="AD186" s="102" t="n">
        <x:v>46228</x:v>
      </x:c>
      <x:c r="AE186" s="83" t="str"/>
      <x:c r="AF186" s="89" t="str">
        <x:v>Workbook bank; reserve pool after controlled review</x:v>
      </x:c>
    </x:row>
    <x:row r="187">
      <x:c r="A187" s="88" t="str">
        <x:v>CTA-LCSW-MQB-0186</x:v>
      </x:c>
      <x:c r="B187" s="83" t="str">
        <x:v>LCSW-WB11-QB-Q016</x:v>
      </x:c>
      <x:c r="C187" s="83" t="str">
        <x:v>LCSW</x:v>
      </x:c>
      <x:c r="D187" s="83" t="str">
        <x:v>Workbook Question Bank</x:v>
      </x:c>
      <x:c r="E187" s="83" t="n">
        <x:v>11</x:v>
      </x:c>
      <x:c r="F187" s="83" t="str">
        <x:v>Practice Evaluation, Research, Supervision, and Administration</x:v>
      </x:c>
      <x:c r="G187" s="83"/>
      <x:c r="H187" s="83" t="n">
        <x:v>16</x:v>
      </x:c>
      <x:c r="I187" s="83" t="str">
        <x:v>Workbook Bank</x:v>
      </x:c>
      <x:c r="J187" s="83" t="str">
        <x:v>III. Intervention and Practice</x:v>
      </x:c>
      <x:c r="K187" s="83" t="str">
        <x:v>Urgent risk in supervision</x:v>
      </x:c>
      <x:c r="L187" s="83" t="str"/>
      <x:c r="M187" s="83" t="str">
        <x:v>Difficult</x:v>
      </x:c>
      <x:c r="N187" s="83" t="str">
        <x:v>Difficult</x:v>
      </x:c>
      <x:c r="O187" s="83" t="str">
        <x:v>Integrated Clinical Reasoning</x:v>
      </x:c>
      <x:c r="P187" s="83" t="str">
        <x:v>Integrated Clinical Reasoning</x:v>
      </x:c>
      <x:c r="Q187" s="83" t="n">
        <x:v>4</x:v>
      </x:c>
      <x:c r="R187" s="83" t="str">
        <x:v>D</x:v>
      </x:c>
      <x:c r="S187" s="83" t="str">
        <x:v>Approved</x:v>
      </x:c>
      <x:c r="T187" s="83" t="str">
        <x:v>Active</x:v>
      </x:c>
      <x:c r="U187" s="83" t="n">
        <x:v>1</x:v>
      </x:c>
      <x:c r="V187" s="83" t="str"/>
      <x:c r="W187" s="83" t="str">
        <x:v>Review Candidate</x:v>
      </x:c>
      <x:c r="X187" s="83" t="str">
        <x:v>No structural flag</x:v>
      </x:c>
      <x:c r="Y187" s="83" t="str">
        <x:v>Not Yet Reviewed</x:v>
      </x:c>
      <x:c r="Z187" s="83" t="str">
        <x:v>CTA LCSW Workbook 11</x:v>
      </x:c>
      <x:c r="AA187" s="83" t="str">
        <x:v>CTA_LCSW_WB11_17_Question_Bank_v1.0.docx</x:v>
      </x:c>
      <x:c r="AB187" s="83" t="str">
        <x:v>1.0</x:v>
      </x:c>
      <x:c r="AC187" s="102"/>
      <x:c r="AD187" s="102" t="n">
        <x:v>46228</x:v>
      </x:c>
      <x:c r="AE187" s="83" t="str"/>
      <x:c r="AF187" s="89" t="str">
        <x:v>Workbook bank; reserve pool after controlled review</x:v>
      </x:c>
    </x:row>
    <x:row r="188">
      <x:c r="A188" s="88" t="str">
        <x:v>CTA-LCSW-MQB-0187</x:v>
      </x:c>
      <x:c r="B188" s="83" t="str">
        <x:v>LCSW-WB11-QB-Q017</x:v>
      </x:c>
      <x:c r="C188" s="83" t="str">
        <x:v>LCSW</x:v>
      </x:c>
      <x:c r="D188" s="83" t="str">
        <x:v>Workbook Question Bank</x:v>
      </x:c>
      <x:c r="E188" s="83" t="n">
        <x:v>11</x:v>
      </x:c>
      <x:c r="F188" s="83" t="str">
        <x:v>Practice Evaluation, Research, Supervision, and Administration</x:v>
      </x:c>
      <x:c r="G188" s="83"/>
      <x:c r="H188" s="83" t="n">
        <x:v>17</x:v>
      </x:c>
      <x:c r="I188" s="83" t="str">
        <x:v>Workbook Bank</x:v>
      </x:c>
      <x:c r="J188" s="83" t="str">
        <x:v>III. Intervention and Practice</x:v>
      </x:c>
      <x:c r="K188" s="83" t="str">
        <x:v>Equity-focused organizational improvement</x:v>
      </x:c>
      <x:c r="L188" s="83" t="str"/>
      <x:c r="M188" s="83" t="str">
        <x:v>Difficult</x:v>
      </x:c>
      <x:c r="N188" s="83" t="str">
        <x:v>Difficult</x:v>
      </x:c>
      <x:c r="O188" s="83" t="str">
        <x:v>Integrated Clinical Reasoning</x:v>
      </x:c>
      <x:c r="P188" s="83" t="str">
        <x:v>Integrated Clinical Reasoning</x:v>
      </x:c>
      <x:c r="Q188" s="83" t="n">
        <x:v>4</x:v>
      </x:c>
      <x:c r="R188" s="83" t="str">
        <x:v>A</x:v>
      </x:c>
      <x:c r="S188" s="83" t="str">
        <x:v>Approved</x:v>
      </x:c>
      <x:c r="T188" s="83" t="str">
        <x:v>Active</x:v>
      </x:c>
      <x:c r="U188" s="83" t="n">
        <x:v>1</x:v>
      </x:c>
      <x:c r="V188" s="83" t="str"/>
      <x:c r="W188" s="83" t="str">
        <x:v>No additional flag</x:v>
      </x:c>
      <x:c r="X188" s="83" t="str">
        <x:v>No structural flag</x:v>
      </x:c>
      <x:c r="Y188" s="83" t="str">
        <x:v>Not Yet Reviewed</x:v>
      </x:c>
      <x:c r="Z188" s="83" t="str">
        <x:v>CTA LCSW Workbook 11</x:v>
      </x:c>
      <x:c r="AA188" s="83" t="str">
        <x:v>CTA_LCSW_WB11_17_Question_Bank_v1.0.docx</x:v>
      </x:c>
      <x:c r="AB188" s="83" t="str">
        <x:v>1.0</x:v>
      </x:c>
      <x:c r="AC188" s="102"/>
      <x:c r="AD188" s="102" t="n">
        <x:v>46228</x:v>
      </x:c>
      <x:c r="AE188" s="83" t="str"/>
      <x:c r="AF188" s="89" t="str">
        <x:v>Workbook bank; reserve pool after controlled review</x:v>
      </x:c>
    </x:row>
    <x:row r="189">
      <x:c r="A189" s="88" t="str">
        <x:v>CTA-LCSW-MQB-0188</x:v>
      </x:c>
      <x:c r="B189" s="83" t="str">
        <x:v>LCSW-WB12-QB-Q001</x:v>
      </x:c>
      <x:c r="C189" s="83" t="str">
        <x:v>LCSW</x:v>
      </x:c>
      <x:c r="D189" s="83" t="str">
        <x:v>Workbook Question Bank</x:v>
      </x:c>
      <x:c r="E189" s="83" t="n">
        <x:v>12</x:v>
      </x:c>
      <x:c r="F189" s="83" t="str">
        <x:v>Integrated Review and Mini-Mock Reasoning</x:v>
      </x:c>
      <x:c r="G189" s="83"/>
      <x:c r="H189" s="83" t="n">
        <x:v>1</x:v>
      </x:c>
      <x:c r="I189" s="83" t="str">
        <x:v>Workbook Bank</x:v>
      </x:c>
      <x:c r="J189" s="83" t="str">
        <x:v>Integrated Review / Cross-Domain</x:v>
      </x:c>
      <x:c r="K189" s="83" t="str">
        <x:v>CLINIC integrated reasoning sequence</x:v>
      </x:c>
      <x:c r="L189" s="83" t="str"/>
      <x:c r="M189" s="83" t="str">
        <x:v>Easy</x:v>
      </x:c>
      <x:c r="N189" s="83" t="str">
        <x:v>Easy</x:v>
      </x:c>
      <x:c r="O189" s="83" t="str">
        <x:v>Knowledge &amp; Recall</x:v>
      </x:c>
      <x:c r="P189" s="83" t="str">
        <x:v>Knowledge &amp; Recall</x:v>
      </x:c>
      <x:c r="Q189" s="83" t="n">
        <x:v>4</x:v>
      </x:c>
      <x:c r="R189" s="83" t="str">
        <x:v>A</x:v>
      </x:c>
      <x:c r="S189" s="83" t="str">
        <x:v>Approved</x:v>
      </x:c>
      <x:c r="T189" s="83" t="str">
        <x:v>Active</x:v>
      </x:c>
      <x:c r="U189" s="83" t="n">
        <x:v>1</x:v>
      </x:c>
      <x:c r="V189" s="83" t="str"/>
      <x:c r="W189" s="83" t="str">
        <x:v>No additional flag</x:v>
      </x:c>
      <x:c r="X189" s="83" t="str">
        <x:v>No structural flag</x:v>
      </x:c>
      <x:c r="Y189" s="83" t="str">
        <x:v>Not Yet Reviewed</x:v>
      </x:c>
      <x:c r="Z189" s="83" t="str">
        <x:v>CTA LCSW Workbook 12</x:v>
      </x:c>
      <x:c r="AA189" s="83" t="str">
        <x:v>CTA_LCSW_WB12_17_Question_Bank_v1.0.docx</x:v>
      </x:c>
      <x:c r="AB189" s="83" t="str">
        <x:v>1.0</x:v>
      </x:c>
      <x:c r="AC189" s="102"/>
      <x:c r="AD189" s="102" t="n">
        <x:v>46228</x:v>
      </x:c>
      <x:c r="AE189" s="83" t="str">
        <x:v>Integrated-review item; retained in a cross-domain category rather than forced into one official content area.</x:v>
      </x:c>
      <x:c r="AF189" s="89" t="str">
        <x:v>Workbook bank; reserve pool after controlled review</x:v>
      </x:c>
    </x:row>
    <x:row r="190">
      <x:c r="A190" s="88" t="str">
        <x:v>CTA-LCSW-MQB-0189</x:v>
      </x:c>
      <x:c r="B190" s="83" t="str">
        <x:v>LCSW-WB12-QB-Q002</x:v>
      </x:c>
      <x:c r="C190" s="83" t="str">
        <x:v>LCSW</x:v>
      </x:c>
      <x:c r="D190" s="83" t="str">
        <x:v>Workbook Question Bank</x:v>
      </x:c>
      <x:c r="E190" s="83" t="n">
        <x:v>12</x:v>
      </x:c>
      <x:c r="F190" s="83" t="str">
        <x:v>Integrated Review and Mini-Mock Reasoning</x:v>
      </x:c>
      <x:c r="G190" s="83"/>
      <x:c r="H190" s="83" t="n">
        <x:v>2</x:v>
      </x:c>
      <x:c r="I190" s="83" t="str">
        <x:v>Workbook Bank</x:v>
      </x:c>
      <x:c r="J190" s="83" t="str">
        <x:v>Integrated Review / Cross-Domain</x:v>
      </x:c>
      <x:c r="K190" s="83" t="str">
        <x:v>Decision words and sequencing</x:v>
      </x:c>
      <x:c r="L190" s="83" t="str"/>
      <x:c r="M190" s="83" t="str">
        <x:v>Easy</x:v>
      </x:c>
      <x:c r="N190" s="83" t="str">
        <x:v>Easy</x:v>
      </x:c>
      <x:c r="O190" s="83" t="str">
        <x:v>Knowledge &amp; Recall</x:v>
      </x:c>
      <x:c r="P190" s="83" t="str">
        <x:v>Knowledge &amp; Recall</x:v>
      </x:c>
      <x:c r="Q190" s="83" t="n">
        <x:v>4</x:v>
      </x:c>
      <x:c r="R190" s="83" t="str">
        <x:v>B</x:v>
      </x:c>
      <x:c r="S190" s="83" t="str">
        <x:v>Approved</x:v>
      </x:c>
      <x:c r="T190" s="83" t="str">
        <x:v>Active</x:v>
      </x:c>
      <x:c r="U190" s="83" t="n">
        <x:v>1</x:v>
      </x:c>
      <x:c r="V190" s="83" t="str"/>
      <x:c r="W190" s="83" t="str">
        <x:v>No additional flag</x:v>
      </x:c>
      <x:c r="X190" s="83" t="str">
        <x:v>No structural flag</x:v>
      </x:c>
      <x:c r="Y190" s="83" t="str">
        <x:v>Not Yet Reviewed</x:v>
      </x:c>
      <x:c r="Z190" s="83" t="str">
        <x:v>CTA LCSW Workbook 12</x:v>
      </x:c>
      <x:c r="AA190" s="83" t="str">
        <x:v>CTA_LCSW_WB12_17_Question_Bank_v1.0.docx</x:v>
      </x:c>
      <x:c r="AB190" s="83" t="str">
        <x:v>1.0</x:v>
      </x:c>
      <x:c r="AC190" s="102"/>
      <x:c r="AD190" s="102" t="n">
        <x:v>46228</x:v>
      </x:c>
      <x:c r="AE190" s="83" t="str">
        <x:v>Integrated-review item; retained in a cross-domain category rather than forced into one official content area.</x:v>
      </x:c>
      <x:c r="AF190" s="89" t="str">
        <x:v>Workbook bank; reserve pool after controlled review</x:v>
      </x:c>
    </x:row>
    <x:row r="191">
      <x:c r="A191" s="88" t="str">
        <x:v>CTA-LCSW-MQB-0190</x:v>
      </x:c>
      <x:c r="B191" s="83" t="str">
        <x:v>LCSW-WB12-QB-Q003</x:v>
      </x:c>
      <x:c r="C191" s="83" t="str">
        <x:v>LCSW</x:v>
      </x:c>
      <x:c r="D191" s="83" t="str">
        <x:v>Workbook Question Bank</x:v>
      </x:c>
      <x:c r="E191" s="83" t="n">
        <x:v>12</x:v>
      </x:c>
      <x:c r="F191" s="83" t="str">
        <x:v>Integrated Review and Mini-Mock Reasoning</x:v>
      </x:c>
      <x:c r="G191" s="83"/>
      <x:c r="H191" s="83" t="n">
        <x:v>3</x:v>
      </x:c>
      <x:c r="I191" s="83" t="str">
        <x:v>Workbook Bank</x:v>
      </x:c>
      <x:c r="J191" s="83" t="str">
        <x:v>Integrated Review / Cross-Domain</x:v>
      </x:c>
      <x:c r="K191" s="83" t="str">
        <x:v>Self-determination and informed choice</x:v>
      </x:c>
      <x:c r="L191" s="83" t="str"/>
      <x:c r="M191" s="83" t="str">
        <x:v>Easy</x:v>
      </x:c>
      <x:c r="N191" s="83" t="str">
        <x:v>Easy</x:v>
      </x:c>
      <x:c r="O191" s="83" t="str">
        <x:v>Application</x:v>
      </x:c>
      <x:c r="P191" s="83" t="str">
        <x:v>Application</x:v>
      </x:c>
      <x:c r="Q191" s="83" t="n">
        <x:v>4</x:v>
      </x:c>
      <x:c r="R191" s="83" t="str">
        <x:v>C</x:v>
      </x:c>
      <x:c r="S191" s="83" t="str">
        <x:v>Approved</x:v>
      </x:c>
      <x:c r="T191" s="83" t="str">
        <x:v>Active</x:v>
      </x:c>
      <x:c r="U191" s="83" t="n">
        <x:v>1</x:v>
      </x:c>
      <x:c r="V191" s="83" t="str"/>
      <x:c r="W191" s="83" t="str">
        <x:v>No additional flag</x:v>
      </x:c>
      <x:c r="X191" s="83" t="str">
        <x:v>No structural flag</x:v>
      </x:c>
      <x:c r="Y191" s="83" t="str">
        <x:v>Not Yet Reviewed</x:v>
      </x:c>
      <x:c r="Z191" s="83" t="str">
        <x:v>CTA LCSW Workbook 12</x:v>
      </x:c>
      <x:c r="AA191" s="83" t="str">
        <x:v>CTA_LCSW_WB12_17_Question_Bank_v1.0.docx</x:v>
      </x:c>
      <x:c r="AB191" s="83" t="str">
        <x:v>1.0</x:v>
      </x:c>
      <x:c r="AC191" s="102"/>
      <x:c r="AD191" s="102" t="n">
        <x:v>46228</x:v>
      </x:c>
      <x:c r="AE191" s="83" t="str">
        <x:v>Integrated-review item; retained in a cross-domain category rather than forced into one official content area.</x:v>
      </x:c>
      <x:c r="AF191" s="89" t="str">
        <x:v>Workbook bank; reserve pool after controlled review</x:v>
      </x:c>
    </x:row>
    <x:row r="192">
      <x:c r="A192" s="88" t="str">
        <x:v>CTA-LCSW-MQB-0191</x:v>
      </x:c>
      <x:c r="B192" s="83" t="str">
        <x:v>LCSW-WB12-QB-Q004</x:v>
      </x:c>
      <x:c r="C192" s="83" t="str">
        <x:v>LCSW</x:v>
      </x:c>
      <x:c r="D192" s="83" t="str">
        <x:v>Workbook Question Bank</x:v>
      </x:c>
      <x:c r="E192" s="83" t="n">
        <x:v>12</x:v>
      </x:c>
      <x:c r="F192" s="83" t="str">
        <x:v>Integrated Review and Mini-Mock Reasoning</x:v>
      </x:c>
      <x:c r="G192" s="83"/>
      <x:c r="H192" s="83" t="n">
        <x:v>4</x:v>
      </x:c>
      <x:c r="I192" s="83" t="str">
        <x:v>Workbook Bank</x:v>
      </x:c>
      <x:c r="J192" s="83" t="str">
        <x:v>Integrated Review / Cross-Domain</x:v>
      </x:c>
      <x:c r="K192" s="83" t="str">
        <x:v>Person-in-environment formulation</x:v>
      </x:c>
      <x:c r="L192" s="83" t="str"/>
      <x:c r="M192" s="83" t="str">
        <x:v>Easy</x:v>
      </x:c>
      <x:c r="N192" s="83" t="str">
        <x:v>Easy</x:v>
      </x:c>
      <x:c r="O192" s="83" t="str">
        <x:v>Knowledge &amp; Recall</x:v>
      </x:c>
      <x:c r="P192" s="83" t="str">
        <x:v>Knowledge &amp; Recall</x:v>
      </x:c>
      <x:c r="Q192" s="83" t="n">
        <x:v>4</x:v>
      </x:c>
      <x:c r="R192" s="83" t="str">
        <x:v>D</x:v>
      </x:c>
      <x:c r="S192" s="83" t="str">
        <x:v>Approved</x:v>
      </x:c>
      <x:c r="T192" s="83" t="str">
        <x:v>Active</x:v>
      </x:c>
      <x:c r="U192" s="83" t="n">
        <x:v>1</x:v>
      </x:c>
      <x:c r="V192" s="83" t="str"/>
      <x:c r="W192" s="83" t="str">
        <x:v>No additional flag</x:v>
      </x:c>
      <x:c r="X192" s="83" t="str">
        <x:v>No structural flag</x:v>
      </x:c>
      <x:c r="Y192" s="83" t="str">
        <x:v>Not Yet Reviewed</x:v>
      </x:c>
      <x:c r="Z192" s="83" t="str">
        <x:v>CTA LCSW Workbook 12</x:v>
      </x:c>
      <x:c r="AA192" s="83" t="str">
        <x:v>CTA_LCSW_WB12_17_Question_Bank_v1.0.docx</x:v>
      </x:c>
      <x:c r="AB192" s="83" t="str">
        <x:v>1.0</x:v>
      </x:c>
      <x:c r="AC192" s="102"/>
      <x:c r="AD192" s="102" t="n">
        <x:v>46228</x:v>
      </x:c>
      <x:c r="AE192" s="83" t="str">
        <x:v>Integrated-review item; retained in a cross-domain category rather than forced into one official content area.</x:v>
      </x:c>
      <x:c r="AF192" s="89" t="str">
        <x:v>Workbook bank; reserve pool after controlled review</x:v>
      </x:c>
    </x:row>
    <x:row r="193">
      <x:c r="A193" s="88" t="str">
        <x:v>CTA-LCSW-MQB-0192</x:v>
      </x:c>
      <x:c r="B193" s="83" t="str">
        <x:v>LCSW-WB12-QB-Q005</x:v>
      </x:c>
      <x:c r="C193" s="83" t="str">
        <x:v>LCSW</x:v>
      </x:c>
      <x:c r="D193" s="83" t="str">
        <x:v>Workbook Question Bank</x:v>
      </x:c>
      <x:c r="E193" s="83" t="n">
        <x:v>12</x:v>
      </x:c>
      <x:c r="F193" s="83" t="str">
        <x:v>Integrated Review and Mini-Mock Reasoning</x:v>
      </x:c>
      <x:c r="G193" s="83"/>
      <x:c r="H193" s="83" t="n">
        <x:v>5</x:v>
      </x:c>
      <x:c r="I193" s="83" t="str">
        <x:v>Workbook Bank</x:v>
      </x:c>
      <x:c r="J193" s="83" t="str">
        <x:v>Integrated Review / Cross-Domain</x:v>
      </x:c>
      <x:c r="K193" s="83" t="str">
        <x:v>Answer-change discipline</x:v>
      </x:c>
      <x:c r="L193" s="83" t="str"/>
      <x:c r="M193" s="83" t="str">
        <x:v>Easy</x:v>
      </x:c>
      <x:c r="N193" s="83" t="str">
        <x:v>Easy</x:v>
      </x:c>
      <x:c r="O193" s="83" t="str">
        <x:v>Application</x:v>
      </x:c>
      <x:c r="P193" s="83" t="str">
        <x:v>Application</x:v>
      </x:c>
      <x:c r="Q193" s="83" t="n">
        <x:v>4</x:v>
      </x:c>
      <x:c r="R193" s="83" t="str">
        <x:v>A</x:v>
      </x:c>
      <x:c r="S193" s="83" t="str">
        <x:v>Approved</x:v>
      </x:c>
      <x:c r="T193" s="83" t="str">
        <x:v>Active</x:v>
      </x:c>
      <x:c r="U193" s="83" t="n">
        <x:v>1</x:v>
      </x:c>
      <x:c r="V193" s="83" t="str"/>
      <x:c r="W193" s="83" t="str">
        <x:v>No additional flag</x:v>
      </x:c>
      <x:c r="X193" s="83" t="str">
        <x:v>No structural flag</x:v>
      </x:c>
      <x:c r="Y193" s="83" t="str">
        <x:v>Not Yet Reviewed</x:v>
      </x:c>
      <x:c r="Z193" s="83" t="str">
        <x:v>CTA LCSW Workbook 12</x:v>
      </x:c>
      <x:c r="AA193" s="83" t="str">
        <x:v>CTA_LCSW_WB12_17_Question_Bank_v1.0.docx</x:v>
      </x:c>
      <x:c r="AB193" s="83" t="str">
        <x:v>1.0</x:v>
      </x:c>
      <x:c r="AC193" s="102"/>
      <x:c r="AD193" s="102" t="n">
        <x:v>46228</x:v>
      </x:c>
      <x:c r="AE193" s="83" t="str">
        <x:v>Integrated-review item; retained in a cross-domain category rather than forced into one official content area.</x:v>
      </x:c>
      <x:c r="AF193" s="89" t="str">
        <x:v>Workbook bank; reserve pool after controlled review</x:v>
      </x:c>
    </x:row>
    <x:row r="194">
      <x:c r="A194" s="88" t="str">
        <x:v>CTA-LCSW-MQB-0193</x:v>
      </x:c>
      <x:c r="B194" s="83" t="str">
        <x:v>LCSW-WB12-QB-Q006</x:v>
      </x:c>
      <x:c r="C194" s="83" t="str">
        <x:v>LCSW</x:v>
      </x:c>
      <x:c r="D194" s="83" t="str">
        <x:v>Workbook Question Bank</x:v>
      </x:c>
      <x:c r="E194" s="83" t="n">
        <x:v>12</x:v>
      </x:c>
      <x:c r="F194" s="83" t="str">
        <x:v>Integrated Review and Mini-Mock Reasoning</x:v>
      </x:c>
      <x:c r="G194" s="83"/>
      <x:c r="H194" s="83" t="n">
        <x:v>6</x:v>
      </x:c>
      <x:c r="I194" s="83" t="str">
        <x:v>Workbook Bank</x:v>
      </x:c>
      <x:c r="J194" s="83" t="str">
        <x:v>Integrated Review / Cross-Domain</x:v>
      </x:c>
      <x:c r="K194" s="83" t="str">
        <x:v>Direct risk assessment before routine intervention</x:v>
      </x:c>
      <x:c r="L194" s="83" t="str"/>
      <x:c r="M194" s="83" t="str">
        <x:v>Moderate</x:v>
      </x:c>
      <x:c r="N194" s="83" t="str">
        <x:v>Moderate</x:v>
      </x:c>
      <x:c r="O194" s="83" t="str">
        <x:v>Scenario-Based</x:v>
      </x:c>
      <x:c r="P194" s="83" t="str">
        <x:v>Scenario-Based</x:v>
      </x:c>
      <x:c r="Q194" s="83" t="n">
        <x:v>4</x:v>
      </x:c>
      <x:c r="R194" s="83" t="str">
        <x:v>B</x:v>
      </x:c>
      <x:c r="S194" s="83" t="str">
        <x:v>Approved</x:v>
      </x:c>
      <x:c r="T194" s="83" t="str">
        <x:v>Active</x:v>
      </x:c>
      <x:c r="U194" s="83" t="n">
        <x:v>1</x:v>
      </x:c>
      <x:c r="V194" s="83" t="str"/>
      <x:c r="W194" s="83" t="str">
        <x:v>No additional flag</x:v>
      </x:c>
      <x:c r="X194" s="83" t="str">
        <x:v>No structural flag</x:v>
      </x:c>
      <x:c r="Y194" s="83" t="str">
        <x:v>Not Yet Reviewed</x:v>
      </x:c>
      <x:c r="Z194" s="83" t="str">
        <x:v>CTA LCSW Workbook 12</x:v>
      </x:c>
      <x:c r="AA194" s="83" t="str">
        <x:v>CTA_LCSW_WB12_17_Question_Bank_v1.0.docx</x:v>
      </x:c>
      <x:c r="AB194" s="83" t="str">
        <x:v>1.0</x:v>
      </x:c>
      <x:c r="AC194" s="102"/>
      <x:c r="AD194" s="102" t="n">
        <x:v>46228</x:v>
      </x:c>
      <x:c r="AE194" s="83" t="str">
        <x:v>Integrated-review item; retained in a cross-domain category rather than forced into one official content area.</x:v>
      </x:c>
      <x:c r="AF194" s="89" t="str">
        <x:v>Workbook bank; reserve pool after controlled review</x:v>
      </x:c>
    </x:row>
    <x:row r="195">
      <x:c r="A195" s="88" t="str">
        <x:v>CTA-LCSW-MQB-0194</x:v>
      </x:c>
      <x:c r="B195" s="83" t="str">
        <x:v>LCSW-WB12-QB-Q007</x:v>
      </x:c>
      <x:c r="C195" s="83" t="str">
        <x:v>LCSW</x:v>
      </x:c>
      <x:c r="D195" s="83" t="str">
        <x:v>Workbook Question Bank</x:v>
      </x:c>
      <x:c r="E195" s="83" t="n">
        <x:v>12</x:v>
      </x:c>
      <x:c r="F195" s="83" t="str">
        <x:v>Integrated Review and Mini-Mock Reasoning</x:v>
      </x:c>
      <x:c r="G195" s="83"/>
      <x:c r="H195" s="83" t="n">
        <x:v>7</x:v>
      </x:c>
      <x:c r="I195" s="83" t="str">
        <x:v>Workbook Bank</x:v>
      </x:c>
      <x:c r="J195" s="83" t="str">
        <x:v>Integrated Review / Cross-Domain</x:v>
      </x:c>
      <x:c r="K195" s="83" t="str">
        <x:v>Language access and informed participation</x:v>
      </x:c>
      <x:c r="L195" s="83" t="str"/>
      <x:c r="M195" s="83" t="str">
        <x:v>Moderate</x:v>
      </x:c>
      <x:c r="N195" s="83" t="str">
        <x:v>Moderate</x:v>
      </x:c>
      <x:c r="O195" s="83" t="str">
        <x:v>Application</x:v>
      </x:c>
      <x:c r="P195" s="83" t="str">
        <x:v>Application</x:v>
      </x:c>
      <x:c r="Q195" s="83" t="n">
        <x:v>4</x:v>
      </x:c>
      <x:c r="R195" s="83" t="str">
        <x:v>C</x:v>
      </x:c>
      <x:c r="S195" s="83" t="str">
        <x:v>Approved</x:v>
      </x:c>
      <x:c r="T195" s="83" t="str">
        <x:v>Active</x:v>
      </x:c>
      <x:c r="U195" s="83" t="n">
        <x:v>1</x:v>
      </x:c>
      <x:c r="V195" s="83" t="str"/>
      <x:c r="W195" s="83" t="str">
        <x:v>No additional flag</x:v>
      </x:c>
      <x:c r="X195" s="83" t="str">
        <x:v>No structural flag</x:v>
      </x:c>
      <x:c r="Y195" s="83" t="str">
        <x:v>Not Yet Reviewed</x:v>
      </x:c>
      <x:c r="Z195" s="83" t="str">
        <x:v>CTA LCSW Workbook 12</x:v>
      </x:c>
      <x:c r="AA195" s="83" t="str">
        <x:v>CTA_LCSW_WB12_17_Question_Bank_v1.0.docx</x:v>
      </x:c>
      <x:c r="AB195" s="83" t="str">
        <x:v>1.0</x:v>
      </x:c>
      <x:c r="AC195" s="102"/>
      <x:c r="AD195" s="102" t="n">
        <x:v>46228</x:v>
      </x:c>
      <x:c r="AE195" s="83" t="str">
        <x:v>Integrated-review item; retained in a cross-domain category rather than forced into one official content area.</x:v>
      </x:c>
      <x:c r="AF195" s="89" t="str">
        <x:v>Workbook bank; reserve pool after controlled review</x:v>
      </x:c>
    </x:row>
    <x:row r="196">
      <x:c r="A196" s="88" t="str">
        <x:v>CTA-LCSW-MQB-0195</x:v>
      </x:c>
      <x:c r="B196" s="83" t="str">
        <x:v>LCSW-WB12-QB-Q008</x:v>
      </x:c>
      <x:c r="C196" s="83" t="str">
        <x:v>LCSW</x:v>
      </x:c>
      <x:c r="D196" s="83" t="str">
        <x:v>Workbook Question Bank</x:v>
      </x:c>
      <x:c r="E196" s="83" t="n">
        <x:v>12</x:v>
      </x:c>
      <x:c r="F196" s="83" t="str">
        <x:v>Integrated Review and Mini-Mock Reasoning</x:v>
      </x:c>
      <x:c r="G196" s="83"/>
      <x:c r="H196" s="83" t="n">
        <x:v>8</x:v>
      </x:c>
      <x:c r="I196" s="83" t="str">
        <x:v>Workbook Bank</x:v>
      </x:c>
      <x:c r="J196" s="83" t="str">
        <x:v>Integrated Review / Cross-Domain</x:v>
      </x:c>
      <x:c r="K196" s="83" t="str">
        <x:v>Medical and substance differential assessment</x:v>
      </x:c>
      <x:c r="L196" s="83" t="str"/>
      <x:c r="M196" s="83" t="str">
        <x:v>Moderate</x:v>
      </x:c>
      <x:c r="N196" s="83" t="str">
        <x:v>Moderate</x:v>
      </x:c>
      <x:c r="O196" s="83" t="str">
        <x:v>Scenario-Based</x:v>
      </x:c>
      <x:c r="P196" s="83" t="str">
        <x:v>Scenario-Based</x:v>
      </x:c>
      <x:c r="Q196" s="83" t="n">
        <x:v>4</x:v>
      </x:c>
      <x:c r="R196" s="83" t="str">
        <x:v>D</x:v>
      </x:c>
      <x:c r="S196" s="83" t="str">
        <x:v>Approved</x:v>
      </x:c>
      <x:c r="T196" s="83" t="str">
        <x:v>Active</x:v>
      </x:c>
      <x:c r="U196" s="83" t="n">
        <x:v>1</x:v>
      </x:c>
      <x:c r="V196" s="83" t="str"/>
      <x:c r="W196" s="83" t="str">
        <x:v>No additional flag</x:v>
      </x:c>
      <x:c r="X196" s="83" t="str">
        <x:v>No structural flag</x:v>
      </x:c>
      <x:c r="Y196" s="83" t="str">
        <x:v>Not Yet Reviewed</x:v>
      </x:c>
      <x:c r="Z196" s="83" t="str">
        <x:v>CTA LCSW Workbook 12</x:v>
      </x:c>
      <x:c r="AA196" s="83" t="str">
        <x:v>CTA_LCSW_WB12_17_Question_Bank_v1.0.docx</x:v>
      </x:c>
      <x:c r="AB196" s="83" t="str">
        <x:v>1.0</x:v>
      </x:c>
      <x:c r="AC196" s="102"/>
      <x:c r="AD196" s="102" t="n">
        <x:v>46228</x:v>
      </x:c>
      <x:c r="AE196" s="83" t="str">
        <x:v>Integrated-review item; retained in a cross-domain category rather than forced into one official content area.</x:v>
      </x:c>
      <x:c r="AF196" s="89" t="str">
        <x:v>Workbook bank; reserve pool after controlled review</x:v>
      </x:c>
    </x:row>
    <x:row r="197">
      <x:c r="A197" s="88" t="str">
        <x:v>CTA-LCSW-MQB-0196</x:v>
      </x:c>
      <x:c r="B197" s="83" t="str">
        <x:v>LCSW-WB12-QB-Q009</x:v>
      </x:c>
      <x:c r="C197" s="83" t="str">
        <x:v>LCSW</x:v>
      </x:c>
      <x:c r="D197" s="83" t="str">
        <x:v>Workbook Question Bank</x:v>
      </x:c>
      <x:c r="E197" s="83" t="n">
        <x:v>12</x:v>
      </x:c>
      <x:c r="F197" s="83" t="str">
        <x:v>Integrated Review and Mini-Mock Reasoning</x:v>
      </x:c>
      <x:c r="G197" s="83"/>
      <x:c r="H197" s="83" t="n">
        <x:v>9</x:v>
      </x:c>
      <x:c r="I197" s="83" t="str">
        <x:v>Workbook Bank</x:v>
      </x:c>
      <x:c r="J197" s="83" t="str">
        <x:v>Integrated Review / Cross-Domain</x:v>
      </x:c>
      <x:c r="K197" s="83" t="str">
        <x:v>Collaborative measurable planning</x:v>
      </x:c>
      <x:c r="L197" s="83" t="str"/>
      <x:c r="M197" s="83" t="str">
        <x:v>Moderate</x:v>
      </x:c>
      <x:c r="N197" s="83" t="str">
        <x:v>Moderate</x:v>
      </x:c>
      <x:c r="O197" s="83" t="str">
        <x:v>Scenario-Based</x:v>
      </x:c>
      <x:c r="P197" s="83" t="str">
        <x:v>Scenario-Based</x:v>
      </x:c>
      <x:c r="Q197" s="83" t="n">
        <x:v>4</x:v>
      </x:c>
      <x:c r="R197" s="83" t="str">
        <x:v>A</x:v>
      </x:c>
      <x:c r="S197" s="83" t="str">
        <x:v>Approved</x:v>
      </x:c>
      <x:c r="T197" s="83" t="str">
        <x:v>Active</x:v>
      </x:c>
      <x:c r="U197" s="83" t="n">
        <x:v>1</x:v>
      </x:c>
      <x:c r="V197" s="83" t="str"/>
      <x:c r="W197" s="83" t="str">
        <x:v>No additional flag</x:v>
      </x:c>
      <x:c r="X197" s="83" t="str">
        <x:v>No structural flag</x:v>
      </x:c>
      <x:c r="Y197" s="83" t="str">
        <x:v>Not Yet Reviewed</x:v>
      </x:c>
      <x:c r="Z197" s="83" t="str">
        <x:v>CTA LCSW Workbook 12</x:v>
      </x:c>
      <x:c r="AA197" s="83" t="str">
        <x:v>CTA_LCSW_WB12_17_Question_Bank_v1.0.docx</x:v>
      </x:c>
      <x:c r="AB197" s="83" t="str">
        <x:v>1.0</x:v>
      </x:c>
      <x:c r="AC197" s="102"/>
      <x:c r="AD197" s="102" t="n">
        <x:v>46228</x:v>
      </x:c>
      <x:c r="AE197" s="83" t="str">
        <x:v>Integrated-review item; retained in a cross-domain category rather than forced into one official content area.</x:v>
      </x:c>
      <x:c r="AF197" s="89" t="str">
        <x:v>Workbook bank; reserve pool after controlled review</x:v>
      </x:c>
    </x:row>
    <x:row r="198">
      <x:c r="A198" s="88" t="str">
        <x:v>CTA-LCSW-MQB-0197</x:v>
      </x:c>
      <x:c r="B198" s="83" t="str">
        <x:v>LCSW-WB12-QB-Q010</x:v>
      </x:c>
      <x:c r="C198" s="83" t="str">
        <x:v>LCSW</x:v>
      </x:c>
      <x:c r="D198" s="83" t="str">
        <x:v>Workbook Question Bank</x:v>
      </x:c>
      <x:c r="E198" s="83" t="n">
        <x:v>12</x:v>
      </x:c>
      <x:c r="F198" s="83" t="str">
        <x:v>Integrated Review and Mini-Mock Reasoning</x:v>
      </x:c>
      <x:c r="G198" s="83"/>
      <x:c r="H198" s="83" t="n">
        <x:v>10</x:v>
      </x:c>
      <x:c r="I198" s="83" t="str">
        <x:v>Workbook Bank</x:v>
      </x:c>
      <x:c r="J198" s="83" t="str">
        <x:v>Integrated Review / Cross-Domain</x:v>
      </x:c>
      <x:c r="K198" s="83" t="str">
        <x:v>Motivational interviewing and ambivalence</x:v>
      </x:c>
      <x:c r="L198" s="83" t="str"/>
      <x:c r="M198" s="83" t="str">
        <x:v>Moderate</x:v>
      </x:c>
      <x:c r="N198" s="83" t="str">
        <x:v>Moderate</x:v>
      </x:c>
      <x:c r="O198" s="83" t="str">
        <x:v>Application</x:v>
      </x:c>
      <x:c r="P198" s="83" t="str">
        <x:v>Application</x:v>
      </x:c>
      <x:c r="Q198" s="83" t="n">
        <x:v>4</x:v>
      </x:c>
      <x:c r="R198" s="83" t="str">
        <x:v>B</x:v>
      </x:c>
      <x:c r="S198" s="83" t="str">
        <x:v>Approved</x:v>
      </x:c>
      <x:c r="T198" s="83" t="str">
        <x:v>Active</x:v>
      </x:c>
      <x:c r="U198" s="83" t="n">
        <x:v>1</x:v>
      </x:c>
      <x:c r="V198" s="83" t="str"/>
      <x:c r="W198" s="83" t="str">
        <x:v>No additional flag</x:v>
      </x:c>
      <x:c r="X198" s="83" t="str">
        <x:v>No structural flag</x:v>
      </x:c>
      <x:c r="Y198" s="83" t="str">
        <x:v>Not Yet Reviewed</x:v>
      </x:c>
      <x:c r="Z198" s="83" t="str">
        <x:v>CTA LCSW Workbook 12</x:v>
      </x:c>
      <x:c r="AA198" s="83" t="str">
        <x:v>CTA_LCSW_WB12_17_Question_Bank_v1.0.docx</x:v>
      </x:c>
      <x:c r="AB198" s="83" t="str">
        <x:v>1.0</x:v>
      </x:c>
      <x:c r="AC198" s="102"/>
      <x:c r="AD198" s="102" t="n">
        <x:v>46228</x:v>
      </x:c>
      <x:c r="AE198" s="83" t="str">
        <x:v>Integrated-review item; retained in a cross-domain category rather than forced into one official content area.</x:v>
      </x:c>
      <x:c r="AF198" s="89" t="str">
        <x:v>Workbook bank; reserve pool after controlled review</x:v>
      </x:c>
    </x:row>
    <x:row r="199">
      <x:c r="A199" s="88" t="str">
        <x:v>CTA-LCSW-MQB-0198</x:v>
      </x:c>
      <x:c r="B199" s="83" t="str">
        <x:v>LCSW-WB12-QB-Q011</x:v>
      </x:c>
      <x:c r="C199" s="83" t="str">
        <x:v>LCSW</x:v>
      </x:c>
      <x:c r="D199" s="83" t="str">
        <x:v>Workbook Question Bank</x:v>
      </x:c>
      <x:c r="E199" s="83" t="n">
        <x:v>12</x:v>
      </x:c>
      <x:c r="F199" s="83" t="str">
        <x:v>Integrated Review and Mini-Mock Reasoning</x:v>
      </x:c>
      <x:c r="G199" s="83"/>
      <x:c r="H199" s="83" t="n">
        <x:v>11</x:v>
      </x:c>
      <x:c r="I199" s="83" t="str">
        <x:v>Workbook Bank</x:v>
      </x:c>
      <x:c r="J199" s="83" t="str">
        <x:v>Integrated Review / Cross-Domain</x:v>
      </x:c>
      <x:c r="K199" s="83" t="str">
        <x:v>Interdisciplinary confidentiality and role clarity</x:v>
      </x:c>
      <x:c r="L199" s="83" t="str"/>
      <x:c r="M199" s="83" t="str">
        <x:v>Moderate</x:v>
      </x:c>
      <x:c r="N199" s="83" t="str">
        <x:v>Moderate</x:v>
      </x:c>
      <x:c r="O199" s="83" t="str">
        <x:v>Scenario-Based</x:v>
      </x:c>
      <x:c r="P199" s="83" t="str">
        <x:v>Scenario-Based</x:v>
      </x:c>
      <x:c r="Q199" s="83" t="n">
        <x:v>4</x:v>
      </x:c>
      <x:c r="R199" s="83" t="str">
        <x:v>C</x:v>
      </x:c>
      <x:c r="S199" s="83" t="str">
        <x:v>Approved</x:v>
      </x:c>
      <x:c r="T199" s="83" t="str">
        <x:v>Active</x:v>
      </x:c>
      <x:c r="U199" s="83" t="n">
        <x:v>1</x:v>
      </x:c>
      <x:c r="V199" s="83" t="str"/>
      <x:c r="W199" s="83" t="str">
        <x:v>No additional flag</x:v>
      </x:c>
      <x:c r="X199" s="83" t="str">
        <x:v>No structural flag</x:v>
      </x:c>
      <x:c r="Y199" s="83" t="str">
        <x:v>Not Yet Reviewed</x:v>
      </x:c>
      <x:c r="Z199" s="83" t="str">
        <x:v>CTA LCSW Workbook 12</x:v>
      </x:c>
      <x:c r="AA199" s="83" t="str">
        <x:v>CTA_LCSW_WB12_17_Question_Bank_v1.0.docx</x:v>
      </x:c>
      <x:c r="AB199" s="83" t="str">
        <x:v>1.0</x:v>
      </x:c>
      <x:c r="AC199" s="102"/>
      <x:c r="AD199" s="102" t="n">
        <x:v>46228</x:v>
      </x:c>
      <x:c r="AE199" s="83" t="str">
        <x:v>Integrated-review item; retained in a cross-domain category rather than forced into one official content area.</x:v>
      </x:c>
      <x:c r="AF199" s="89" t="str">
        <x:v>Workbook bank; reserve pool after controlled review</x:v>
      </x:c>
    </x:row>
    <x:row r="200">
      <x:c r="A200" s="88" t="str">
        <x:v>CTA-LCSW-MQB-0199</x:v>
      </x:c>
      <x:c r="B200" s="83" t="str">
        <x:v>LCSW-WB12-QB-Q012</x:v>
      </x:c>
      <x:c r="C200" s="83" t="str">
        <x:v>LCSW</x:v>
      </x:c>
      <x:c r="D200" s="83" t="str">
        <x:v>Workbook Question Bank</x:v>
      </x:c>
      <x:c r="E200" s="83" t="n">
        <x:v>12</x:v>
      </x:c>
      <x:c r="F200" s="83" t="str">
        <x:v>Integrated Review and Mini-Mock Reasoning</x:v>
      </x:c>
      <x:c r="G200" s="83"/>
      <x:c r="H200" s="83" t="n">
        <x:v>12</x:v>
      </x:c>
      <x:c r="I200" s="83" t="str">
        <x:v>Workbook Bank</x:v>
      </x:c>
      <x:c r="J200" s="83" t="str">
        <x:v>Integrated Review / Cross-Domain</x:v>
      </x:c>
      <x:c r="K200" s="83" t="str">
        <x:v>Warm handoff and resource coordination</x:v>
      </x:c>
      <x:c r="L200" s="83" t="str"/>
      <x:c r="M200" s="83" t="str">
        <x:v>Moderate</x:v>
      </x:c>
      <x:c r="N200" s="83" t="str">
        <x:v>Moderate</x:v>
      </x:c>
      <x:c r="O200" s="83" t="str">
        <x:v>Scenario-Based</x:v>
      </x:c>
      <x:c r="P200" s="83" t="str">
        <x:v>Scenario-Based</x:v>
      </x:c>
      <x:c r="Q200" s="83" t="n">
        <x:v>4</x:v>
      </x:c>
      <x:c r="R200" s="83" t="str">
        <x:v>D</x:v>
      </x:c>
      <x:c r="S200" s="83" t="str">
        <x:v>Approved</x:v>
      </x:c>
      <x:c r="T200" s="83" t="str">
        <x:v>Active</x:v>
      </x:c>
      <x:c r="U200" s="83" t="n">
        <x:v>1</x:v>
      </x:c>
      <x:c r="V200" s="83" t="str"/>
      <x:c r="W200" s="83" t="str">
        <x:v>No additional flag</x:v>
      </x:c>
      <x:c r="X200" s="83" t="str">
        <x:v>No structural flag</x:v>
      </x:c>
      <x:c r="Y200" s="83" t="str">
        <x:v>Not Yet Reviewed</x:v>
      </x:c>
      <x:c r="Z200" s="83" t="str">
        <x:v>CTA LCSW Workbook 12</x:v>
      </x:c>
      <x:c r="AA200" s="83" t="str">
        <x:v>CTA_LCSW_WB12_17_Question_Bank_v1.0.docx</x:v>
      </x:c>
      <x:c r="AB200" s="83" t="str">
        <x:v>1.0</x:v>
      </x:c>
      <x:c r="AC200" s="102"/>
      <x:c r="AD200" s="102" t="n">
        <x:v>46228</x:v>
      </x:c>
      <x:c r="AE200" s="83" t="str">
        <x:v>Integrated-review item; retained in a cross-domain category rather than forced into one official content area.</x:v>
      </x:c>
      <x:c r="AF200" s="89" t="str">
        <x:v>Workbook bank; reserve pool after controlled review</x:v>
      </x:c>
    </x:row>
    <x:row r="201">
      <x:c r="A201" s="88" t="str">
        <x:v>CTA-LCSW-MQB-0200</x:v>
      </x:c>
      <x:c r="B201" s="83" t="str">
        <x:v>LCSW-WB12-QB-Q013</x:v>
      </x:c>
      <x:c r="C201" s="83" t="str">
        <x:v>LCSW</x:v>
      </x:c>
      <x:c r="D201" s="83" t="str">
        <x:v>Workbook Question Bank</x:v>
      </x:c>
      <x:c r="E201" s="83" t="n">
        <x:v>12</x:v>
      </x:c>
      <x:c r="F201" s="83" t="str">
        <x:v>Integrated Review and Mini-Mock Reasoning</x:v>
      </x:c>
      <x:c r="G201" s="83"/>
      <x:c r="H201" s="83" t="n">
        <x:v>13</x:v>
      </x:c>
      <x:c r="I201" s="83" t="str">
        <x:v>Workbook Bank</x:v>
      </x:c>
      <x:c r="J201" s="83" t="str">
        <x:v>Integrated Review / Cross-Domain</x:v>
      </x:c>
      <x:c r="K201" s="83" t="str">
        <x:v>Acute confusion and priority ladder</x:v>
      </x:c>
      <x:c r="L201" s="83" t="str"/>
      <x:c r="M201" s="83" t="str">
        <x:v>Difficult</x:v>
      </x:c>
      <x:c r="N201" s="83" t="str">
        <x:v>Difficult</x:v>
      </x:c>
      <x:c r="O201" s="83" t="str">
        <x:v>Integrated Clinical Reasoning</x:v>
      </x:c>
      <x:c r="P201" s="83" t="str">
        <x:v>Integrated Clinical Reasoning</x:v>
      </x:c>
      <x:c r="Q201" s="83" t="n">
        <x:v>4</x:v>
      </x:c>
      <x:c r="R201" s="83" t="str">
        <x:v>A</x:v>
      </x:c>
      <x:c r="S201" s="83" t="str">
        <x:v>Approved</x:v>
      </x:c>
      <x:c r="T201" s="83" t="str">
        <x:v>Active</x:v>
      </x:c>
      <x:c r="U201" s="83" t="n">
        <x:v>1</x:v>
      </x:c>
      <x:c r="V201" s="83" t="str"/>
      <x:c r="W201" s="83" t="str">
        <x:v>No additional flag</x:v>
      </x:c>
      <x:c r="X201" s="83" t="str">
        <x:v>No structural flag</x:v>
      </x:c>
      <x:c r="Y201" s="83" t="str">
        <x:v>Not Yet Reviewed</x:v>
      </x:c>
      <x:c r="Z201" s="83" t="str">
        <x:v>CTA LCSW Workbook 12</x:v>
      </x:c>
      <x:c r="AA201" s="83" t="str">
        <x:v>CTA_LCSW_WB12_17_Question_Bank_v1.0.docx</x:v>
      </x:c>
      <x:c r="AB201" s="83" t="str">
        <x:v>1.0</x:v>
      </x:c>
      <x:c r="AC201" s="102"/>
      <x:c r="AD201" s="102" t="n">
        <x:v>46228</x:v>
      </x:c>
      <x:c r="AE201" s="83" t="str">
        <x:v>Integrated-review item; retained in a cross-domain category rather than forced into one official content area.</x:v>
      </x:c>
      <x:c r="AF201" s="89" t="str">
        <x:v>Workbook bank; reserve pool after controlled review</x:v>
      </x:c>
    </x:row>
    <x:row r="202">
      <x:c r="A202" s="88" t="str">
        <x:v>CTA-LCSW-MQB-0201</x:v>
      </x:c>
      <x:c r="B202" s="83" t="str">
        <x:v>LCSW-WB12-QB-Q014</x:v>
      </x:c>
      <x:c r="C202" s="83" t="str">
        <x:v>LCSW</x:v>
      </x:c>
      <x:c r="D202" s="83" t="str">
        <x:v>Workbook Question Bank</x:v>
      </x:c>
      <x:c r="E202" s="83" t="n">
        <x:v>12</x:v>
      </x:c>
      <x:c r="F202" s="83" t="str">
        <x:v>Integrated Review and Mini-Mock Reasoning</x:v>
      </x:c>
      <x:c r="G202" s="83"/>
      <x:c r="H202" s="83" t="n">
        <x:v>14</x:v>
      </x:c>
      <x:c r="I202" s="83" t="str">
        <x:v>Workbook Bank</x:v>
      </x:c>
      <x:c r="J202" s="83" t="str">
        <x:v>Integrated Review / Cross-Domain</x:v>
      </x:c>
      <x:c r="K202" s="83" t="str">
        <x:v>Conjoint treatment and interpersonal safety</x:v>
      </x:c>
      <x:c r="L202" s="83" t="str"/>
      <x:c r="M202" s="83" t="str">
        <x:v>Difficult</x:v>
      </x:c>
      <x:c r="N202" s="83" t="str">
        <x:v>Difficult</x:v>
      </x:c>
      <x:c r="O202" s="83" t="str">
        <x:v>Integrated Clinical Reasoning</x:v>
      </x:c>
      <x:c r="P202" s="83" t="str">
        <x:v>Integrated Clinical Reasoning</x:v>
      </x:c>
      <x:c r="Q202" s="83" t="n">
        <x:v>4</x:v>
      </x:c>
      <x:c r="R202" s="83" t="str">
        <x:v>B</x:v>
      </x:c>
      <x:c r="S202" s="83" t="str">
        <x:v>Approved</x:v>
      </x:c>
      <x:c r="T202" s="83" t="str">
        <x:v>Active</x:v>
      </x:c>
      <x:c r="U202" s="83" t="n">
        <x:v>1</x:v>
      </x:c>
      <x:c r="V202" s="83" t="str"/>
      <x:c r="W202" s="83" t="str">
        <x:v>No additional flag</x:v>
      </x:c>
      <x:c r="X202" s="83" t="str">
        <x:v>No structural flag</x:v>
      </x:c>
      <x:c r="Y202" s="83" t="str">
        <x:v>Not Yet Reviewed</x:v>
      </x:c>
      <x:c r="Z202" s="83" t="str">
        <x:v>CTA LCSW Workbook 12</x:v>
      </x:c>
      <x:c r="AA202" s="83" t="str">
        <x:v>CTA_LCSW_WB12_17_Question_Bank_v1.0.docx</x:v>
      </x:c>
      <x:c r="AB202" s="83" t="str">
        <x:v>1.0</x:v>
      </x:c>
      <x:c r="AC202" s="102"/>
      <x:c r="AD202" s="102" t="n">
        <x:v>46228</x:v>
      </x:c>
      <x:c r="AE202" s="83" t="str">
        <x:v>Integrated-review item; retained in a cross-domain category rather than forced into one official content area.</x:v>
      </x:c>
      <x:c r="AF202" s="89" t="str">
        <x:v>Workbook bank; reserve pool after controlled review</x:v>
      </x:c>
    </x:row>
    <x:row r="203">
      <x:c r="A203" s="88" t="str">
        <x:v>CTA-LCSW-MQB-0202</x:v>
      </x:c>
      <x:c r="B203" s="83" t="str">
        <x:v>LCSW-WB12-QB-Q015</x:v>
      </x:c>
      <x:c r="C203" s="83" t="str">
        <x:v>LCSW</x:v>
      </x:c>
      <x:c r="D203" s="83" t="str">
        <x:v>Workbook Question Bank</x:v>
      </x:c>
      <x:c r="E203" s="83" t="n">
        <x:v>12</x:v>
      </x:c>
      <x:c r="F203" s="83" t="str">
        <x:v>Integrated Review and Mini-Mock Reasoning</x:v>
      </x:c>
      <x:c r="G203" s="83"/>
      <x:c r="H203" s="83" t="n">
        <x:v>15</x:v>
      </x:c>
      <x:c r="I203" s="83" t="str">
        <x:v>Workbook Bank</x:v>
      </x:c>
      <x:c r="J203" s="83" t="str">
        <x:v>Integrated Review / Cross-Domain</x:v>
      </x:c>
      <x:c r="K203" s="83" t="str">
        <x:v>Countertransference, supervision, and continuity</x:v>
      </x:c>
      <x:c r="L203" s="83" t="str"/>
      <x:c r="M203" s="83" t="str">
        <x:v>Difficult</x:v>
      </x:c>
      <x:c r="N203" s="83" t="str">
        <x:v>Difficult</x:v>
      </x:c>
      <x:c r="O203" s="83" t="str">
        <x:v>Integrated Clinical Reasoning</x:v>
      </x:c>
      <x:c r="P203" s="83" t="str">
        <x:v>Integrated Clinical Reasoning</x:v>
      </x:c>
      <x:c r="Q203" s="83" t="n">
        <x:v>4</x:v>
      </x:c>
      <x:c r="R203" s="83" t="str">
        <x:v>C</x:v>
      </x:c>
      <x:c r="S203" s="83" t="str">
        <x:v>Approved</x:v>
      </x:c>
      <x:c r="T203" s="83" t="str">
        <x:v>Active</x:v>
      </x:c>
      <x:c r="U203" s="83" t="n">
        <x:v>1</x:v>
      </x:c>
      <x:c r="V203" s="83" t="str"/>
      <x:c r="W203" s="83" t="str">
        <x:v>No additional flag</x:v>
      </x:c>
      <x:c r="X203" s="83" t="str">
        <x:v>No structural flag</x:v>
      </x:c>
      <x:c r="Y203" s="83" t="str">
        <x:v>Not Yet Reviewed</x:v>
      </x:c>
      <x:c r="Z203" s="83" t="str">
        <x:v>CTA LCSW Workbook 12</x:v>
      </x:c>
      <x:c r="AA203" s="83" t="str">
        <x:v>CTA_LCSW_WB12_17_Question_Bank_v1.0.docx</x:v>
      </x:c>
      <x:c r="AB203" s="83" t="str">
        <x:v>1.0</x:v>
      </x:c>
      <x:c r="AC203" s="102"/>
      <x:c r="AD203" s="102" t="n">
        <x:v>46228</x:v>
      </x:c>
      <x:c r="AE203" s="83" t="str">
        <x:v>Integrated-review item; retained in a cross-domain category rather than forced into one official content area.</x:v>
      </x:c>
      <x:c r="AF203" s="89" t="str">
        <x:v>Workbook bank; reserve pool after controlled review</x:v>
      </x:c>
    </x:row>
    <x:row r="204">
      <x:c r="A204" s="88" t="str">
        <x:v>CTA-LCSW-MQB-0203</x:v>
      </x:c>
      <x:c r="B204" s="83" t="str">
        <x:v>LCSW-WB12-QB-Q016</x:v>
      </x:c>
      <x:c r="C204" s="83" t="str">
        <x:v>LCSW</x:v>
      </x:c>
      <x:c r="D204" s="83" t="str">
        <x:v>Workbook Question Bank</x:v>
      </x:c>
      <x:c r="E204" s="83" t="n">
        <x:v>12</x:v>
      </x:c>
      <x:c r="F204" s="83" t="str">
        <x:v>Integrated Review and Mini-Mock Reasoning</x:v>
      </x:c>
      <x:c r="G204" s="83"/>
      <x:c r="H204" s="83" t="n">
        <x:v>16</x:v>
      </x:c>
      <x:c r="I204" s="83" t="str">
        <x:v>Workbook Bank</x:v>
      </x:c>
      <x:c r="J204" s="83" t="str">
        <x:v>Integrated Review / Cross-Domain</x:v>
      </x:c>
      <x:c r="K204" s="83" t="str">
        <x:v>Equity-focused program improvement</x:v>
      </x:c>
      <x:c r="L204" s="83" t="str"/>
      <x:c r="M204" s="83" t="str">
        <x:v>Difficult</x:v>
      </x:c>
      <x:c r="N204" s="83" t="str">
        <x:v>Difficult</x:v>
      </x:c>
      <x:c r="O204" s="83" t="str">
        <x:v>Integrated Clinical Reasoning</x:v>
      </x:c>
      <x:c r="P204" s="83" t="str">
        <x:v>Integrated Clinical Reasoning</x:v>
      </x:c>
      <x:c r="Q204" s="83" t="n">
        <x:v>4</x:v>
      </x:c>
      <x:c r="R204" s="83" t="str">
        <x:v>D</x:v>
      </x:c>
      <x:c r="S204" s="83" t="str">
        <x:v>Approved</x:v>
      </x:c>
      <x:c r="T204" s="83" t="str">
        <x:v>Active</x:v>
      </x:c>
      <x:c r="U204" s="83" t="n">
        <x:v>1</x:v>
      </x:c>
      <x:c r="V204" s="83" t="str"/>
      <x:c r="W204" s="83" t="str">
        <x:v>No additional flag</x:v>
      </x:c>
      <x:c r="X204" s="83" t="str">
        <x:v>No structural flag</x:v>
      </x:c>
      <x:c r="Y204" s="83" t="str">
        <x:v>Not Yet Reviewed</x:v>
      </x:c>
      <x:c r="Z204" s="83" t="str">
        <x:v>CTA LCSW Workbook 12</x:v>
      </x:c>
      <x:c r="AA204" s="83" t="str">
        <x:v>CTA_LCSW_WB12_17_Question_Bank_v1.0.docx</x:v>
      </x:c>
      <x:c r="AB204" s="83" t="str">
        <x:v>1.0</x:v>
      </x:c>
      <x:c r="AC204" s="102"/>
      <x:c r="AD204" s="102" t="n">
        <x:v>46228</x:v>
      </x:c>
      <x:c r="AE204" s="83" t="str">
        <x:v>Integrated-review item; retained in a cross-domain category rather than forced into one official content area.</x:v>
      </x:c>
      <x:c r="AF204" s="89" t="str">
        <x:v>Workbook bank; reserve pool after controlled review</x:v>
      </x:c>
    </x:row>
    <x:row r="205">
      <x:c r="A205" s="88" t="str">
        <x:v>CTA-LCSW-MQB-0204</x:v>
      </x:c>
      <x:c r="B205" s="83" t="str">
        <x:v>LCSW-WB12-QB-Q017</x:v>
      </x:c>
      <x:c r="C205" s="83" t="str">
        <x:v>LCSW</x:v>
      </x:c>
      <x:c r="D205" s="83" t="str">
        <x:v>Workbook Question Bank</x:v>
      </x:c>
      <x:c r="E205" s="83" t="n">
        <x:v>12</x:v>
      </x:c>
      <x:c r="F205" s="83" t="str">
        <x:v>Integrated Review and Mini-Mock Reasoning</x:v>
      </x:c>
      <x:c r="G205" s="83"/>
      <x:c r="H205" s="83" t="n">
        <x:v>17</x:v>
      </x:c>
      <x:c r="I205" s="83" t="str">
        <x:v>Workbook Bank</x:v>
      </x:c>
      <x:c r="J205" s="83" t="str">
        <x:v>Integrated Review / Cross-Domain</x:v>
      </x:c>
      <x:c r="K205" s="83" t="str">
        <x:v>Nonresponse and plan revision</x:v>
      </x:c>
      <x:c r="L205" s="83" t="str"/>
      <x:c r="M205" s="83" t="str">
        <x:v>Difficult</x:v>
      </x:c>
      <x:c r="N205" s="83" t="str">
        <x:v>Difficult</x:v>
      </x:c>
      <x:c r="O205" s="83" t="str">
        <x:v>Integrated Clinical Reasoning</x:v>
      </x:c>
      <x:c r="P205" s="83" t="str">
        <x:v>Integrated Clinical Reasoning</x:v>
      </x:c>
      <x:c r="Q205" s="83" t="n">
        <x:v>4</x:v>
      </x:c>
      <x:c r="R205" s="83" t="str">
        <x:v>A</x:v>
      </x:c>
      <x:c r="S205" s="83" t="str">
        <x:v>Approved</x:v>
      </x:c>
      <x:c r="T205" s="83" t="str">
        <x:v>Active</x:v>
      </x:c>
      <x:c r="U205" s="83" t="n">
        <x:v>1</x:v>
      </x:c>
      <x:c r="V205" s="83" t="str"/>
      <x:c r="W205" s="83" t="str">
        <x:v>No additional flag</x:v>
      </x:c>
      <x:c r="X205" s="83" t="str">
        <x:v>No structural flag</x:v>
      </x:c>
      <x:c r="Y205" s="83" t="str">
        <x:v>Not Yet Reviewed</x:v>
      </x:c>
      <x:c r="Z205" s="83" t="str">
        <x:v>CTA LCSW Workbook 12</x:v>
      </x:c>
      <x:c r="AA205" s="83" t="str">
        <x:v>CTA_LCSW_WB12_17_Question_Bank_v1.0.docx</x:v>
      </x:c>
      <x:c r="AB205" s="83" t="str">
        <x:v>1.0</x:v>
      </x:c>
      <x:c r="AC205" s="102"/>
      <x:c r="AD205" s="102" t="n">
        <x:v>46228</x:v>
      </x:c>
      <x:c r="AE205" s="83" t="str">
        <x:v>Integrated-review item; retained in a cross-domain category rather than forced into one official content area.</x:v>
      </x:c>
      <x:c r="AF205" s="89" t="str">
        <x:v>Workbook bank; reserve pool after controlled review</x:v>
      </x:c>
    </x:row>
    <x:row r="206">
      <x:c r="A206" s="88" t="str">
        <x:v>CTA-LCSW-MQB-0205</x:v>
      </x:c>
      <x:c r="B206" s="83" t="str">
        <x:v>LCSW-MQB-FA-IP-029</x:v>
      </x:c>
      <x:c r="C206" s="83" t="str">
        <x:v>LCSW</x:v>
      </x:c>
      <x:c r="D206" s="83" t="str">
        <x:v>Comprehensive Simulation</x:v>
      </x:c>
      <x:c r="E206" s="83"/>
      <x:c r="F206" s="83"/>
      <x:c r="G206" s="83" t="str">
        <x:v>Form A</x:v>
      </x:c>
      <x:c r="H206" s="83" t="n">
        <x:v>1</x:v>
      </x:c>
      <x:c r="I206" s="83" t="str">
        <x:v>Pretest-Style</x:v>
      </x:c>
      <x:c r="J206" s="83" t="str">
        <x:v>III. Intervention and Practice</x:v>
      </x:c>
      <x:c r="K206" s="83" t="str">
        <x:v>Child behavioral intervention</x:v>
      </x:c>
      <x:c r="L206" s="83" t="str"/>
      <x:c r="M206" s="83" t="str">
        <x:v>Difficult</x:v>
      </x:c>
      <x:c r="N206" s="83" t="str">
        <x:v>Difficult</x:v>
      </x:c>
      <x:c r="O206" s="83" t="str">
        <x:v>Scenario-based reasoning</x:v>
      </x:c>
      <x:c r="P206" s="83" t="str">
        <x:v>Scenario-Based</x:v>
      </x:c>
      <x:c r="Q206" s="83" t="n">
        <x:v>4</x:v>
      </x:c>
      <x:c r="R206" s="83" t="str">
        <x:v>A</x:v>
      </x:c>
      <x:c r="S206" s="83" t="str">
        <x:v>Approved</x:v>
      </x:c>
      <x:c r="T206" s="83" t="str">
        <x:v>Active</x:v>
      </x:c>
      <x:c r="U206" s="83" t="n">
        <x:v>1</x:v>
      </x:c>
      <x:c r="V206" s="83" t="str">
        <x:v>LCSW-ALT-068</x:v>
      </x:c>
      <x:c r="W206" s="83" t="str">
        <x:v>No additional flag</x:v>
      </x:c>
      <x:c r="X206" s="83" t="str">
        <x:v>No structural flag</x:v>
      </x:c>
      <x:c r="Y206" s="83" t="str">
        <x:v>Not Yet Reviewed</x:v>
      </x:c>
      <x:c r="Z206" s="83" t="str">
        <x:v>CTA LCSW WB8–WB11; ASWB 2026 Clinical Content Area III</x:v>
      </x:c>
      <x:c r="AA206" s="83" t="str">
        <x:v>CTA_LCSW_2026_Comprehensive_Simulation_Form_A_Answer_Key_and_Detailed_Rationales_v1.0.docx</x:v>
      </x:c>
      <x:c r="AB206" s="83" t="str">
        <x:v>1.0</x:v>
      </x:c>
      <x:c r="AC206" s="102"/>
      <x:c r="AD206" s="102" t="n">
        <x:v>46228</x:v>
      </x:c>
      <x:c r="AE206" s="83" t="str">
        <x:v>Approved for Form A</x:v>
      </x:c>
      <x:c r="AF206" s="89" t="str">
        <x:v>Form A only; paired alternate retained on the other comprehensive form</x:v>
      </x:c>
    </x:row>
    <x:row r="207">
      <x:c r="A207" s="88" t="str">
        <x:v>CTA-LCSW-MQB-0206</x:v>
      </x:c>
      <x:c r="B207" s="83" t="str">
        <x:v>LCSW-MQB-FA-IP-008</x:v>
      </x:c>
      <x:c r="C207" s="83" t="str">
        <x:v>LCSW</x:v>
      </x:c>
      <x:c r="D207" s="83" t="str">
        <x:v>Comprehensive Simulation</x:v>
      </x:c>
      <x:c r="E207" s="83"/>
      <x:c r="F207" s="83"/>
      <x:c r="G207" s="83" t="str">
        <x:v>Form A</x:v>
      </x:c>
      <x:c r="H207" s="83" t="n">
        <x:v>2</x:v>
      </x:c>
      <x:c r="I207" s="83" t="str">
        <x:v>Scored-Style</x:v>
      </x:c>
      <x:c r="J207" s="83" t="str">
        <x:v>III. Intervention and Practice</x:v>
      </x:c>
      <x:c r="K207" s="83" t="str">
        <x:v>Case management</x:v>
      </x:c>
      <x:c r="L207" s="83" t="str"/>
      <x:c r="M207" s="83" t="str">
        <x:v>Easy</x:v>
      </x:c>
      <x:c r="N207" s="83" t="str">
        <x:v>Easy</x:v>
      </x:c>
      <x:c r="O207" s="83" t="str">
        <x:v>Application</x:v>
      </x:c>
      <x:c r="P207" s="83" t="str">
        <x:v>Application</x:v>
      </x:c>
      <x:c r="Q207" s="83" t="n">
        <x:v>3</x:v>
      </x:c>
      <x:c r="R207" s="83" t="str">
        <x:v>C</x:v>
      </x:c>
      <x:c r="S207" s="83" t="str">
        <x:v>Approved</x:v>
      </x:c>
      <x:c r="T207" s="83" t="str">
        <x:v>Active</x:v>
      </x:c>
      <x:c r="U207" s="83" t="n">
        <x:v>1</x:v>
      </x:c>
      <x:c r="V207" s="83" t="str">
        <x:v>LCSW-ALT-047</x:v>
      </x:c>
      <x:c r="W207" s="83" t="str">
        <x:v>No additional flag</x:v>
      </x:c>
      <x:c r="X207" s="83" t="str">
        <x:v>No structural flag</x:v>
      </x:c>
      <x:c r="Y207" s="83" t="str">
        <x:v>Not Yet Reviewed</x:v>
      </x:c>
      <x:c r="Z207" s="83" t="str">
        <x:v>CTA LCSW WB10; CTA LCSW WB11; ASWB 2026 Clinical Content Area III</x:v>
      </x:c>
      <x:c r="AA207" s="83" t="str">
        <x:v>CTA_LCSW_2026_Comprehensive_Simulation_Form_A_Answer_Key_and_Detailed_Rationales_v1.0.docx</x:v>
      </x:c>
      <x:c r="AB207" s="83" t="str">
        <x:v>1.0</x:v>
      </x:c>
      <x:c r="AC207" s="102"/>
      <x:c r="AD207" s="102" t="n">
        <x:v>46228</x:v>
      </x:c>
      <x:c r="AE207" s="83" t="str">
        <x:v>Approved for Form A</x:v>
      </x:c>
      <x:c r="AF207" s="89" t="str">
        <x:v>Form A only; paired alternate retained on the other comprehensive form</x:v>
      </x:c>
    </x:row>
    <x:row r="208">
      <x:c r="A208" s="88" t="str">
        <x:v>CTA-LCSW-MQB-0207</x:v>
      </x:c>
      <x:c r="B208" s="83" t="str">
        <x:v>LCSW-MQB-FA-AP-036</x:v>
      </x:c>
      <x:c r="C208" s="83" t="str">
        <x:v>LCSW</x:v>
      </x:c>
      <x:c r="D208" s="83" t="str">
        <x:v>Comprehensive Simulation</x:v>
      </x:c>
      <x:c r="E208" s="83"/>
      <x:c r="F208" s="83"/>
      <x:c r="G208" s="83" t="str">
        <x:v>Form A</x:v>
      </x:c>
      <x:c r="H208" s="83" t="n">
        <x:v>3</x:v>
      </x:c>
      <x:c r="I208" s="83" t="str">
        <x:v>Scored-Style</x:v>
      </x:c>
      <x:c r="J208" s="83" t="str">
        <x:v>II. Assessment and Planning</x:v>
      </x:c>
      <x:c r="K208" s="83" t="str">
        <x:v>Child development and family stress</x:v>
      </x:c>
      <x:c r="L208" s="83" t="str"/>
      <x:c r="M208" s="83" t="str">
        <x:v>Difficult</x:v>
      </x:c>
      <x:c r="N208" s="83" t="str">
        <x:v>Difficult</x:v>
      </x:c>
      <x:c r="O208" s="83" t="str">
        <x:v>Integrated reasoning</x:v>
      </x:c>
      <x:c r="P208" s="83" t="str">
        <x:v>Integrated Clinical Reasoning</x:v>
      </x:c>
      <x:c r="Q208" s="83" t="n">
        <x:v>4</x:v>
      </x:c>
      <x:c r="R208" s="83" t="str">
        <x:v>C</x:v>
      </x:c>
      <x:c r="S208" s="83" t="str">
        <x:v>Approved</x:v>
      </x:c>
      <x:c r="T208" s="83" t="str">
        <x:v>Active</x:v>
      </x:c>
      <x:c r="U208" s="83" t="n">
        <x:v>1</x:v>
      </x:c>
      <x:c r="V208" s="83" t="str">
        <x:v>LCSW-ALT-036</x:v>
      </x:c>
      <x:c r="W208" s="83" t="str">
        <x:v>No additional flag</x:v>
      </x:c>
      <x:c r="X208" s="83" t="str">
        <x:v>No structural flag</x:v>
      </x:c>
      <x:c r="Y208" s="83" t="str">
        <x:v>Not Yet Reviewed</x:v>
      </x:c>
      <x:c r="Z208" s="83" t="str">
        <x:v>CTA LCSW WB3–WB7; ASWB 2026 Clinical Content Area II</x:v>
      </x:c>
      <x:c r="AA208" s="83" t="str">
        <x:v>CTA_LCSW_2026_Comprehensive_Simulation_Form_A_Answer_Key_and_Detailed_Rationales_v1.0.docx</x:v>
      </x:c>
      <x:c r="AB208" s="83" t="str">
        <x:v>1.0</x:v>
      </x:c>
      <x:c r="AC208" s="102"/>
      <x:c r="AD208" s="102" t="n">
        <x:v>46228</x:v>
      </x:c>
      <x:c r="AE208" s="83" t="str">
        <x:v>Approved for Form A</x:v>
      </x:c>
      <x:c r="AF208" s="89" t="str">
        <x:v>Form A only; paired alternate retained on the other comprehensive form</x:v>
      </x:c>
    </x:row>
    <x:row r="209">
      <x:c r="A209" s="88" t="str">
        <x:v>CTA-LCSW-MQB-0208</x:v>
      </x:c>
      <x:c r="B209" s="83" t="str">
        <x:v>LCSW-MQB-FA-IP-035</x:v>
      </x:c>
      <x:c r="C209" s="83" t="str">
        <x:v>LCSW</x:v>
      </x:c>
      <x:c r="D209" s="83" t="str">
        <x:v>Comprehensive Simulation</x:v>
      </x:c>
      <x:c r="E209" s="83"/>
      <x:c r="F209" s="83"/>
      <x:c r="G209" s="83" t="str">
        <x:v>Form A</x:v>
      </x:c>
      <x:c r="H209" s="83" t="n">
        <x:v>4</x:v>
      </x:c>
      <x:c r="I209" s="83" t="str">
        <x:v>Scored-Style</x:v>
      </x:c>
      <x:c r="J209" s="83" t="str">
        <x:v>III. Intervention and Practice</x:v>
      </x:c>
      <x:c r="K209" s="83" t="str">
        <x:v>Family intervention and coercion</x:v>
      </x:c>
      <x:c r="L209" s="83" t="str"/>
      <x:c r="M209" s="83" t="str">
        <x:v>Difficult</x:v>
      </x:c>
      <x:c r="N209" s="83" t="str">
        <x:v>Difficult</x:v>
      </x:c>
      <x:c r="O209" s="83" t="str">
        <x:v>Integrated reasoning</x:v>
      </x:c>
      <x:c r="P209" s="83" t="str">
        <x:v>Integrated Clinical Reasoning</x:v>
      </x:c>
      <x:c r="Q209" s="83" t="n">
        <x:v>4</x:v>
      </x:c>
      <x:c r="R209" s="83" t="str">
        <x:v>D</x:v>
      </x:c>
      <x:c r="S209" s="83" t="str">
        <x:v>Approved</x:v>
      </x:c>
      <x:c r="T209" s="83" t="str">
        <x:v>Active</x:v>
      </x:c>
      <x:c r="U209" s="83" t="n">
        <x:v>1</x:v>
      </x:c>
      <x:c r="V209" s="83" t="str">
        <x:v>LCSW-ALT-074</x:v>
      </x:c>
      <x:c r="W209" s="83" t="str">
        <x:v>No additional flag</x:v>
      </x:c>
      <x:c r="X209" s="83" t="str">
        <x:v>No structural flag</x:v>
      </x:c>
      <x:c r="Y209" s="83" t="str">
        <x:v>Not Yet Reviewed</x:v>
      </x:c>
      <x:c r="Z209" s="83" t="str">
        <x:v>CTA LCSW WB8–WB11; ASWB 2026 Clinical Content Area III</x:v>
      </x:c>
      <x:c r="AA209" s="83" t="str">
        <x:v>CTA_LCSW_2026_Comprehensive_Simulation_Form_A_Answer_Key_and_Detailed_Rationales_v1.0.docx</x:v>
      </x:c>
      <x:c r="AB209" s="83" t="str">
        <x:v>1.0</x:v>
      </x:c>
      <x:c r="AC209" s="102"/>
      <x:c r="AD209" s="102" t="n">
        <x:v>46228</x:v>
      </x:c>
      <x:c r="AE209" s="83" t="str">
        <x:v>Approved for Form A</x:v>
      </x:c>
      <x:c r="AF209" s="89" t="str">
        <x:v>Form A only; paired alternate retained on the other comprehensive form</x:v>
      </x:c>
    </x:row>
    <x:row r="210">
      <x:c r="A210" s="88" t="str">
        <x:v>CTA-LCSW-MQB-0209</x:v>
      </x:c>
      <x:c r="B210" s="83" t="str">
        <x:v>LCSW-MQB-FA-VE-034</x:v>
      </x:c>
      <x:c r="C210" s="83" t="str">
        <x:v>LCSW</x:v>
      </x:c>
      <x:c r="D210" s="83" t="str">
        <x:v>Comprehensive Simulation</x:v>
      </x:c>
      <x:c r="E210" s="83"/>
      <x:c r="F210" s="83"/>
      <x:c r="G210" s="83" t="str">
        <x:v>Form A</x:v>
      </x:c>
      <x:c r="H210" s="83" t="n">
        <x:v>5</x:v>
      </x:c>
      <x:c r="I210" s="83" t="str">
        <x:v>Scored-Style</x:v>
      </x:c>
      <x:c r="J210" s="83" t="str">
        <x:v>I. Values and Ethics</x:v>
      </x:c>
      <x:c r="K210" s="83" t="str">
        <x:v>Administrative falsification</x:v>
      </x:c>
      <x:c r="L210" s="83" t="str"/>
      <x:c r="M210" s="83" t="str">
        <x:v>Moderate</x:v>
      </x:c>
      <x:c r="N210" s="83" t="str">
        <x:v>Moderate</x:v>
      </x:c>
      <x:c r="O210" s="83" t="str">
        <x:v>Scenario-based reasoning</x:v>
      </x:c>
      <x:c r="P210" s="83" t="str">
        <x:v>Scenario-Based</x:v>
      </x:c>
      <x:c r="Q210" s="83" t="n">
        <x:v>4</x:v>
      </x:c>
      <x:c r="R210" s="83" t="str">
        <x:v>C</x:v>
      </x:c>
      <x:c r="S210" s="83" t="str">
        <x:v>Approved</x:v>
      </x:c>
      <x:c r="T210" s="83" t="str">
        <x:v>Active</x:v>
      </x:c>
      <x:c r="U210" s="83" t="n">
        <x:v>1</x:v>
      </x:c>
      <x:c r="V210" s="83" t="str">
        <x:v>LCSW-ALT-112</x:v>
      </x:c>
      <x:c r="W210" s="83" t="str">
        <x:v>No additional flag</x:v>
      </x:c>
      <x:c r="X210" s="83" t="str">
        <x:v>No structural flag</x:v>
      </x:c>
      <x:c r="Y210" s="83" t="str">
        <x:v>Not Yet Reviewed</x:v>
      </x:c>
      <x:c r="Z210" s="83" t="str">
        <x:v>CTA LCSW WB2; CTA LCSW WB12; ASWB 2026 Clinical Content Area I</x:v>
      </x:c>
      <x:c r="AA210" s="83" t="str">
        <x:v>CTA_LCSW_2026_Comprehensive_Simulation_Form_A_Answer_Key_and_Detailed_Rationales_v1.0.docx</x:v>
      </x:c>
      <x:c r="AB210" s="83" t="str">
        <x:v>1.0</x:v>
      </x:c>
      <x:c r="AC210" s="102"/>
      <x:c r="AD210" s="102" t="n">
        <x:v>46228</x:v>
      </x:c>
      <x:c r="AE210" s="83" t="str">
        <x:v>Approved for Form A</x:v>
      </x:c>
      <x:c r="AF210" s="89" t="str">
        <x:v>Form A only; paired alternate retained on the other comprehensive form</x:v>
      </x:c>
    </x:row>
    <x:row r="211">
      <x:c r="A211" s="88" t="str">
        <x:v>CTA-LCSW-MQB-0210</x:v>
      </x:c>
      <x:c r="B211" s="83" t="str">
        <x:v>LCSW-MQB-FA-AP-004</x:v>
      </x:c>
      <x:c r="C211" s="83" t="str">
        <x:v>LCSW</x:v>
      </x:c>
      <x:c r="D211" s="83" t="str">
        <x:v>Comprehensive Simulation</x:v>
      </x:c>
      <x:c r="E211" s="83"/>
      <x:c r="F211" s="83"/>
      <x:c r="G211" s="83" t="str">
        <x:v>Form A</x:v>
      </x:c>
      <x:c r="H211" s="83" t="n">
        <x:v>6</x:v>
      </x:c>
      <x:c r="I211" s="83" t="str">
        <x:v>Scored-Style</x:v>
      </x:c>
      <x:c r="J211" s="83" t="str">
        <x:v>II. Assessment and Planning</x:v>
      </x:c>
      <x:c r="K211" s="83" t="str">
        <x:v>Provisional diagnosis</x:v>
      </x:c>
      <x:c r="L211" s="83" t="str"/>
      <x:c r="M211" s="83" t="str">
        <x:v>Easy</x:v>
      </x:c>
      <x:c r="N211" s="83" t="str">
        <x:v>Easy</x:v>
      </x:c>
      <x:c r="O211" s="83" t="str">
        <x:v>Direct recognition</x:v>
      </x:c>
      <x:c r="P211" s="83" t="str">
        <x:v>Knowledge &amp; Recall</x:v>
      </x:c>
      <x:c r="Q211" s="83" t="n">
        <x:v>3</x:v>
      </x:c>
      <x:c r="R211" s="83" t="str">
        <x:v>A</x:v>
      </x:c>
      <x:c r="S211" s="83" t="str">
        <x:v>Approved</x:v>
      </x:c>
      <x:c r="T211" s="83" t="str">
        <x:v>Active</x:v>
      </x:c>
      <x:c r="U211" s="83" t="n">
        <x:v>1</x:v>
      </x:c>
      <x:c r="V211" s="83" t="str">
        <x:v>LCSW-ALT-004</x:v>
      </x:c>
      <x:c r="W211" s="83" t="str">
        <x:v>No additional flag</x:v>
      </x:c>
      <x:c r="X211" s="83" t="str">
        <x:v>No structural flag</x:v>
      </x:c>
      <x:c r="Y211" s="83" t="str">
        <x:v>Not Yet Reviewed</x:v>
      </x:c>
      <x:c r="Z211" s="83" t="str">
        <x:v>CTA LCSW WB5; ASWB 2026 Clinical Content Area II</x:v>
      </x:c>
      <x:c r="AA211" s="83" t="str">
        <x:v>CTA_LCSW_2026_Comprehensive_Simulation_Form_A_Answer_Key_and_Detailed_Rationales_v1.0.docx</x:v>
      </x:c>
      <x:c r="AB211" s="83" t="str">
        <x:v>1.0</x:v>
      </x:c>
      <x:c r="AC211" s="102"/>
      <x:c r="AD211" s="102" t="n">
        <x:v>46228</x:v>
      </x:c>
      <x:c r="AE211" s="83" t="str">
        <x:v>Approved for Form A</x:v>
      </x:c>
      <x:c r="AF211" s="89" t="str">
        <x:v>Form A only; paired alternate retained on the other comprehensive form</x:v>
      </x:c>
    </x:row>
    <x:row r="212">
      <x:c r="A212" s="88" t="str">
        <x:v>CTA-LCSW-MQB-0211</x:v>
      </x:c>
      <x:c r="B212" s="83" t="str">
        <x:v>LCSW-MQB-FA-VE-009</x:v>
      </x:c>
      <x:c r="C212" s="83" t="str">
        <x:v>LCSW</x:v>
      </x:c>
      <x:c r="D212" s="83" t="str">
        <x:v>Comprehensive Simulation</x:v>
      </x:c>
      <x:c r="E212" s="83"/>
      <x:c r="F212" s="83"/>
      <x:c r="G212" s="83" t="str">
        <x:v>Form A</x:v>
      </x:c>
      <x:c r="H212" s="83" t="n">
        <x:v>7</x:v>
      </x:c>
      <x:c r="I212" s="83" t="str">
        <x:v>Scored-Style</x:v>
      </x:c>
      <x:c r="J212" s="83" t="str">
        <x:v>I. Values and Ethics</x:v>
      </x:c>
      <x:c r="K212" s="83" t="str">
        <x:v>Social media boundaries</x:v>
      </x:c>
      <x:c r="L212" s="83" t="str"/>
      <x:c r="M212" s="83" t="str">
        <x:v>Easy</x:v>
      </x:c>
      <x:c r="N212" s="83" t="str">
        <x:v>Easy</x:v>
      </x:c>
      <x:c r="O212" s="83" t="str">
        <x:v>Application</x:v>
      </x:c>
      <x:c r="P212" s="83" t="str">
        <x:v>Application</x:v>
      </x:c>
      <x:c r="Q212" s="83" t="n">
        <x:v>3</x:v>
      </x:c>
      <x:c r="R212" s="83" t="str">
        <x:v>C</x:v>
      </x:c>
      <x:c r="S212" s="83" t="str">
        <x:v>Approved</x:v>
      </x:c>
      <x:c r="T212" s="83" t="str">
        <x:v>Active</x:v>
      </x:c>
      <x:c r="U212" s="83" t="n">
        <x:v>1</x:v>
      </x:c>
      <x:c r="V212" s="83" t="str">
        <x:v>LCSW-ALT-087</x:v>
      </x:c>
      <x:c r="W212" s="83" t="str">
        <x:v>No additional flag</x:v>
      </x:c>
      <x:c r="X212" s="83" t="str">
        <x:v>No structural flag</x:v>
      </x:c>
      <x:c r="Y212" s="83" t="str">
        <x:v>Not Yet Reviewed</x:v>
      </x:c>
      <x:c r="Z212" s="83" t="str">
        <x:v>CTA LCSW WB2; CTA LCSW WB12; ASWB 2026 Clinical Content Area I</x:v>
      </x:c>
      <x:c r="AA212" s="83" t="str">
        <x:v>CTA_LCSW_2026_Comprehensive_Simulation_Form_A_Answer_Key_and_Detailed_Rationales_v1.0.docx</x:v>
      </x:c>
      <x:c r="AB212" s="83" t="str">
        <x:v>1.0</x:v>
      </x:c>
      <x:c r="AC212" s="102"/>
      <x:c r="AD212" s="102" t="n">
        <x:v>46228</x:v>
      </x:c>
      <x:c r="AE212" s="83" t="str">
        <x:v>Approved for Form A</x:v>
      </x:c>
      <x:c r="AF212" s="89" t="str">
        <x:v>Form A only; paired alternate retained on the other comprehensive form</x:v>
      </x:c>
    </x:row>
    <x:row r="213">
      <x:c r="A213" s="88" t="str">
        <x:v>CTA-LCSW-MQB-0212</x:v>
      </x:c>
      <x:c r="B213" s="83" t="str">
        <x:v>LCSW-MQB-FA-IP-012</x:v>
      </x:c>
      <x:c r="C213" s="83" t="str">
        <x:v>LCSW</x:v>
      </x:c>
      <x:c r="D213" s="83" t="str">
        <x:v>Comprehensive Simulation</x:v>
      </x:c>
      <x:c r="E213" s="83"/>
      <x:c r="F213" s="83"/>
      <x:c r="G213" s="83" t="str">
        <x:v>Form A</x:v>
      </x:c>
      <x:c r="H213" s="83" t="n">
        <x:v>8</x:v>
      </x:c>
      <x:c r="I213" s="83" t="str">
        <x:v>Scored-Style</x:v>
      </x:c>
      <x:c r="J213" s="83" t="str">
        <x:v>III. Intervention and Practice</x:v>
      </x:c>
      <x:c r="K213" s="83" t="str">
        <x:v>Group facilitation</x:v>
      </x:c>
      <x:c r="L213" s="83" t="str"/>
      <x:c r="M213" s="83" t="str">
        <x:v>Moderate</x:v>
      </x:c>
      <x:c r="N213" s="83" t="str">
        <x:v>Moderate</x:v>
      </x:c>
      <x:c r="O213" s="83" t="str">
        <x:v>Application</x:v>
      </x:c>
      <x:c r="P213" s="83" t="str">
        <x:v>Application</x:v>
      </x:c>
      <x:c r="Q213" s="83" t="n">
        <x:v>3</x:v>
      </x:c>
      <x:c r="R213" s="83" t="str">
        <x:v>C</x:v>
      </x:c>
      <x:c r="S213" s="83" t="str">
        <x:v>Approved</x:v>
      </x:c>
      <x:c r="T213" s="83" t="str">
        <x:v>Active</x:v>
      </x:c>
      <x:c r="U213" s="83" t="n">
        <x:v>1</x:v>
      </x:c>
      <x:c r="V213" s="83" t="str">
        <x:v>LCSW-ALT-051</x:v>
      </x:c>
      <x:c r="W213" s="83" t="str">
        <x:v>No additional flag</x:v>
      </x:c>
      <x:c r="X213" s="83" t="str">
        <x:v>No structural flag</x:v>
      </x:c>
      <x:c r="Y213" s="83" t="str">
        <x:v>Not Yet Reviewed</x:v>
      </x:c>
      <x:c r="Z213" s="83" t="str">
        <x:v>CTA LCSW WB8–WB11; ASWB 2026 Clinical Content Area III</x:v>
      </x:c>
      <x:c r="AA213" s="83" t="str">
        <x:v>CTA_LCSW_2026_Comprehensive_Simulation_Form_A_Answer_Key_and_Detailed_Rationales_v1.0.docx</x:v>
      </x:c>
      <x:c r="AB213" s="83" t="str">
        <x:v>1.0</x:v>
      </x:c>
      <x:c r="AC213" s="102"/>
      <x:c r="AD213" s="102" t="n">
        <x:v>46228</x:v>
      </x:c>
      <x:c r="AE213" s="83" t="str">
        <x:v>Approved for Form A</x:v>
      </x:c>
      <x:c r="AF213" s="89" t="str">
        <x:v>Form A only; paired alternate retained on the other comprehensive form</x:v>
      </x:c>
    </x:row>
    <x:row r="214">
      <x:c r="A214" s="88" t="str">
        <x:v>CTA-LCSW-MQB-0213</x:v>
      </x:c>
      <x:c r="B214" s="83" t="str">
        <x:v>LCSW-MQB-FA-VE-031</x:v>
      </x:c>
      <x:c r="C214" s="83" t="str">
        <x:v>LCSW</x:v>
      </x:c>
      <x:c r="D214" s="83" t="str">
        <x:v>Comprehensive Simulation</x:v>
      </x:c>
      <x:c r="E214" s="83"/>
      <x:c r="F214" s="83"/>
      <x:c r="G214" s="83" t="str">
        <x:v>Form A</x:v>
      </x:c>
      <x:c r="H214" s="83" t="n">
        <x:v>9</x:v>
      </x:c>
      <x:c r="I214" s="83" t="str">
        <x:v>Scored-Style</x:v>
      </x:c>
      <x:c r="J214" s="83" t="str">
        <x:v>I. Values and Ethics</x:v>
      </x:c>
      <x:c r="K214" s="83" t="str">
        <x:v>Research participation</x:v>
      </x:c>
      <x:c r="L214" s="83" t="str"/>
      <x:c r="M214" s="83" t="str">
        <x:v>Moderate</x:v>
      </x:c>
      <x:c r="N214" s="83" t="str">
        <x:v>Moderate</x:v>
      </x:c>
      <x:c r="O214" s="83" t="str">
        <x:v>Scenario-based reasoning</x:v>
      </x:c>
      <x:c r="P214" s="83" t="str">
        <x:v>Scenario-Based</x:v>
      </x:c>
      <x:c r="Q214" s="83" t="n">
        <x:v>4</x:v>
      </x:c>
      <x:c r="R214" s="83" t="str">
        <x:v>A</x:v>
      </x:c>
      <x:c r="S214" s="83" t="str">
        <x:v>Approved</x:v>
      </x:c>
      <x:c r="T214" s="83" t="str">
        <x:v>Active</x:v>
      </x:c>
      <x:c r="U214" s="83" t="n">
        <x:v>1</x:v>
      </x:c>
      <x:c r="V214" s="83" t="str">
        <x:v>LCSW-ALT-109</x:v>
      </x:c>
      <x:c r="W214" s="83" t="str">
        <x:v>No additional flag</x:v>
      </x:c>
      <x:c r="X214" s="83" t="str">
        <x:v>No structural flag</x:v>
      </x:c>
      <x:c r="Y214" s="83" t="str">
        <x:v>Not Yet Reviewed</x:v>
      </x:c>
      <x:c r="Z214" s="83" t="str">
        <x:v>CTA LCSW WB2; CTA LCSW WB12; ASWB 2026 Clinical Content Area I</x:v>
      </x:c>
      <x:c r="AA214" s="83" t="str">
        <x:v>CTA_LCSW_2026_Comprehensive_Simulation_Form_A_Answer_Key_and_Detailed_Rationales_v1.0.docx</x:v>
      </x:c>
      <x:c r="AB214" s="83" t="str">
        <x:v>1.0</x:v>
      </x:c>
      <x:c r="AC214" s="102"/>
      <x:c r="AD214" s="102" t="n">
        <x:v>46228</x:v>
      </x:c>
      <x:c r="AE214" s="83" t="str">
        <x:v>Approved for Form A</x:v>
      </x:c>
      <x:c r="AF214" s="89" t="str">
        <x:v>Form A only; paired alternate retained on the other comprehensive form</x:v>
      </x:c>
    </x:row>
    <x:row r="215">
      <x:c r="A215" s="88" t="str">
        <x:v>CTA-LCSW-MQB-0214</x:v>
      </x:c>
      <x:c r="B215" s="83" t="str">
        <x:v>LCSW-MQB-FA-IP-005</x:v>
      </x:c>
      <x:c r="C215" s="83" t="str">
        <x:v>LCSW</x:v>
      </x:c>
      <x:c r="D215" s="83" t="str">
        <x:v>Comprehensive Simulation</x:v>
      </x:c>
      <x:c r="E215" s="83"/>
      <x:c r="F215" s="83"/>
      <x:c r="G215" s="83" t="str">
        <x:v>Form A</x:v>
      </x:c>
      <x:c r="H215" s="83" t="n">
        <x:v>10</x:v>
      </x:c>
      <x:c r="I215" s="83" t="str">
        <x:v>Scored-Style</x:v>
      </x:c>
      <x:c r="J215" s="83" t="str">
        <x:v>III. Intervention and Practice</x:v>
      </x:c>
      <x:c r="K215" s="83" t="str">
        <x:v>Grounding</x:v>
      </x:c>
      <x:c r="L215" s="83" t="str"/>
      <x:c r="M215" s="83" t="str">
        <x:v>Easy</x:v>
      </x:c>
      <x:c r="N215" s="83" t="str">
        <x:v>Easy</x:v>
      </x:c>
      <x:c r="O215" s="83" t="str">
        <x:v>Application</x:v>
      </x:c>
      <x:c r="P215" s="83" t="str">
        <x:v>Application</x:v>
      </x:c>
      <x:c r="Q215" s="83" t="n">
        <x:v>3</x:v>
      </x:c>
      <x:c r="R215" s="83" t="str">
        <x:v>C</x:v>
      </x:c>
      <x:c r="S215" s="83" t="str">
        <x:v>Approved</x:v>
      </x:c>
      <x:c r="T215" s="83" t="str">
        <x:v>Active</x:v>
      </x:c>
      <x:c r="U215" s="83" t="n">
        <x:v>1</x:v>
      </x:c>
      <x:c r="V215" s="83" t="str">
        <x:v>LCSW-ALT-044</x:v>
      </x:c>
      <x:c r="W215" s="83" t="str">
        <x:v>No additional flag</x:v>
      </x:c>
      <x:c r="X215" s="83" t="str">
        <x:v>No structural flag</x:v>
      </x:c>
      <x:c r="Y215" s="83" t="str">
        <x:v>Not Yet Reviewed</x:v>
      </x:c>
      <x:c r="Z215" s="83" t="str">
        <x:v>CTA LCSW WB8–WB11; ASWB 2026 Clinical Content Area III</x:v>
      </x:c>
      <x:c r="AA215" s="83" t="str">
        <x:v>CTA_LCSW_2026_Comprehensive_Simulation_Form_A_Answer_Key_and_Detailed_Rationales_v1.0.docx</x:v>
      </x:c>
      <x:c r="AB215" s="83" t="str">
        <x:v>1.0</x:v>
      </x:c>
      <x:c r="AC215" s="102"/>
      <x:c r="AD215" s="102" t="n">
        <x:v>46228</x:v>
      </x:c>
      <x:c r="AE215" s="83" t="str">
        <x:v>Approved for Form A</x:v>
      </x:c>
      <x:c r="AF215" s="89" t="str">
        <x:v>Form A only; paired alternate retained on the other comprehensive form</x:v>
      </x:c>
    </x:row>
    <x:row r="216">
      <x:c r="A216" s="88" t="str">
        <x:v>CTA-LCSW-MQB-0215</x:v>
      </x:c>
      <x:c r="B216" s="83" t="str">
        <x:v>LCSW-MQB-FA-IP-009</x:v>
      </x:c>
      <x:c r="C216" s="83" t="str">
        <x:v>LCSW</x:v>
      </x:c>
      <x:c r="D216" s="83" t="str">
        <x:v>Comprehensive Simulation</x:v>
      </x:c>
      <x:c r="E216" s="83"/>
      <x:c r="F216" s="83"/>
      <x:c r="G216" s="83" t="str">
        <x:v>Form A</x:v>
      </x:c>
      <x:c r="H216" s="83" t="n">
        <x:v>11</x:v>
      </x:c>
      <x:c r="I216" s="83" t="str">
        <x:v>Scored-Style</x:v>
      </x:c>
      <x:c r="J216" s="83" t="str">
        <x:v>III. Intervention and Practice</x:v>
      </x:c>
      <x:c r="K216" s="83" t="str">
        <x:v>Advocacy</x:v>
      </x:c>
      <x:c r="L216" s="83" t="str"/>
      <x:c r="M216" s="83" t="str">
        <x:v>Easy</x:v>
      </x:c>
      <x:c r="N216" s="83" t="str">
        <x:v>Easy</x:v>
      </x:c>
      <x:c r="O216" s="83" t="str">
        <x:v>Application</x:v>
      </x:c>
      <x:c r="P216" s="83" t="str">
        <x:v>Application</x:v>
      </x:c>
      <x:c r="Q216" s="83" t="n">
        <x:v>3</x:v>
      </x:c>
      <x:c r="R216" s="83" t="str">
        <x:v>C</x:v>
      </x:c>
      <x:c r="S216" s="83" t="str">
        <x:v>Approved</x:v>
      </x:c>
      <x:c r="T216" s="83" t="str">
        <x:v>Active</x:v>
      </x:c>
      <x:c r="U216" s="83" t="n">
        <x:v>1</x:v>
      </x:c>
      <x:c r="V216" s="83" t="str">
        <x:v>LCSW-ALT-048</x:v>
      </x:c>
      <x:c r="W216" s="83" t="str">
        <x:v>No additional flag</x:v>
      </x:c>
      <x:c r="X216" s="83" t="str">
        <x:v>No structural flag</x:v>
      </x:c>
      <x:c r="Y216" s="83" t="str">
        <x:v>Not Yet Reviewed</x:v>
      </x:c>
      <x:c r="Z216" s="83" t="str">
        <x:v>CTA LCSW WB10; CTA LCSW WB11; ASWB 2026 Clinical Content Area III</x:v>
      </x:c>
      <x:c r="AA216" s="83" t="str">
        <x:v>CTA_LCSW_2026_Comprehensive_Simulation_Form_A_Answer_Key_and_Detailed_Rationales_v1.0.docx</x:v>
      </x:c>
      <x:c r="AB216" s="83" t="str">
        <x:v>1.0</x:v>
      </x:c>
      <x:c r="AC216" s="102"/>
      <x:c r="AD216" s="102" t="n">
        <x:v>46228</x:v>
      </x:c>
      <x:c r="AE216" s="83" t="str">
        <x:v>Approved for Form A</x:v>
      </x:c>
      <x:c r="AF216" s="89" t="str">
        <x:v>Form A only; paired alternate retained on the other comprehensive form</x:v>
      </x:c>
    </x:row>
    <x:row r="217">
      <x:c r="A217" s="88" t="str">
        <x:v>CTA-LCSW-MQB-0216</x:v>
      </x:c>
      <x:c r="B217" s="83" t="str">
        <x:v>LCSW-MQB-FA-AP-032</x:v>
      </x:c>
      <x:c r="C217" s="83" t="str">
        <x:v>LCSW</x:v>
      </x:c>
      <x:c r="D217" s="83" t="str">
        <x:v>Comprehensive Simulation</x:v>
      </x:c>
      <x:c r="E217" s="83"/>
      <x:c r="F217" s="83"/>
      <x:c r="G217" s="83" t="str">
        <x:v>Form A</x:v>
      </x:c>
      <x:c r="H217" s="83" t="n">
        <x:v>12</x:v>
      </x:c>
      <x:c r="I217" s="83" t="str">
        <x:v>Scored-Style</x:v>
      </x:c>
      <x:c r="J217" s="83" t="str">
        <x:v>II. Assessment and Planning</x:v>
      </x:c>
      <x:c r="K217" s="83" t="str">
        <x:v>Service planning with limited resources</x:v>
      </x:c>
      <x:c r="L217" s="83" t="str"/>
      <x:c r="M217" s="83" t="str">
        <x:v>Difficult</x:v>
      </x:c>
      <x:c r="N217" s="83" t="str">
        <x:v>Difficult</x:v>
      </x:c>
      <x:c r="O217" s="83" t="str">
        <x:v>Scenario-based reasoning</x:v>
      </x:c>
      <x:c r="P217" s="83" t="str">
        <x:v>Scenario-Based</x:v>
      </x:c>
      <x:c r="Q217" s="83" t="n">
        <x:v>4</x:v>
      </x:c>
      <x:c r="R217" s="83" t="str">
        <x:v>A</x:v>
      </x:c>
      <x:c r="S217" s="83" t="str">
        <x:v>Approved</x:v>
      </x:c>
      <x:c r="T217" s="83" t="str">
        <x:v>Active</x:v>
      </x:c>
      <x:c r="U217" s="83" t="n">
        <x:v>1</x:v>
      </x:c>
      <x:c r="V217" s="83" t="str">
        <x:v>LCSW-ALT-032</x:v>
      </x:c>
      <x:c r="W217" s="83" t="str">
        <x:v>No additional flag</x:v>
      </x:c>
      <x:c r="X217" s="83" t="str">
        <x:v>No structural flag</x:v>
      </x:c>
      <x:c r="Y217" s="83" t="str">
        <x:v>Not Yet Reviewed</x:v>
      </x:c>
      <x:c r="Z217" s="83" t="str">
        <x:v>CTA LCSW WB3–WB7; ASWB 2026 Clinical Content Area II</x:v>
      </x:c>
      <x:c r="AA217" s="83" t="str">
        <x:v>CTA_LCSW_2026_Comprehensive_Simulation_Form_A_Answer_Key_and_Detailed_Rationales_v1.0.docx</x:v>
      </x:c>
      <x:c r="AB217" s="83" t="str">
        <x:v>1.0</x:v>
      </x:c>
      <x:c r="AC217" s="102"/>
      <x:c r="AD217" s="102" t="n">
        <x:v>46228</x:v>
      </x:c>
      <x:c r="AE217" s="83" t="str">
        <x:v>Approved for Form A</x:v>
      </x:c>
      <x:c r="AF217" s="89" t="str">
        <x:v>Form A only; paired alternate retained on the other comprehensive form</x:v>
      </x:c>
    </x:row>
    <x:row r="218">
      <x:c r="A218" s="88" t="str">
        <x:v>CTA-LCSW-MQB-0217</x:v>
      </x:c>
      <x:c r="B218" s="83" t="str">
        <x:v>LCSW-MQB-FA-AP-019</x:v>
      </x:c>
      <x:c r="C218" s="83" t="str">
        <x:v>LCSW</x:v>
      </x:c>
      <x:c r="D218" s="83" t="str">
        <x:v>Comprehensive Simulation</x:v>
      </x:c>
      <x:c r="E218" s="83"/>
      <x:c r="F218" s="83"/>
      <x:c r="G218" s="83" t="str">
        <x:v>Form A</x:v>
      </x:c>
      <x:c r="H218" s="83" t="n">
        <x:v>13</x:v>
      </x:c>
      <x:c r="I218" s="83" t="str">
        <x:v>Scored-Style</x:v>
      </x:c>
      <x:c r="J218" s="83" t="str">
        <x:v>II. Assessment and Planning</x:v>
      </x:c>
      <x:c r="K218" s="83" t="str">
        <x:v>Family role assessment</x:v>
      </x:c>
      <x:c r="L218" s="83" t="str"/>
      <x:c r="M218" s="83" t="str">
        <x:v>Moderate</x:v>
      </x:c>
      <x:c r="N218" s="83" t="str">
        <x:v>Moderate</x:v>
      </x:c>
      <x:c r="O218" s="83" t="str">
        <x:v>Application</x:v>
      </x:c>
      <x:c r="P218" s="83" t="str">
        <x:v>Application</x:v>
      </x:c>
      <x:c r="Q218" s="83" t="n">
        <x:v>3</x:v>
      </x:c>
      <x:c r="R218" s="83" t="str">
        <x:v>C</x:v>
      </x:c>
      <x:c r="S218" s="83" t="str">
        <x:v>Approved</x:v>
      </x:c>
      <x:c r="T218" s="83" t="str">
        <x:v>Active</x:v>
      </x:c>
      <x:c r="U218" s="83" t="n">
        <x:v>1</x:v>
      </x:c>
      <x:c r="V218" s="83" t="str">
        <x:v>LCSW-ALT-019</x:v>
      </x:c>
      <x:c r="W218" s="83" t="str">
        <x:v>No additional flag</x:v>
      </x:c>
      <x:c r="X218" s="83" t="str">
        <x:v>No structural flag</x:v>
      </x:c>
      <x:c r="Y218" s="83" t="str">
        <x:v>Not Yet Reviewed</x:v>
      </x:c>
      <x:c r="Z218" s="83" t="str">
        <x:v>CTA LCSW WB3–WB7; ASWB 2026 Clinical Content Area II</x:v>
      </x:c>
      <x:c r="AA218" s="83" t="str">
        <x:v>CTA_LCSW_2026_Comprehensive_Simulation_Form_A_Answer_Key_and_Detailed_Rationales_v1.0.docx</x:v>
      </x:c>
      <x:c r="AB218" s="83" t="str">
        <x:v>1.0</x:v>
      </x:c>
      <x:c r="AC218" s="102"/>
      <x:c r="AD218" s="102" t="n">
        <x:v>46228</x:v>
      </x:c>
      <x:c r="AE218" s="83" t="str">
        <x:v>Approved for Form A</x:v>
      </x:c>
      <x:c r="AF218" s="89" t="str">
        <x:v>Form A only; paired alternate retained on the other comprehensive form</x:v>
      </x:c>
    </x:row>
    <x:row r="219">
      <x:c r="A219" s="88" t="str">
        <x:v>CTA-LCSW-MQB-0218</x:v>
      </x:c>
      <x:c r="B219" s="83" t="str">
        <x:v>LCSW-MQB-FA-IP-017</x:v>
      </x:c>
      <x:c r="C219" s="83" t="str">
        <x:v>LCSW</x:v>
      </x:c>
      <x:c r="D219" s="83" t="str">
        <x:v>Comprehensive Simulation</x:v>
      </x:c>
      <x:c r="E219" s="83"/>
      <x:c r="F219" s="83"/>
      <x:c r="G219" s="83" t="str">
        <x:v>Form A</x:v>
      </x:c>
      <x:c r="H219" s="83" t="n">
        <x:v>14</x:v>
      </x:c>
      <x:c r="I219" s="83" t="str">
        <x:v>Scored-Style</x:v>
      </x:c>
      <x:c r="J219" s="83" t="str">
        <x:v>III. Intervention and Practice</x:v>
      </x:c>
      <x:c r="K219" s="83" t="str">
        <x:v>Supervision feedback</x:v>
      </x:c>
      <x:c r="L219" s="83" t="str"/>
      <x:c r="M219" s="83" t="str">
        <x:v>Moderate</x:v>
      </x:c>
      <x:c r="N219" s="83" t="str">
        <x:v>Moderate</x:v>
      </x:c>
      <x:c r="O219" s="83" t="str">
        <x:v>Application</x:v>
      </x:c>
      <x:c r="P219" s="83" t="str">
        <x:v>Application</x:v>
      </x:c>
      <x:c r="Q219" s="83" t="n">
        <x:v>3</x:v>
      </x:c>
      <x:c r="R219" s="83" t="str">
        <x:v>B</x:v>
      </x:c>
      <x:c r="S219" s="83" t="str">
        <x:v>Approved</x:v>
      </x:c>
      <x:c r="T219" s="83" t="str">
        <x:v>Active</x:v>
      </x:c>
      <x:c r="U219" s="83" t="n">
        <x:v>1</x:v>
      </x:c>
      <x:c r="V219" s="83" t="str">
        <x:v>LCSW-ALT-056</x:v>
      </x:c>
      <x:c r="W219" s="83" t="str">
        <x:v>No additional flag</x:v>
      </x:c>
      <x:c r="X219" s="83" t="str">
        <x:v>No structural flag</x:v>
      </x:c>
      <x:c r="Y219" s="83" t="str">
        <x:v>Not Yet Reviewed</x:v>
      </x:c>
      <x:c r="Z219" s="83" t="str">
        <x:v>CTA LCSW WB10; CTA LCSW WB11; ASWB 2026 Clinical Content Area III</x:v>
      </x:c>
      <x:c r="AA219" s="83" t="str">
        <x:v>CTA_LCSW_2026_Comprehensive_Simulation_Form_A_Answer_Key_and_Detailed_Rationales_v1.0.docx</x:v>
      </x:c>
      <x:c r="AB219" s="83" t="str">
        <x:v>1.0</x:v>
      </x:c>
      <x:c r="AC219" s="102"/>
      <x:c r="AD219" s="102" t="n">
        <x:v>46228</x:v>
      </x:c>
      <x:c r="AE219" s="83" t="str">
        <x:v>Approved for Form A</x:v>
      </x:c>
      <x:c r="AF219" s="89" t="str">
        <x:v>Form A only; paired alternate retained on the other comprehensive form</x:v>
      </x:c>
    </x:row>
    <x:row r="220">
      <x:c r="A220" s="88" t="str">
        <x:v>CTA-LCSW-MQB-0219</x:v>
      </x:c>
      <x:c r="B220" s="83" t="str">
        <x:v>LCSW-MQB-FA-AP-009</x:v>
      </x:c>
      <x:c r="C220" s="83" t="str">
        <x:v>LCSW</x:v>
      </x:c>
      <x:c r="D220" s="83" t="str">
        <x:v>Comprehensive Simulation</x:v>
      </x:c>
      <x:c r="E220" s="83"/>
      <x:c r="F220" s="83"/>
      <x:c r="G220" s="83" t="str">
        <x:v>Form A</x:v>
      </x:c>
      <x:c r="H220" s="83" t="n">
        <x:v>15</x:v>
      </x:c>
      <x:c r="I220" s="83" t="str">
        <x:v>Scored-Style</x:v>
      </x:c>
      <x:c r="J220" s="83" t="str">
        <x:v>II. Assessment and Planning</x:v>
      </x:c>
      <x:c r="K220" s="83" t="str">
        <x:v>Developmental context</x:v>
      </x:c>
      <x:c r="L220" s="83" t="str"/>
      <x:c r="M220" s="83" t="str">
        <x:v>Easy</x:v>
      </x:c>
      <x:c r="N220" s="83" t="str">
        <x:v>Easy</x:v>
      </x:c>
      <x:c r="O220" s="83" t="str">
        <x:v>Application</x:v>
      </x:c>
      <x:c r="P220" s="83" t="str">
        <x:v>Application</x:v>
      </x:c>
      <x:c r="Q220" s="83" t="n">
        <x:v>3</x:v>
      </x:c>
      <x:c r="R220" s="83" t="str">
        <x:v>C</x:v>
      </x:c>
      <x:c r="S220" s="83" t="str">
        <x:v>Approved</x:v>
      </x:c>
      <x:c r="T220" s="83" t="str">
        <x:v>Active</x:v>
      </x:c>
      <x:c r="U220" s="83" t="n">
        <x:v>1</x:v>
      </x:c>
      <x:c r="V220" s="83" t="str">
        <x:v>LCSW-ALT-009</x:v>
      </x:c>
      <x:c r="W220" s="83" t="str">
        <x:v>No additional flag</x:v>
      </x:c>
      <x:c r="X220" s="83" t="str">
        <x:v>No structural flag</x:v>
      </x:c>
      <x:c r="Y220" s="83" t="str">
        <x:v>Not Yet Reviewed</x:v>
      </x:c>
      <x:c r="Z220" s="83" t="str">
        <x:v>CTA LCSW WB3–WB7; ASWB 2026 Clinical Content Area II</x:v>
      </x:c>
      <x:c r="AA220" s="83" t="str">
        <x:v>CTA_LCSW_2026_Comprehensive_Simulation_Form_A_Answer_Key_and_Detailed_Rationales_v1.0.docx</x:v>
      </x:c>
      <x:c r="AB220" s="83" t="str">
        <x:v>1.0</x:v>
      </x:c>
      <x:c r="AC220" s="102"/>
      <x:c r="AD220" s="102" t="n">
        <x:v>46228</x:v>
      </x:c>
      <x:c r="AE220" s="83" t="str">
        <x:v>Approved for Form A</x:v>
      </x:c>
      <x:c r="AF220" s="89" t="str">
        <x:v>Form A only; paired alternate retained on the other comprehensive form</x:v>
      </x:c>
    </x:row>
    <x:row r="221">
      <x:c r="A221" s="88" t="str">
        <x:v>CTA-LCSW-MQB-0220</x:v>
      </x:c>
      <x:c r="B221" s="83" t="str">
        <x:v>LCSW-MQB-FA-VE-039</x:v>
      </x:c>
      <x:c r="C221" s="83" t="str">
        <x:v>LCSW</x:v>
      </x:c>
      <x:c r="D221" s="83" t="str">
        <x:v>Comprehensive Simulation</x:v>
      </x:c>
      <x:c r="E221" s="83"/>
      <x:c r="F221" s="83"/>
      <x:c r="G221" s="83" t="str">
        <x:v>Form A</x:v>
      </x:c>
      <x:c r="H221" s="83" t="n">
        <x:v>16</x:v>
      </x:c>
      <x:c r="I221" s="83" t="str">
        <x:v>Scored-Style</x:v>
      </x:c>
      <x:c r="J221" s="83" t="str">
        <x:v>I. Values and Ethics</x:v>
      </x:c>
      <x:c r="K221" s="83" t="str">
        <x:v>Cultural values and autonomy</x:v>
      </x:c>
      <x:c r="L221" s="83" t="str"/>
      <x:c r="M221" s="83" t="str">
        <x:v>Difficult</x:v>
      </x:c>
      <x:c r="N221" s="83" t="str">
        <x:v>Difficult</x:v>
      </x:c>
      <x:c r="O221" s="83" t="str">
        <x:v>Integrated reasoning</x:v>
      </x:c>
      <x:c r="P221" s="83" t="str">
        <x:v>Integrated Clinical Reasoning</x:v>
      </x:c>
      <x:c r="Q221" s="83" t="n">
        <x:v>4</x:v>
      </x:c>
      <x:c r="R221" s="83" t="str">
        <x:v>D</x:v>
      </x:c>
      <x:c r="S221" s="83" t="str">
        <x:v>Approved</x:v>
      </x:c>
      <x:c r="T221" s="83" t="str">
        <x:v>Active</x:v>
      </x:c>
      <x:c r="U221" s="83" t="n">
        <x:v>1</x:v>
      </x:c>
      <x:c r="V221" s="83" t="str">
        <x:v>LCSW-ALT-117</x:v>
      </x:c>
      <x:c r="W221" s="83" t="str">
        <x:v>No additional flag</x:v>
      </x:c>
      <x:c r="X221" s="83" t="str">
        <x:v>No structural flag</x:v>
      </x:c>
      <x:c r="Y221" s="83" t="str">
        <x:v>Not Yet Reviewed</x:v>
      </x:c>
      <x:c r="Z221" s="83" t="str">
        <x:v>CTA LCSW WB2; ASWB 2026 Clinical Content Area I</x:v>
      </x:c>
      <x:c r="AA221" s="83" t="str">
        <x:v>CTA_LCSW_2026_Comprehensive_Simulation_Form_A_Answer_Key_and_Detailed_Rationales_v1.0.docx</x:v>
      </x:c>
      <x:c r="AB221" s="83" t="str">
        <x:v>1.0</x:v>
      </x:c>
      <x:c r="AC221" s="102"/>
      <x:c r="AD221" s="102" t="n">
        <x:v>46228</x:v>
      </x:c>
      <x:c r="AE221" s="83" t="str">
        <x:v>Approved for Form A</x:v>
      </x:c>
      <x:c r="AF221" s="89" t="str">
        <x:v>Form A only; paired alternate retained on the other comprehensive form</x:v>
      </x:c>
    </x:row>
    <x:row r="222">
      <x:c r="A222" s="88" t="str">
        <x:v>CTA-LCSW-MQB-0221</x:v>
      </x:c>
      <x:c r="B222" s="83" t="str">
        <x:v>LCSW-MQB-FA-VE-030</x:v>
      </x:c>
      <x:c r="C222" s="83" t="str">
        <x:v>LCSW</x:v>
      </x:c>
      <x:c r="D222" s="83" t="str">
        <x:v>Comprehensive Simulation</x:v>
      </x:c>
      <x:c r="E222" s="83"/>
      <x:c r="F222" s="83"/>
      <x:c r="G222" s="83" t="str">
        <x:v>Form A</x:v>
      </x:c>
      <x:c r="H222" s="83" t="n">
        <x:v>17</x:v>
      </x:c>
      <x:c r="I222" s="83" t="str">
        <x:v>Scored-Style</x:v>
      </x:c>
      <x:c r="J222" s="83" t="str">
        <x:v>I. Values and Ethics</x:v>
      </x:c>
      <x:c r="K222" s="83" t="str">
        <x:v>Supervisor impairment</x:v>
      </x:c>
      <x:c r="L222" s="83" t="str"/>
      <x:c r="M222" s="83" t="str">
        <x:v>Moderate</x:v>
      </x:c>
      <x:c r="N222" s="83" t="str">
        <x:v>Moderate</x:v>
      </x:c>
      <x:c r="O222" s="83" t="str">
        <x:v>Scenario-based reasoning</x:v>
      </x:c>
      <x:c r="P222" s="83" t="str">
        <x:v>Scenario-Based</x:v>
      </x:c>
      <x:c r="Q222" s="83" t="n">
        <x:v>4</x:v>
      </x:c>
      <x:c r="R222" s="83" t="str">
        <x:v>D</x:v>
      </x:c>
      <x:c r="S222" s="83" t="str">
        <x:v>Approved</x:v>
      </x:c>
      <x:c r="T222" s="83" t="str">
        <x:v>Active</x:v>
      </x:c>
      <x:c r="U222" s="83" t="n">
        <x:v>1</x:v>
      </x:c>
      <x:c r="V222" s="83" t="str">
        <x:v>LCSW-ALT-108</x:v>
      </x:c>
      <x:c r="W222" s="83" t="str">
        <x:v>No additional flag</x:v>
      </x:c>
      <x:c r="X222" s="83" t="str">
        <x:v>No structural flag</x:v>
      </x:c>
      <x:c r="Y222" s="83" t="str">
        <x:v>Not Yet Reviewed</x:v>
      </x:c>
      <x:c r="Z222" s="83" t="str">
        <x:v>CTA LCSW WB2; CTA LCSW WB12; ASWB 2026 Clinical Content Area I</x:v>
      </x:c>
      <x:c r="AA222" s="83" t="str">
        <x:v>CTA_LCSW_2026_Comprehensive_Simulation_Form_A_Answer_Key_and_Detailed_Rationales_v1.0.docx</x:v>
      </x:c>
      <x:c r="AB222" s="83" t="str">
        <x:v>1.0</x:v>
      </x:c>
      <x:c r="AC222" s="102"/>
      <x:c r="AD222" s="102" t="n">
        <x:v>46228</x:v>
      </x:c>
      <x:c r="AE222" s="83" t="str">
        <x:v>Approved for Form A</x:v>
      </x:c>
      <x:c r="AF222" s="89" t="str">
        <x:v>Form A only; paired alternate retained on the other comprehensive form</x:v>
      </x:c>
    </x:row>
    <x:row r="223">
      <x:c r="A223" s="88" t="str">
        <x:v>CTA-LCSW-MQB-0222</x:v>
      </x:c>
      <x:c r="B223" s="83" t="str">
        <x:v>LCSW-MQB-FA-IP-002</x:v>
      </x:c>
      <x:c r="C223" s="83" t="str">
        <x:v>LCSW</x:v>
      </x:c>
      <x:c r="D223" s="83" t="str">
        <x:v>Comprehensive Simulation</x:v>
      </x:c>
      <x:c r="E223" s="83"/>
      <x:c r="F223" s="83"/>
      <x:c r="G223" s="83" t="str">
        <x:v>Form A</x:v>
      </x:c>
      <x:c r="H223" s="83" t="n">
        <x:v>18</x:v>
      </x:c>
      <x:c r="I223" s="83" t="str">
        <x:v>Scored-Style</x:v>
      </x:c>
      <x:c r="J223" s="83" t="str">
        <x:v>III. Intervention and Practice</x:v>
      </x:c>
      <x:c r="K223" s="83" t="str">
        <x:v>Program evaluation</x:v>
      </x:c>
      <x:c r="L223" s="83" t="str"/>
      <x:c r="M223" s="83" t="str">
        <x:v>Easy</x:v>
      </x:c>
      <x:c r="N223" s="83" t="str">
        <x:v>Easy</x:v>
      </x:c>
      <x:c r="O223" s="83" t="str">
        <x:v>Direct recognition</x:v>
      </x:c>
      <x:c r="P223" s="83" t="str">
        <x:v>Knowledge &amp; Recall</x:v>
      </x:c>
      <x:c r="Q223" s="83" t="n">
        <x:v>3</x:v>
      </x:c>
      <x:c r="R223" s="83" t="str">
        <x:v>C</x:v>
      </x:c>
      <x:c r="S223" s="83" t="str">
        <x:v>Approved</x:v>
      </x:c>
      <x:c r="T223" s="83" t="str">
        <x:v>Active</x:v>
      </x:c>
      <x:c r="U223" s="83" t="n">
        <x:v>1</x:v>
      </x:c>
      <x:c r="V223" s="83" t="str">
        <x:v>LCSW-ALT-041</x:v>
      </x:c>
      <x:c r="W223" s="83" t="str">
        <x:v>No additional flag</x:v>
      </x:c>
      <x:c r="X223" s="83" t="str">
        <x:v>No structural flag</x:v>
      </x:c>
      <x:c r="Y223" s="83" t="str">
        <x:v>Not Yet Reviewed</x:v>
      </x:c>
      <x:c r="Z223" s="83" t="str">
        <x:v>CTA LCSW WB10; CTA LCSW WB11; ASWB 2026 Clinical Content Area III</x:v>
      </x:c>
      <x:c r="AA223" s="83" t="str">
        <x:v>CTA_LCSW_2026_Comprehensive_Simulation_Form_A_Answer_Key_and_Detailed_Rationales_v1.0.docx</x:v>
      </x:c>
      <x:c r="AB223" s="83" t="str">
        <x:v>1.0</x:v>
      </x:c>
      <x:c r="AC223" s="102"/>
      <x:c r="AD223" s="102" t="n">
        <x:v>46228</x:v>
      </x:c>
      <x:c r="AE223" s="83" t="str">
        <x:v>Approved for Form A</x:v>
      </x:c>
      <x:c r="AF223" s="89" t="str">
        <x:v>Form A only; paired alternate retained on the other comprehensive form</x:v>
      </x:c>
    </x:row>
    <x:row r="224">
      <x:c r="A224" s="88" t="str">
        <x:v>CTA-LCSW-MQB-0223</x:v>
      </x:c>
      <x:c r="B224" s="83" t="str">
        <x:v>LCSW-MQB-FA-IP-028</x:v>
      </x:c>
      <x:c r="C224" s="83" t="str">
        <x:v>LCSW</x:v>
      </x:c>
      <x:c r="D224" s="83" t="str">
        <x:v>Comprehensive Simulation</x:v>
      </x:c>
      <x:c r="E224" s="83"/>
      <x:c r="F224" s="83"/>
      <x:c r="G224" s="83" t="str">
        <x:v>Form A</x:v>
      </x:c>
      <x:c r="H224" s="83" t="n">
        <x:v>19</x:v>
      </x:c>
      <x:c r="I224" s="83" t="str">
        <x:v>Scored-Style</x:v>
      </x:c>
      <x:c r="J224" s="83" t="str">
        <x:v>III. Intervention and Practice</x:v>
      </x:c>
      <x:c r="K224" s="83" t="str">
        <x:v>Hospital discharge advocacy</x:v>
      </x:c>
      <x:c r="L224" s="83" t="str"/>
      <x:c r="M224" s="83" t="str">
        <x:v>Moderate</x:v>
      </x:c>
      <x:c r="N224" s="83" t="str">
        <x:v>Moderate</x:v>
      </x:c>
      <x:c r="O224" s="83" t="str">
        <x:v>Scenario-based reasoning</x:v>
      </x:c>
      <x:c r="P224" s="83" t="str">
        <x:v>Scenario-Based</x:v>
      </x:c>
      <x:c r="Q224" s="83" t="n">
        <x:v>4</x:v>
      </x:c>
      <x:c r="R224" s="83" t="str">
        <x:v>A</x:v>
      </x:c>
      <x:c r="S224" s="83" t="str">
        <x:v>Approved</x:v>
      </x:c>
      <x:c r="T224" s="83" t="str">
        <x:v>Active</x:v>
      </x:c>
      <x:c r="U224" s="83" t="n">
        <x:v>1</x:v>
      </x:c>
      <x:c r="V224" s="83" t="str">
        <x:v>LCSW-ALT-067</x:v>
      </x:c>
      <x:c r="W224" s="83" t="str">
        <x:v>No additional flag</x:v>
      </x:c>
      <x:c r="X224" s="83" t="str">
        <x:v>No structural flag</x:v>
      </x:c>
      <x:c r="Y224" s="83" t="str">
        <x:v>Not Yet Reviewed</x:v>
      </x:c>
      <x:c r="Z224" s="83" t="str">
        <x:v>CTA LCSW WB10; CTA LCSW WB11; ASWB 2026 Clinical Content Area III</x:v>
      </x:c>
      <x:c r="AA224" s="83" t="str">
        <x:v>CTA_LCSW_2026_Comprehensive_Simulation_Form_A_Answer_Key_and_Detailed_Rationales_v1.0.docx</x:v>
      </x:c>
      <x:c r="AB224" s="83" t="str">
        <x:v>1.0</x:v>
      </x:c>
      <x:c r="AC224" s="102"/>
      <x:c r="AD224" s="102" t="n">
        <x:v>46228</x:v>
      </x:c>
      <x:c r="AE224" s="83" t="str">
        <x:v>Approved for Form A</x:v>
      </x:c>
      <x:c r="AF224" s="89" t="str">
        <x:v>Form A only; paired alternate retained on the other comprehensive form</x:v>
      </x:c>
    </x:row>
    <x:row r="225">
      <x:c r="A225" s="88" t="str">
        <x:v>CTA-LCSW-MQB-0224</x:v>
      </x:c>
      <x:c r="B225" s="83" t="str">
        <x:v>LCSW-MQB-FA-AP-035</x:v>
      </x:c>
      <x:c r="C225" s="83" t="str">
        <x:v>LCSW</x:v>
      </x:c>
      <x:c r="D225" s="83" t="str">
        <x:v>Comprehensive Simulation</x:v>
      </x:c>
      <x:c r="E225" s="83"/>
      <x:c r="F225" s="83"/>
      <x:c r="G225" s="83" t="str">
        <x:v>Form A</x:v>
      </x:c>
      <x:c r="H225" s="83" t="n">
        <x:v>20</x:v>
      </x:c>
      <x:c r="I225" s="83" t="str">
        <x:v>Scored-Style</x:v>
      </x:c>
      <x:c r="J225" s="83" t="str">
        <x:v>II. Assessment and Planning</x:v>
      </x:c>
      <x:c r="K225" s="83" t="str">
        <x:v>Suicide, substance use, and housing</x:v>
      </x:c>
      <x:c r="L225" s="83" t="str"/>
      <x:c r="M225" s="83" t="str">
        <x:v>Difficult</x:v>
      </x:c>
      <x:c r="N225" s="83" t="str">
        <x:v>Difficult</x:v>
      </x:c>
      <x:c r="O225" s="83" t="str">
        <x:v>Integrated reasoning</x:v>
      </x:c>
      <x:c r="P225" s="83" t="str">
        <x:v>Integrated Clinical Reasoning</x:v>
      </x:c>
      <x:c r="Q225" s="83" t="n">
        <x:v>4</x:v>
      </x:c>
      <x:c r="R225" s="83" t="str">
        <x:v>A</x:v>
      </x:c>
      <x:c r="S225" s="83" t="str">
        <x:v>Approved</x:v>
      </x:c>
      <x:c r="T225" s="83" t="str">
        <x:v>Active</x:v>
      </x:c>
      <x:c r="U225" s="83" t="n">
        <x:v>1</x:v>
      </x:c>
      <x:c r="V225" s="83" t="str">
        <x:v>LCSW-ALT-035</x:v>
      </x:c>
      <x:c r="W225" s="83" t="str">
        <x:v>No additional flag</x:v>
      </x:c>
      <x:c r="X225" s="83" t="str">
        <x:v>No structural flag</x:v>
      </x:c>
      <x:c r="Y225" s="83" t="str">
        <x:v>Not Yet Reviewed</x:v>
      </x:c>
      <x:c r="Z225" s="83" t="str">
        <x:v>CTA LCSW WB6; ASWB 2026 Clinical Content Area II</x:v>
      </x:c>
      <x:c r="AA225" s="83" t="str">
        <x:v>CTA_LCSW_2026_Comprehensive_Simulation_Form_A_Answer_Key_and_Detailed_Rationales_v1.0.docx</x:v>
      </x:c>
      <x:c r="AB225" s="83" t="str">
        <x:v>1.0</x:v>
      </x:c>
      <x:c r="AC225" s="102"/>
      <x:c r="AD225" s="102" t="n">
        <x:v>46228</x:v>
      </x:c>
      <x:c r="AE225" s="83" t="str">
        <x:v>Approved for Form A</x:v>
      </x:c>
      <x:c r="AF225" s="89" t="str">
        <x:v>Form A only; paired alternate retained on the other comprehensive form</x:v>
      </x:c>
    </x:row>
    <x:row r="226">
      <x:c r="A226" s="88" t="str">
        <x:v>CTA-LCSW-MQB-0225</x:v>
      </x:c>
      <x:c r="B226" s="83" t="str">
        <x:v>LCSW-MQB-FA-AP-020</x:v>
      </x:c>
      <x:c r="C226" s="83" t="str">
        <x:v>LCSW</x:v>
      </x:c>
      <x:c r="D226" s="83" t="str">
        <x:v>Comprehensive Simulation</x:v>
      </x:c>
      <x:c r="E226" s="83"/>
      <x:c r="F226" s="83"/>
      <x:c r="G226" s="83" t="str">
        <x:v>Form A</x:v>
      </x:c>
      <x:c r="H226" s="83" t="n">
        <x:v>21</x:v>
      </x:c>
      <x:c r="I226" s="83" t="str">
        <x:v>Scored-Style</x:v>
      </x:c>
      <x:c r="J226" s="83" t="str">
        <x:v>II. Assessment and Planning</x:v>
      </x:c>
      <x:c r="K226" s="83" t="str">
        <x:v>Collaborative goals</x:v>
      </x:c>
      <x:c r="L226" s="83" t="str"/>
      <x:c r="M226" s="83" t="str">
        <x:v>Moderate</x:v>
      </x:c>
      <x:c r="N226" s="83" t="str">
        <x:v>Moderate</x:v>
      </x:c>
      <x:c r="O226" s="83" t="str">
        <x:v>Application</x:v>
      </x:c>
      <x:c r="P226" s="83" t="str">
        <x:v>Application</x:v>
      </x:c>
      <x:c r="Q226" s="83" t="n">
        <x:v>3</x:v>
      </x:c>
      <x:c r="R226" s="83" t="str">
        <x:v>A</x:v>
      </x:c>
      <x:c r="S226" s="83" t="str">
        <x:v>Approved</x:v>
      </x:c>
      <x:c r="T226" s="83" t="str">
        <x:v>Active</x:v>
      </x:c>
      <x:c r="U226" s="83" t="n">
        <x:v>1</x:v>
      </x:c>
      <x:c r="V226" s="83" t="str">
        <x:v>LCSW-ALT-020</x:v>
      </x:c>
      <x:c r="W226" s="83" t="str">
        <x:v>No additional flag</x:v>
      </x:c>
      <x:c r="X226" s="83" t="str">
        <x:v>No structural flag</x:v>
      </x:c>
      <x:c r="Y226" s="83" t="str">
        <x:v>Not Yet Reviewed</x:v>
      </x:c>
      <x:c r="Z226" s="83" t="str">
        <x:v>CTA LCSW WB3–WB7; ASWB 2026 Clinical Content Area II</x:v>
      </x:c>
      <x:c r="AA226" s="83" t="str">
        <x:v>CTA_LCSW_2026_Comprehensive_Simulation_Form_A_Answer_Key_and_Detailed_Rationales_v1.0.docx</x:v>
      </x:c>
      <x:c r="AB226" s="83" t="str">
        <x:v>1.0</x:v>
      </x:c>
      <x:c r="AC226" s="102"/>
      <x:c r="AD226" s="102" t="n">
        <x:v>46228</x:v>
      </x:c>
      <x:c r="AE226" s="83" t="str">
        <x:v>Approved for Form A</x:v>
      </x:c>
      <x:c r="AF226" s="89" t="str">
        <x:v>Form A only; paired alternate retained on the other comprehensive form</x:v>
      </x:c>
    </x:row>
    <x:row r="227">
      <x:c r="A227" s="88" t="str">
        <x:v>CTA-LCSW-MQB-0226</x:v>
      </x:c>
      <x:c r="B227" s="83" t="str">
        <x:v>LCSW-MQB-FA-VE-014</x:v>
      </x:c>
      <x:c r="C227" s="83" t="str">
        <x:v>LCSW</x:v>
      </x:c>
      <x:c r="D227" s="83" t="str">
        <x:v>Comprehensive Simulation</x:v>
      </x:c>
      <x:c r="E227" s="83"/>
      <x:c r="F227" s="83"/>
      <x:c r="G227" s="83" t="str">
        <x:v>Form A</x:v>
      </x:c>
      <x:c r="H227" s="83" t="n">
        <x:v>22</x:v>
      </x:c>
      <x:c r="I227" s="83" t="str">
        <x:v>Scored-Style</x:v>
      </x:c>
      <x:c r="J227" s="83" t="str">
        <x:v>I. Values and Ethics</x:v>
      </x:c>
      <x:c r="K227" s="83" t="str">
        <x:v>Record correction</x:v>
      </x:c>
      <x:c r="L227" s="83" t="str"/>
      <x:c r="M227" s="83" t="str">
        <x:v>Moderate</x:v>
      </x:c>
      <x:c r="N227" s="83" t="str">
        <x:v>Moderate</x:v>
      </x:c>
      <x:c r="O227" s="83" t="str">
        <x:v>Application</x:v>
      </x:c>
      <x:c r="P227" s="83" t="str">
        <x:v>Application</x:v>
      </x:c>
      <x:c r="Q227" s="83" t="n">
        <x:v>3</x:v>
      </x:c>
      <x:c r="R227" s="83" t="str">
        <x:v>B</x:v>
      </x:c>
      <x:c r="S227" s="83" t="str">
        <x:v>Approved</x:v>
      </x:c>
      <x:c r="T227" s="83" t="str">
        <x:v>Active</x:v>
      </x:c>
      <x:c r="U227" s="83" t="n">
        <x:v>1</x:v>
      </x:c>
      <x:c r="V227" s="83" t="str">
        <x:v>LCSW-ALT-092</x:v>
      </x:c>
      <x:c r="W227" s="83" t="str">
        <x:v>No additional flag</x:v>
      </x:c>
      <x:c r="X227" s="83" t="str">
        <x:v>No structural flag</x:v>
      </x:c>
      <x:c r="Y227" s="83" t="str">
        <x:v>Not Yet Reviewed</x:v>
      </x:c>
      <x:c r="Z227" s="83" t="str">
        <x:v>CTA LCSW WB2; CTA LCSW WB12; ASWB 2026 Clinical Content Area I</x:v>
      </x:c>
      <x:c r="AA227" s="83" t="str">
        <x:v>CTA_LCSW_2026_Comprehensive_Simulation_Form_A_Answer_Key_and_Detailed_Rationales_v1.0.docx</x:v>
      </x:c>
      <x:c r="AB227" s="83" t="str">
        <x:v>1.0</x:v>
      </x:c>
      <x:c r="AC227" s="102"/>
      <x:c r="AD227" s="102" t="n">
        <x:v>46228</x:v>
      </x:c>
      <x:c r="AE227" s="83" t="str">
        <x:v>Approved for Form A</x:v>
      </x:c>
      <x:c r="AF227" s="89" t="str">
        <x:v>Form A only; paired alternate retained on the other comprehensive form</x:v>
      </x:c>
    </x:row>
    <x:row r="228">
      <x:c r="A228" s="88" t="str">
        <x:v>CTA-LCSW-MQB-0227</x:v>
      </x:c>
      <x:c r="B228" s="83" t="str">
        <x:v>LCSW-MQB-FA-IP-030</x:v>
      </x:c>
      <x:c r="C228" s="83" t="str">
        <x:v>LCSW</x:v>
      </x:c>
      <x:c r="D228" s="83" t="str">
        <x:v>Comprehensive Simulation</x:v>
      </x:c>
      <x:c r="E228" s="83"/>
      <x:c r="F228" s="83"/>
      <x:c r="G228" s="83" t="str">
        <x:v>Form A</x:v>
      </x:c>
      <x:c r="H228" s="83" t="n">
        <x:v>23</x:v>
      </x:c>
      <x:c r="I228" s="83" t="str">
        <x:v>Scored-Style</x:v>
      </x:c>
      <x:c r="J228" s="83" t="str">
        <x:v>III. Intervention and Practice</x:v>
      </x:c>
      <x:c r="K228" s="83" t="str">
        <x:v>Caregiver support</x:v>
      </x:c>
      <x:c r="L228" s="83" t="str"/>
      <x:c r="M228" s="83" t="str">
        <x:v>Difficult</x:v>
      </x:c>
      <x:c r="N228" s="83" t="str">
        <x:v>Difficult</x:v>
      </x:c>
      <x:c r="O228" s="83" t="str">
        <x:v>Scenario-based reasoning</x:v>
      </x:c>
      <x:c r="P228" s="83" t="str">
        <x:v>Scenario-Based</x:v>
      </x:c>
      <x:c r="Q228" s="83" t="n">
        <x:v>4</x:v>
      </x:c>
      <x:c r="R228" s="83" t="str">
        <x:v>A</x:v>
      </x:c>
      <x:c r="S228" s="83" t="str">
        <x:v>Approved</x:v>
      </x:c>
      <x:c r="T228" s="83" t="str">
        <x:v>Active</x:v>
      </x:c>
      <x:c r="U228" s="83" t="n">
        <x:v>1</x:v>
      </x:c>
      <x:c r="V228" s="83" t="str">
        <x:v>LCSW-ALT-069</x:v>
      </x:c>
      <x:c r="W228" s="83" t="str">
        <x:v>No additional flag</x:v>
      </x:c>
      <x:c r="X228" s="83" t="str">
        <x:v>No structural flag</x:v>
      </x:c>
      <x:c r="Y228" s="83" t="str">
        <x:v>Not Yet Reviewed</x:v>
      </x:c>
      <x:c r="Z228" s="83" t="str">
        <x:v>CTA LCSW WB8–WB11; ASWB 2026 Clinical Content Area III</x:v>
      </x:c>
      <x:c r="AA228" s="83" t="str">
        <x:v>CTA_LCSW_2026_Comprehensive_Simulation_Form_A_Answer_Key_and_Detailed_Rationales_v1.0.docx</x:v>
      </x:c>
      <x:c r="AB228" s="83" t="str">
        <x:v>1.0</x:v>
      </x:c>
      <x:c r="AC228" s="102"/>
      <x:c r="AD228" s="102" t="n">
        <x:v>46228</x:v>
      </x:c>
      <x:c r="AE228" s="83" t="str">
        <x:v>Approved for Form A</x:v>
      </x:c>
      <x:c r="AF228" s="89" t="str">
        <x:v>Form A only; paired alternate retained on the other comprehensive form</x:v>
      </x:c>
    </x:row>
    <x:row r="229">
      <x:c r="A229" s="88" t="str">
        <x:v>CTA-LCSW-MQB-0228</x:v>
      </x:c>
      <x:c r="B229" s="83" t="str">
        <x:v>LCSW-MQB-FA-VE-010</x:v>
      </x:c>
      <x:c r="C229" s="83" t="str">
        <x:v>LCSW</x:v>
      </x:c>
      <x:c r="D229" s="83" t="str">
        <x:v>Comprehensive Simulation</x:v>
      </x:c>
      <x:c r="E229" s="83"/>
      <x:c r="F229" s="83"/>
      <x:c r="G229" s="83" t="str">
        <x:v>Form A</x:v>
      </x:c>
      <x:c r="H229" s="83" t="n">
        <x:v>24</x:v>
      </x:c>
      <x:c r="I229" s="83" t="str">
        <x:v>Scored-Style</x:v>
      </x:c>
      <x:c r="J229" s="83" t="str">
        <x:v>I. Values and Ethics</x:v>
      </x:c>
      <x:c r="K229" s="83" t="str">
        <x:v>Accurate documentation</x:v>
      </x:c>
      <x:c r="L229" s="83" t="str"/>
      <x:c r="M229" s="83" t="str">
        <x:v>Easy</x:v>
      </x:c>
      <x:c r="N229" s="83" t="str">
        <x:v>Easy</x:v>
      </x:c>
      <x:c r="O229" s="83" t="str">
        <x:v>Application</x:v>
      </x:c>
      <x:c r="P229" s="83" t="str">
        <x:v>Application</x:v>
      </x:c>
      <x:c r="Q229" s="83" t="n">
        <x:v>3</x:v>
      </x:c>
      <x:c r="R229" s="83" t="str">
        <x:v>B</x:v>
      </x:c>
      <x:c r="S229" s="83" t="str">
        <x:v>Approved</x:v>
      </x:c>
      <x:c r="T229" s="83" t="str">
        <x:v>Active</x:v>
      </x:c>
      <x:c r="U229" s="83" t="n">
        <x:v>1</x:v>
      </x:c>
      <x:c r="V229" s="83" t="str">
        <x:v>LCSW-ALT-088</x:v>
      </x:c>
      <x:c r="W229" s="83" t="str">
        <x:v>No additional flag</x:v>
      </x:c>
      <x:c r="X229" s="83" t="str">
        <x:v>No structural flag</x:v>
      </x:c>
      <x:c r="Y229" s="83" t="str">
        <x:v>Not Yet Reviewed</x:v>
      </x:c>
      <x:c r="Z229" s="83" t="str">
        <x:v>CTA LCSW WB2; CTA LCSW WB12; ASWB 2026 Clinical Content Area I</x:v>
      </x:c>
      <x:c r="AA229" s="83" t="str">
        <x:v>CTA_LCSW_2026_Comprehensive_Simulation_Form_A_Answer_Key_and_Detailed_Rationales_v1.0.docx</x:v>
      </x:c>
      <x:c r="AB229" s="83" t="str">
        <x:v>1.0</x:v>
      </x:c>
      <x:c r="AC229" s="102"/>
      <x:c r="AD229" s="102" t="n">
        <x:v>46228</x:v>
      </x:c>
      <x:c r="AE229" s="83" t="str">
        <x:v>Approved for Form A</x:v>
      </x:c>
      <x:c r="AF229" s="89" t="str">
        <x:v>Form A only; paired alternate retained on the other comprehensive form</x:v>
      </x:c>
    </x:row>
    <x:row r="230">
      <x:c r="A230" s="88" t="str">
        <x:v>CTA-LCSW-MQB-0229</x:v>
      </x:c>
      <x:c r="B230" s="83" t="str">
        <x:v>LCSW-MQB-FA-AP-013</x:v>
      </x:c>
      <x:c r="C230" s="83" t="str">
        <x:v>LCSW</x:v>
      </x:c>
      <x:c r="D230" s="83" t="str">
        <x:v>Comprehensive Simulation</x:v>
      </x:c>
      <x:c r="E230" s="83"/>
      <x:c r="F230" s="83"/>
      <x:c r="G230" s="83" t="str">
        <x:v>Form A</x:v>
      </x:c>
      <x:c r="H230" s="83" t="n">
        <x:v>25</x:v>
      </x:c>
      <x:c r="I230" s="83" t="str">
        <x:v>Scored-Style</x:v>
      </x:c>
      <x:c r="J230" s="83" t="str">
        <x:v>II. Assessment and Planning</x:v>
      </x:c>
      <x:c r="K230" s="83" t="str">
        <x:v>Screening measure limits</x:v>
      </x:c>
      <x:c r="L230" s="83" t="str"/>
      <x:c r="M230" s="83" t="str">
        <x:v>Moderate</x:v>
      </x:c>
      <x:c r="N230" s="83" t="str">
        <x:v>Moderate</x:v>
      </x:c>
      <x:c r="O230" s="83" t="str">
        <x:v>Application</x:v>
      </x:c>
      <x:c r="P230" s="83" t="str">
        <x:v>Application</x:v>
      </x:c>
      <x:c r="Q230" s="83" t="n">
        <x:v>3</x:v>
      </x:c>
      <x:c r="R230" s="83" t="str">
        <x:v>B</x:v>
      </x:c>
      <x:c r="S230" s="83" t="str">
        <x:v>Approved</x:v>
      </x:c>
      <x:c r="T230" s="83" t="str">
        <x:v>Active</x:v>
      </x:c>
      <x:c r="U230" s="83" t="n">
        <x:v>1</x:v>
      </x:c>
      <x:c r="V230" s="83" t="str">
        <x:v>LCSW-ALT-013</x:v>
      </x:c>
      <x:c r="W230" s="83" t="str">
        <x:v>No additional flag</x:v>
      </x:c>
      <x:c r="X230" s="83" t="str">
        <x:v>No structural flag</x:v>
      </x:c>
      <x:c r="Y230" s="83" t="str">
        <x:v>Not Yet Reviewed</x:v>
      </x:c>
      <x:c r="Z230" s="83" t="str">
        <x:v>CTA LCSW WB3–WB7; ASWB 2026 Clinical Content Area II</x:v>
      </x:c>
      <x:c r="AA230" s="83" t="str">
        <x:v>CTA_LCSW_2026_Comprehensive_Simulation_Form_A_Answer_Key_and_Detailed_Rationales_v1.0.docx</x:v>
      </x:c>
      <x:c r="AB230" s="83" t="str">
        <x:v>1.0</x:v>
      </x:c>
      <x:c r="AC230" s="102"/>
      <x:c r="AD230" s="102" t="n">
        <x:v>46228</x:v>
      </x:c>
      <x:c r="AE230" s="83" t="str">
        <x:v>Approved for Form A</x:v>
      </x:c>
      <x:c r="AF230" s="89" t="str">
        <x:v>Form A only; paired alternate retained on the other comprehensive form</x:v>
      </x:c>
    </x:row>
    <x:row r="231">
      <x:c r="A231" s="88" t="str">
        <x:v>CTA-LCSW-MQB-0230</x:v>
      </x:c>
      <x:c r="B231" s="83" t="str">
        <x:v>LCSW-MQB-FA-AP-039</x:v>
      </x:c>
      <x:c r="C231" s="83" t="str">
        <x:v>LCSW</x:v>
      </x:c>
      <x:c r="D231" s="83" t="str">
        <x:v>Comprehensive Simulation</x:v>
      </x:c>
      <x:c r="E231" s="83"/>
      <x:c r="F231" s="83"/>
      <x:c r="G231" s="83" t="str">
        <x:v>Form A</x:v>
      </x:c>
      <x:c r="H231" s="83" t="n">
        <x:v>26</x:v>
      </x:c>
      <x:c r="I231" s="83" t="str">
        <x:v>Scored-Style</x:v>
      </x:c>
      <x:c r="J231" s="83" t="str">
        <x:v>II. Assessment and Planning</x:v>
      </x:c>
      <x:c r="K231" s="83" t="str">
        <x:v>Collaborative planning across systems</x:v>
      </x:c>
      <x:c r="L231" s="83" t="str"/>
      <x:c r="M231" s="83" t="str">
        <x:v>Difficult</x:v>
      </x:c>
      <x:c r="N231" s="83" t="str">
        <x:v>Difficult</x:v>
      </x:c>
      <x:c r="O231" s="83" t="str">
        <x:v>Integrated reasoning</x:v>
      </x:c>
      <x:c r="P231" s="83" t="str">
        <x:v>Integrated Clinical Reasoning</x:v>
      </x:c>
      <x:c r="Q231" s="83" t="n">
        <x:v>4</x:v>
      </x:c>
      <x:c r="R231" s="83" t="str">
        <x:v>C</x:v>
      </x:c>
      <x:c r="S231" s="83" t="str">
        <x:v>Approved</x:v>
      </x:c>
      <x:c r="T231" s="83" t="str">
        <x:v>Active</x:v>
      </x:c>
      <x:c r="U231" s="83" t="n">
        <x:v>1</x:v>
      </x:c>
      <x:c r="V231" s="83" t="str">
        <x:v>LCSW-ALT-039</x:v>
      </x:c>
      <x:c r="W231" s="83" t="str">
        <x:v>No additional flag</x:v>
      </x:c>
      <x:c r="X231" s="83" t="str">
        <x:v>No structural flag</x:v>
      </x:c>
      <x:c r="Y231" s="83" t="str">
        <x:v>Not Yet Reviewed</x:v>
      </x:c>
      <x:c r="Z231" s="83" t="str">
        <x:v>CTA LCSW WB3–WB7; ASWB 2026 Clinical Content Area II</x:v>
      </x:c>
      <x:c r="AA231" s="83" t="str">
        <x:v>CTA_LCSW_2026_Comprehensive_Simulation_Form_A_Answer_Key_and_Detailed_Rationales_v1.0.docx</x:v>
      </x:c>
      <x:c r="AB231" s="83" t="str">
        <x:v>1.0</x:v>
      </x:c>
      <x:c r="AC231" s="102"/>
      <x:c r="AD231" s="102" t="n">
        <x:v>46228</x:v>
      </x:c>
      <x:c r="AE231" s="83" t="str">
        <x:v>Approved for Form A</x:v>
      </x:c>
      <x:c r="AF231" s="89" t="str">
        <x:v>Form A only; paired alternate retained on the other comprehensive form</x:v>
      </x:c>
    </x:row>
    <x:row r="232">
      <x:c r="A232" s="88" t="str">
        <x:v>CTA-LCSW-MQB-0231</x:v>
      </x:c>
      <x:c r="B232" s="83" t="str">
        <x:v>LCSW-MQB-FA-VE-033</x:v>
      </x:c>
      <x:c r="C232" s="83" t="str">
        <x:v>LCSW</x:v>
      </x:c>
      <x:c r="D232" s="83" t="str">
        <x:v>Comprehensive Simulation</x:v>
      </x:c>
      <x:c r="E232" s="83"/>
      <x:c r="F232" s="83"/>
      <x:c r="G232" s="83" t="str">
        <x:v>Form A</x:v>
      </x:c>
      <x:c r="H232" s="83" t="n">
        <x:v>27</x:v>
      </x:c>
      <x:c r="I232" s="83" t="str">
        <x:v>Scored-Style</x:v>
      </x:c>
      <x:c r="J232" s="83" t="str">
        <x:v>I. Values and Ethics</x:v>
      </x:c>
      <x:c r="K232" s="83" t="str">
        <x:v>Dual-role pressure</x:v>
      </x:c>
      <x:c r="L232" s="83" t="str"/>
      <x:c r="M232" s="83" t="str">
        <x:v>Moderate</x:v>
      </x:c>
      <x:c r="N232" s="83" t="str">
        <x:v>Moderate</x:v>
      </x:c>
      <x:c r="O232" s="83" t="str">
        <x:v>Scenario-based reasoning</x:v>
      </x:c>
      <x:c r="P232" s="83" t="str">
        <x:v>Scenario-Based</x:v>
      </x:c>
      <x:c r="Q232" s="83" t="n">
        <x:v>4</x:v>
      </x:c>
      <x:c r="R232" s="83" t="str">
        <x:v>D</x:v>
      </x:c>
      <x:c r="S232" s="83" t="str">
        <x:v>Approved</x:v>
      </x:c>
      <x:c r="T232" s="83" t="str">
        <x:v>Active</x:v>
      </x:c>
      <x:c r="U232" s="83" t="n">
        <x:v>1</x:v>
      </x:c>
      <x:c r="V232" s="83" t="str">
        <x:v>LCSW-ALT-111</x:v>
      </x:c>
      <x:c r="W232" s="83" t="str">
        <x:v>No additional flag</x:v>
      </x:c>
      <x:c r="X232" s="83" t="str">
        <x:v>No structural flag</x:v>
      </x:c>
      <x:c r="Y232" s="83" t="str">
        <x:v>Not Yet Reviewed</x:v>
      </x:c>
      <x:c r="Z232" s="83" t="str">
        <x:v>CTA LCSW WB2; CTA LCSW WB12; ASWB 2026 Clinical Content Area I</x:v>
      </x:c>
      <x:c r="AA232" s="83" t="str">
        <x:v>CTA_LCSW_2026_Comprehensive_Simulation_Form_A_Answer_Key_and_Detailed_Rationales_v1.0.docx</x:v>
      </x:c>
      <x:c r="AB232" s="83" t="str">
        <x:v>1.0</x:v>
      </x:c>
      <x:c r="AC232" s="102"/>
      <x:c r="AD232" s="102" t="n">
        <x:v>46228</x:v>
      </x:c>
      <x:c r="AE232" s="83" t="str">
        <x:v>Approved for Form A</x:v>
      </x:c>
      <x:c r="AF232" s="89" t="str">
        <x:v>Form A only; paired alternate retained on the other comprehensive form</x:v>
      </x:c>
    </x:row>
    <x:row r="233">
      <x:c r="A233" s="88" t="str">
        <x:v>CTA-LCSW-MQB-0232</x:v>
      </x:c>
      <x:c r="B233" s="83" t="str">
        <x:v>LCSW-MQB-FA-VE-029</x:v>
      </x:c>
      <x:c r="C233" s="83" t="str">
        <x:v>LCSW</x:v>
      </x:c>
      <x:c r="D233" s="83" t="str">
        <x:v>Comprehensive Simulation</x:v>
      </x:c>
      <x:c r="E233" s="83"/>
      <x:c r="F233" s="83"/>
      <x:c r="G233" s="83" t="str">
        <x:v>Form A</x:v>
      </x:c>
      <x:c r="H233" s="83" t="n">
        <x:v>28</x:v>
      </x:c>
      <x:c r="I233" s="83" t="str">
        <x:v>Scored-Style</x:v>
      </x:c>
      <x:c r="J233" s="83" t="str">
        <x:v>I. Values and Ethics</x:v>
      </x:c>
      <x:c r="K233" s="83" t="str">
        <x:v>Social justice and service barriers</x:v>
      </x:c>
      <x:c r="L233" s="83" t="str"/>
      <x:c r="M233" s="83" t="str">
        <x:v>Moderate</x:v>
      </x:c>
      <x:c r="N233" s="83" t="str">
        <x:v>Moderate</x:v>
      </x:c>
      <x:c r="O233" s="83" t="str">
        <x:v>Scenario-based reasoning</x:v>
      </x:c>
      <x:c r="P233" s="83" t="str">
        <x:v>Scenario-Based</x:v>
      </x:c>
      <x:c r="Q233" s="83" t="n">
        <x:v>4</x:v>
      </x:c>
      <x:c r="R233" s="83" t="str">
        <x:v>D</x:v>
      </x:c>
      <x:c r="S233" s="83" t="str">
        <x:v>Approved</x:v>
      </x:c>
      <x:c r="T233" s="83" t="str">
        <x:v>Active</x:v>
      </x:c>
      <x:c r="U233" s="83" t="n">
        <x:v>1</x:v>
      </x:c>
      <x:c r="V233" s="83" t="str">
        <x:v>LCSW-ALT-107</x:v>
      </x:c>
      <x:c r="W233" s="83" t="str">
        <x:v>No additional flag</x:v>
      </x:c>
      <x:c r="X233" s="83" t="str">
        <x:v>No structural flag</x:v>
      </x:c>
      <x:c r="Y233" s="83" t="str">
        <x:v>Not Yet Reviewed</x:v>
      </x:c>
      <x:c r="Z233" s="83" t="str">
        <x:v>CTA LCSW WB2; ASWB 2026 Clinical Content Area I</x:v>
      </x:c>
      <x:c r="AA233" s="83" t="str">
        <x:v>CTA_LCSW_2026_Comprehensive_Simulation_Form_A_Answer_Key_and_Detailed_Rationales_v1.0.docx</x:v>
      </x:c>
      <x:c r="AB233" s="83" t="str">
        <x:v>1.0</x:v>
      </x:c>
      <x:c r="AC233" s="102"/>
      <x:c r="AD233" s="102" t="n">
        <x:v>46228</x:v>
      </x:c>
      <x:c r="AE233" s="83" t="str">
        <x:v>Approved for Form A</x:v>
      </x:c>
      <x:c r="AF233" s="89" t="str">
        <x:v>Form A only; paired alternate retained on the other comprehensive form</x:v>
      </x:c>
    </x:row>
    <x:row r="234">
      <x:c r="A234" s="88" t="str">
        <x:v>CTA-LCSW-MQB-0233</x:v>
      </x:c>
      <x:c r="B234" s="83" t="str">
        <x:v>LCSW-MQB-FA-IP-031</x:v>
      </x:c>
      <x:c r="C234" s="83" t="str">
        <x:v>LCSW</x:v>
      </x:c>
      <x:c r="D234" s="83" t="str">
        <x:v>Comprehensive Simulation</x:v>
      </x:c>
      <x:c r="E234" s="83"/>
      <x:c r="F234" s="83"/>
      <x:c r="G234" s="83" t="str">
        <x:v>Form A</x:v>
      </x:c>
      <x:c r="H234" s="83" t="n">
        <x:v>29</x:v>
      </x:c>
      <x:c r="I234" s="83" t="str">
        <x:v>Scored-Style</x:v>
      </x:c>
      <x:c r="J234" s="83" t="str">
        <x:v>III. Intervention and Practice</x:v>
      </x:c>
      <x:c r="K234" s="83" t="str">
        <x:v>Program fidelity and adaptation</x:v>
      </x:c>
      <x:c r="L234" s="83" t="str"/>
      <x:c r="M234" s="83" t="str">
        <x:v>Difficult</x:v>
      </x:c>
      <x:c r="N234" s="83" t="str">
        <x:v>Difficult</x:v>
      </x:c>
      <x:c r="O234" s="83" t="str">
        <x:v>Scenario-based reasoning</x:v>
      </x:c>
      <x:c r="P234" s="83" t="str">
        <x:v>Scenario-Based</x:v>
      </x:c>
      <x:c r="Q234" s="83" t="n">
        <x:v>4</x:v>
      </x:c>
      <x:c r="R234" s="83" t="str">
        <x:v>A</x:v>
      </x:c>
      <x:c r="S234" s="83" t="str">
        <x:v>Approved</x:v>
      </x:c>
      <x:c r="T234" s="83" t="str">
        <x:v>Active</x:v>
      </x:c>
      <x:c r="U234" s="83" t="n">
        <x:v>1</x:v>
      </x:c>
      <x:c r="V234" s="83" t="str">
        <x:v>LCSW-ALT-070</x:v>
      </x:c>
      <x:c r="W234" s="83" t="str">
        <x:v>No additional flag</x:v>
      </x:c>
      <x:c r="X234" s="83" t="str">
        <x:v>No structural flag</x:v>
      </x:c>
      <x:c r="Y234" s="83" t="str">
        <x:v>Not Yet Reviewed</x:v>
      </x:c>
      <x:c r="Z234" s="83" t="str">
        <x:v>CTA LCSW WB10; CTA LCSW WB11; ASWB 2026 Clinical Content Area III</x:v>
      </x:c>
      <x:c r="AA234" s="83" t="str">
        <x:v>CTA_LCSW_2026_Comprehensive_Simulation_Form_A_Answer_Key_and_Detailed_Rationales_v1.0.docx</x:v>
      </x:c>
      <x:c r="AB234" s="83" t="str">
        <x:v>1.0</x:v>
      </x:c>
      <x:c r="AC234" s="102"/>
      <x:c r="AD234" s="102" t="n">
        <x:v>46228</x:v>
      </x:c>
      <x:c r="AE234" s="83" t="str">
        <x:v>Approved for Form A</x:v>
      </x:c>
      <x:c r="AF234" s="89" t="str">
        <x:v>Form A only; paired alternate retained on the other comprehensive form</x:v>
      </x:c>
    </x:row>
    <x:row r="235">
      <x:c r="A235" s="88" t="str">
        <x:v>CTA-LCSW-MQB-0234</x:v>
      </x:c>
      <x:c r="B235" s="83" t="str">
        <x:v>LCSW-MQB-FA-VE-021</x:v>
      </x:c>
      <x:c r="C235" s="83" t="str">
        <x:v>LCSW</x:v>
      </x:c>
      <x:c r="D235" s="83" t="str">
        <x:v>Comprehensive Simulation</x:v>
      </x:c>
      <x:c r="E235" s="83"/>
      <x:c r="F235" s="83"/>
      <x:c r="G235" s="83" t="str">
        <x:v>Form A</x:v>
      </x:c>
      <x:c r="H235" s="83" t="n">
        <x:v>30</x:v>
      </x:c>
      <x:c r="I235" s="83" t="str">
        <x:v>Scored-Style</x:v>
      </x:c>
      <x:c r="J235" s="83" t="str">
        <x:v>I. Values and Ethics</x:v>
      </x:c>
      <x:c r="K235" s="83" t="str">
        <x:v>Group confidentiality</x:v>
      </x:c>
      <x:c r="L235" s="83" t="str"/>
      <x:c r="M235" s="83" t="str">
        <x:v>Moderate</x:v>
      </x:c>
      <x:c r="N235" s="83" t="str">
        <x:v>Moderate</x:v>
      </x:c>
      <x:c r="O235" s="83" t="str">
        <x:v>Application</x:v>
      </x:c>
      <x:c r="P235" s="83" t="str">
        <x:v>Application</x:v>
      </x:c>
      <x:c r="Q235" s="83" t="n">
        <x:v>3</x:v>
      </x:c>
      <x:c r="R235" s="83" t="str">
        <x:v>B</x:v>
      </x:c>
      <x:c r="S235" s="83" t="str">
        <x:v>Approved</x:v>
      </x:c>
      <x:c r="T235" s="83" t="str">
        <x:v>Active</x:v>
      </x:c>
      <x:c r="U235" s="83" t="n">
        <x:v>1</x:v>
      </x:c>
      <x:c r="V235" s="83" t="str">
        <x:v>LCSW-ALT-099</x:v>
      </x:c>
      <x:c r="W235" s="83" t="str">
        <x:v>No additional flag</x:v>
      </x:c>
      <x:c r="X235" s="83" t="str">
        <x:v>No structural flag</x:v>
      </x:c>
      <x:c r="Y235" s="83" t="str">
        <x:v>Not Yet Reviewed</x:v>
      </x:c>
      <x:c r="Z235" s="83" t="str">
        <x:v>CTA LCSW WB2; ASWB 2026 Clinical Content Area I</x:v>
      </x:c>
      <x:c r="AA235" s="83" t="str">
        <x:v>CTA_LCSW_2026_Comprehensive_Simulation_Form_A_Answer_Key_and_Detailed_Rationales_v1.0.docx</x:v>
      </x:c>
      <x:c r="AB235" s="83" t="str">
        <x:v>1.0</x:v>
      </x:c>
      <x:c r="AC235" s="102"/>
      <x:c r="AD235" s="102" t="n">
        <x:v>46228</x:v>
      </x:c>
      <x:c r="AE235" s="83" t="str">
        <x:v>Approved for Form A</x:v>
      </x:c>
      <x:c r="AF235" s="89" t="str">
        <x:v>Form A only; paired alternate retained on the other comprehensive form</x:v>
      </x:c>
    </x:row>
    <x:row r="236">
      <x:c r="A236" s="88" t="str">
        <x:v>CTA-LCSW-MQB-0235</x:v>
      </x:c>
      <x:c r="B236" s="83" t="str">
        <x:v>LCSW-MQB-FA-AP-007</x:v>
      </x:c>
      <x:c r="C236" s="83" t="str">
        <x:v>LCSW</x:v>
      </x:c>
      <x:c r="D236" s="83" t="str">
        <x:v>Comprehensive Simulation</x:v>
      </x:c>
      <x:c r="E236" s="83"/>
      <x:c r="F236" s="83"/>
      <x:c r="G236" s="83" t="str">
        <x:v>Form A</x:v>
      </x:c>
      <x:c r="H236" s="83" t="n">
        <x:v>31</x:v>
      </x:c>
      <x:c r="I236" s="83" t="str">
        <x:v>Scored-Style</x:v>
      </x:c>
      <x:c r="J236" s="83" t="str">
        <x:v>II. Assessment and Planning</x:v>
      </x:c>
      <x:c r="K236" s="83" t="str">
        <x:v>Collateral discrepancy</x:v>
      </x:c>
      <x:c r="L236" s="83" t="str"/>
      <x:c r="M236" s="83" t="str">
        <x:v>Easy</x:v>
      </x:c>
      <x:c r="N236" s="83" t="str">
        <x:v>Easy</x:v>
      </x:c>
      <x:c r="O236" s="83" t="str">
        <x:v>Application</x:v>
      </x:c>
      <x:c r="P236" s="83" t="str">
        <x:v>Application</x:v>
      </x:c>
      <x:c r="Q236" s="83" t="n">
        <x:v>3</x:v>
      </x:c>
      <x:c r="R236" s="83" t="str">
        <x:v>B</x:v>
      </x:c>
      <x:c r="S236" s="83" t="str">
        <x:v>Approved</x:v>
      </x:c>
      <x:c r="T236" s="83" t="str">
        <x:v>Active</x:v>
      </x:c>
      <x:c r="U236" s="83" t="n">
        <x:v>1</x:v>
      </x:c>
      <x:c r="V236" s="83" t="str">
        <x:v>LCSW-ALT-007</x:v>
      </x:c>
      <x:c r="W236" s="83" t="str">
        <x:v>No additional flag</x:v>
      </x:c>
      <x:c r="X236" s="83" t="str">
        <x:v>No structural flag</x:v>
      </x:c>
      <x:c r="Y236" s="83" t="str">
        <x:v>Not Yet Reviewed</x:v>
      </x:c>
      <x:c r="Z236" s="83" t="str">
        <x:v>CTA LCSW WB3–WB7; ASWB 2026 Clinical Content Area II</x:v>
      </x:c>
      <x:c r="AA236" s="83" t="str">
        <x:v>CTA_LCSW_2026_Comprehensive_Simulation_Form_A_Answer_Key_and_Detailed_Rationales_v1.0.docx</x:v>
      </x:c>
      <x:c r="AB236" s="83" t="str">
        <x:v>1.0</x:v>
      </x:c>
      <x:c r="AC236" s="102"/>
      <x:c r="AD236" s="102" t="n">
        <x:v>46228</x:v>
      </x:c>
      <x:c r="AE236" s="83" t="str">
        <x:v>Approved for Form A</x:v>
      </x:c>
      <x:c r="AF236" s="89" t="str">
        <x:v>Form A only; paired alternate retained on the other comprehensive form</x:v>
      </x:c>
    </x:row>
    <x:row r="237">
      <x:c r="A237" s="88" t="str">
        <x:v>CTA-LCSW-MQB-0236</x:v>
      </x:c>
      <x:c r="B237" s="83" t="str">
        <x:v>LCSW-MQB-FA-IP-011</x:v>
      </x:c>
      <x:c r="C237" s="83" t="str">
        <x:v>LCSW</x:v>
      </x:c>
      <x:c r="D237" s="83" t="str">
        <x:v>Comprehensive Simulation</x:v>
      </x:c>
      <x:c r="E237" s="83"/>
      <x:c r="F237" s="83"/>
      <x:c r="G237" s="83" t="str">
        <x:v>Form A</x:v>
      </x:c>
      <x:c r="H237" s="83" t="n">
        <x:v>32</x:v>
      </x:c>
      <x:c r="I237" s="83" t="str">
        <x:v>Scored-Style</x:v>
      </x:c>
      <x:c r="J237" s="83" t="str">
        <x:v>III. Intervention and Practice</x:v>
      </x:c>
      <x:c r="K237" s="83" t="str">
        <x:v>Interdisciplinary collaboration</x:v>
      </x:c>
      <x:c r="L237" s="83" t="str"/>
      <x:c r="M237" s="83" t="str">
        <x:v>Moderate</x:v>
      </x:c>
      <x:c r="N237" s="83" t="str">
        <x:v>Moderate</x:v>
      </x:c>
      <x:c r="O237" s="83" t="str">
        <x:v>Application</x:v>
      </x:c>
      <x:c r="P237" s="83" t="str">
        <x:v>Application</x:v>
      </x:c>
      <x:c r="Q237" s="83" t="n">
        <x:v>3</x:v>
      </x:c>
      <x:c r="R237" s="83" t="str">
        <x:v>B</x:v>
      </x:c>
      <x:c r="S237" s="83" t="str">
        <x:v>Approved</x:v>
      </x:c>
      <x:c r="T237" s="83" t="str">
        <x:v>Active</x:v>
      </x:c>
      <x:c r="U237" s="83" t="n">
        <x:v>1</x:v>
      </x:c>
      <x:c r="V237" s="83" t="str">
        <x:v>LCSW-ALT-050</x:v>
      </x:c>
      <x:c r="W237" s="83" t="str">
        <x:v>No additional flag</x:v>
      </x:c>
      <x:c r="X237" s="83" t="str">
        <x:v>No structural flag</x:v>
      </x:c>
      <x:c r="Y237" s="83" t="str">
        <x:v>Not Yet Reviewed</x:v>
      </x:c>
      <x:c r="Z237" s="83" t="str">
        <x:v>CTA LCSW WB10; CTA LCSW WB11; ASWB 2026 Clinical Content Area III</x:v>
      </x:c>
      <x:c r="AA237" s="83" t="str">
        <x:v>CTA_LCSW_2026_Comprehensive_Simulation_Form_A_Answer_Key_and_Detailed_Rationales_v1.0.docx</x:v>
      </x:c>
      <x:c r="AB237" s="83" t="str">
        <x:v>1.0</x:v>
      </x:c>
      <x:c r="AC237" s="102"/>
      <x:c r="AD237" s="102" t="n">
        <x:v>46228</x:v>
      </x:c>
      <x:c r="AE237" s="83" t="str">
        <x:v>Approved for Form A</x:v>
      </x:c>
      <x:c r="AF237" s="89" t="str">
        <x:v>Form A only; paired alternate retained on the other comprehensive form</x:v>
      </x:c>
    </x:row>
    <x:row r="238">
      <x:c r="A238" s="88" t="str">
        <x:v>CTA-LCSW-MQB-0237</x:v>
      </x:c>
      <x:c r="B238" s="83" t="str">
        <x:v>LCSW-MQB-FA-AP-025</x:v>
      </x:c>
      <x:c r="C238" s="83" t="str">
        <x:v>LCSW</x:v>
      </x:c>
      <x:c r="D238" s="83" t="str">
        <x:v>Comprehensive Simulation</x:v>
      </x:c>
      <x:c r="E238" s="83"/>
      <x:c r="F238" s="83"/>
      <x:c r="G238" s="83" t="str">
        <x:v>Form A</x:v>
      </x:c>
      <x:c r="H238" s="83" t="n">
        <x:v>33</x:v>
      </x:c>
      <x:c r="I238" s="83" t="str">
        <x:v>Scored-Style</x:v>
      </x:c>
      <x:c r="J238" s="83" t="str">
        <x:v>II. Assessment and Planning</x:v>
      </x:c>
      <x:c r="K238" s="83" t="str">
        <x:v>Mania differential</x:v>
      </x:c>
      <x:c r="L238" s="83" t="str"/>
      <x:c r="M238" s="83" t="str">
        <x:v>Moderate</x:v>
      </x:c>
      <x:c r="N238" s="83" t="str">
        <x:v>Moderate</x:v>
      </x:c>
      <x:c r="O238" s="83" t="str">
        <x:v>Scenario-based reasoning</x:v>
      </x:c>
      <x:c r="P238" s="83" t="str">
        <x:v>Scenario-Based</x:v>
      </x:c>
      <x:c r="Q238" s="83" t="n">
        <x:v>4</x:v>
      </x:c>
      <x:c r="R238" s="83" t="str">
        <x:v>C</x:v>
      </x:c>
      <x:c r="S238" s="83" t="str">
        <x:v>Approved</x:v>
      </x:c>
      <x:c r="T238" s="83" t="str">
        <x:v>Active</x:v>
      </x:c>
      <x:c r="U238" s="83" t="n">
        <x:v>1</x:v>
      </x:c>
      <x:c r="V238" s="83" t="str">
        <x:v>LCSW-ALT-025</x:v>
      </x:c>
      <x:c r="W238" s="83" t="str">
        <x:v>No additional flag</x:v>
      </x:c>
      <x:c r="X238" s="83" t="str">
        <x:v>No structural flag</x:v>
      </x:c>
      <x:c r="Y238" s="83" t="str">
        <x:v>Not Yet Reviewed</x:v>
      </x:c>
      <x:c r="Z238" s="83" t="str">
        <x:v>CTA LCSW WB5; ASWB 2026 Clinical Content Area II</x:v>
      </x:c>
      <x:c r="AA238" s="83" t="str">
        <x:v>CTA_LCSW_2026_Comprehensive_Simulation_Form_A_Answer_Key_and_Detailed_Rationales_v1.0.docx</x:v>
      </x:c>
      <x:c r="AB238" s="83" t="str">
        <x:v>1.0</x:v>
      </x:c>
      <x:c r="AC238" s="102"/>
      <x:c r="AD238" s="102" t="n">
        <x:v>46228</x:v>
      </x:c>
      <x:c r="AE238" s="83" t="str">
        <x:v>Approved for Form A</x:v>
      </x:c>
      <x:c r="AF238" s="89" t="str">
        <x:v>Form A only; paired alternate retained on the other comprehensive form</x:v>
      </x:c>
    </x:row>
    <x:row r="239">
      <x:c r="A239" s="88" t="str">
        <x:v>CTA-LCSW-MQB-0238</x:v>
      </x:c>
      <x:c r="B239" s="83" t="str">
        <x:v>LCSW-MQB-FA-VE-023</x:v>
      </x:c>
      <x:c r="C239" s="83" t="str">
        <x:v>LCSW</x:v>
      </x:c>
      <x:c r="D239" s="83" t="str">
        <x:v>Comprehensive Simulation</x:v>
      </x:c>
      <x:c r="E239" s="83"/>
      <x:c r="F239" s="83"/>
      <x:c r="G239" s="83" t="str">
        <x:v>Form A</x:v>
      </x:c>
      <x:c r="H239" s="83" t="n">
        <x:v>34</x:v>
      </x:c>
      <x:c r="I239" s="83" t="str">
        <x:v>Scored-Style</x:v>
      </x:c>
      <x:c r="J239" s="83" t="str">
        <x:v>I. Values and Ethics</x:v>
      </x:c>
      <x:c r="K239" s="83" t="str">
        <x:v>Policy conflict</x:v>
      </x:c>
      <x:c r="L239" s="83" t="str"/>
      <x:c r="M239" s="83" t="str">
        <x:v>Moderate</x:v>
      </x:c>
      <x:c r="N239" s="83" t="str">
        <x:v>Moderate</x:v>
      </x:c>
      <x:c r="O239" s="83" t="str">
        <x:v>Application</x:v>
      </x:c>
      <x:c r="P239" s="83" t="str">
        <x:v>Application</x:v>
      </x:c>
      <x:c r="Q239" s="83" t="n">
        <x:v>3</x:v>
      </x:c>
      <x:c r="R239" s="83" t="str">
        <x:v>B</x:v>
      </x:c>
      <x:c r="S239" s="83" t="str">
        <x:v>Approved</x:v>
      </x:c>
      <x:c r="T239" s="83" t="str">
        <x:v>Active</x:v>
      </x:c>
      <x:c r="U239" s="83" t="n">
        <x:v>1</x:v>
      </x:c>
      <x:c r="V239" s="83" t="str">
        <x:v>LCSW-ALT-101</x:v>
      </x:c>
      <x:c r="W239" s="83" t="str">
        <x:v>No additional flag</x:v>
      </x:c>
      <x:c r="X239" s="83" t="str">
        <x:v>No structural flag</x:v>
      </x:c>
      <x:c r="Y239" s="83" t="str">
        <x:v>Not Yet Reviewed</x:v>
      </x:c>
      <x:c r="Z239" s="83" t="str">
        <x:v>CTA LCSW WB2; CTA LCSW WB12; ASWB 2026 Clinical Content Area I</x:v>
      </x:c>
      <x:c r="AA239" s="83" t="str">
        <x:v>CTA_LCSW_2026_Comprehensive_Simulation_Form_A_Answer_Key_and_Detailed_Rationales_v1.0.docx</x:v>
      </x:c>
      <x:c r="AB239" s="83" t="str">
        <x:v>1.0</x:v>
      </x:c>
      <x:c r="AC239" s="102"/>
      <x:c r="AD239" s="102" t="n">
        <x:v>46228</x:v>
      </x:c>
      <x:c r="AE239" s="83" t="str">
        <x:v>Approved for Form A</x:v>
      </x:c>
      <x:c r="AF239" s="89" t="str">
        <x:v>Form A only; paired alternate retained on the other comprehensive form</x:v>
      </x:c>
    </x:row>
    <x:row r="240">
      <x:c r="A240" s="88" t="str">
        <x:v>CTA-LCSW-MQB-0239</x:v>
      </x:c>
      <x:c r="B240" s="83" t="str">
        <x:v>LCSW-MQB-FA-AP-011</x:v>
      </x:c>
      <x:c r="C240" s="83" t="str">
        <x:v>LCSW</x:v>
      </x:c>
      <x:c r="D240" s="83" t="str">
        <x:v>Comprehensive Simulation</x:v>
      </x:c>
      <x:c r="E240" s="83"/>
      <x:c r="F240" s="83"/>
      <x:c r="G240" s="83" t="str">
        <x:v>Form A</x:v>
      </x:c>
      <x:c r="H240" s="83" t="n">
        <x:v>35</x:v>
      </x:c>
      <x:c r="I240" s="83" t="str">
        <x:v>Pretest-Style</x:v>
      </x:c>
      <x:c r="J240" s="83" t="str">
        <x:v>II. Assessment and Planning</x:v>
      </x:c>
      <x:c r="K240" s="83" t="str">
        <x:v>Substance-use pattern</x:v>
      </x:c>
      <x:c r="L240" s="83" t="str"/>
      <x:c r="M240" s="83" t="str">
        <x:v>Moderate</x:v>
      </x:c>
      <x:c r="N240" s="83" t="str">
        <x:v>Moderate</x:v>
      </x:c>
      <x:c r="O240" s="83" t="str">
        <x:v>Application</x:v>
      </x:c>
      <x:c r="P240" s="83" t="str">
        <x:v>Application</x:v>
      </x:c>
      <x:c r="Q240" s="83" t="n">
        <x:v>3</x:v>
      </x:c>
      <x:c r="R240" s="83" t="str">
        <x:v>C</x:v>
      </x:c>
      <x:c r="S240" s="83" t="str">
        <x:v>Approved</x:v>
      </x:c>
      <x:c r="T240" s="83" t="str">
        <x:v>Active</x:v>
      </x:c>
      <x:c r="U240" s="83" t="n">
        <x:v>1</x:v>
      </x:c>
      <x:c r="V240" s="83" t="str">
        <x:v>LCSW-ALT-011</x:v>
      </x:c>
      <x:c r="W240" s="83" t="str">
        <x:v>No additional flag</x:v>
      </x:c>
      <x:c r="X240" s="83" t="str">
        <x:v>No structural flag</x:v>
      </x:c>
      <x:c r="Y240" s="83" t="str">
        <x:v>Not Yet Reviewed</x:v>
      </x:c>
      <x:c r="Z240" s="83" t="str">
        <x:v>CTA LCSW WB3–WB7; ASWB 2026 Clinical Content Area II</x:v>
      </x:c>
      <x:c r="AA240" s="83" t="str">
        <x:v>CTA_LCSW_2026_Comprehensive_Simulation_Form_A_Answer_Key_and_Detailed_Rationales_v1.0.docx</x:v>
      </x:c>
      <x:c r="AB240" s="83" t="str">
        <x:v>1.0</x:v>
      </x:c>
      <x:c r="AC240" s="102"/>
      <x:c r="AD240" s="102" t="n">
        <x:v>46228</x:v>
      </x:c>
      <x:c r="AE240" s="83" t="str">
        <x:v>Approved for Form A</x:v>
      </x:c>
      <x:c r="AF240" s="89" t="str">
        <x:v>Form A only; paired alternate retained on the other comprehensive form</x:v>
      </x:c>
    </x:row>
    <x:row r="241">
      <x:c r="A241" s="88" t="str">
        <x:v>CTA-LCSW-MQB-0240</x:v>
      </x:c>
      <x:c r="B241" s="83" t="str">
        <x:v>LCSW-MQB-FA-VE-025</x:v>
      </x:c>
      <x:c r="C241" s="83" t="str">
        <x:v>LCSW</x:v>
      </x:c>
      <x:c r="D241" s="83" t="str">
        <x:v>Comprehensive Simulation</x:v>
      </x:c>
      <x:c r="E241" s="83"/>
      <x:c r="F241" s="83"/>
      <x:c r="G241" s="83" t="str">
        <x:v>Form A</x:v>
      </x:c>
      <x:c r="H241" s="83" t="n">
        <x:v>36</x:v>
      </x:c>
      <x:c r="I241" s="83" t="str">
        <x:v>Scored-Style</x:v>
      </x:c>
      <x:c r="J241" s="83" t="str">
        <x:v>I. Values and Ethics</x:v>
      </x:c>
      <x:c r="K241" s="83" t="str">
        <x:v>Boundary drift</x:v>
      </x:c>
      <x:c r="L241" s="83" t="str"/>
      <x:c r="M241" s="83" t="str">
        <x:v>Moderate</x:v>
      </x:c>
      <x:c r="N241" s="83" t="str">
        <x:v>Moderate</x:v>
      </x:c>
      <x:c r="O241" s="83" t="str">
        <x:v>Scenario-based reasoning</x:v>
      </x:c>
      <x:c r="P241" s="83" t="str">
        <x:v>Scenario-Based</x:v>
      </x:c>
      <x:c r="Q241" s="83" t="n">
        <x:v>3</x:v>
      </x:c>
      <x:c r="R241" s="83" t="str">
        <x:v>B</x:v>
      </x:c>
      <x:c r="S241" s="83" t="str">
        <x:v>Approved</x:v>
      </x:c>
      <x:c r="T241" s="83" t="str">
        <x:v>Active</x:v>
      </x:c>
      <x:c r="U241" s="83" t="n">
        <x:v>1</x:v>
      </x:c>
      <x:c r="V241" s="83" t="str">
        <x:v>LCSW-ALT-103</x:v>
      </x:c>
      <x:c r="W241" s="83" t="str">
        <x:v>No additional flag</x:v>
      </x:c>
      <x:c r="X241" s="83" t="str">
        <x:v>No structural flag</x:v>
      </x:c>
      <x:c r="Y241" s="83" t="str">
        <x:v>Not Yet Reviewed</x:v>
      </x:c>
      <x:c r="Z241" s="83" t="str">
        <x:v>CTA LCSW WB2; CTA LCSW WB12; ASWB 2026 Clinical Content Area I</x:v>
      </x:c>
      <x:c r="AA241" s="83" t="str">
        <x:v>CTA_LCSW_2026_Comprehensive_Simulation_Form_A_Answer_Key_and_Detailed_Rationales_v1.0.docx</x:v>
      </x:c>
      <x:c r="AB241" s="83" t="str">
        <x:v>1.0</x:v>
      </x:c>
      <x:c r="AC241" s="102"/>
      <x:c r="AD241" s="102" t="n">
        <x:v>46228</x:v>
      </x:c>
      <x:c r="AE241" s="83" t="str">
        <x:v>Approved for Form A</x:v>
      </x:c>
      <x:c r="AF241" s="89" t="str">
        <x:v>Form A only; paired alternate retained on the other comprehensive form</x:v>
      </x:c>
    </x:row>
    <x:row r="242">
      <x:c r="A242" s="88" t="str">
        <x:v>CTA-LCSW-MQB-0241</x:v>
      </x:c>
      <x:c r="B242" s="83" t="str">
        <x:v>LCSW-MQB-FA-AP-034</x:v>
      </x:c>
      <x:c r="C242" s="83" t="str">
        <x:v>LCSW</x:v>
      </x:c>
      <x:c r="D242" s="83" t="str">
        <x:v>Comprehensive Simulation</x:v>
      </x:c>
      <x:c r="E242" s="83"/>
      <x:c r="F242" s="83"/>
      <x:c r="G242" s="83" t="str">
        <x:v>Form A</x:v>
      </x:c>
      <x:c r="H242" s="83" t="n">
        <x:v>37</x:v>
      </x:c>
      <x:c r="I242" s="83" t="str">
        <x:v>Pretest-Style</x:v>
      </x:c>
      <x:c r="J242" s="83" t="str">
        <x:v>II. Assessment and Planning</x:v>
      </x:c>
      <x:c r="K242" s="83" t="str">
        <x:v>Acute confusion and risk</x:v>
      </x:c>
      <x:c r="L242" s="83" t="str"/>
      <x:c r="M242" s="83" t="str">
        <x:v>Difficult</x:v>
      </x:c>
      <x:c r="N242" s="83" t="str">
        <x:v>Difficult</x:v>
      </x:c>
      <x:c r="O242" s="83" t="str">
        <x:v>Integrated reasoning</x:v>
      </x:c>
      <x:c r="P242" s="83" t="str">
        <x:v>Integrated Clinical Reasoning</x:v>
      </x:c>
      <x:c r="Q242" s="83" t="n">
        <x:v>4</x:v>
      </x:c>
      <x:c r="R242" s="83" t="str">
        <x:v>D</x:v>
      </x:c>
      <x:c r="S242" s="83" t="str">
        <x:v>Approved</x:v>
      </x:c>
      <x:c r="T242" s="83" t="str">
        <x:v>Active</x:v>
      </x:c>
      <x:c r="U242" s="83" t="n">
        <x:v>1</x:v>
      </x:c>
      <x:c r="V242" s="83" t="str">
        <x:v>LCSW-ALT-034</x:v>
      </x:c>
      <x:c r="W242" s="83" t="str">
        <x:v>No additional flag</x:v>
      </x:c>
      <x:c r="X242" s="83" t="str">
        <x:v>No structural flag</x:v>
      </x:c>
      <x:c r="Y242" s="83" t="str">
        <x:v>Not Yet Reviewed</x:v>
      </x:c>
      <x:c r="Z242" s="83" t="str">
        <x:v>CTA LCSW WB5; ASWB 2026 Clinical Content Area II</x:v>
      </x:c>
      <x:c r="AA242" s="83" t="str">
        <x:v>CTA_LCSW_2026_Comprehensive_Simulation_Form_A_Answer_Key_and_Detailed_Rationales_v1.0.docx</x:v>
      </x:c>
      <x:c r="AB242" s="83" t="str">
        <x:v>1.0</x:v>
      </x:c>
      <x:c r="AC242" s="102"/>
      <x:c r="AD242" s="102" t="n">
        <x:v>46228</x:v>
      </x:c>
      <x:c r="AE242" s="83" t="str">
        <x:v>Approved for Form A</x:v>
      </x:c>
      <x:c r="AF242" s="89" t="str">
        <x:v>Form A only; paired alternate retained on the other comprehensive form</x:v>
      </x:c>
    </x:row>
    <x:row r="243">
      <x:c r="A243" s="88" t="str">
        <x:v>CTA-LCSW-MQB-0242</x:v>
      </x:c>
      <x:c r="B243" s="83" t="str">
        <x:v>LCSW-MQB-FA-VE-032</x:v>
      </x:c>
      <x:c r="C243" s="83" t="str">
        <x:v>LCSW</x:v>
      </x:c>
      <x:c r="D243" s="83" t="str">
        <x:v>Comprehensive Simulation</x:v>
      </x:c>
      <x:c r="E243" s="83"/>
      <x:c r="F243" s="83"/>
      <x:c r="G243" s="83" t="str">
        <x:v>Form A</x:v>
      </x:c>
      <x:c r="H243" s="83" t="n">
        <x:v>38</x:v>
      </x:c>
      <x:c r="I243" s="83" t="str">
        <x:v>Scored-Style</x:v>
      </x:c>
      <x:c r="J243" s="83" t="str">
        <x:v>I. Values and Ethics</x:v>
      </x:c>
      <x:c r="K243" s="83" t="str">
        <x:v>Telehealth privacy</x:v>
      </x:c>
      <x:c r="L243" s="83" t="str"/>
      <x:c r="M243" s="83" t="str">
        <x:v>Moderate</x:v>
      </x:c>
      <x:c r="N243" s="83" t="str">
        <x:v>Moderate</x:v>
      </x:c>
      <x:c r="O243" s="83" t="str">
        <x:v>Scenario-based reasoning</x:v>
      </x:c>
      <x:c r="P243" s="83" t="str">
        <x:v>Scenario-Based</x:v>
      </x:c>
      <x:c r="Q243" s="83" t="n">
        <x:v>4</x:v>
      </x:c>
      <x:c r="R243" s="83" t="str">
        <x:v>B</x:v>
      </x:c>
      <x:c r="S243" s="83" t="str">
        <x:v>Approved</x:v>
      </x:c>
      <x:c r="T243" s="83" t="str">
        <x:v>Active</x:v>
      </x:c>
      <x:c r="U243" s="83" t="n">
        <x:v>1</x:v>
      </x:c>
      <x:c r="V243" s="83" t="str">
        <x:v>LCSW-ALT-110</x:v>
      </x:c>
      <x:c r="W243" s="83" t="str">
        <x:v>No additional flag</x:v>
      </x:c>
      <x:c r="X243" s="83" t="str">
        <x:v>No structural flag</x:v>
      </x:c>
      <x:c r="Y243" s="83" t="str">
        <x:v>Not Yet Reviewed</x:v>
      </x:c>
      <x:c r="Z243" s="83" t="str">
        <x:v>CTA LCSW WB2; CTA LCSW WB12; ASWB 2026 Clinical Content Area I</x:v>
      </x:c>
      <x:c r="AA243" s="83" t="str">
        <x:v>CTA_LCSW_2026_Comprehensive_Simulation_Form_A_Answer_Key_and_Detailed_Rationales_v1.0.docx</x:v>
      </x:c>
      <x:c r="AB243" s="83" t="str">
        <x:v>1.0</x:v>
      </x:c>
      <x:c r="AC243" s="102"/>
      <x:c r="AD243" s="102" t="n">
        <x:v>46228</x:v>
      </x:c>
      <x:c r="AE243" s="83" t="str">
        <x:v>Approved for Form A</x:v>
      </x:c>
      <x:c r="AF243" s="89" t="str">
        <x:v>Form A only; paired alternate retained on the other comprehensive form</x:v>
      </x:c>
    </x:row>
    <x:row r="244">
      <x:c r="A244" s="88" t="str">
        <x:v>CTA-LCSW-MQB-0243</x:v>
      </x:c>
      <x:c r="B244" s="83" t="str">
        <x:v>LCSW-MQB-FA-VE-013</x:v>
      </x:c>
      <x:c r="C244" s="83" t="str">
        <x:v>LCSW</x:v>
      </x:c>
      <x:c r="D244" s="83" t="str">
        <x:v>Comprehensive Simulation</x:v>
      </x:c>
      <x:c r="E244" s="83"/>
      <x:c r="F244" s="83"/>
      <x:c r="G244" s="83" t="str">
        <x:v>Form A</x:v>
      </x:c>
      <x:c r="H244" s="83" t="n">
        <x:v>39</x:v>
      </x:c>
      <x:c r="I244" s="83" t="str">
        <x:v>Pretest-Style</x:v>
      </x:c>
      <x:c r="J244" s="83" t="str">
        <x:v>I. Values and Ethics</x:v>
      </x:c>
      <x:c r="K244" s="83" t="str">
        <x:v>Mandated services</x:v>
      </x:c>
      <x:c r="L244" s="83" t="str"/>
      <x:c r="M244" s="83" t="str">
        <x:v>Moderate</x:v>
      </x:c>
      <x:c r="N244" s="83" t="str">
        <x:v>Moderate</x:v>
      </x:c>
      <x:c r="O244" s="83" t="str">
        <x:v>Application</x:v>
      </x:c>
      <x:c r="P244" s="83" t="str">
        <x:v>Application</x:v>
      </x:c>
      <x:c r="Q244" s="83" t="n">
        <x:v>3</x:v>
      </x:c>
      <x:c r="R244" s="83" t="str">
        <x:v>A</x:v>
      </x:c>
      <x:c r="S244" s="83" t="str">
        <x:v>Approved</x:v>
      </x:c>
      <x:c r="T244" s="83" t="str">
        <x:v>Active</x:v>
      </x:c>
      <x:c r="U244" s="83" t="n">
        <x:v>1</x:v>
      </x:c>
      <x:c r="V244" s="83" t="str">
        <x:v>LCSW-ALT-091</x:v>
      </x:c>
      <x:c r="W244" s="83" t="str">
        <x:v>No additional flag</x:v>
      </x:c>
      <x:c r="X244" s="83" t="str">
        <x:v>No structural flag</x:v>
      </x:c>
      <x:c r="Y244" s="83" t="str">
        <x:v>Not Yet Reviewed</x:v>
      </x:c>
      <x:c r="Z244" s="83" t="str">
        <x:v>CTA LCSW WB2; ASWB 2026 Clinical Content Area I</x:v>
      </x:c>
      <x:c r="AA244" s="83" t="str">
        <x:v>CTA_LCSW_2026_Comprehensive_Simulation_Form_A_Answer_Key_and_Detailed_Rationales_v1.0.docx</x:v>
      </x:c>
      <x:c r="AB244" s="83" t="str">
        <x:v>1.0</x:v>
      </x:c>
      <x:c r="AC244" s="102"/>
      <x:c r="AD244" s="102" t="n">
        <x:v>46228</x:v>
      </x:c>
      <x:c r="AE244" s="83" t="str">
        <x:v>Approved for Form A</x:v>
      </x:c>
      <x:c r="AF244" s="89" t="str">
        <x:v>Form A only; paired alternate retained on the other comprehensive form</x:v>
      </x:c>
    </x:row>
    <x:row r="245">
      <x:c r="A245" s="88" t="str">
        <x:v>CTA-LCSW-MQB-0244</x:v>
      </x:c>
      <x:c r="B245" s="83" t="str">
        <x:v>LCSW-MQB-FA-AP-001</x:v>
      </x:c>
      <x:c r="C245" s="83" t="str">
        <x:v>LCSW</x:v>
      </x:c>
      <x:c r="D245" s="83" t="str">
        <x:v>Comprehensive Simulation</x:v>
      </x:c>
      <x:c r="E245" s="83"/>
      <x:c r="F245" s="83"/>
      <x:c r="G245" s="83" t="str">
        <x:v>Form A</x:v>
      </x:c>
      <x:c r="H245" s="83" t="n">
        <x:v>40</x:v>
      </x:c>
      <x:c r="I245" s="83" t="str">
        <x:v>Scored-Style</x:v>
      </x:c>
      <x:c r="J245" s="83" t="str">
        <x:v>II. Assessment and Planning</x:v>
      </x:c>
      <x:c r="K245" s="83" t="str">
        <x:v>Mental status orientation</x:v>
      </x:c>
      <x:c r="L245" s="83" t="str"/>
      <x:c r="M245" s="83" t="str">
        <x:v>Easy</x:v>
      </x:c>
      <x:c r="N245" s="83" t="str">
        <x:v>Easy</x:v>
      </x:c>
      <x:c r="O245" s="83" t="str">
        <x:v>Direct recognition</x:v>
      </x:c>
      <x:c r="P245" s="83" t="str">
        <x:v>Knowledge &amp; Recall</x:v>
      </x:c>
      <x:c r="Q245" s="83" t="n">
        <x:v>3</x:v>
      </x:c>
      <x:c r="R245" s="83" t="str">
        <x:v>A</x:v>
      </x:c>
      <x:c r="S245" s="83" t="str">
        <x:v>Approved</x:v>
      </x:c>
      <x:c r="T245" s="83" t="str">
        <x:v>Active</x:v>
      </x:c>
      <x:c r="U245" s="83" t="n">
        <x:v>1</x:v>
      </x:c>
      <x:c r="V245" s="83" t="str">
        <x:v>LCSW-ALT-001</x:v>
      </x:c>
      <x:c r="W245" s="83" t="str">
        <x:v>No additional flag</x:v>
      </x:c>
      <x:c r="X245" s="83" t="str">
        <x:v>No structural flag</x:v>
      </x:c>
      <x:c r="Y245" s="83" t="str">
        <x:v>Not Yet Reviewed</x:v>
      </x:c>
      <x:c r="Z245" s="83" t="str">
        <x:v>CTA LCSW WB3–WB7; ASWB 2026 Clinical Content Area II</x:v>
      </x:c>
      <x:c r="AA245" s="83" t="str">
        <x:v>CTA_LCSW_2026_Comprehensive_Simulation_Form_A_Answer_Key_and_Detailed_Rationales_v1.0.docx</x:v>
      </x:c>
      <x:c r="AB245" s="83" t="str">
        <x:v>1.0</x:v>
      </x:c>
      <x:c r="AC245" s="102"/>
      <x:c r="AD245" s="102" t="n">
        <x:v>46228</x:v>
      </x:c>
      <x:c r="AE245" s="83" t="str">
        <x:v>Approved for Form A</x:v>
      </x:c>
      <x:c r="AF245" s="89" t="str">
        <x:v>Form A only; paired alternate retained on the other comprehensive form</x:v>
      </x:c>
    </x:row>
    <x:row r="246">
      <x:c r="A246" s="88" t="str">
        <x:v>CTA-LCSW-MQB-0245</x:v>
      </x:c>
      <x:c r="B246" s="83" t="str">
        <x:v>LCSW-MQB-FA-IP-036</x:v>
      </x:c>
      <x:c r="C246" s="83" t="str">
        <x:v>LCSW</x:v>
      </x:c>
      <x:c r="D246" s="83" t="str">
        <x:v>Comprehensive Simulation</x:v>
      </x:c>
      <x:c r="E246" s="83"/>
      <x:c r="F246" s="83"/>
      <x:c r="G246" s="83" t="str">
        <x:v>Form A</x:v>
      </x:c>
      <x:c r="H246" s="83" t="n">
        <x:v>41</x:v>
      </x:c>
      <x:c r="I246" s="83" t="str">
        <x:v>Scored-Style</x:v>
      </x:c>
      <x:c r="J246" s="83" t="str">
        <x:v>III. Intervention and Practice</x:v>
      </x:c>
      <x:c r="K246" s="83" t="str">
        <x:v>Evidence, culture, and preference</x:v>
      </x:c>
      <x:c r="L246" s="83" t="str"/>
      <x:c r="M246" s="83" t="str">
        <x:v>Difficult</x:v>
      </x:c>
      <x:c r="N246" s="83" t="str">
        <x:v>Difficult</x:v>
      </x:c>
      <x:c r="O246" s="83" t="str">
        <x:v>Integrated reasoning</x:v>
      </x:c>
      <x:c r="P246" s="83" t="str">
        <x:v>Integrated Clinical Reasoning</x:v>
      </x:c>
      <x:c r="Q246" s="83" t="n">
        <x:v>4</x:v>
      </x:c>
      <x:c r="R246" s="83" t="str">
        <x:v>B</x:v>
      </x:c>
      <x:c r="S246" s="83" t="str">
        <x:v>Approved</x:v>
      </x:c>
      <x:c r="T246" s="83" t="str">
        <x:v>Active</x:v>
      </x:c>
      <x:c r="U246" s="83" t="n">
        <x:v>1</x:v>
      </x:c>
      <x:c r="V246" s="83" t="str">
        <x:v>LCSW-ALT-075</x:v>
      </x:c>
      <x:c r="W246" s="83" t="str">
        <x:v>No additional flag</x:v>
      </x:c>
      <x:c r="X246" s="83" t="str">
        <x:v>No structural flag</x:v>
      </x:c>
      <x:c r="Y246" s="83" t="str">
        <x:v>Not Yet Reviewed</x:v>
      </x:c>
      <x:c r="Z246" s="83" t="str">
        <x:v>CTA LCSW WB8–WB11; ASWB 2026 Clinical Content Area III</x:v>
      </x:c>
      <x:c r="AA246" s="83" t="str">
        <x:v>CTA_LCSW_2026_Comprehensive_Simulation_Form_A_Answer_Key_and_Detailed_Rationales_v1.0.docx</x:v>
      </x:c>
      <x:c r="AB246" s="83" t="str">
        <x:v>1.0</x:v>
      </x:c>
      <x:c r="AC246" s="102"/>
      <x:c r="AD246" s="102" t="n">
        <x:v>46228</x:v>
      </x:c>
      <x:c r="AE246" s="83" t="str">
        <x:v>Approved for Form A</x:v>
      </x:c>
      <x:c r="AF246" s="89" t="str">
        <x:v>Form A only; paired alternate retained on the other comprehensive form</x:v>
      </x:c>
    </x:row>
    <x:row r="247">
      <x:c r="A247" s="88" t="str">
        <x:v>CTA-LCSW-MQB-0246</x:v>
      </x:c>
      <x:c r="B247" s="83" t="str">
        <x:v>LCSW-MQB-FA-VE-008</x:v>
      </x:c>
      <x:c r="C247" s="83" t="str">
        <x:v>LCSW</x:v>
      </x:c>
      <x:c r="D247" s="83" t="str">
        <x:v>Comprehensive Simulation</x:v>
      </x:c>
      <x:c r="E247" s="83"/>
      <x:c r="F247" s="83"/>
      <x:c r="G247" s="83" t="str">
        <x:v>Form A</x:v>
      </x:c>
      <x:c r="H247" s="83" t="n">
        <x:v>42</x:v>
      </x:c>
      <x:c r="I247" s="83" t="str">
        <x:v>Scored-Style</x:v>
      </x:c>
      <x:c r="J247" s="83" t="str">
        <x:v>I. Values and Ethics</x:v>
      </x:c>
      <x:c r="K247" s="83" t="str">
        <x:v>Gift boundaries</x:v>
      </x:c>
      <x:c r="L247" s="83" t="str"/>
      <x:c r="M247" s="83" t="str">
        <x:v>Easy</x:v>
      </x:c>
      <x:c r="N247" s="83" t="str">
        <x:v>Easy</x:v>
      </x:c>
      <x:c r="O247" s="83" t="str">
        <x:v>Application</x:v>
      </x:c>
      <x:c r="P247" s="83" t="str">
        <x:v>Application</x:v>
      </x:c>
      <x:c r="Q247" s="83" t="n">
        <x:v>3</x:v>
      </x:c>
      <x:c r="R247" s="83" t="str">
        <x:v>A</x:v>
      </x:c>
      <x:c r="S247" s="83" t="str">
        <x:v>Approved</x:v>
      </x:c>
      <x:c r="T247" s="83" t="str">
        <x:v>Active</x:v>
      </x:c>
      <x:c r="U247" s="83" t="n">
        <x:v>1</x:v>
      </x:c>
      <x:c r="V247" s="83" t="str">
        <x:v>LCSW-ALT-086</x:v>
      </x:c>
      <x:c r="W247" s="83" t="str">
        <x:v>Review Candidate</x:v>
      </x:c>
      <x:c r="X247" s="83" t="str">
        <x:v>No structural flag</x:v>
      </x:c>
      <x:c r="Y247" s="83" t="str">
        <x:v>Not Yet Reviewed</x:v>
      </x:c>
      <x:c r="Z247" s="83" t="str">
        <x:v>CTA LCSW WB2; CTA LCSW WB12; ASWB 2026 Clinical Content Area I</x:v>
      </x:c>
      <x:c r="AA247" s="83" t="str">
        <x:v>CTA_LCSW_2026_Comprehensive_Simulation_Form_A_Answer_Key_and_Detailed_Rationales_v1.0.docx</x:v>
      </x:c>
      <x:c r="AB247" s="83" t="str">
        <x:v>1.0</x:v>
      </x:c>
      <x:c r="AC247" s="102"/>
      <x:c r="AD247" s="102" t="n">
        <x:v>46228</x:v>
      </x:c>
      <x:c r="AE247" s="83" t="str">
        <x:v>Approved for Form A</x:v>
      </x:c>
      <x:c r="AF247" s="89" t="str">
        <x:v>Form A only; paired alternate retained on the other comprehensive form</x:v>
      </x:c>
    </x:row>
    <x:row r="248">
      <x:c r="A248" s="88" t="str">
        <x:v>CTA-LCSW-MQB-0247</x:v>
      </x:c>
      <x:c r="B248" s="83" t="str">
        <x:v>LCSW-MQB-FA-AP-028</x:v>
      </x:c>
      <x:c r="C248" s="83" t="str">
        <x:v>LCSW</x:v>
      </x:c>
      <x:c r="D248" s="83" t="str">
        <x:v>Comprehensive Simulation</x:v>
      </x:c>
      <x:c r="E248" s="83"/>
      <x:c r="F248" s="83"/>
      <x:c r="G248" s="83" t="str">
        <x:v>Form A</x:v>
      </x:c>
      <x:c r="H248" s="83" t="n">
        <x:v>43</x:v>
      </x:c>
      <x:c r="I248" s="83" t="str">
        <x:v>Scored-Style</x:v>
      </x:c>
      <x:c r="J248" s="83" t="str">
        <x:v>II. Assessment and Planning</x:v>
      </x:c>
      <x:c r="K248" s="83" t="str">
        <x:v>Eating-disorder medical risk</x:v>
      </x:c>
      <x:c r="L248" s="83" t="str"/>
      <x:c r="M248" s="83" t="str">
        <x:v>Moderate</x:v>
      </x:c>
      <x:c r="N248" s="83" t="str">
        <x:v>Moderate</x:v>
      </x:c>
      <x:c r="O248" s="83" t="str">
        <x:v>Scenario-based reasoning</x:v>
      </x:c>
      <x:c r="P248" s="83" t="str">
        <x:v>Scenario-Based</x:v>
      </x:c>
      <x:c r="Q248" s="83" t="n">
        <x:v>4</x:v>
      </x:c>
      <x:c r="R248" s="83" t="str">
        <x:v>C</x:v>
      </x:c>
      <x:c r="S248" s="83" t="str">
        <x:v>Approved</x:v>
      </x:c>
      <x:c r="T248" s="83" t="str">
        <x:v>Active</x:v>
      </x:c>
      <x:c r="U248" s="83" t="n">
        <x:v>1</x:v>
      </x:c>
      <x:c r="V248" s="83" t="str">
        <x:v>LCSW-ALT-028</x:v>
      </x:c>
      <x:c r="W248" s="83" t="str">
        <x:v>No additional flag</x:v>
      </x:c>
      <x:c r="X248" s="83" t="str">
        <x:v>No structural flag</x:v>
      </x:c>
      <x:c r="Y248" s="83" t="str">
        <x:v>Not Yet Reviewed</x:v>
      </x:c>
      <x:c r="Z248" s="83" t="str">
        <x:v>CTA LCSW WB5; ASWB 2026 Clinical Content Area II</x:v>
      </x:c>
      <x:c r="AA248" s="83" t="str">
        <x:v>CTA_LCSW_2026_Comprehensive_Simulation_Form_A_Answer_Key_and_Detailed_Rationales_v1.0.docx</x:v>
      </x:c>
      <x:c r="AB248" s="83" t="str">
        <x:v>1.0</x:v>
      </x:c>
      <x:c r="AC248" s="102"/>
      <x:c r="AD248" s="102" t="n">
        <x:v>46228</x:v>
      </x:c>
      <x:c r="AE248" s="83" t="str">
        <x:v>Approved for Form A</x:v>
      </x:c>
      <x:c r="AF248" s="89" t="str">
        <x:v>Form A only; paired alternate retained on the other comprehensive form</x:v>
      </x:c>
    </x:row>
    <x:row r="249">
      <x:c r="A249" s="88" t="str">
        <x:v>CTA-LCSW-MQB-0248</x:v>
      </x:c>
      <x:c r="B249" s="83" t="str">
        <x:v>LCSW-MQB-FA-VE-015</x:v>
      </x:c>
      <x:c r="C249" s="83" t="str">
        <x:v>LCSW</x:v>
      </x:c>
      <x:c r="D249" s="83" t="str">
        <x:v>Comprehensive Simulation</x:v>
      </x:c>
      <x:c r="E249" s="83"/>
      <x:c r="F249" s="83"/>
      <x:c r="G249" s="83" t="str">
        <x:v>Form A</x:v>
      </x:c>
      <x:c r="H249" s="83" t="n">
        <x:v>44</x:v>
      </x:c>
      <x:c r="I249" s="83" t="str">
        <x:v>Scored-Style</x:v>
      </x:c>
      <x:c r="J249" s="83" t="str">
        <x:v>I. Values and Ethics</x:v>
      </x:c>
      <x:c r="K249" s="83" t="str">
        <x:v>Fee transparency</x:v>
      </x:c>
      <x:c r="L249" s="83" t="str"/>
      <x:c r="M249" s="83" t="str">
        <x:v>Moderate</x:v>
      </x:c>
      <x:c r="N249" s="83" t="str">
        <x:v>Moderate</x:v>
      </x:c>
      <x:c r="O249" s="83" t="str">
        <x:v>Application</x:v>
      </x:c>
      <x:c r="P249" s="83" t="str">
        <x:v>Application</x:v>
      </x:c>
      <x:c r="Q249" s="83" t="n">
        <x:v>3</x:v>
      </x:c>
      <x:c r="R249" s="83" t="str">
        <x:v>C</x:v>
      </x:c>
      <x:c r="S249" s="83" t="str">
        <x:v>Approved</x:v>
      </x:c>
      <x:c r="T249" s="83" t="str">
        <x:v>Active</x:v>
      </x:c>
      <x:c r="U249" s="83" t="n">
        <x:v>1</x:v>
      </x:c>
      <x:c r="V249" s="83" t="str">
        <x:v>LCSW-ALT-093</x:v>
      </x:c>
      <x:c r="W249" s="83" t="str">
        <x:v>No additional flag</x:v>
      </x:c>
      <x:c r="X249" s="83" t="str">
        <x:v>No structural flag</x:v>
      </x:c>
      <x:c r="Y249" s="83" t="str">
        <x:v>Not Yet Reviewed</x:v>
      </x:c>
      <x:c r="Z249" s="83" t="str">
        <x:v>CTA LCSW WB2; CTA LCSW WB12; ASWB 2026 Clinical Content Area I</x:v>
      </x:c>
      <x:c r="AA249" s="83" t="str">
        <x:v>CTA_LCSW_2026_Comprehensive_Simulation_Form_A_Answer_Key_and_Detailed_Rationales_v1.0.docx</x:v>
      </x:c>
      <x:c r="AB249" s="83" t="str">
        <x:v>1.0</x:v>
      </x:c>
      <x:c r="AC249" s="102"/>
      <x:c r="AD249" s="102" t="n">
        <x:v>46228</x:v>
      </x:c>
      <x:c r="AE249" s="83" t="str">
        <x:v>Approved for Form A</x:v>
      </x:c>
      <x:c r="AF249" s="89" t="str">
        <x:v>Form A only; paired alternate retained on the other comprehensive form</x:v>
      </x:c>
    </x:row>
    <x:row r="250">
      <x:c r="A250" s="88" t="str">
        <x:v>CTA-LCSW-MQB-0249</x:v>
      </x:c>
      <x:c r="B250" s="83" t="str">
        <x:v>LCSW-MQB-FA-AP-010</x:v>
      </x:c>
      <x:c r="C250" s="83" t="str">
        <x:v>LCSW</x:v>
      </x:c>
      <x:c r="D250" s="83" t="str">
        <x:v>Comprehensive Simulation</x:v>
      </x:c>
      <x:c r="E250" s="83"/>
      <x:c r="F250" s="83"/>
      <x:c r="G250" s="83" t="str">
        <x:v>Form A</x:v>
      </x:c>
      <x:c r="H250" s="83" t="n">
        <x:v>45</x:v>
      </x:c>
      <x:c r="I250" s="83" t="str">
        <x:v>Scored-Style</x:v>
      </x:c>
      <x:c r="J250" s="83" t="str">
        <x:v>II. Assessment and Planning</x:v>
      </x:c>
      <x:c r="K250" s="83" t="str">
        <x:v>Strengths assessment</x:v>
      </x:c>
      <x:c r="L250" s="83" t="str"/>
      <x:c r="M250" s="83" t="str">
        <x:v>Easy</x:v>
      </x:c>
      <x:c r="N250" s="83" t="str">
        <x:v>Easy</x:v>
      </x:c>
      <x:c r="O250" s="83" t="str">
        <x:v>Application</x:v>
      </x:c>
      <x:c r="P250" s="83" t="str">
        <x:v>Application</x:v>
      </x:c>
      <x:c r="Q250" s="83" t="n">
        <x:v>3</x:v>
      </x:c>
      <x:c r="R250" s="83" t="str">
        <x:v>A</x:v>
      </x:c>
      <x:c r="S250" s="83" t="str">
        <x:v>Approved</x:v>
      </x:c>
      <x:c r="T250" s="83" t="str">
        <x:v>Active</x:v>
      </x:c>
      <x:c r="U250" s="83" t="n">
        <x:v>1</x:v>
      </x:c>
      <x:c r="V250" s="83" t="str">
        <x:v>LCSW-ALT-010</x:v>
      </x:c>
      <x:c r="W250" s="83" t="str">
        <x:v>No additional flag</x:v>
      </x:c>
      <x:c r="X250" s="83" t="str">
        <x:v>No structural flag</x:v>
      </x:c>
      <x:c r="Y250" s="83" t="str">
        <x:v>Not Yet Reviewed</x:v>
      </x:c>
      <x:c r="Z250" s="83" t="str">
        <x:v>CTA LCSW WB3–WB7; ASWB 2026 Clinical Content Area II</x:v>
      </x:c>
      <x:c r="AA250" s="83" t="str">
        <x:v>CTA_LCSW_2026_Comprehensive_Simulation_Form_A_Answer_Key_and_Detailed_Rationales_v1.0.docx</x:v>
      </x:c>
      <x:c r="AB250" s="83" t="str">
        <x:v>1.0</x:v>
      </x:c>
      <x:c r="AC250" s="102"/>
      <x:c r="AD250" s="102" t="n">
        <x:v>46228</x:v>
      </x:c>
      <x:c r="AE250" s="83" t="str">
        <x:v>Approved for Form A</x:v>
      </x:c>
      <x:c r="AF250" s="89" t="str">
        <x:v>Form A only; paired alternate retained on the other comprehensive form</x:v>
      </x:c>
    </x:row>
    <x:row r="251">
      <x:c r="A251" s="88" t="str">
        <x:v>CTA-LCSW-MQB-0250</x:v>
      </x:c>
      <x:c r="B251" s="83" t="str">
        <x:v>LCSW-MQB-FA-IP-019</x:v>
      </x:c>
      <x:c r="C251" s="83" t="str">
        <x:v>LCSW</x:v>
      </x:c>
      <x:c r="D251" s="83" t="str">
        <x:v>Comprehensive Simulation</x:v>
      </x:c>
      <x:c r="E251" s="83"/>
      <x:c r="F251" s="83"/>
      <x:c r="G251" s="83" t="str">
        <x:v>Form A</x:v>
      </x:c>
      <x:c r="H251" s="83" t="n">
        <x:v>46</x:v>
      </x:c>
      <x:c r="I251" s="83" t="str">
        <x:v>Scored-Style</x:v>
      </x:c>
      <x:c r="J251" s="83" t="str">
        <x:v>III. Intervention and Practice</x:v>
      </x:c>
      <x:c r="K251" s="83" t="str">
        <x:v>Crisis de-escalation</x:v>
      </x:c>
      <x:c r="L251" s="83" t="str"/>
      <x:c r="M251" s="83" t="str">
        <x:v>Moderate</x:v>
      </x:c>
      <x:c r="N251" s="83" t="str">
        <x:v>Moderate</x:v>
      </x:c>
      <x:c r="O251" s="83" t="str">
        <x:v>Scenario-based reasoning</x:v>
      </x:c>
      <x:c r="P251" s="83" t="str">
        <x:v>Scenario-Based</x:v>
      </x:c>
      <x:c r="Q251" s="83" t="n">
        <x:v>3</x:v>
      </x:c>
      <x:c r="R251" s="83" t="str">
        <x:v>A</x:v>
      </x:c>
      <x:c r="S251" s="83" t="str">
        <x:v>Approved</x:v>
      </x:c>
      <x:c r="T251" s="83" t="str">
        <x:v>Active</x:v>
      </x:c>
      <x:c r="U251" s="83" t="n">
        <x:v>1</x:v>
      </x:c>
      <x:c r="V251" s="83" t="str">
        <x:v>LCSW-ALT-058</x:v>
      </x:c>
      <x:c r="W251" s="83" t="str">
        <x:v>No additional flag</x:v>
      </x:c>
      <x:c r="X251" s="83" t="str">
        <x:v>No structural flag</x:v>
      </x:c>
      <x:c r="Y251" s="83" t="str">
        <x:v>Not Yet Reviewed</x:v>
      </x:c>
      <x:c r="Z251" s="83" t="str">
        <x:v>CTA LCSW WB8–WB11; ASWB 2026 Clinical Content Area III</x:v>
      </x:c>
      <x:c r="AA251" s="83" t="str">
        <x:v>CTA_LCSW_2026_Comprehensive_Simulation_Form_A_Answer_Key_and_Detailed_Rationales_v1.0.docx</x:v>
      </x:c>
      <x:c r="AB251" s="83" t="str">
        <x:v>1.0</x:v>
      </x:c>
      <x:c r="AC251" s="102"/>
      <x:c r="AD251" s="102" t="n">
        <x:v>46228</x:v>
      </x:c>
      <x:c r="AE251" s="83" t="str">
        <x:v>Approved for Form A</x:v>
      </x:c>
      <x:c r="AF251" s="89" t="str">
        <x:v>Form A only; paired alternate retained on the other comprehensive form</x:v>
      </x:c>
    </x:row>
    <x:row r="252">
      <x:c r="A252" s="88" t="str">
        <x:v>CTA-LCSW-MQB-0251</x:v>
      </x:c>
      <x:c r="B252" s="83" t="str">
        <x:v>LCSW-MQB-FA-IP-024</x:v>
      </x:c>
      <x:c r="C252" s="83" t="str">
        <x:v>LCSW</x:v>
      </x:c>
      <x:c r="D252" s="83" t="str">
        <x:v>Comprehensive Simulation</x:v>
      </x:c>
      <x:c r="E252" s="83"/>
      <x:c r="F252" s="83"/>
      <x:c r="G252" s="83" t="str">
        <x:v>Form A</x:v>
      </x:c>
      <x:c r="H252" s="83" t="n">
        <x:v>47</x:v>
      </x:c>
      <x:c r="I252" s="83" t="str">
        <x:v>Scored-Style</x:v>
      </x:c>
      <x:c r="J252" s="83" t="str">
        <x:v>III. Intervention and Practice</x:v>
      </x:c>
      <x:c r="K252" s="83" t="str">
        <x:v>Trauma exposure pacing</x:v>
      </x:c>
      <x:c r="L252" s="83" t="str"/>
      <x:c r="M252" s="83" t="str">
        <x:v>Moderate</x:v>
      </x:c>
      <x:c r="N252" s="83" t="str">
        <x:v>Moderate</x:v>
      </x:c>
      <x:c r="O252" s="83" t="str">
        <x:v>Scenario-based reasoning</x:v>
      </x:c>
      <x:c r="P252" s="83" t="str">
        <x:v>Scenario-Based</x:v>
      </x:c>
      <x:c r="Q252" s="83" t="n">
        <x:v>4</x:v>
      </x:c>
      <x:c r="R252" s="83" t="str">
        <x:v>B</x:v>
      </x:c>
      <x:c r="S252" s="83" t="str">
        <x:v>Approved</x:v>
      </x:c>
      <x:c r="T252" s="83" t="str">
        <x:v>Active</x:v>
      </x:c>
      <x:c r="U252" s="83" t="n">
        <x:v>1</x:v>
      </x:c>
      <x:c r="V252" s="83" t="str">
        <x:v>LCSW-ALT-063</x:v>
      </x:c>
      <x:c r="W252" s="83" t="str">
        <x:v>No additional flag</x:v>
      </x:c>
      <x:c r="X252" s="83" t="str">
        <x:v>No structural flag</x:v>
      </x:c>
      <x:c r="Y252" s="83" t="str">
        <x:v>Not Yet Reviewed</x:v>
      </x:c>
      <x:c r="Z252" s="83" t="str">
        <x:v>CTA LCSW WB8–WB11; ASWB 2026 Clinical Content Area III</x:v>
      </x:c>
      <x:c r="AA252" s="83" t="str">
        <x:v>CTA_LCSW_2026_Comprehensive_Simulation_Form_A_Answer_Key_and_Detailed_Rationales_v1.0.docx</x:v>
      </x:c>
      <x:c r="AB252" s="83" t="str">
        <x:v>1.0</x:v>
      </x:c>
      <x:c r="AC252" s="102"/>
      <x:c r="AD252" s="102" t="n">
        <x:v>46228</x:v>
      </x:c>
      <x:c r="AE252" s="83" t="str">
        <x:v>Approved for Form A</x:v>
      </x:c>
      <x:c r="AF252" s="89" t="str">
        <x:v>Form A only; paired alternate retained on the other comprehensive form</x:v>
      </x:c>
    </x:row>
    <x:row r="253">
      <x:c r="A253" s="88" t="str">
        <x:v>CTA-LCSW-MQB-0252</x:v>
      </x:c>
      <x:c r="B253" s="83" t="str">
        <x:v>LCSW-MQB-FA-AP-024</x:v>
      </x:c>
      <x:c r="C253" s="83" t="str">
        <x:v>LCSW</x:v>
      </x:c>
      <x:c r="D253" s="83" t="str">
        <x:v>Comprehensive Simulation</x:v>
      </x:c>
      <x:c r="E253" s="83"/>
      <x:c r="F253" s="83"/>
      <x:c r="G253" s="83" t="str">
        <x:v>Form A</x:v>
      </x:c>
      <x:c r="H253" s="83" t="n">
        <x:v>48</x:v>
      </x:c>
      <x:c r="I253" s="83" t="str">
        <x:v>Scored-Style</x:v>
      </x:c>
      <x:c r="J253" s="83" t="str">
        <x:v>II. Assessment and Planning</x:v>
      </x:c>
      <x:c r="K253" s="83" t="str">
        <x:v>Domestic violence assessment</x:v>
      </x:c>
      <x:c r="L253" s="83" t="str"/>
      <x:c r="M253" s="83" t="str">
        <x:v>Moderate</x:v>
      </x:c>
      <x:c r="N253" s="83" t="str">
        <x:v>Moderate</x:v>
      </x:c>
      <x:c r="O253" s="83" t="str">
        <x:v>Scenario-based reasoning</x:v>
      </x:c>
      <x:c r="P253" s="83" t="str">
        <x:v>Scenario-Based</x:v>
      </x:c>
      <x:c r="Q253" s="83" t="n">
        <x:v>3</x:v>
      </x:c>
      <x:c r="R253" s="83" t="str">
        <x:v>A</x:v>
      </x:c>
      <x:c r="S253" s="83" t="str">
        <x:v>Approved</x:v>
      </x:c>
      <x:c r="T253" s="83" t="str">
        <x:v>Active</x:v>
      </x:c>
      <x:c r="U253" s="83" t="n">
        <x:v>1</x:v>
      </x:c>
      <x:c r="V253" s="83" t="str">
        <x:v>LCSW-ALT-024</x:v>
      </x:c>
      <x:c r="W253" s="83" t="str">
        <x:v>No additional flag</x:v>
      </x:c>
      <x:c r="X253" s="83" t="str">
        <x:v>No structural flag</x:v>
      </x:c>
      <x:c r="Y253" s="83" t="str">
        <x:v>Not Yet Reviewed</x:v>
      </x:c>
      <x:c r="Z253" s="83" t="str">
        <x:v>CTA LCSW WB6; ASWB 2026 Clinical Content Area II</x:v>
      </x:c>
      <x:c r="AA253" s="83" t="str">
        <x:v>CTA_LCSW_2026_Comprehensive_Simulation_Form_A_Answer_Key_and_Detailed_Rationales_v1.0.docx</x:v>
      </x:c>
      <x:c r="AB253" s="83" t="str">
        <x:v>1.0</x:v>
      </x:c>
      <x:c r="AC253" s="102"/>
      <x:c r="AD253" s="102" t="n">
        <x:v>46228</x:v>
      </x:c>
      <x:c r="AE253" s="83" t="str">
        <x:v>Approved for Form A</x:v>
      </x:c>
      <x:c r="AF253" s="89" t="str">
        <x:v>Form A only; paired alternate retained on the other comprehensive form</x:v>
      </x:c>
    </x:row>
    <x:row r="254">
      <x:c r="A254" s="88" t="str">
        <x:v>CTA-LCSW-MQB-0253</x:v>
      </x:c>
      <x:c r="B254" s="83" t="str">
        <x:v>LCSW-MQB-FA-VE-001</x:v>
      </x:c>
      <x:c r="C254" s="83" t="str">
        <x:v>LCSW</x:v>
      </x:c>
      <x:c r="D254" s="83" t="str">
        <x:v>Comprehensive Simulation</x:v>
      </x:c>
      <x:c r="E254" s="83"/>
      <x:c r="F254" s="83"/>
      <x:c r="G254" s="83" t="str">
        <x:v>Form A</x:v>
      </x:c>
      <x:c r="H254" s="83" t="n">
        <x:v>49</x:v>
      </x:c>
      <x:c r="I254" s="83" t="str">
        <x:v>Pretest-Style</x:v>
      </x:c>
      <x:c r="J254" s="83" t="str">
        <x:v>I. Values and Ethics</x:v>
      </x:c>
      <x:c r="K254" s="83" t="str">
        <x:v>Self-determination</x:v>
      </x:c>
      <x:c r="L254" s="83" t="str"/>
      <x:c r="M254" s="83" t="str">
        <x:v>Easy</x:v>
      </x:c>
      <x:c r="N254" s="83" t="str">
        <x:v>Easy</x:v>
      </x:c>
      <x:c r="O254" s="83" t="str">
        <x:v>Direct recognition</x:v>
      </x:c>
      <x:c r="P254" s="83" t="str">
        <x:v>Knowledge &amp; Recall</x:v>
      </x:c>
      <x:c r="Q254" s="83" t="n">
        <x:v>3</x:v>
      </x:c>
      <x:c r="R254" s="83" t="str">
        <x:v>B</x:v>
      </x:c>
      <x:c r="S254" s="83" t="str">
        <x:v>Approved</x:v>
      </x:c>
      <x:c r="T254" s="83" t="str">
        <x:v>Active</x:v>
      </x:c>
      <x:c r="U254" s="83" t="n">
        <x:v>1</x:v>
      </x:c>
      <x:c r="V254" s="83" t="str">
        <x:v>LCSW-ALT-079</x:v>
      </x:c>
      <x:c r="W254" s="83" t="str">
        <x:v>No additional flag</x:v>
      </x:c>
      <x:c r="X254" s="83" t="str">
        <x:v>No structural flag</x:v>
      </x:c>
      <x:c r="Y254" s="83" t="str">
        <x:v>Not Yet Reviewed</x:v>
      </x:c>
      <x:c r="Z254" s="83" t="str">
        <x:v>CTA LCSW WB2; ASWB 2026 Clinical Content Area I</x:v>
      </x:c>
      <x:c r="AA254" s="83" t="str">
        <x:v>CTA_LCSW_2026_Comprehensive_Simulation_Form_A_Answer_Key_and_Detailed_Rationales_v1.0.docx</x:v>
      </x:c>
      <x:c r="AB254" s="83" t="str">
        <x:v>1.0</x:v>
      </x:c>
      <x:c r="AC254" s="102"/>
      <x:c r="AD254" s="102" t="n">
        <x:v>46228</x:v>
      </x:c>
      <x:c r="AE254" s="83" t="str">
        <x:v>Approved for Form A</x:v>
      </x:c>
      <x:c r="AF254" s="89" t="str">
        <x:v>Form A only; paired alternate retained on the other comprehensive form</x:v>
      </x:c>
    </x:row>
    <x:row r="255">
      <x:c r="A255" s="88" t="str">
        <x:v>CTA-LCSW-MQB-0254</x:v>
      </x:c>
      <x:c r="B255" s="83" t="str">
        <x:v>LCSW-MQB-FA-VE-003</x:v>
      </x:c>
      <x:c r="C255" s="83" t="str">
        <x:v>LCSW</x:v>
      </x:c>
      <x:c r="D255" s="83" t="str">
        <x:v>Comprehensive Simulation</x:v>
      </x:c>
      <x:c r="E255" s="83"/>
      <x:c r="F255" s="83"/>
      <x:c r="G255" s="83" t="str">
        <x:v>Form A</x:v>
      </x:c>
      <x:c r="H255" s="83" t="n">
        <x:v>50</x:v>
      </x:c>
      <x:c r="I255" s="83" t="str">
        <x:v>Scored-Style</x:v>
      </x:c>
      <x:c r="J255" s="83" t="str">
        <x:v>I. Values and Ethics</x:v>
      </x:c>
      <x:c r="K255" s="83" t="str">
        <x:v>Confidentiality and privilege</x:v>
      </x:c>
      <x:c r="L255" s="83" t="str"/>
      <x:c r="M255" s="83" t="str">
        <x:v>Easy</x:v>
      </x:c>
      <x:c r="N255" s="83" t="str">
        <x:v>Easy</x:v>
      </x:c>
      <x:c r="O255" s="83" t="str">
        <x:v>Direct recognition</x:v>
      </x:c>
      <x:c r="P255" s="83" t="str">
        <x:v>Knowledge &amp; Recall</x:v>
      </x:c>
      <x:c r="Q255" s="83" t="n">
        <x:v>3</x:v>
      </x:c>
      <x:c r="R255" s="83" t="str">
        <x:v>A</x:v>
      </x:c>
      <x:c r="S255" s="83" t="str">
        <x:v>Approved</x:v>
      </x:c>
      <x:c r="T255" s="83" t="str">
        <x:v>Active</x:v>
      </x:c>
      <x:c r="U255" s="83" t="n">
        <x:v>1</x:v>
      </x:c>
      <x:c r="V255" s="83" t="str">
        <x:v>LCSW-ALT-081</x:v>
      </x:c>
      <x:c r="W255" s="83" t="str">
        <x:v>No additional flag</x:v>
      </x:c>
      <x:c r="X255" s="83" t="str">
        <x:v>No structural flag</x:v>
      </x:c>
      <x:c r="Y255" s="83" t="str">
        <x:v>Not Yet Reviewed</x:v>
      </x:c>
      <x:c r="Z255" s="83" t="str">
        <x:v>CTA LCSW WB2; CTA LCSW WB12; ASWB 2026 Clinical Content Area I</x:v>
      </x:c>
      <x:c r="AA255" s="83" t="str">
        <x:v>CTA_LCSW_2026_Comprehensive_Simulation_Form_A_Answer_Key_and_Detailed_Rationales_v1.0.docx</x:v>
      </x:c>
      <x:c r="AB255" s="83" t="str">
        <x:v>1.0</x:v>
      </x:c>
      <x:c r="AC255" s="102"/>
      <x:c r="AD255" s="102" t="n">
        <x:v>46228</x:v>
      </x:c>
      <x:c r="AE255" s="83" t="str">
        <x:v>Approved for Form A</x:v>
      </x:c>
      <x:c r="AF255" s="89" t="str">
        <x:v>Form A only; paired alternate retained on the other comprehensive form</x:v>
      </x:c>
    </x:row>
    <x:row r="256">
      <x:c r="A256" s="88" t="str">
        <x:v>CTA-LCSW-MQB-0255</x:v>
      </x:c>
      <x:c r="B256" s="83" t="str">
        <x:v>LCSW-MQB-FA-IP-020</x:v>
      </x:c>
      <x:c r="C256" s="83" t="str">
        <x:v>LCSW</x:v>
      </x:c>
      <x:c r="D256" s="83" t="str">
        <x:v>Comprehensive Simulation</x:v>
      </x:c>
      <x:c r="E256" s="83"/>
      <x:c r="F256" s="83"/>
      <x:c r="G256" s="83" t="str">
        <x:v>Form A</x:v>
      </x:c>
      <x:c r="H256" s="83" t="n">
        <x:v>51</x:v>
      </x:c>
      <x:c r="I256" s="83" t="str">
        <x:v>Scored-Style</x:v>
      </x:c>
      <x:c r="J256" s="83" t="str">
        <x:v>III. Intervention and Practice</x:v>
      </x:c>
      <x:c r="K256" s="83" t="str">
        <x:v>Suicide intervention</x:v>
      </x:c>
      <x:c r="L256" s="83" t="str"/>
      <x:c r="M256" s="83" t="str">
        <x:v>Moderate</x:v>
      </x:c>
      <x:c r="N256" s="83" t="str">
        <x:v>Moderate</x:v>
      </x:c>
      <x:c r="O256" s="83" t="str">
        <x:v>Scenario-based reasoning</x:v>
      </x:c>
      <x:c r="P256" s="83" t="str">
        <x:v>Scenario-Based</x:v>
      </x:c>
      <x:c r="Q256" s="83" t="n">
        <x:v>3</x:v>
      </x:c>
      <x:c r="R256" s="83" t="str">
        <x:v>C</x:v>
      </x:c>
      <x:c r="S256" s="83" t="str">
        <x:v>Approved</x:v>
      </x:c>
      <x:c r="T256" s="83" t="str">
        <x:v>Active</x:v>
      </x:c>
      <x:c r="U256" s="83" t="n">
        <x:v>1</x:v>
      </x:c>
      <x:c r="V256" s="83" t="str">
        <x:v>LCSW-ALT-059</x:v>
      </x:c>
      <x:c r="W256" s="83" t="str">
        <x:v>No additional flag</x:v>
      </x:c>
      <x:c r="X256" s="83" t="str">
        <x:v>No structural flag</x:v>
      </x:c>
      <x:c r="Y256" s="83" t="str">
        <x:v>Not Yet Reviewed</x:v>
      </x:c>
      <x:c r="Z256" s="83" t="str">
        <x:v>CTA LCSW WB8–WB11; ASWB 2026 Clinical Content Area III</x:v>
      </x:c>
      <x:c r="AA256" s="83" t="str">
        <x:v>CTA_LCSW_2026_Comprehensive_Simulation_Form_A_Answer_Key_and_Detailed_Rationales_v1.0.docx</x:v>
      </x:c>
      <x:c r="AB256" s="83" t="str">
        <x:v>1.0</x:v>
      </x:c>
      <x:c r="AC256" s="102"/>
      <x:c r="AD256" s="102" t="n">
        <x:v>46228</x:v>
      </x:c>
      <x:c r="AE256" s="83" t="str">
        <x:v>Approved for Form A</x:v>
      </x:c>
      <x:c r="AF256" s="89" t="str">
        <x:v>Form A only; paired alternate retained on the other comprehensive form</x:v>
      </x:c>
    </x:row>
    <x:row r="257">
      <x:c r="A257" s="88" t="str">
        <x:v>CTA-LCSW-MQB-0256</x:v>
      </x:c>
      <x:c r="B257" s="83" t="str">
        <x:v>LCSW-MQB-FA-VE-007</x:v>
      </x:c>
      <x:c r="C257" s="83" t="str">
        <x:v>LCSW</x:v>
      </x:c>
      <x:c r="D257" s="83" t="str">
        <x:v>Comprehensive Simulation</x:v>
      </x:c>
      <x:c r="E257" s="83"/>
      <x:c r="F257" s="83"/>
      <x:c r="G257" s="83" t="str">
        <x:v>Form A</x:v>
      </x:c>
      <x:c r="H257" s="83" t="n">
        <x:v>52</x:v>
      </x:c>
      <x:c r="I257" s="83" t="str">
        <x:v>Scored-Style</x:v>
      </x:c>
      <x:c r="J257" s="83" t="str">
        <x:v>I. Values and Ethics</x:v>
      </x:c>
      <x:c r="K257" s="83" t="str">
        <x:v>Language access</x:v>
      </x:c>
      <x:c r="L257" s="83" t="str"/>
      <x:c r="M257" s="83" t="str">
        <x:v>Easy</x:v>
      </x:c>
      <x:c r="N257" s="83" t="str">
        <x:v>Easy</x:v>
      </x:c>
      <x:c r="O257" s="83" t="str">
        <x:v>Application</x:v>
      </x:c>
      <x:c r="P257" s="83" t="str">
        <x:v>Application</x:v>
      </x:c>
      <x:c r="Q257" s="83" t="n">
        <x:v>3</x:v>
      </x:c>
      <x:c r="R257" s="83" t="str">
        <x:v>B</x:v>
      </x:c>
      <x:c r="S257" s="83" t="str">
        <x:v>Approved</x:v>
      </x:c>
      <x:c r="T257" s="83" t="str">
        <x:v>Active</x:v>
      </x:c>
      <x:c r="U257" s="83" t="n">
        <x:v>1</x:v>
      </x:c>
      <x:c r="V257" s="83" t="str">
        <x:v>LCSW-ALT-085</x:v>
      </x:c>
      <x:c r="W257" s="83" t="str">
        <x:v>No additional flag</x:v>
      </x:c>
      <x:c r="X257" s="83" t="str">
        <x:v>No structural flag</x:v>
      </x:c>
      <x:c r="Y257" s="83" t="str">
        <x:v>Not Yet Reviewed</x:v>
      </x:c>
      <x:c r="Z257" s="83" t="str">
        <x:v>CTA LCSW WB2; ASWB 2026 Clinical Content Area I</x:v>
      </x:c>
      <x:c r="AA257" s="83" t="str">
        <x:v>CTA_LCSW_2026_Comprehensive_Simulation_Form_A_Answer_Key_and_Detailed_Rationales_v1.0.docx</x:v>
      </x:c>
      <x:c r="AB257" s="83" t="str">
        <x:v>1.0</x:v>
      </x:c>
      <x:c r="AC257" s="102"/>
      <x:c r="AD257" s="102" t="n">
        <x:v>46228</x:v>
      </x:c>
      <x:c r="AE257" s="83" t="str">
        <x:v>Approved for Form A</x:v>
      </x:c>
      <x:c r="AF257" s="89" t="str">
        <x:v>Form A only; paired alternate retained on the other comprehensive form</x:v>
      </x:c>
    </x:row>
    <x:row r="258">
      <x:c r="A258" s="88" t="str">
        <x:v>CTA-LCSW-MQB-0257</x:v>
      </x:c>
      <x:c r="B258" s="83" t="str">
        <x:v>LCSW-MQB-FA-IP-038</x:v>
      </x:c>
      <x:c r="C258" s="83" t="str">
        <x:v>LCSW</x:v>
      </x:c>
      <x:c r="D258" s="83" t="str">
        <x:v>Comprehensive Simulation</x:v>
      </x:c>
      <x:c r="E258" s="83"/>
      <x:c r="F258" s="83"/>
      <x:c r="G258" s="83" t="str">
        <x:v>Form A</x:v>
      </x:c>
      <x:c r="H258" s="83" t="n">
        <x:v>53</x:v>
      </x:c>
      <x:c r="I258" s="83" t="str">
        <x:v>Scored-Style</x:v>
      </x:c>
      <x:c r="J258" s="83" t="str">
        <x:v>III. Intervention and Practice</x:v>
      </x:c>
      <x:c r="K258" s="83" t="str">
        <x:v>Interdisciplinary disagreement and autonomy</x:v>
      </x:c>
      <x:c r="L258" s="83" t="str"/>
      <x:c r="M258" s="83" t="str">
        <x:v>Difficult</x:v>
      </x:c>
      <x:c r="N258" s="83" t="str">
        <x:v>Difficult</x:v>
      </x:c>
      <x:c r="O258" s="83" t="str">
        <x:v>Integrated reasoning</x:v>
      </x:c>
      <x:c r="P258" s="83" t="str">
        <x:v>Integrated Clinical Reasoning</x:v>
      </x:c>
      <x:c r="Q258" s="83" t="n">
        <x:v>4</x:v>
      </x:c>
      <x:c r="R258" s="83" t="str">
        <x:v>A</x:v>
      </x:c>
      <x:c r="S258" s="83" t="str">
        <x:v>Approved</x:v>
      </x:c>
      <x:c r="T258" s="83" t="str">
        <x:v>Active</x:v>
      </x:c>
      <x:c r="U258" s="83" t="n">
        <x:v>1</x:v>
      </x:c>
      <x:c r="V258" s="83" t="str">
        <x:v>LCSW-ALT-077</x:v>
      </x:c>
      <x:c r="W258" s="83" t="str">
        <x:v>No additional flag</x:v>
      </x:c>
      <x:c r="X258" s="83" t="str">
        <x:v>No structural flag</x:v>
      </x:c>
      <x:c r="Y258" s="83" t="str">
        <x:v>Not Yet Reviewed</x:v>
      </x:c>
      <x:c r="Z258" s="83" t="str">
        <x:v>CTA LCSW WB10; CTA LCSW WB11; ASWB 2026 Clinical Content Area III</x:v>
      </x:c>
      <x:c r="AA258" s="83" t="str">
        <x:v>CTA_LCSW_2026_Comprehensive_Simulation_Form_A_Answer_Key_and_Detailed_Rationales_v1.0.docx</x:v>
      </x:c>
      <x:c r="AB258" s="83" t="str">
        <x:v>1.0</x:v>
      </x:c>
      <x:c r="AC258" s="102"/>
      <x:c r="AD258" s="102" t="n">
        <x:v>46228</x:v>
      </x:c>
      <x:c r="AE258" s="83" t="str">
        <x:v>Approved for Form A</x:v>
      </x:c>
      <x:c r="AF258" s="89" t="str">
        <x:v>Form A only; paired alternate retained on the other comprehensive form</x:v>
      </x:c>
    </x:row>
    <x:row r="259">
      <x:c r="A259" s="88" t="str">
        <x:v>CTA-LCSW-MQB-0258</x:v>
      </x:c>
      <x:c r="B259" s="83" t="str">
        <x:v>LCSW-MQB-FA-VE-006</x:v>
      </x:c>
      <x:c r="C259" s="83" t="str">
        <x:v>LCSW</x:v>
      </x:c>
      <x:c r="D259" s="83" t="str">
        <x:v>Comprehensive Simulation</x:v>
      </x:c>
      <x:c r="E259" s="83"/>
      <x:c r="F259" s="83"/>
      <x:c r="G259" s="83" t="str">
        <x:v>Form A</x:v>
      </x:c>
      <x:c r="H259" s="83" t="n">
        <x:v>54</x:v>
      </x:c>
      <x:c r="I259" s="83" t="str">
        <x:v>Scored-Style</x:v>
      </x:c>
      <x:c r="J259" s="83" t="str">
        <x:v>I. Values and Ethics</x:v>
      </x:c>
      <x:c r="K259" s="83" t="str">
        <x:v>Client-defined goals</x:v>
      </x:c>
      <x:c r="L259" s="83" t="str"/>
      <x:c r="M259" s="83" t="str">
        <x:v>Easy</x:v>
      </x:c>
      <x:c r="N259" s="83" t="str">
        <x:v>Easy</x:v>
      </x:c>
      <x:c r="O259" s="83" t="str">
        <x:v>Application</x:v>
      </x:c>
      <x:c r="P259" s="83" t="str">
        <x:v>Application</x:v>
      </x:c>
      <x:c r="Q259" s="83" t="n">
        <x:v>3</x:v>
      </x:c>
      <x:c r="R259" s="83" t="str">
        <x:v>C</x:v>
      </x:c>
      <x:c r="S259" s="83" t="str">
        <x:v>Approved</x:v>
      </x:c>
      <x:c r="T259" s="83" t="str">
        <x:v>Active</x:v>
      </x:c>
      <x:c r="U259" s="83" t="n">
        <x:v>1</x:v>
      </x:c>
      <x:c r="V259" s="83" t="str">
        <x:v>LCSW-ALT-084</x:v>
      </x:c>
      <x:c r="W259" s="83" t="str">
        <x:v>No additional flag</x:v>
      </x:c>
      <x:c r="X259" s="83" t="str">
        <x:v>No structural flag</x:v>
      </x:c>
      <x:c r="Y259" s="83" t="str">
        <x:v>Not Yet Reviewed</x:v>
      </x:c>
      <x:c r="Z259" s="83" t="str">
        <x:v>CTA LCSW WB2; ASWB 2026 Clinical Content Area I</x:v>
      </x:c>
      <x:c r="AA259" s="83" t="str">
        <x:v>CTA_LCSW_2026_Comprehensive_Simulation_Form_A_Answer_Key_and_Detailed_Rationales_v1.0.docx</x:v>
      </x:c>
      <x:c r="AB259" s="83" t="str">
        <x:v>1.0</x:v>
      </x:c>
      <x:c r="AC259" s="102"/>
      <x:c r="AD259" s="102" t="n">
        <x:v>46228</x:v>
      </x:c>
      <x:c r="AE259" s="83" t="str">
        <x:v>Approved for Form A</x:v>
      </x:c>
      <x:c r="AF259" s="89" t="str">
        <x:v>Form A only; paired alternate retained on the other comprehensive form</x:v>
      </x:c>
    </x:row>
    <x:row r="260">
      <x:c r="A260" s="88" t="str">
        <x:v>CTA-LCSW-MQB-0259</x:v>
      </x:c>
      <x:c r="B260" s="83" t="str">
        <x:v>LCSW-MQB-FA-VE-026</x:v>
      </x:c>
      <x:c r="C260" s="83" t="str">
        <x:v>LCSW</x:v>
      </x:c>
      <x:c r="D260" s="83" t="str">
        <x:v>Comprehensive Simulation</x:v>
      </x:c>
      <x:c r="E260" s="83"/>
      <x:c r="F260" s="83"/>
      <x:c r="G260" s="83" t="str">
        <x:v>Form A</x:v>
      </x:c>
      <x:c r="H260" s="83" t="n">
        <x:v>55</x:v>
      </x:c>
      <x:c r="I260" s="83" t="str">
        <x:v>Scored-Style</x:v>
      </x:c>
      <x:c r="J260" s="83" t="str">
        <x:v>I. Values and Ethics</x:v>
      </x:c>
      <x:c r="K260" s="83" t="str">
        <x:v>Confidential message</x:v>
      </x:c>
      <x:c r="L260" s="83" t="str"/>
      <x:c r="M260" s="83" t="str">
        <x:v>Moderate</x:v>
      </x:c>
      <x:c r="N260" s="83" t="str">
        <x:v>Moderate</x:v>
      </x:c>
      <x:c r="O260" s="83" t="str">
        <x:v>Scenario-based reasoning</x:v>
      </x:c>
      <x:c r="P260" s="83" t="str">
        <x:v>Scenario-Based</x:v>
      </x:c>
      <x:c r="Q260" s="83" t="n">
        <x:v>3</x:v>
      </x:c>
      <x:c r="R260" s="83" t="str">
        <x:v>B</x:v>
      </x:c>
      <x:c r="S260" s="83" t="str">
        <x:v>Approved</x:v>
      </x:c>
      <x:c r="T260" s="83" t="str">
        <x:v>Active</x:v>
      </x:c>
      <x:c r="U260" s="83" t="n">
        <x:v>1</x:v>
      </x:c>
      <x:c r="V260" s="83" t="str">
        <x:v>LCSW-ALT-104</x:v>
      </x:c>
      <x:c r="W260" s="83" t="str">
        <x:v>No additional flag</x:v>
      </x:c>
      <x:c r="X260" s="83" t="str">
        <x:v>No structural flag</x:v>
      </x:c>
      <x:c r="Y260" s="83" t="str">
        <x:v>Not Yet Reviewed</x:v>
      </x:c>
      <x:c r="Z260" s="83" t="str">
        <x:v>CTA LCSW WB2; CTA LCSW WB12; ASWB 2026 Clinical Content Area I</x:v>
      </x:c>
      <x:c r="AA260" s="83" t="str">
        <x:v>CTA_LCSW_2026_Comprehensive_Simulation_Form_A_Answer_Key_and_Detailed_Rationales_v1.0.docx</x:v>
      </x:c>
      <x:c r="AB260" s="83" t="str">
        <x:v>1.0</x:v>
      </x:c>
      <x:c r="AC260" s="102"/>
      <x:c r="AD260" s="102" t="n">
        <x:v>46228</x:v>
      </x:c>
      <x:c r="AE260" s="83" t="str">
        <x:v>Approved for Form A</x:v>
      </x:c>
      <x:c r="AF260" s="89" t="str">
        <x:v>Form A only; paired alternate retained on the other comprehensive form</x:v>
      </x:c>
    </x:row>
    <x:row r="261">
      <x:c r="A261" s="88" t="str">
        <x:v>CTA-LCSW-MQB-0260</x:v>
      </x:c>
      <x:c r="B261" s="83" t="str">
        <x:v>LCSW-MQB-FA-AP-023</x:v>
      </x:c>
      <x:c r="C261" s="83" t="str">
        <x:v>LCSW</x:v>
      </x:c>
      <x:c r="D261" s="83" t="str">
        <x:v>Comprehensive Simulation</x:v>
      </x:c>
      <x:c r="E261" s="83"/>
      <x:c r="F261" s="83"/>
      <x:c r="G261" s="83" t="str">
        <x:v>Form A</x:v>
      </x:c>
      <x:c r="H261" s="83" t="n">
        <x:v>56</x:v>
      </x:c>
      <x:c r="I261" s="83" t="str">
        <x:v>Scored-Style</x:v>
      </x:c>
      <x:c r="J261" s="83" t="str">
        <x:v>II. Assessment and Planning</x:v>
      </x:c>
      <x:c r="K261" s="83" t="str">
        <x:v>Child abuse concern</x:v>
      </x:c>
      <x:c r="L261" s="83" t="str"/>
      <x:c r="M261" s="83" t="str">
        <x:v>Moderate</x:v>
      </x:c>
      <x:c r="N261" s="83" t="str">
        <x:v>Moderate</x:v>
      </x:c>
      <x:c r="O261" s="83" t="str">
        <x:v>Scenario-based reasoning</x:v>
      </x:c>
      <x:c r="P261" s="83" t="str">
        <x:v>Scenario-Based</x:v>
      </x:c>
      <x:c r="Q261" s="83" t="n">
        <x:v>3</x:v>
      </x:c>
      <x:c r="R261" s="83" t="str">
        <x:v>C</x:v>
      </x:c>
      <x:c r="S261" s="83" t="str">
        <x:v>Approved</x:v>
      </x:c>
      <x:c r="T261" s="83" t="str">
        <x:v>Active</x:v>
      </x:c>
      <x:c r="U261" s="83" t="n">
        <x:v>1</x:v>
      </x:c>
      <x:c r="V261" s="83" t="str">
        <x:v>LCSW-ALT-023</x:v>
      </x:c>
      <x:c r="W261" s="83" t="str">
        <x:v>No additional flag</x:v>
      </x:c>
      <x:c r="X261" s="83" t="str">
        <x:v>No structural flag</x:v>
      </x:c>
      <x:c r="Y261" s="83" t="str">
        <x:v>Not Yet Reviewed</x:v>
      </x:c>
      <x:c r="Z261" s="83" t="str">
        <x:v>CTA LCSW WB6; ASWB 2026 Clinical Content Area II</x:v>
      </x:c>
      <x:c r="AA261" s="83" t="str">
        <x:v>CTA_LCSW_2026_Comprehensive_Simulation_Form_A_Answer_Key_and_Detailed_Rationales_v1.0.docx</x:v>
      </x:c>
      <x:c r="AB261" s="83" t="str">
        <x:v>1.0</x:v>
      </x:c>
      <x:c r="AC261" s="102"/>
      <x:c r="AD261" s="102" t="n">
        <x:v>46228</x:v>
      </x:c>
      <x:c r="AE261" s="83" t="str">
        <x:v>Approved for Form A</x:v>
      </x:c>
      <x:c r="AF261" s="89" t="str">
        <x:v>Form A only; paired alternate retained on the other comprehensive form</x:v>
      </x:c>
    </x:row>
    <x:row r="262">
      <x:c r="A262" s="88" t="str">
        <x:v>CTA-LCSW-MQB-0261</x:v>
      </x:c>
      <x:c r="B262" s="83" t="str">
        <x:v>LCSW-MQB-FA-VE-017</x:v>
      </x:c>
      <x:c r="C262" s="83" t="str">
        <x:v>LCSW</x:v>
      </x:c>
      <x:c r="D262" s="83" t="str">
        <x:v>Comprehensive Simulation</x:v>
      </x:c>
      <x:c r="E262" s="83"/>
      <x:c r="F262" s="83"/>
      <x:c r="G262" s="83" t="str">
        <x:v>Form A</x:v>
      </x:c>
      <x:c r="H262" s="83" t="n">
        <x:v>57</x:v>
      </x:c>
      <x:c r="I262" s="83" t="str">
        <x:v>Scored-Style</x:v>
      </x:c>
      <x:c r="J262" s="83" t="str">
        <x:v>I. Values and Ethics</x:v>
      </x:c>
      <x:c r="K262" s="83" t="str">
        <x:v>Technology competence</x:v>
      </x:c>
      <x:c r="L262" s="83" t="str"/>
      <x:c r="M262" s="83" t="str">
        <x:v>Moderate</x:v>
      </x:c>
      <x:c r="N262" s="83" t="str">
        <x:v>Moderate</x:v>
      </x:c>
      <x:c r="O262" s="83" t="str">
        <x:v>Application</x:v>
      </x:c>
      <x:c r="P262" s="83" t="str">
        <x:v>Application</x:v>
      </x:c>
      <x:c r="Q262" s="83" t="n">
        <x:v>3</x:v>
      </x:c>
      <x:c r="R262" s="83" t="str">
        <x:v>B</x:v>
      </x:c>
      <x:c r="S262" s="83" t="str">
        <x:v>Approved</x:v>
      </x:c>
      <x:c r="T262" s="83" t="str">
        <x:v>Active</x:v>
      </x:c>
      <x:c r="U262" s="83" t="n">
        <x:v>1</x:v>
      </x:c>
      <x:c r="V262" s="83" t="str">
        <x:v>LCSW-ALT-095</x:v>
      </x:c>
      <x:c r="W262" s="83" t="str">
        <x:v>No additional flag</x:v>
      </x:c>
      <x:c r="X262" s="83" t="str">
        <x:v>No structural flag</x:v>
      </x:c>
      <x:c r="Y262" s="83" t="str">
        <x:v>Not Yet Reviewed</x:v>
      </x:c>
      <x:c r="Z262" s="83" t="str">
        <x:v>CTA LCSW WB2; CTA LCSW WB12; ASWB 2026 Clinical Content Area I</x:v>
      </x:c>
      <x:c r="AA262" s="83" t="str">
        <x:v>CTA_LCSW_2026_Comprehensive_Simulation_Form_A_Answer_Key_and_Detailed_Rationales_v1.0.docx</x:v>
      </x:c>
      <x:c r="AB262" s="83" t="str">
        <x:v>1.0</x:v>
      </x:c>
      <x:c r="AC262" s="102"/>
      <x:c r="AD262" s="102" t="n">
        <x:v>46228</x:v>
      </x:c>
      <x:c r="AE262" s="83" t="str">
        <x:v>Approved for Form A</x:v>
      </x:c>
      <x:c r="AF262" s="89" t="str">
        <x:v>Form A only; paired alternate retained on the other comprehensive form</x:v>
      </x:c>
    </x:row>
    <x:row r="263">
      <x:c r="A263" s="88" t="str">
        <x:v>CTA-LCSW-MQB-0262</x:v>
      </x:c>
      <x:c r="B263" s="83" t="str">
        <x:v>LCSW-MQB-FA-IP-033</x:v>
      </x:c>
      <x:c r="C263" s="83" t="str">
        <x:v>LCSW</x:v>
      </x:c>
      <x:c r="D263" s="83" t="str">
        <x:v>Comprehensive Simulation</x:v>
      </x:c>
      <x:c r="E263" s="83"/>
      <x:c r="F263" s="83"/>
      <x:c r="G263" s="83" t="str">
        <x:v>Form A</x:v>
      </x:c>
      <x:c r="H263" s="83" t="n">
        <x:v>58</x:v>
      </x:c>
      <x:c r="I263" s="83" t="str">
        <x:v>Scored-Style</x:v>
      </x:c>
      <x:c r="J263" s="83" t="str">
        <x:v>III. Intervention and Practice</x:v>
      </x:c>
      <x:c r="K263" s="83" t="str">
        <x:v>Termination after dropout</x:v>
      </x:c>
      <x:c r="L263" s="83" t="str"/>
      <x:c r="M263" s="83" t="str">
        <x:v>Difficult</x:v>
      </x:c>
      <x:c r="N263" s="83" t="str">
        <x:v>Difficult</x:v>
      </x:c>
      <x:c r="O263" s="83" t="str">
        <x:v>Scenario-based reasoning</x:v>
      </x:c>
      <x:c r="P263" s="83" t="str">
        <x:v>Scenario-Based</x:v>
      </x:c>
      <x:c r="Q263" s="83" t="n">
        <x:v>4</x:v>
      </x:c>
      <x:c r="R263" s="83" t="str">
        <x:v>A</x:v>
      </x:c>
      <x:c r="S263" s="83" t="str">
        <x:v>Approved</x:v>
      </x:c>
      <x:c r="T263" s="83" t="str">
        <x:v>Active</x:v>
      </x:c>
      <x:c r="U263" s="83" t="n">
        <x:v>1</x:v>
      </x:c>
      <x:c r="V263" s="83" t="str">
        <x:v>LCSW-ALT-072</x:v>
      </x:c>
      <x:c r="W263" s="83" t="str">
        <x:v>No additional flag</x:v>
      </x:c>
      <x:c r="X263" s="83" t="str">
        <x:v>No structural flag</x:v>
      </x:c>
      <x:c r="Y263" s="83" t="str">
        <x:v>Not Yet Reviewed</x:v>
      </x:c>
      <x:c r="Z263" s="83" t="str">
        <x:v>CTA LCSW WB8–WB11; ASWB 2026 Clinical Content Area III</x:v>
      </x:c>
      <x:c r="AA263" s="83" t="str">
        <x:v>CTA_LCSW_2026_Comprehensive_Simulation_Form_A_Answer_Key_and_Detailed_Rationales_v1.0.docx</x:v>
      </x:c>
      <x:c r="AB263" s="83" t="str">
        <x:v>1.0</x:v>
      </x:c>
      <x:c r="AC263" s="102"/>
      <x:c r="AD263" s="102" t="n">
        <x:v>46228</x:v>
      </x:c>
      <x:c r="AE263" s="83" t="str">
        <x:v>Approved for Form A</x:v>
      </x:c>
      <x:c r="AF263" s="89" t="str">
        <x:v>Form A only; paired alternate retained on the other comprehensive form</x:v>
      </x:c>
    </x:row>
    <x:row r="264">
      <x:c r="A264" s="88" t="str">
        <x:v>CTA-LCSW-MQB-0263</x:v>
      </x:c>
      <x:c r="B264" s="83" t="str">
        <x:v>LCSW-MQB-FA-IP-023</x:v>
      </x:c>
      <x:c r="C264" s="83" t="str">
        <x:v>LCSW</x:v>
      </x:c>
      <x:c r="D264" s="83" t="str">
        <x:v>Comprehensive Simulation</x:v>
      </x:c>
      <x:c r="E264" s="83"/>
      <x:c r="F264" s="83"/>
      <x:c r="G264" s="83" t="str">
        <x:v>Form A</x:v>
      </x:c>
      <x:c r="H264" s="83" t="n">
        <x:v>59</x:v>
      </x:c>
      <x:c r="I264" s="83" t="str">
        <x:v>Pretest-Style</x:v>
      </x:c>
      <x:c r="J264" s="83" t="str">
        <x:v>III. Intervention and Practice</x:v>
      </x:c>
      <x:c r="K264" s="83" t="str">
        <x:v>Substance harm reduction</x:v>
      </x:c>
      <x:c r="L264" s="83" t="str"/>
      <x:c r="M264" s="83" t="str">
        <x:v>Moderate</x:v>
      </x:c>
      <x:c r="N264" s="83" t="str">
        <x:v>Moderate</x:v>
      </x:c>
      <x:c r="O264" s="83" t="str">
        <x:v>Scenario-based reasoning</x:v>
      </x:c>
      <x:c r="P264" s="83" t="str">
        <x:v>Scenario-Based</x:v>
      </x:c>
      <x:c r="Q264" s="83" t="n">
        <x:v>4</x:v>
      </x:c>
      <x:c r="R264" s="83" t="str">
        <x:v>B</x:v>
      </x:c>
      <x:c r="S264" s="83" t="str">
        <x:v>Approved</x:v>
      </x:c>
      <x:c r="T264" s="83" t="str">
        <x:v>Active</x:v>
      </x:c>
      <x:c r="U264" s="83" t="n">
        <x:v>1</x:v>
      </x:c>
      <x:c r="V264" s="83" t="str">
        <x:v>LCSW-ALT-062</x:v>
      </x:c>
      <x:c r="W264" s="83" t="str">
        <x:v>No additional flag</x:v>
      </x:c>
      <x:c r="X264" s="83" t="str">
        <x:v>No structural flag</x:v>
      </x:c>
      <x:c r="Y264" s="83" t="str">
        <x:v>Not Yet Reviewed</x:v>
      </x:c>
      <x:c r="Z264" s="83" t="str">
        <x:v>CTA LCSW WB8–WB11; ASWB 2026 Clinical Content Area III</x:v>
      </x:c>
      <x:c r="AA264" s="83" t="str">
        <x:v>CTA_LCSW_2026_Comprehensive_Simulation_Form_A_Answer_Key_and_Detailed_Rationales_v1.0.docx</x:v>
      </x:c>
      <x:c r="AB264" s="83" t="str">
        <x:v>1.0</x:v>
      </x:c>
      <x:c r="AC264" s="102"/>
      <x:c r="AD264" s="102" t="n">
        <x:v>46228</x:v>
      </x:c>
      <x:c r="AE264" s="83" t="str">
        <x:v>Approved for Form A</x:v>
      </x:c>
      <x:c r="AF264" s="89" t="str">
        <x:v>Form A only; paired alternate retained on the other comprehensive form</x:v>
      </x:c>
    </x:row>
    <x:row r="265">
      <x:c r="A265" s="88" t="str">
        <x:v>CTA-LCSW-MQB-0264</x:v>
      </x:c>
      <x:c r="B265" s="83" t="str">
        <x:v>LCSW-MQB-FA-AP-022</x:v>
      </x:c>
      <x:c r="C265" s="83" t="str">
        <x:v>LCSW</x:v>
      </x:c>
      <x:c r="D265" s="83" t="str">
        <x:v>Comprehensive Simulation</x:v>
      </x:c>
      <x:c r="E265" s="83"/>
      <x:c r="F265" s="83"/>
      <x:c r="G265" s="83" t="str">
        <x:v>Form A</x:v>
      </x:c>
      <x:c r="H265" s="83" t="n">
        <x:v>60</x:v>
      </x:c>
      <x:c r="I265" s="83" t="str">
        <x:v>Scored-Style</x:v>
      </x:c>
      <x:c r="J265" s="83" t="str">
        <x:v>II. Assessment and Planning</x:v>
      </x:c>
      <x:c r="K265" s="83" t="str">
        <x:v>Violence risk</x:v>
      </x:c>
      <x:c r="L265" s="83" t="str"/>
      <x:c r="M265" s="83" t="str">
        <x:v>Moderate</x:v>
      </x:c>
      <x:c r="N265" s="83" t="str">
        <x:v>Moderate</x:v>
      </x:c>
      <x:c r="O265" s="83" t="str">
        <x:v>Scenario-based reasoning</x:v>
      </x:c>
      <x:c r="P265" s="83" t="str">
        <x:v>Scenario-Based</x:v>
      </x:c>
      <x:c r="Q265" s="83" t="n">
        <x:v>3</x:v>
      </x:c>
      <x:c r="R265" s="83" t="str">
        <x:v>A</x:v>
      </x:c>
      <x:c r="S265" s="83" t="str">
        <x:v>Approved</x:v>
      </x:c>
      <x:c r="T265" s="83" t="str">
        <x:v>Active</x:v>
      </x:c>
      <x:c r="U265" s="83" t="n">
        <x:v>1</x:v>
      </x:c>
      <x:c r="V265" s="83" t="str">
        <x:v>LCSW-ALT-022</x:v>
      </x:c>
      <x:c r="W265" s="83" t="str">
        <x:v>No additional flag</x:v>
      </x:c>
      <x:c r="X265" s="83" t="str">
        <x:v>No structural flag</x:v>
      </x:c>
      <x:c r="Y265" s="83" t="str">
        <x:v>Not Yet Reviewed</x:v>
      </x:c>
      <x:c r="Z265" s="83" t="str">
        <x:v>CTA LCSW WB6; ASWB 2026 Clinical Content Area II</x:v>
      </x:c>
      <x:c r="AA265" s="83" t="str">
        <x:v>CTA_LCSW_2026_Comprehensive_Simulation_Form_A_Answer_Key_and_Detailed_Rationales_v1.0.docx</x:v>
      </x:c>
      <x:c r="AB265" s="83" t="str">
        <x:v>1.0</x:v>
      </x:c>
      <x:c r="AC265" s="102"/>
      <x:c r="AD265" s="102" t="n">
        <x:v>46228</x:v>
      </x:c>
      <x:c r="AE265" s="83" t="str">
        <x:v>Approved for Form A</x:v>
      </x:c>
      <x:c r="AF265" s="89" t="str">
        <x:v>Form A only; paired alternate retained on the other comprehensive form</x:v>
      </x:c>
    </x:row>
    <x:row r="266">
      <x:c r="A266" s="88" t="str">
        <x:v>CTA-LCSW-MQB-0265</x:v>
      </x:c>
      <x:c r="B266" s="83" t="str">
        <x:v>LCSW-MQB-FA-IP-039</x:v>
      </x:c>
      <x:c r="C266" s="83" t="str">
        <x:v>LCSW</x:v>
      </x:c>
      <x:c r="D266" s="83" t="str">
        <x:v>Comprehensive Simulation</x:v>
      </x:c>
      <x:c r="E266" s="83"/>
      <x:c r="F266" s="83"/>
      <x:c r="G266" s="83" t="str">
        <x:v>Form A</x:v>
      </x:c>
      <x:c r="H266" s="83" t="n">
        <x:v>61</x:v>
      </x:c>
      <x:c r="I266" s="83" t="str">
        <x:v>Scored-Style</x:v>
      </x:c>
      <x:c r="J266" s="83" t="str">
        <x:v>III. Intervention and Practice</x:v>
      </x:c>
      <x:c r="K266" s="83" t="str">
        <x:v>Supervision, administration, and quality improvement</x:v>
      </x:c>
      <x:c r="L266" s="83" t="str"/>
      <x:c r="M266" s="83" t="str">
        <x:v>Difficult</x:v>
      </x:c>
      <x:c r="N266" s="83" t="str">
        <x:v>Difficult</x:v>
      </x:c>
      <x:c r="O266" s="83" t="str">
        <x:v>Integrated reasoning</x:v>
      </x:c>
      <x:c r="P266" s="83" t="str">
        <x:v>Integrated Clinical Reasoning</x:v>
      </x:c>
      <x:c r="Q266" s="83" t="n">
        <x:v>4</x:v>
      </x:c>
      <x:c r="R266" s="83" t="str">
        <x:v>C</x:v>
      </x:c>
      <x:c r="S266" s="83" t="str">
        <x:v>Approved</x:v>
      </x:c>
      <x:c r="T266" s="83" t="str">
        <x:v>Active</x:v>
      </x:c>
      <x:c r="U266" s="83" t="n">
        <x:v>1</x:v>
      </x:c>
      <x:c r="V266" s="83" t="str">
        <x:v>LCSW-ALT-078</x:v>
      </x:c>
      <x:c r="W266" s="83" t="str">
        <x:v>No additional flag</x:v>
      </x:c>
      <x:c r="X266" s="83" t="str">
        <x:v>No structural flag</x:v>
      </x:c>
      <x:c r="Y266" s="83" t="str">
        <x:v>Not Yet Reviewed</x:v>
      </x:c>
      <x:c r="Z266" s="83" t="str">
        <x:v>CTA LCSW WB10; CTA LCSW WB11; ASWB 2026 Clinical Content Area III</x:v>
      </x:c>
      <x:c r="AA266" s="83" t="str">
        <x:v>CTA_LCSW_2026_Comprehensive_Simulation_Form_A_Answer_Key_and_Detailed_Rationales_v1.0.docx</x:v>
      </x:c>
      <x:c r="AB266" s="83" t="str">
        <x:v>1.0</x:v>
      </x:c>
      <x:c r="AC266" s="102"/>
      <x:c r="AD266" s="102" t="n">
        <x:v>46228</x:v>
      </x:c>
      <x:c r="AE266" s="83" t="str">
        <x:v>Approved for Form A</x:v>
      </x:c>
      <x:c r="AF266" s="89" t="str">
        <x:v>Form A only; paired alternate retained on the other comprehensive form</x:v>
      </x:c>
    </x:row>
    <x:row r="267">
      <x:c r="A267" s="88" t="str">
        <x:v>CTA-LCSW-MQB-0266</x:v>
      </x:c>
      <x:c r="B267" s="83" t="str">
        <x:v>LCSW-MQB-FA-VE-022</x:v>
      </x:c>
      <x:c r="C267" s="83" t="str">
        <x:v>LCSW</x:v>
      </x:c>
      <x:c r="D267" s="83" t="str">
        <x:v>Comprehensive Simulation</x:v>
      </x:c>
      <x:c r="E267" s="83"/>
      <x:c r="F267" s="83"/>
      <x:c r="G267" s="83" t="str">
        <x:v>Form A</x:v>
      </x:c>
      <x:c r="H267" s="83" t="n">
        <x:v>62</x:v>
      </x:c>
      <x:c r="I267" s="83" t="str">
        <x:v>Scored-Style</x:v>
      </x:c>
      <x:c r="J267" s="83" t="str">
        <x:v>I. Values and Ethics</x:v>
      </x:c>
      <x:c r="K267" s="83" t="str">
        <x:v>Billing integrity</x:v>
      </x:c>
      <x:c r="L267" s="83" t="str"/>
      <x:c r="M267" s="83" t="str">
        <x:v>Moderate</x:v>
      </x:c>
      <x:c r="N267" s="83" t="str">
        <x:v>Moderate</x:v>
      </x:c>
      <x:c r="O267" s="83" t="str">
        <x:v>Application</x:v>
      </x:c>
      <x:c r="P267" s="83" t="str">
        <x:v>Application</x:v>
      </x:c>
      <x:c r="Q267" s="83" t="n">
        <x:v>3</x:v>
      </x:c>
      <x:c r="R267" s="83" t="str">
        <x:v>C</x:v>
      </x:c>
      <x:c r="S267" s="83" t="str">
        <x:v>Approved</x:v>
      </x:c>
      <x:c r="T267" s="83" t="str">
        <x:v>Active</x:v>
      </x:c>
      <x:c r="U267" s="83" t="n">
        <x:v>1</x:v>
      </x:c>
      <x:c r="V267" s="83" t="str">
        <x:v>LCSW-ALT-100</x:v>
      </x:c>
      <x:c r="W267" s="83" t="str">
        <x:v>No additional flag</x:v>
      </x:c>
      <x:c r="X267" s="83" t="str">
        <x:v>No structural flag</x:v>
      </x:c>
      <x:c r="Y267" s="83" t="str">
        <x:v>Not Yet Reviewed</x:v>
      </x:c>
      <x:c r="Z267" s="83" t="str">
        <x:v>CTA LCSW WB2; CTA LCSW WB12; ASWB 2026 Clinical Content Area I</x:v>
      </x:c>
      <x:c r="AA267" s="83" t="str">
        <x:v>CTA_LCSW_2026_Comprehensive_Simulation_Form_A_Answer_Key_and_Detailed_Rationales_v1.0.docx</x:v>
      </x:c>
      <x:c r="AB267" s="83" t="str">
        <x:v>1.0</x:v>
      </x:c>
      <x:c r="AC267" s="102"/>
      <x:c r="AD267" s="102" t="n">
        <x:v>46228</x:v>
      </x:c>
      <x:c r="AE267" s="83" t="str">
        <x:v>Approved for Form A</x:v>
      </x:c>
      <x:c r="AF267" s="89" t="str">
        <x:v>Form A only; paired alternate retained on the other comprehensive form</x:v>
      </x:c>
    </x:row>
    <x:row r="268">
      <x:c r="A268" s="88" t="str">
        <x:v>CTA-LCSW-MQB-0267</x:v>
      </x:c>
      <x:c r="B268" s="83" t="str">
        <x:v>LCSW-MQB-FA-AP-018</x:v>
      </x:c>
      <x:c r="C268" s="83" t="str">
        <x:v>LCSW</x:v>
      </x:c>
      <x:c r="D268" s="83" t="str">
        <x:v>Comprehensive Simulation</x:v>
      </x:c>
      <x:c r="E268" s="83"/>
      <x:c r="F268" s="83"/>
      <x:c r="G268" s="83" t="str">
        <x:v>Form A</x:v>
      </x:c>
      <x:c r="H268" s="83" t="n">
        <x:v>63</x:v>
      </x:c>
      <x:c r="I268" s="83" t="str">
        <x:v>Scored-Style</x:v>
      </x:c>
      <x:c r="J268" s="83" t="str">
        <x:v>II. Assessment and Planning</x:v>
      </x:c>
      <x:c r="K268" s="83" t="str">
        <x:v>Medical rule-out</x:v>
      </x:c>
      <x:c r="L268" s="83" t="str"/>
      <x:c r="M268" s="83" t="str">
        <x:v>Moderate</x:v>
      </x:c>
      <x:c r="N268" s="83" t="str">
        <x:v>Moderate</x:v>
      </x:c>
      <x:c r="O268" s="83" t="str">
        <x:v>Application</x:v>
      </x:c>
      <x:c r="P268" s="83" t="str">
        <x:v>Application</x:v>
      </x:c>
      <x:c r="Q268" s="83" t="n">
        <x:v>3</x:v>
      </x:c>
      <x:c r="R268" s="83" t="str">
        <x:v>A</x:v>
      </x:c>
      <x:c r="S268" s="83" t="str">
        <x:v>Approved</x:v>
      </x:c>
      <x:c r="T268" s="83" t="str">
        <x:v>Active</x:v>
      </x:c>
      <x:c r="U268" s="83" t="n">
        <x:v>1</x:v>
      </x:c>
      <x:c r="V268" s="83" t="str">
        <x:v>LCSW-ALT-018</x:v>
      </x:c>
      <x:c r="W268" s="83" t="str">
        <x:v>No additional flag</x:v>
      </x:c>
      <x:c r="X268" s="83" t="str">
        <x:v>No structural flag</x:v>
      </x:c>
      <x:c r="Y268" s="83" t="str">
        <x:v>Not Yet Reviewed</x:v>
      </x:c>
      <x:c r="Z268" s="83" t="str">
        <x:v>CTA LCSW WB5; ASWB 2026 Clinical Content Area II</x:v>
      </x:c>
      <x:c r="AA268" s="83" t="str">
        <x:v>CTA_LCSW_2026_Comprehensive_Simulation_Form_A_Answer_Key_and_Detailed_Rationales_v1.0.docx</x:v>
      </x:c>
      <x:c r="AB268" s="83" t="str">
        <x:v>1.0</x:v>
      </x:c>
      <x:c r="AC268" s="102"/>
      <x:c r="AD268" s="102" t="n">
        <x:v>46228</x:v>
      </x:c>
      <x:c r="AE268" s="83" t="str">
        <x:v>Approved for Form A</x:v>
      </x:c>
      <x:c r="AF268" s="89" t="str">
        <x:v>Form A only; paired alternate retained on the other comprehensive form</x:v>
      </x:c>
    </x:row>
    <x:row r="269">
      <x:c r="A269" s="88" t="str">
        <x:v>CTA-LCSW-MQB-0268</x:v>
      </x:c>
      <x:c r="B269" s="83" t="str">
        <x:v>LCSW-MQB-FA-VE-018</x:v>
      </x:c>
      <x:c r="C269" s="83" t="str">
        <x:v>LCSW</x:v>
      </x:c>
      <x:c r="D269" s="83" t="str">
        <x:v>Comprehensive Simulation</x:v>
      </x:c>
      <x:c r="E269" s="83"/>
      <x:c r="F269" s="83"/>
      <x:c r="G269" s="83" t="str">
        <x:v>Form A</x:v>
      </x:c>
      <x:c r="H269" s="83" t="n">
        <x:v>64</x:v>
      </x:c>
      <x:c r="I269" s="83" t="str">
        <x:v>Scored-Style</x:v>
      </x:c>
      <x:c r="J269" s="83" t="str">
        <x:v>I. Values and Ethics</x:v>
      </x:c>
      <x:c r="K269" s="83" t="str">
        <x:v>Impairment and functioning</x:v>
      </x:c>
      <x:c r="L269" s="83" t="str"/>
      <x:c r="M269" s="83" t="str">
        <x:v>Moderate</x:v>
      </x:c>
      <x:c r="N269" s="83" t="str">
        <x:v>Moderate</x:v>
      </x:c>
      <x:c r="O269" s="83" t="str">
        <x:v>Application</x:v>
      </x:c>
      <x:c r="P269" s="83" t="str">
        <x:v>Application</x:v>
      </x:c>
      <x:c r="Q269" s="83" t="n">
        <x:v>3</x:v>
      </x:c>
      <x:c r="R269" s="83" t="str">
        <x:v>B</x:v>
      </x:c>
      <x:c r="S269" s="83" t="str">
        <x:v>Approved</x:v>
      </x:c>
      <x:c r="T269" s="83" t="str">
        <x:v>Active</x:v>
      </x:c>
      <x:c r="U269" s="83" t="n">
        <x:v>1</x:v>
      </x:c>
      <x:c r="V269" s="83" t="str">
        <x:v>LCSW-ALT-096</x:v>
      </x:c>
      <x:c r="W269" s="83" t="str">
        <x:v>No additional flag</x:v>
      </x:c>
      <x:c r="X269" s="83" t="str">
        <x:v>No structural flag</x:v>
      </x:c>
      <x:c r="Y269" s="83" t="str">
        <x:v>Not Yet Reviewed</x:v>
      </x:c>
      <x:c r="Z269" s="83" t="str">
        <x:v>CTA LCSW WB2; CTA LCSW WB12; ASWB 2026 Clinical Content Area I</x:v>
      </x:c>
      <x:c r="AA269" s="83" t="str">
        <x:v>CTA_LCSW_2026_Comprehensive_Simulation_Form_A_Answer_Key_and_Detailed_Rationales_v1.0.docx</x:v>
      </x:c>
      <x:c r="AB269" s="83" t="str">
        <x:v>1.0</x:v>
      </x:c>
      <x:c r="AC269" s="102"/>
      <x:c r="AD269" s="102" t="n">
        <x:v>46228</x:v>
      </x:c>
      <x:c r="AE269" s="83" t="str">
        <x:v>Approved for Form A</x:v>
      </x:c>
      <x:c r="AF269" s="89" t="str">
        <x:v>Form A only; paired alternate retained on the other comprehensive form</x:v>
      </x:c>
    </x:row>
    <x:row r="270">
      <x:c r="A270" s="88" t="str">
        <x:v>CTA-LCSW-MQB-0269</x:v>
      </x:c>
      <x:c r="B270" s="83" t="str">
        <x:v>LCSW-MQB-FA-VE-038</x:v>
      </x:c>
      <x:c r="C270" s="83" t="str">
        <x:v>LCSW</x:v>
      </x:c>
      <x:c r="D270" s="83" t="str">
        <x:v>Comprehensive Simulation</x:v>
      </x:c>
      <x:c r="E270" s="83"/>
      <x:c r="F270" s="83"/>
      <x:c r="G270" s="83" t="str">
        <x:v>Form A</x:v>
      </x:c>
      <x:c r="H270" s="83" t="n">
        <x:v>65</x:v>
      </x:c>
      <x:c r="I270" s="83" t="str">
        <x:v>Pretest-Style</x:v>
      </x:c>
      <x:c r="J270" s="83" t="str">
        <x:v>I. Values and Ethics</x:v>
      </x:c>
      <x:c r="K270" s="83" t="str">
        <x:v>Safety and confidentiality</x:v>
      </x:c>
      <x:c r="L270" s="83" t="str"/>
      <x:c r="M270" s="83" t="str">
        <x:v>Difficult</x:v>
      </x:c>
      <x:c r="N270" s="83" t="str">
        <x:v>Difficult</x:v>
      </x:c>
      <x:c r="O270" s="83" t="str">
        <x:v>Integrated reasoning</x:v>
      </x:c>
      <x:c r="P270" s="83" t="str">
        <x:v>Integrated Clinical Reasoning</x:v>
      </x:c>
      <x:c r="Q270" s="83" t="n">
        <x:v>4</x:v>
      </x:c>
      <x:c r="R270" s="83" t="str">
        <x:v>B</x:v>
      </x:c>
      <x:c r="S270" s="83" t="str">
        <x:v>Approved</x:v>
      </x:c>
      <x:c r="T270" s="83" t="str">
        <x:v>Active</x:v>
      </x:c>
      <x:c r="U270" s="83" t="n">
        <x:v>1</x:v>
      </x:c>
      <x:c r="V270" s="83" t="str">
        <x:v>LCSW-ALT-116</x:v>
      </x:c>
      <x:c r="W270" s="83" t="str">
        <x:v>No additional flag</x:v>
      </x:c>
      <x:c r="X270" s="83" t="str">
        <x:v>No structural flag</x:v>
      </x:c>
      <x:c r="Y270" s="83" t="str">
        <x:v>Not Yet Reviewed</x:v>
      </x:c>
      <x:c r="Z270" s="83" t="str">
        <x:v>CTA LCSW WB2; CTA LCSW WB12; ASWB 2026 Clinical Content Area I</x:v>
      </x:c>
      <x:c r="AA270" s="83" t="str">
        <x:v>CTA_LCSW_2026_Comprehensive_Simulation_Form_A_Answer_Key_and_Detailed_Rationales_v1.0.docx</x:v>
      </x:c>
      <x:c r="AB270" s="83" t="str">
        <x:v>1.0</x:v>
      </x:c>
      <x:c r="AC270" s="102"/>
      <x:c r="AD270" s="102" t="n">
        <x:v>46228</x:v>
      </x:c>
      <x:c r="AE270" s="83" t="str">
        <x:v>Approved for Form A</x:v>
      </x:c>
      <x:c r="AF270" s="89" t="str">
        <x:v>Form A only; paired alternate retained on the other comprehensive form</x:v>
      </x:c>
    </x:row>
    <x:row r="271">
      <x:c r="A271" s="88" t="str">
        <x:v>CTA-LCSW-MQB-0270</x:v>
      </x:c>
      <x:c r="B271" s="83" t="str">
        <x:v>LCSW-MQB-FA-IP-022</x:v>
      </x:c>
      <x:c r="C271" s="83" t="str">
        <x:v>LCSW</x:v>
      </x:c>
      <x:c r="D271" s="83" t="str">
        <x:v>Comprehensive Simulation</x:v>
      </x:c>
      <x:c r="E271" s="83"/>
      <x:c r="F271" s="83"/>
      <x:c r="G271" s="83" t="str">
        <x:v>Form A</x:v>
      </x:c>
      <x:c r="H271" s="83" t="n">
        <x:v>66</x:v>
      </x:c>
      <x:c r="I271" s="83" t="str">
        <x:v>Scored-Style</x:v>
      </x:c>
      <x:c r="J271" s="83" t="str">
        <x:v>III. Intervention and Practice</x:v>
      </x:c>
      <x:c r="K271" s="83" t="str">
        <x:v>Psychosis engagement</x:v>
      </x:c>
      <x:c r="L271" s="83" t="str"/>
      <x:c r="M271" s="83" t="str">
        <x:v>Moderate</x:v>
      </x:c>
      <x:c r="N271" s="83" t="str">
        <x:v>Moderate</x:v>
      </x:c>
      <x:c r="O271" s="83" t="str">
        <x:v>Scenario-based reasoning</x:v>
      </x:c>
      <x:c r="P271" s="83" t="str">
        <x:v>Scenario-Based</x:v>
      </x:c>
      <x:c r="Q271" s="83" t="n">
        <x:v>3</x:v>
      </x:c>
      <x:c r="R271" s="83" t="str">
        <x:v>A</x:v>
      </x:c>
      <x:c r="S271" s="83" t="str">
        <x:v>Approved</x:v>
      </x:c>
      <x:c r="T271" s="83" t="str">
        <x:v>Active</x:v>
      </x:c>
      <x:c r="U271" s="83" t="n">
        <x:v>1</x:v>
      </x:c>
      <x:c r="V271" s="83" t="str">
        <x:v>LCSW-ALT-061</x:v>
      </x:c>
      <x:c r="W271" s="83" t="str">
        <x:v>No additional flag</x:v>
      </x:c>
      <x:c r="X271" s="83" t="str">
        <x:v>No structural flag</x:v>
      </x:c>
      <x:c r="Y271" s="83" t="str">
        <x:v>Not Yet Reviewed</x:v>
      </x:c>
      <x:c r="Z271" s="83" t="str">
        <x:v>CTA LCSW WB8–WB11; ASWB 2026 Clinical Content Area III</x:v>
      </x:c>
      <x:c r="AA271" s="83" t="str">
        <x:v>CTA_LCSW_2026_Comprehensive_Simulation_Form_A_Answer_Key_and_Detailed_Rationales_v1.0.docx</x:v>
      </x:c>
      <x:c r="AB271" s="83" t="str">
        <x:v>1.0</x:v>
      </x:c>
      <x:c r="AC271" s="102"/>
      <x:c r="AD271" s="102" t="n">
        <x:v>46228</x:v>
      </x:c>
      <x:c r="AE271" s="83" t="str">
        <x:v>Approved for Form A</x:v>
      </x:c>
      <x:c r="AF271" s="89" t="str">
        <x:v>Form A only; paired alternate retained on the other comprehensive form</x:v>
      </x:c>
    </x:row>
    <x:row r="272">
      <x:c r="A272" s="88" t="str">
        <x:v>CTA-LCSW-MQB-0271</x:v>
      </x:c>
      <x:c r="B272" s="83" t="str">
        <x:v>LCSW-MQB-FA-AP-029</x:v>
      </x:c>
      <x:c r="C272" s="83" t="str">
        <x:v>LCSW</x:v>
      </x:c>
      <x:c r="D272" s="83" t="str">
        <x:v>Comprehensive Simulation</x:v>
      </x:c>
      <x:c r="E272" s="83"/>
      <x:c r="F272" s="83"/>
      <x:c r="G272" s="83" t="str">
        <x:v>Form A</x:v>
      </x:c>
      <x:c r="H272" s="83" t="n">
        <x:v>67</x:v>
      </x:c>
      <x:c r="I272" s="83" t="str">
        <x:v>Scored-Style</x:v>
      </x:c>
      <x:c r="J272" s="83" t="str">
        <x:v>II. Assessment and Planning</x:v>
      </x:c>
      <x:c r="K272" s="83" t="str">
        <x:v>Older-adult exploitation</x:v>
      </x:c>
      <x:c r="L272" s="83" t="str"/>
      <x:c r="M272" s="83" t="str">
        <x:v>Moderate</x:v>
      </x:c>
      <x:c r="N272" s="83" t="str">
        <x:v>Moderate</x:v>
      </x:c>
      <x:c r="O272" s="83" t="str">
        <x:v>Scenario-based reasoning</x:v>
      </x:c>
      <x:c r="P272" s="83" t="str">
        <x:v>Scenario-Based</x:v>
      </x:c>
      <x:c r="Q272" s="83" t="n">
        <x:v>4</x:v>
      </x:c>
      <x:c r="R272" s="83" t="str">
        <x:v>A</x:v>
      </x:c>
      <x:c r="S272" s="83" t="str">
        <x:v>Approved</x:v>
      </x:c>
      <x:c r="T272" s="83" t="str">
        <x:v>Active</x:v>
      </x:c>
      <x:c r="U272" s="83" t="n">
        <x:v>1</x:v>
      </x:c>
      <x:c r="V272" s="83" t="str">
        <x:v>LCSW-ALT-029</x:v>
      </x:c>
      <x:c r="W272" s="83" t="str">
        <x:v>No additional flag</x:v>
      </x:c>
      <x:c r="X272" s="83" t="str">
        <x:v>No structural flag</x:v>
      </x:c>
      <x:c r="Y272" s="83" t="str">
        <x:v>Not Yet Reviewed</x:v>
      </x:c>
      <x:c r="Z272" s="83" t="str">
        <x:v>CTA LCSW WB6; ASWB 2026 Clinical Content Area II</x:v>
      </x:c>
      <x:c r="AA272" s="83" t="str">
        <x:v>CTA_LCSW_2026_Comprehensive_Simulation_Form_A_Answer_Key_and_Detailed_Rationales_v1.0.docx</x:v>
      </x:c>
      <x:c r="AB272" s="83" t="str">
        <x:v>1.0</x:v>
      </x:c>
      <x:c r="AC272" s="102"/>
      <x:c r="AD272" s="102" t="n">
        <x:v>46228</x:v>
      </x:c>
      <x:c r="AE272" s="83" t="str">
        <x:v>Approved for Form A</x:v>
      </x:c>
      <x:c r="AF272" s="89" t="str">
        <x:v>Form A only; paired alternate retained on the other comprehensive form</x:v>
      </x:c>
    </x:row>
    <x:row r="273">
      <x:c r="A273" s="88" t="str">
        <x:v>CTA-LCSW-MQB-0272</x:v>
      </x:c>
      <x:c r="B273" s="83" t="str">
        <x:v>LCSW-MQB-FA-IP-021</x:v>
      </x:c>
      <x:c r="C273" s="83" t="str">
        <x:v>LCSW</x:v>
      </x:c>
      <x:c r="D273" s="83" t="str">
        <x:v>Comprehensive Simulation</x:v>
      </x:c>
      <x:c r="E273" s="83"/>
      <x:c r="F273" s="83"/>
      <x:c r="G273" s="83" t="str">
        <x:v>Form A</x:v>
      </x:c>
      <x:c r="H273" s="83" t="n">
        <x:v>68</x:v>
      </x:c>
      <x:c r="I273" s="83" t="str">
        <x:v>Scored-Style</x:v>
      </x:c>
      <x:c r="J273" s="83" t="str">
        <x:v>III. Intervention and Practice</x:v>
      </x:c>
      <x:c r="K273" s="83" t="str">
        <x:v>Domestic violence safety planning</x:v>
      </x:c>
      <x:c r="L273" s="83" t="str"/>
      <x:c r="M273" s="83" t="str">
        <x:v>Moderate</x:v>
      </x:c>
      <x:c r="N273" s="83" t="str">
        <x:v>Moderate</x:v>
      </x:c>
      <x:c r="O273" s="83" t="str">
        <x:v>Scenario-based reasoning</x:v>
      </x:c>
      <x:c r="P273" s="83" t="str">
        <x:v>Scenario-Based</x:v>
      </x:c>
      <x:c r="Q273" s="83" t="n">
        <x:v>3</x:v>
      </x:c>
      <x:c r="R273" s="83" t="str">
        <x:v>A</x:v>
      </x:c>
      <x:c r="S273" s="83" t="str">
        <x:v>Approved</x:v>
      </x:c>
      <x:c r="T273" s="83" t="str">
        <x:v>Active</x:v>
      </x:c>
      <x:c r="U273" s="83" t="n">
        <x:v>1</x:v>
      </x:c>
      <x:c r="V273" s="83" t="str">
        <x:v>LCSW-ALT-060</x:v>
      </x:c>
      <x:c r="W273" s="83" t="str">
        <x:v>No additional flag</x:v>
      </x:c>
      <x:c r="X273" s="83" t="str">
        <x:v>No structural flag</x:v>
      </x:c>
      <x:c r="Y273" s="83" t="str">
        <x:v>Not Yet Reviewed</x:v>
      </x:c>
      <x:c r="Z273" s="83" t="str">
        <x:v>CTA LCSW WB8–WB11; ASWB 2026 Clinical Content Area III</x:v>
      </x:c>
      <x:c r="AA273" s="83" t="str">
        <x:v>CTA_LCSW_2026_Comprehensive_Simulation_Form_A_Answer_Key_and_Detailed_Rationales_v1.0.docx</x:v>
      </x:c>
      <x:c r="AB273" s="83" t="str">
        <x:v>1.0</x:v>
      </x:c>
      <x:c r="AC273" s="102"/>
      <x:c r="AD273" s="102" t="n">
        <x:v>46228</x:v>
      </x:c>
      <x:c r="AE273" s="83" t="str">
        <x:v>Approved for Form A</x:v>
      </x:c>
      <x:c r="AF273" s="89" t="str">
        <x:v>Form A only; paired alternate retained on the other comprehensive form</x:v>
      </x:c>
    </x:row>
    <x:row r="274">
      <x:c r="A274" s="88" t="str">
        <x:v>CTA-LCSW-MQB-0273</x:v>
      </x:c>
      <x:c r="B274" s="83" t="str">
        <x:v>LCSW-MQB-FA-AP-021</x:v>
      </x:c>
      <x:c r="C274" s="83" t="str">
        <x:v>LCSW</x:v>
      </x:c>
      <x:c r="D274" s="83" t="str">
        <x:v>Comprehensive Simulation</x:v>
      </x:c>
      <x:c r="E274" s="83"/>
      <x:c r="F274" s="83"/>
      <x:c r="G274" s="83" t="str">
        <x:v>Form A</x:v>
      </x:c>
      <x:c r="H274" s="83" t="n">
        <x:v>69</x:v>
      </x:c>
      <x:c r="I274" s="83" t="str">
        <x:v>Pretest-Style</x:v>
      </x:c>
      <x:c r="J274" s="83" t="str">
        <x:v>II. Assessment and Planning</x:v>
      </x:c>
      <x:c r="K274" s="83" t="str">
        <x:v>Suicide assessment sequence</x:v>
      </x:c>
      <x:c r="L274" s="83" t="str"/>
      <x:c r="M274" s="83" t="str">
        <x:v>Moderate</x:v>
      </x:c>
      <x:c r="N274" s="83" t="str">
        <x:v>Moderate</x:v>
      </x:c>
      <x:c r="O274" s="83" t="str">
        <x:v>Scenario-based reasoning</x:v>
      </x:c>
      <x:c r="P274" s="83" t="str">
        <x:v>Scenario-Based</x:v>
      </x:c>
      <x:c r="Q274" s="83" t="n">
        <x:v>3</x:v>
      </x:c>
      <x:c r="R274" s="83" t="str">
        <x:v>C</x:v>
      </x:c>
      <x:c r="S274" s="83" t="str">
        <x:v>Approved</x:v>
      </x:c>
      <x:c r="T274" s="83" t="str">
        <x:v>Active</x:v>
      </x:c>
      <x:c r="U274" s="83" t="n">
        <x:v>1</x:v>
      </x:c>
      <x:c r="V274" s="83" t="str">
        <x:v>LCSW-ALT-021</x:v>
      </x:c>
      <x:c r="W274" s="83" t="str">
        <x:v>No additional flag</x:v>
      </x:c>
      <x:c r="X274" s="83" t="str">
        <x:v>No structural flag</x:v>
      </x:c>
      <x:c r="Y274" s="83" t="str">
        <x:v>Not Yet Reviewed</x:v>
      </x:c>
      <x:c r="Z274" s="83" t="str">
        <x:v>CTA LCSW WB6; ASWB 2026 Clinical Content Area II</x:v>
      </x:c>
      <x:c r="AA274" s="83" t="str">
        <x:v>CTA_LCSW_2026_Comprehensive_Simulation_Form_A_Answer_Key_and_Detailed_Rationales_v1.0.docx</x:v>
      </x:c>
      <x:c r="AB274" s="83" t="str">
        <x:v>1.0</x:v>
      </x:c>
      <x:c r="AC274" s="102"/>
      <x:c r="AD274" s="102" t="n">
        <x:v>46228</x:v>
      </x:c>
      <x:c r="AE274" s="83" t="str">
        <x:v>Approved for Form A</x:v>
      </x:c>
      <x:c r="AF274" s="89" t="str">
        <x:v>Form A only; paired alternate retained on the other comprehensive form</x:v>
      </x:c>
    </x:row>
    <x:row r="275">
      <x:c r="A275" s="88" t="str">
        <x:v>CTA-LCSW-MQB-0274</x:v>
      </x:c>
      <x:c r="B275" s="83" t="str">
        <x:v>LCSW-MQB-FA-VE-036</x:v>
      </x:c>
      <x:c r="C275" s="83" t="str">
        <x:v>LCSW</x:v>
      </x:c>
      <x:c r="D275" s="83" t="str">
        <x:v>Comprehensive Simulation</x:v>
      </x:c>
      <x:c r="E275" s="83"/>
      <x:c r="F275" s="83"/>
      <x:c r="G275" s="83" t="str">
        <x:v>Form A</x:v>
      </x:c>
      <x:c r="H275" s="83" t="n">
        <x:v>70</x:v>
      </x:c>
      <x:c r="I275" s="83" t="str">
        <x:v>Scored-Style</x:v>
      </x:c>
      <x:c r="J275" s="83" t="str">
        <x:v>I. Values and Ethics</x:v>
      </x:c>
      <x:c r="K275" s="83" t="str">
        <x:v>Client complaint</x:v>
      </x:c>
      <x:c r="L275" s="83" t="str"/>
      <x:c r="M275" s="83" t="str">
        <x:v>Difficult</x:v>
      </x:c>
      <x:c r="N275" s="83" t="str">
        <x:v>Difficult</x:v>
      </x:c>
      <x:c r="O275" s="83" t="str">
        <x:v>Scenario-based reasoning</x:v>
      </x:c>
      <x:c r="P275" s="83" t="str">
        <x:v>Scenario-Based</x:v>
      </x:c>
      <x:c r="Q275" s="83" t="n">
        <x:v>4</x:v>
      </x:c>
      <x:c r="R275" s="83" t="str">
        <x:v>B</x:v>
      </x:c>
      <x:c r="S275" s="83" t="str">
        <x:v>Approved</x:v>
      </x:c>
      <x:c r="T275" s="83" t="str">
        <x:v>Active</x:v>
      </x:c>
      <x:c r="U275" s="83" t="n">
        <x:v>1</x:v>
      </x:c>
      <x:c r="V275" s="83" t="str">
        <x:v>LCSW-ALT-114</x:v>
      </x:c>
      <x:c r="W275" s="83" t="str">
        <x:v>No additional flag</x:v>
      </x:c>
      <x:c r="X275" s="83" t="str">
        <x:v>No structural flag</x:v>
      </x:c>
      <x:c r="Y275" s="83" t="str">
        <x:v>Not Yet Reviewed</x:v>
      </x:c>
      <x:c r="Z275" s="83" t="str">
        <x:v>CTA LCSW WB2; ASWB 2026 Clinical Content Area I</x:v>
      </x:c>
      <x:c r="AA275" s="83" t="str">
        <x:v>CTA_LCSW_2026_Comprehensive_Simulation_Form_A_Answer_Key_and_Detailed_Rationales_v1.0.docx</x:v>
      </x:c>
      <x:c r="AB275" s="83" t="str">
        <x:v>1.0</x:v>
      </x:c>
      <x:c r="AC275" s="102"/>
      <x:c r="AD275" s="102" t="n">
        <x:v>46228</x:v>
      </x:c>
      <x:c r="AE275" s="83" t="str">
        <x:v>Approved for Form A</x:v>
      </x:c>
      <x:c r="AF275" s="89" t="str">
        <x:v>Form A only; paired alternate retained on the other comprehensive form</x:v>
      </x:c>
    </x:row>
    <x:row r="276">
      <x:c r="A276" s="88" t="str">
        <x:v>CTA-LCSW-MQB-0275</x:v>
      </x:c>
      <x:c r="B276" s="83" t="str">
        <x:v>LCSW-MQB-FA-IP-003</x:v>
      </x:c>
      <x:c r="C276" s="83" t="str">
        <x:v>LCSW</x:v>
      </x:c>
      <x:c r="D276" s="83" t="str">
        <x:v>Comprehensive Simulation</x:v>
      </x:c>
      <x:c r="E276" s="83"/>
      <x:c r="F276" s="83"/>
      <x:c r="G276" s="83" t="str">
        <x:v>Form A</x:v>
      </x:c>
      <x:c r="H276" s="83" t="n">
        <x:v>71</x:v>
      </x:c>
      <x:c r="I276" s="83" t="str">
        <x:v>Pretest-Style</x:v>
      </x:c>
      <x:c r="J276" s="83" t="str">
        <x:v>III. Intervention and Practice</x:v>
      </x:c>
      <x:c r="K276" s="83" t="str">
        <x:v>Reflective listening</x:v>
      </x:c>
      <x:c r="L276" s="83" t="str"/>
      <x:c r="M276" s="83" t="str">
        <x:v>Easy</x:v>
      </x:c>
      <x:c r="N276" s="83" t="str">
        <x:v>Easy</x:v>
      </x:c>
      <x:c r="O276" s="83" t="str">
        <x:v>Application</x:v>
      </x:c>
      <x:c r="P276" s="83" t="str">
        <x:v>Application</x:v>
      </x:c>
      <x:c r="Q276" s="83" t="n">
        <x:v>3</x:v>
      </x:c>
      <x:c r="R276" s="83" t="str">
        <x:v>A</x:v>
      </x:c>
      <x:c r="S276" s="83" t="str">
        <x:v>Approved</x:v>
      </x:c>
      <x:c r="T276" s="83" t="str">
        <x:v>Active</x:v>
      </x:c>
      <x:c r="U276" s="83" t="n">
        <x:v>1</x:v>
      </x:c>
      <x:c r="V276" s="83" t="str">
        <x:v>LCSW-ALT-042</x:v>
      </x:c>
      <x:c r="W276" s="83" t="str">
        <x:v>No additional flag</x:v>
      </x:c>
      <x:c r="X276" s="83" t="str">
        <x:v>No structural flag</x:v>
      </x:c>
      <x:c r="Y276" s="83" t="str">
        <x:v>Not Yet Reviewed</x:v>
      </x:c>
      <x:c r="Z276" s="83" t="str">
        <x:v>CTA LCSW WB8–WB11; ASWB 2026 Clinical Content Area III</x:v>
      </x:c>
      <x:c r="AA276" s="83" t="str">
        <x:v>CTA_LCSW_2026_Comprehensive_Simulation_Form_A_Answer_Key_and_Detailed_Rationales_v1.0.docx</x:v>
      </x:c>
      <x:c r="AB276" s="83" t="str">
        <x:v>1.0</x:v>
      </x:c>
      <x:c r="AC276" s="102"/>
      <x:c r="AD276" s="102" t="n">
        <x:v>46228</x:v>
      </x:c>
      <x:c r="AE276" s="83" t="str">
        <x:v>Approved for Form A</x:v>
      </x:c>
      <x:c r="AF276" s="89" t="str">
        <x:v>Form A only; paired alternate retained on the other comprehensive form</x:v>
      </x:c>
    </x:row>
    <x:row r="277">
      <x:c r="A277" s="88" t="str">
        <x:v>CTA-LCSW-MQB-0276</x:v>
      </x:c>
      <x:c r="B277" s="83" t="str">
        <x:v>LCSW-MQB-FA-AP-008</x:v>
      </x:c>
      <x:c r="C277" s="83" t="str">
        <x:v>LCSW</x:v>
      </x:c>
      <x:c r="D277" s="83" t="str">
        <x:v>Comprehensive Simulation</x:v>
      </x:c>
      <x:c r="E277" s="83"/>
      <x:c r="F277" s="83"/>
      <x:c r="G277" s="83" t="str">
        <x:v>Form A</x:v>
      </x:c>
      <x:c r="H277" s="83" t="n">
        <x:v>72</x:v>
      </x:c>
      <x:c r="I277" s="83" t="str">
        <x:v>Scored-Style</x:v>
      </x:c>
      <x:c r="J277" s="83" t="str">
        <x:v>II. Assessment and Planning</x:v>
      </x:c>
      <x:c r="K277" s="83" t="str">
        <x:v>Medication timing</x:v>
      </x:c>
      <x:c r="L277" s="83" t="str"/>
      <x:c r="M277" s="83" t="str">
        <x:v>Easy</x:v>
      </x:c>
      <x:c r="N277" s="83" t="str">
        <x:v>Easy</x:v>
      </x:c>
      <x:c r="O277" s="83" t="str">
        <x:v>Application</x:v>
      </x:c>
      <x:c r="P277" s="83" t="str">
        <x:v>Application</x:v>
      </x:c>
      <x:c r="Q277" s="83" t="n">
        <x:v>3</x:v>
      </x:c>
      <x:c r="R277" s="83" t="str">
        <x:v>C</x:v>
      </x:c>
      <x:c r="S277" s="83" t="str">
        <x:v>Approved</x:v>
      </x:c>
      <x:c r="T277" s="83" t="str">
        <x:v>Active</x:v>
      </x:c>
      <x:c r="U277" s="83" t="n">
        <x:v>1</x:v>
      </x:c>
      <x:c r="V277" s="83" t="str">
        <x:v>LCSW-ALT-008</x:v>
      </x:c>
      <x:c r="W277" s="83" t="str">
        <x:v>No additional flag</x:v>
      </x:c>
      <x:c r="X277" s="83" t="str">
        <x:v>No structural flag</x:v>
      </x:c>
      <x:c r="Y277" s="83" t="str">
        <x:v>Not Yet Reviewed</x:v>
      </x:c>
      <x:c r="Z277" s="83" t="str">
        <x:v>CTA LCSW WB5; ASWB 2026 Clinical Content Area II</x:v>
      </x:c>
      <x:c r="AA277" s="83" t="str">
        <x:v>CTA_LCSW_2026_Comprehensive_Simulation_Form_A_Answer_Key_and_Detailed_Rationales_v1.0.docx</x:v>
      </x:c>
      <x:c r="AB277" s="83" t="str">
        <x:v>1.0</x:v>
      </x:c>
      <x:c r="AC277" s="102"/>
      <x:c r="AD277" s="102" t="n">
        <x:v>46228</x:v>
      </x:c>
      <x:c r="AE277" s="83" t="str">
        <x:v>Approved for Form A</x:v>
      </x:c>
      <x:c r="AF277" s="89" t="str">
        <x:v>Form A only; paired alternate retained on the other comprehensive form</x:v>
      </x:c>
    </x:row>
    <x:row r="278">
      <x:c r="A278" s="88" t="str">
        <x:v>CTA-LCSW-MQB-0277</x:v>
      </x:c>
      <x:c r="B278" s="83" t="str">
        <x:v>LCSW-MQB-FA-VE-004</x:v>
      </x:c>
      <x:c r="C278" s="83" t="str">
        <x:v>LCSW</x:v>
      </x:c>
      <x:c r="D278" s="83" t="str">
        <x:v>Comprehensive Simulation</x:v>
      </x:c>
      <x:c r="E278" s="83"/>
      <x:c r="F278" s="83"/>
      <x:c r="G278" s="83" t="str">
        <x:v>Form A</x:v>
      </x:c>
      <x:c r="H278" s="83" t="n">
        <x:v>73</x:v>
      </x:c>
      <x:c r="I278" s="83" t="str">
        <x:v>Scored-Style</x:v>
      </x:c>
      <x:c r="J278" s="83" t="str">
        <x:v>I. Values and Ethics</x:v>
      </x:c>
      <x:c r="K278" s="83" t="str">
        <x:v>Cultural humility</x:v>
      </x:c>
      <x:c r="L278" s="83" t="str"/>
      <x:c r="M278" s="83" t="str">
        <x:v>Easy</x:v>
      </x:c>
      <x:c r="N278" s="83" t="str">
        <x:v>Easy</x:v>
      </x:c>
      <x:c r="O278" s="83" t="str">
        <x:v>Direct recognition</x:v>
      </x:c>
      <x:c r="P278" s="83" t="str">
        <x:v>Knowledge &amp; Recall</x:v>
      </x:c>
      <x:c r="Q278" s="83" t="n">
        <x:v>3</x:v>
      </x:c>
      <x:c r="R278" s="83" t="str">
        <x:v>B</x:v>
      </x:c>
      <x:c r="S278" s="83" t="str">
        <x:v>Approved</x:v>
      </x:c>
      <x:c r="T278" s="83" t="str">
        <x:v>Active</x:v>
      </x:c>
      <x:c r="U278" s="83" t="n">
        <x:v>1</x:v>
      </x:c>
      <x:c r="V278" s="83" t="str">
        <x:v>LCSW-ALT-082</x:v>
      </x:c>
      <x:c r="W278" s="83" t="str">
        <x:v>No additional flag</x:v>
      </x:c>
      <x:c r="X278" s="83" t="str">
        <x:v>No structural flag</x:v>
      </x:c>
      <x:c r="Y278" s="83" t="str">
        <x:v>Not Yet Reviewed</x:v>
      </x:c>
      <x:c r="Z278" s="83" t="str">
        <x:v>CTA LCSW WB2; ASWB 2026 Clinical Content Area I</x:v>
      </x:c>
      <x:c r="AA278" s="83" t="str">
        <x:v>CTA_LCSW_2026_Comprehensive_Simulation_Form_A_Answer_Key_and_Detailed_Rationales_v1.0.docx</x:v>
      </x:c>
      <x:c r="AB278" s="83" t="str">
        <x:v>1.0</x:v>
      </x:c>
      <x:c r="AC278" s="102"/>
      <x:c r="AD278" s="102" t="n">
        <x:v>46228</x:v>
      </x:c>
      <x:c r="AE278" s="83" t="str">
        <x:v>Approved for Form A</x:v>
      </x:c>
      <x:c r="AF278" s="89" t="str">
        <x:v>Form A only; paired alternate retained on the other comprehensive form</x:v>
      </x:c>
    </x:row>
    <x:row r="279">
      <x:c r="A279" s="88" t="str">
        <x:v>CTA-LCSW-MQB-0278</x:v>
      </x:c>
      <x:c r="B279" s="83" t="str">
        <x:v>LCSW-MQB-FA-AP-038</x:v>
      </x:c>
      <x:c r="C279" s="83" t="str">
        <x:v>LCSW</x:v>
      </x:c>
      <x:c r="D279" s="83" t="str">
        <x:v>Comprehensive Simulation</x:v>
      </x:c>
      <x:c r="E279" s="83"/>
      <x:c r="F279" s="83"/>
      <x:c r="G279" s="83" t="str">
        <x:v>Form A</x:v>
      </x:c>
      <x:c r="H279" s="83" t="n">
        <x:v>74</x:v>
      </x:c>
      <x:c r="I279" s="83" t="str">
        <x:v>Scored-Style</x:v>
      </x:c>
      <x:c r="J279" s="83" t="str">
        <x:v>II. Assessment and Planning</x:v>
      </x:c>
      <x:c r="K279" s="83" t="str">
        <x:v>Capacity, autonomy, and exploitation</x:v>
      </x:c>
      <x:c r="L279" s="83" t="str"/>
      <x:c r="M279" s="83" t="str">
        <x:v>Difficult</x:v>
      </x:c>
      <x:c r="N279" s="83" t="str">
        <x:v>Difficult</x:v>
      </x:c>
      <x:c r="O279" s="83" t="str">
        <x:v>Integrated reasoning</x:v>
      </x:c>
      <x:c r="P279" s="83" t="str">
        <x:v>Integrated Clinical Reasoning</x:v>
      </x:c>
      <x:c r="Q279" s="83" t="n">
        <x:v>4</x:v>
      </x:c>
      <x:c r="R279" s="83" t="str">
        <x:v>C</x:v>
      </x:c>
      <x:c r="S279" s="83" t="str">
        <x:v>Approved</x:v>
      </x:c>
      <x:c r="T279" s="83" t="str">
        <x:v>Active</x:v>
      </x:c>
      <x:c r="U279" s="83" t="n">
        <x:v>1</x:v>
      </x:c>
      <x:c r="V279" s="83" t="str">
        <x:v>LCSW-ALT-038</x:v>
      </x:c>
      <x:c r="W279" s="83" t="str">
        <x:v>No additional flag</x:v>
      </x:c>
      <x:c r="X279" s="83" t="str">
        <x:v>No structural flag</x:v>
      </x:c>
      <x:c r="Y279" s="83" t="str">
        <x:v>Not Yet Reviewed</x:v>
      </x:c>
      <x:c r="Z279" s="83" t="str">
        <x:v>CTA LCSW WB3–WB7; ASWB 2026 Clinical Content Area II</x:v>
      </x:c>
      <x:c r="AA279" s="83" t="str">
        <x:v>CTA_LCSW_2026_Comprehensive_Simulation_Form_A_Answer_Key_and_Detailed_Rationales_v1.0.docx</x:v>
      </x:c>
      <x:c r="AB279" s="83" t="str">
        <x:v>1.0</x:v>
      </x:c>
      <x:c r="AC279" s="102"/>
      <x:c r="AD279" s="102" t="n">
        <x:v>46228</x:v>
      </x:c>
      <x:c r="AE279" s="83" t="str">
        <x:v>Approved for Form A</x:v>
      </x:c>
      <x:c r="AF279" s="89" t="str">
        <x:v>Form A only; paired alternate retained on the other comprehensive form</x:v>
      </x:c>
    </x:row>
    <x:row r="280">
      <x:c r="A280" s="88" t="str">
        <x:v>CTA-LCSW-MQB-0279</x:v>
      </x:c>
      <x:c r="B280" s="83" t="str">
        <x:v>LCSW-MQB-FA-VE-043</x:v>
      </x:c>
      <x:c r="C280" s="83" t="str">
        <x:v>LCSW</x:v>
      </x:c>
      <x:c r="D280" s="83" t="str">
        <x:v>Comprehensive Simulation</x:v>
      </x:c>
      <x:c r="E280" s="83"/>
      <x:c r="F280" s="83"/>
      <x:c r="G280" s="83" t="str">
        <x:v>Form A</x:v>
      </x:c>
      <x:c r="H280" s="83" t="n">
        <x:v>75</x:v>
      </x:c>
      <x:c r="I280" s="83" t="str">
        <x:v>Scored-Style</x:v>
      </x:c>
      <x:c r="J280" s="83" t="str">
        <x:v>I. Values and Ethics</x:v>
      </x:c>
      <x:c r="K280" s="83" t="str">
        <x:v>Former-client boundary and access</x:v>
      </x:c>
      <x:c r="L280" s="83" t="str"/>
      <x:c r="M280" s="83" t="str">
        <x:v>Difficult</x:v>
      </x:c>
      <x:c r="N280" s="83" t="str">
        <x:v>Difficult</x:v>
      </x:c>
      <x:c r="O280" s="83" t="str">
        <x:v>Integrated reasoning</x:v>
      </x:c>
      <x:c r="P280" s="83" t="str">
        <x:v>Integrated Clinical Reasoning</x:v>
      </x:c>
      <x:c r="Q280" s="83" t="n">
        <x:v>4</x:v>
      </x:c>
      <x:c r="R280" s="83" t="str">
        <x:v>B</x:v>
      </x:c>
      <x:c r="S280" s="83" t="str">
        <x:v>Approved</x:v>
      </x:c>
      <x:c r="T280" s="83" t="str">
        <x:v>Active</x:v>
      </x:c>
      <x:c r="U280" s="83" t="n">
        <x:v>1</x:v>
      </x:c>
      <x:c r="V280" s="83" t="str">
        <x:v>LCSW-ALT-121</x:v>
      </x:c>
      <x:c r="W280" s="83" t="str">
        <x:v>No additional flag</x:v>
      </x:c>
      <x:c r="X280" s="83" t="str">
        <x:v>No structural flag</x:v>
      </x:c>
      <x:c r="Y280" s="83" t="str">
        <x:v>Not Yet Reviewed</x:v>
      </x:c>
      <x:c r="Z280" s="83" t="str">
        <x:v>CTA LCSW WB2; CTA LCSW WB12; ASWB 2026 Clinical Content Area I</x:v>
      </x:c>
      <x:c r="AA280" s="83" t="str">
        <x:v>CTA_LCSW_2026_Comprehensive_Simulation_Form_A_Answer_Key_and_Detailed_Rationales_v1.0.docx</x:v>
      </x:c>
      <x:c r="AB280" s="83" t="str">
        <x:v>1.0</x:v>
      </x:c>
      <x:c r="AC280" s="102"/>
      <x:c r="AD280" s="102" t="n">
        <x:v>46228</x:v>
      </x:c>
      <x:c r="AE280" s="83" t="str">
        <x:v>Approved for Form A</x:v>
      </x:c>
      <x:c r="AF280" s="89" t="str">
        <x:v>Form A only; paired alternate retained on the other comprehensive form</x:v>
      </x:c>
    </x:row>
    <x:row r="281">
      <x:c r="A281" s="88" t="str">
        <x:v>CTA-LCSW-MQB-0280</x:v>
      </x:c>
      <x:c r="B281" s="83" t="str">
        <x:v>LCSW-MQB-FA-AP-012</x:v>
      </x:c>
      <x:c r="C281" s="83" t="str">
        <x:v>LCSW</x:v>
      </x:c>
      <x:c r="D281" s="83" t="str">
        <x:v>Comprehensive Simulation</x:v>
      </x:c>
      <x:c r="E281" s="83"/>
      <x:c r="F281" s="83"/>
      <x:c r="G281" s="83" t="str">
        <x:v>Form A</x:v>
      </x:c>
      <x:c r="H281" s="83" t="n">
        <x:v>76</x:v>
      </x:c>
      <x:c r="I281" s="83" t="str">
        <x:v>Scored-Style</x:v>
      </x:c>
      <x:c r="J281" s="83" t="str">
        <x:v>II. Assessment and Planning</x:v>
      </x:c>
      <x:c r="K281" s="83" t="str">
        <x:v>Cultural formulation</x:v>
      </x:c>
      <x:c r="L281" s="83" t="str"/>
      <x:c r="M281" s="83" t="str">
        <x:v>Moderate</x:v>
      </x:c>
      <x:c r="N281" s="83" t="str">
        <x:v>Moderate</x:v>
      </x:c>
      <x:c r="O281" s="83" t="str">
        <x:v>Application</x:v>
      </x:c>
      <x:c r="P281" s="83" t="str">
        <x:v>Application</x:v>
      </x:c>
      <x:c r="Q281" s="83" t="n">
        <x:v>3</x:v>
      </x:c>
      <x:c r="R281" s="83" t="str">
        <x:v>C</x:v>
      </x:c>
      <x:c r="S281" s="83" t="str">
        <x:v>Approved</x:v>
      </x:c>
      <x:c r="T281" s="83" t="str">
        <x:v>Active</x:v>
      </x:c>
      <x:c r="U281" s="83" t="n">
        <x:v>1</x:v>
      </x:c>
      <x:c r="V281" s="83" t="str">
        <x:v>LCSW-ALT-012</x:v>
      </x:c>
      <x:c r="W281" s="83" t="str">
        <x:v>Review Candidate</x:v>
      </x:c>
      <x:c r="X281" s="83" t="str">
        <x:v>No structural flag</x:v>
      </x:c>
      <x:c r="Y281" s="83" t="str">
        <x:v>Not Yet Reviewed</x:v>
      </x:c>
      <x:c r="Z281" s="83" t="str">
        <x:v>CTA LCSW WB3–WB7; ASWB 2026 Clinical Content Area II</x:v>
      </x:c>
      <x:c r="AA281" s="83" t="str">
        <x:v>CTA_LCSW_2026_Comprehensive_Simulation_Form_A_Answer_Key_and_Detailed_Rationales_v1.0.docx</x:v>
      </x:c>
      <x:c r="AB281" s="83" t="str">
        <x:v>1.0</x:v>
      </x:c>
      <x:c r="AC281" s="102"/>
      <x:c r="AD281" s="102" t="n">
        <x:v>46228</x:v>
      </x:c>
      <x:c r="AE281" s="83" t="str">
        <x:v>Approved for Form A</x:v>
      </x:c>
      <x:c r="AF281" s="89" t="str">
        <x:v>Form A only; paired alternate retained on the other comprehensive form</x:v>
      </x:c>
    </x:row>
    <x:row r="282">
      <x:c r="A282" s="88" t="str">
        <x:v>CTA-LCSW-MQB-0281</x:v>
      </x:c>
      <x:c r="B282" s="83" t="str">
        <x:v>LCSW-MQB-FA-VE-044</x:v>
      </x:c>
      <x:c r="C282" s="83" t="str">
        <x:v>LCSW</x:v>
      </x:c>
      <x:c r="D282" s="83" t="str">
        <x:v>Comprehensive Simulation</x:v>
      </x:c>
      <x:c r="E282" s="83"/>
      <x:c r="F282" s="83"/>
      <x:c r="G282" s="83" t="str">
        <x:v>Form A</x:v>
      </x:c>
      <x:c r="H282" s="83" t="n">
        <x:v>77</x:v>
      </x:c>
      <x:c r="I282" s="83" t="str">
        <x:v>Scored-Style</x:v>
      </x:c>
      <x:c r="J282" s="83" t="str">
        <x:v>I. Values and Ethics</x:v>
      </x:c>
      <x:c r="K282" s="83" t="str">
        <x:v>Ethical decision-making process</x:v>
      </x:c>
      <x:c r="L282" s="83" t="str"/>
      <x:c r="M282" s="83" t="str">
        <x:v>Difficult</x:v>
      </x:c>
      <x:c r="N282" s="83" t="str">
        <x:v>Difficult</x:v>
      </x:c>
      <x:c r="O282" s="83" t="str">
        <x:v>Integrated reasoning</x:v>
      </x:c>
      <x:c r="P282" s="83" t="str">
        <x:v>Integrated Clinical Reasoning</x:v>
      </x:c>
      <x:c r="Q282" s="83" t="n">
        <x:v>4</x:v>
      </x:c>
      <x:c r="R282" s="83" t="str">
        <x:v>A</x:v>
      </x:c>
      <x:c r="S282" s="83" t="str">
        <x:v>Approved</x:v>
      </x:c>
      <x:c r="T282" s="83" t="str">
        <x:v>Active</x:v>
      </x:c>
      <x:c r="U282" s="83" t="n">
        <x:v>1</x:v>
      </x:c>
      <x:c r="V282" s="83" t="str">
        <x:v>LCSW-ALT-122</x:v>
      </x:c>
      <x:c r="W282" s="83" t="str">
        <x:v>No additional flag</x:v>
      </x:c>
      <x:c r="X282" s="83" t="str">
        <x:v>No structural flag</x:v>
      </x:c>
      <x:c r="Y282" s="83" t="str">
        <x:v>Not Yet Reviewed</x:v>
      </x:c>
      <x:c r="Z282" s="83" t="str">
        <x:v>CTA LCSW WB2; CTA LCSW WB12; ASWB 2026 Clinical Content Area I</x:v>
      </x:c>
      <x:c r="AA282" s="83" t="str">
        <x:v>CTA_LCSW_2026_Comprehensive_Simulation_Form_A_Answer_Key_and_Detailed_Rationales_v1.0.docx</x:v>
      </x:c>
      <x:c r="AB282" s="83" t="str">
        <x:v>1.0</x:v>
      </x:c>
      <x:c r="AC282" s="102"/>
      <x:c r="AD282" s="102" t="n">
        <x:v>46228</x:v>
      </x:c>
      <x:c r="AE282" s="83" t="str">
        <x:v>Approved for Form A</x:v>
      </x:c>
      <x:c r="AF282" s="89" t="str">
        <x:v>Form A only; paired alternate retained on the other comprehensive form</x:v>
      </x:c>
    </x:row>
    <x:row r="283">
      <x:c r="A283" s="88" t="str">
        <x:v>CTA-LCSW-MQB-0282</x:v>
      </x:c>
      <x:c r="B283" s="83" t="str">
        <x:v>LCSW-MQB-FA-VE-002</x:v>
      </x:c>
      <x:c r="C283" s="83" t="str">
        <x:v>LCSW</x:v>
      </x:c>
      <x:c r="D283" s="83" t="str">
        <x:v>Comprehensive Simulation</x:v>
      </x:c>
      <x:c r="E283" s="83"/>
      <x:c r="F283" s="83"/>
      <x:c r="G283" s="83" t="str">
        <x:v>Form A</x:v>
      </x:c>
      <x:c r="H283" s="83" t="n">
        <x:v>78</x:v>
      </x:c>
      <x:c r="I283" s="83" t="str">
        <x:v>Scored-Style</x:v>
      </x:c>
      <x:c r="J283" s="83" t="str">
        <x:v>I. Values and Ethics</x:v>
      </x:c>
      <x:c r="K283" s="83" t="str">
        <x:v>Informed consent</x:v>
      </x:c>
      <x:c r="L283" s="83" t="str"/>
      <x:c r="M283" s="83" t="str">
        <x:v>Easy</x:v>
      </x:c>
      <x:c r="N283" s="83" t="str">
        <x:v>Easy</x:v>
      </x:c>
      <x:c r="O283" s="83" t="str">
        <x:v>Direct recognition</x:v>
      </x:c>
      <x:c r="P283" s="83" t="str">
        <x:v>Knowledge &amp; Recall</x:v>
      </x:c>
      <x:c r="Q283" s="83" t="n">
        <x:v>3</x:v>
      </x:c>
      <x:c r="R283" s="83" t="str">
        <x:v>B</x:v>
      </x:c>
      <x:c r="S283" s="83" t="str">
        <x:v>Approved</x:v>
      </x:c>
      <x:c r="T283" s="83" t="str">
        <x:v>Active</x:v>
      </x:c>
      <x:c r="U283" s="83" t="n">
        <x:v>1</x:v>
      </x:c>
      <x:c r="V283" s="83" t="str">
        <x:v>LCSW-ALT-080</x:v>
      </x:c>
      <x:c r="W283" s="83" t="str">
        <x:v>No additional flag</x:v>
      </x:c>
      <x:c r="X283" s="83" t="str">
        <x:v>No structural flag</x:v>
      </x:c>
      <x:c r="Y283" s="83" t="str">
        <x:v>Not Yet Reviewed</x:v>
      </x:c>
      <x:c r="Z283" s="83" t="str">
        <x:v>CTA LCSW WB2; ASWB 2026 Clinical Content Area I</x:v>
      </x:c>
      <x:c r="AA283" s="83" t="str">
        <x:v>CTA_LCSW_2026_Comprehensive_Simulation_Form_A_Answer_Key_and_Detailed_Rationales_v1.0.docx</x:v>
      </x:c>
      <x:c r="AB283" s="83" t="str">
        <x:v>1.0</x:v>
      </x:c>
      <x:c r="AC283" s="102"/>
      <x:c r="AD283" s="102" t="n">
        <x:v>46228</x:v>
      </x:c>
      <x:c r="AE283" s="83" t="str">
        <x:v>Approved for Form A</x:v>
      </x:c>
      <x:c r="AF283" s="89" t="str">
        <x:v>Form A only; paired alternate retained on the other comprehensive form</x:v>
      </x:c>
    </x:row>
    <x:row r="284">
      <x:c r="A284" s="88" t="str">
        <x:v>CTA-LCSW-MQB-0283</x:v>
      </x:c>
      <x:c r="B284" s="83" t="str">
        <x:v>LCSW-MQB-FA-IP-004</x:v>
      </x:c>
      <x:c r="C284" s="83" t="str">
        <x:v>LCSW</x:v>
      </x:c>
      <x:c r="D284" s="83" t="str">
        <x:v>Comprehensive Simulation</x:v>
      </x:c>
      <x:c r="E284" s="83"/>
      <x:c r="F284" s="83"/>
      <x:c r="G284" s="83" t="str">
        <x:v>Form A</x:v>
      </x:c>
      <x:c r="H284" s="83" t="n">
        <x:v>79</x:v>
      </x:c>
      <x:c r="I284" s="83" t="str">
        <x:v>Scored-Style</x:v>
      </x:c>
      <x:c r="J284" s="83" t="str">
        <x:v>III. Intervention and Practice</x:v>
      </x:c>
      <x:c r="K284" s="83" t="str">
        <x:v>Behavioral activation</x:v>
      </x:c>
      <x:c r="L284" s="83" t="str"/>
      <x:c r="M284" s="83" t="str">
        <x:v>Easy</x:v>
      </x:c>
      <x:c r="N284" s="83" t="str">
        <x:v>Easy</x:v>
      </x:c>
      <x:c r="O284" s="83" t="str">
        <x:v>Application</x:v>
      </x:c>
      <x:c r="P284" s="83" t="str">
        <x:v>Application</x:v>
      </x:c>
      <x:c r="Q284" s="83" t="n">
        <x:v>3</x:v>
      </x:c>
      <x:c r="R284" s="83" t="str">
        <x:v>B</x:v>
      </x:c>
      <x:c r="S284" s="83" t="str">
        <x:v>Approved</x:v>
      </x:c>
      <x:c r="T284" s="83" t="str">
        <x:v>Active</x:v>
      </x:c>
      <x:c r="U284" s="83" t="n">
        <x:v>1</x:v>
      </x:c>
      <x:c r="V284" s="83" t="str">
        <x:v>LCSW-ALT-043</x:v>
      </x:c>
      <x:c r="W284" s="83" t="str">
        <x:v>No additional flag</x:v>
      </x:c>
      <x:c r="X284" s="83" t="str">
        <x:v>No structural flag</x:v>
      </x:c>
      <x:c r="Y284" s="83" t="str">
        <x:v>Not Yet Reviewed</x:v>
      </x:c>
      <x:c r="Z284" s="83" t="str">
        <x:v>CTA LCSW WB8–WB11; ASWB 2026 Clinical Content Area III</x:v>
      </x:c>
      <x:c r="AA284" s="83" t="str">
        <x:v>CTA_LCSW_2026_Comprehensive_Simulation_Form_A_Answer_Key_and_Detailed_Rationales_v1.0.docx</x:v>
      </x:c>
      <x:c r="AB284" s="83" t="str">
        <x:v>1.0</x:v>
      </x:c>
      <x:c r="AC284" s="102"/>
      <x:c r="AD284" s="102" t="n">
        <x:v>46228</x:v>
      </x:c>
      <x:c r="AE284" s="83" t="str">
        <x:v>Approved for Form A</x:v>
      </x:c>
      <x:c r="AF284" s="89" t="str">
        <x:v>Form A only; paired alternate retained on the other comprehensive form</x:v>
      </x:c>
    </x:row>
    <x:row r="285">
      <x:c r="A285" s="88" t="str">
        <x:v>CTA-LCSW-MQB-0284</x:v>
      </x:c>
      <x:c r="B285" s="83" t="str">
        <x:v>LCSW-MQB-FA-VE-020</x:v>
      </x:c>
      <x:c r="C285" s="83" t="str">
        <x:v>LCSW</x:v>
      </x:c>
      <x:c r="D285" s="83" t="str">
        <x:v>Comprehensive Simulation</x:v>
      </x:c>
      <x:c r="E285" s="83"/>
      <x:c r="F285" s="83"/>
      <x:c r="G285" s="83" t="str">
        <x:v>Form A</x:v>
      </x:c>
      <x:c r="H285" s="83" t="n">
        <x:v>80</x:v>
      </x:c>
      <x:c r="I285" s="83" t="str">
        <x:v>Scored-Style</x:v>
      </x:c>
      <x:c r="J285" s="83" t="str">
        <x:v>I. Values and Ethics</x:v>
      </x:c>
      <x:c r="K285" s="83" t="str">
        <x:v>Ethical consultation</x:v>
      </x:c>
      <x:c r="L285" s="83" t="str"/>
      <x:c r="M285" s="83" t="str">
        <x:v>Moderate</x:v>
      </x:c>
      <x:c r="N285" s="83" t="str">
        <x:v>Moderate</x:v>
      </x:c>
      <x:c r="O285" s="83" t="str">
        <x:v>Application</x:v>
      </x:c>
      <x:c r="P285" s="83" t="str">
        <x:v>Application</x:v>
      </x:c>
      <x:c r="Q285" s="83" t="n">
        <x:v>3</x:v>
      </x:c>
      <x:c r="R285" s="83" t="str">
        <x:v>A</x:v>
      </x:c>
      <x:c r="S285" s="83" t="str">
        <x:v>Approved</x:v>
      </x:c>
      <x:c r="T285" s="83" t="str">
        <x:v>Active</x:v>
      </x:c>
      <x:c r="U285" s="83" t="n">
        <x:v>1</x:v>
      </x:c>
      <x:c r="V285" s="83" t="str">
        <x:v>LCSW-ALT-098</x:v>
      </x:c>
      <x:c r="W285" s="83" t="str">
        <x:v>No additional flag</x:v>
      </x:c>
      <x:c r="X285" s="83" t="str">
        <x:v>No structural flag</x:v>
      </x:c>
      <x:c r="Y285" s="83" t="str">
        <x:v>Not Yet Reviewed</x:v>
      </x:c>
      <x:c r="Z285" s="83" t="str">
        <x:v>CTA LCSW WB2; CTA LCSW WB12; ASWB 2026 Clinical Content Area I</x:v>
      </x:c>
      <x:c r="AA285" s="83" t="str">
        <x:v>CTA_LCSW_2026_Comprehensive_Simulation_Form_A_Answer_Key_and_Detailed_Rationales_v1.0.docx</x:v>
      </x:c>
      <x:c r="AB285" s="83" t="str">
        <x:v>1.0</x:v>
      </x:c>
      <x:c r="AC285" s="102"/>
      <x:c r="AD285" s="102" t="n">
        <x:v>46228</x:v>
      </x:c>
      <x:c r="AE285" s="83" t="str">
        <x:v>Approved for Form A</x:v>
      </x:c>
      <x:c r="AF285" s="89" t="str">
        <x:v>Form A only; paired alternate retained on the other comprehensive form</x:v>
      </x:c>
    </x:row>
    <x:row r="286">
      <x:c r="A286" s="88" t="str">
        <x:v>CTA-LCSW-MQB-0285</x:v>
      </x:c>
      <x:c r="B286" s="83" t="str">
        <x:v>LCSW-MQB-FA-VE-005</x:v>
      </x:c>
      <x:c r="C286" s="83" t="str">
        <x:v>LCSW</x:v>
      </x:c>
      <x:c r="D286" s="83" t="str">
        <x:v>Comprehensive Simulation</x:v>
      </x:c>
      <x:c r="E286" s="83"/>
      <x:c r="F286" s="83"/>
      <x:c r="G286" s="83" t="str">
        <x:v>Form A</x:v>
      </x:c>
      <x:c r="H286" s="83" t="n">
        <x:v>81</x:v>
      </x:c>
      <x:c r="I286" s="83" t="str">
        <x:v>Scored-Style</x:v>
      </x:c>
      <x:c r="J286" s="83" t="str">
        <x:v>I. Values and Ethics</x:v>
      </x:c>
      <x:c r="K286" s="83" t="str">
        <x:v>Professional competence</x:v>
      </x:c>
      <x:c r="L286" s="83" t="str"/>
      <x:c r="M286" s="83" t="str">
        <x:v>Easy</x:v>
      </x:c>
      <x:c r="N286" s="83" t="str">
        <x:v>Easy</x:v>
      </x:c>
      <x:c r="O286" s="83" t="str">
        <x:v>Direct recognition</x:v>
      </x:c>
      <x:c r="P286" s="83" t="str">
        <x:v>Knowledge &amp; Recall</x:v>
      </x:c>
      <x:c r="Q286" s="83" t="n">
        <x:v>3</x:v>
      </x:c>
      <x:c r="R286" s="83" t="str">
        <x:v>B</x:v>
      </x:c>
      <x:c r="S286" s="83" t="str">
        <x:v>Approved</x:v>
      </x:c>
      <x:c r="T286" s="83" t="str">
        <x:v>Active</x:v>
      </x:c>
      <x:c r="U286" s="83" t="n">
        <x:v>1</x:v>
      </x:c>
      <x:c r="V286" s="83" t="str">
        <x:v>LCSW-ALT-083</x:v>
      </x:c>
      <x:c r="W286" s="83" t="str">
        <x:v>No additional flag</x:v>
      </x:c>
      <x:c r="X286" s="83" t="str">
        <x:v>No structural flag</x:v>
      </x:c>
      <x:c r="Y286" s="83" t="str">
        <x:v>Not Yet Reviewed</x:v>
      </x:c>
      <x:c r="Z286" s="83" t="str">
        <x:v>CTA LCSW WB2; CTA LCSW WB12; ASWB 2026 Clinical Content Area I</x:v>
      </x:c>
      <x:c r="AA286" s="83" t="str">
        <x:v>CTA_LCSW_2026_Comprehensive_Simulation_Form_A_Answer_Key_and_Detailed_Rationales_v1.0.docx</x:v>
      </x:c>
      <x:c r="AB286" s="83" t="str">
        <x:v>1.0</x:v>
      </x:c>
      <x:c r="AC286" s="102"/>
      <x:c r="AD286" s="102" t="n">
        <x:v>46228</x:v>
      </x:c>
      <x:c r="AE286" s="83" t="str">
        <x:v>Approved for Form A</x:v>
      </x:c>
      <x:c r="AF286" s="89" t="str">
        <x:v>Form A only; paired alternate retained on the other comprehensive form</x:v>
      </x:c>
    </x:row>
    <x:row r="287">
      <x:c r="A287" s="88" t="str">
        <x:v>CTA-LCSW-MQB-0286</x:v>
      </x:c>
      <x:c r="B287" s="83" t="str">
        <x:v>LCSW-MQB-FA-IP-032</x:v>
      </x:c>
      <x:c r="C287" s="83" t="str">
        <x:v>LCSW</x:v>
      </x:c>
      <x:c r="D287" s="83" t="str">
        <x:v>Comprehensive Simulation</x:v>
      </x:c>
      <x:c r="E287" s="83"/>
      <x:c r="F287" s="83"/>
      <x:c r="G287" s="83" t="str">
        <x:v>Form A</x:v>
      </x:c>
      <x:c r="H287" s="83" t="n">
        <x:v>82</x:v>
      </x:c>
      <x:c r="I287" s="83" t="str">
        <x:v>Scored-Style</x:v>
      </x:c>
      <x:c r="J287" s="83" t="str">
        <x:v>III. Intervention and Practice</x:v>
      </x:c>
      <x:c r="K287" s="83" t="str">
        <x:v>Supervision and client risk</x:v>
      </x:c>
      <x:c r="L287" s="83" t="str"/>
      <x:c r="M287" s="83" t="str">
        <x:v>Difficult</x:v>
      </x:c>
      <x:c r="N287" s="83" t="str">
        <x:v>Difficult</x:v>
      </x:c>
      <x:c r="O287" s="83" t="str">
        <x:v>Scenario-based reasoning</x:v>
      </x:c>
      <x:c r="P287" s="83" t="str">
        <x:v>Scenario-Based</x:v>
      </x:c>
      <x:c r="Q287" s="83" t="n">
        <x:v>4</x:v>
      </x:c>
      <x:c r="R287" s="83" t="str">
        <x:v>D</x:v>
      </x:c>
      <x:c r="S287" s="83" t="str">
        <x:v>Approved</x:v>
      </x:c>
      <x:c r="T287" s="83" t="str">
        <x:v>Active</x:v>
      </x:c>
      <x:c r="U287" s="83" t="n">
        <x:v>1</x:v>
      </x:c>
      <x:c r="V287" s="83" t="str">
        <x:v>LCSW-ALT-071</x:v>
      </x:c>
      <x:c r="W287" s="83" t="str">
        <x:v>No additional flag</x:v>
      </x:c>
      <x:c r="X287" s="83" t="str">
        <x:v>No structural flag</x:v>
      </x:c>
      <x:c r="Y287" s="83" t="str">
        <x:v>Not Yet Reviewed</x:v>
      </x:c>
      <x:c r="Z287" s="83" t="str">
        <x:v>CTA LCSW WB10; CTA LCSW WB11; ASWB 2026 Clinical Content Area III</x:v>
      </x:c>
      <x:c r="AA287" s="83" t="str">
        <x:v>CTA_LCSW_2026_Comprehensive_Simulation_Form_A_Answer_Key_and_Detailed_Rationales_v1.0.docx</x:v>
      </x:c>
      <x:c r="AB287" s="83" t="str">
        <x:v>1.0</x:v>
      </x:c>
      <x:c r="AC287" s="102"/>
      <x:c r="AD287" s="102" t="n">
        <x:v>46228</x:v>
      </x:c>
      <x:c r="AE287" s="83" t="str">
        <x:v>Approved for Form A</x:v>
      </x:c>
      <x:c r="AF287" s="89" t="str">
        <x:v>Form A only; paired alternate retained on the other comprehensive form</x:v>
      </x:c>
    </x:row>
    <x:row r="288">
      <x:c r="A288" s="88" t="str">
        <x:v>CTA-LCSW-MQB-0287</x:v>
      </x:c>
      <x:c r="B288" s="83" t="str">
        <x:v>LCSW-MQB-FA-VE-019</x:v>
      </x:c>
      <x:c r="C288" s="83" t="str">
        <x:v>LCSW</x:v>
      </x:c>
      <x:c r="D288" s="83" t="str">
        <x:v>Comprehensive Simulation</x:v>
      </x:c>
      <x:c r="E288" s="83"/>
      <x:c r="F288" s="83"/>
      <x:c r="G288" s="83" t="str">
        <x:v>Form A</x:v>
      </x:c>
      <x:c r="H288" s="83" t="n">
        <x:v>83</x:v>
      </x:c>
      <x:c r="I288" s="83" t="str">
        <x:v>Scored-Style</x:v>
      </x:c>
      <x:c r="J288" s="83" t="str">
        <x:v>I. Values and Ethics</x:v>
      </x:c>
      <x:c r="K288" s="83" t="str">
        <x:v>Supervision boundaries</x:v>
      </x:c>
      <x:c r="L288" s="83" t="str"/>
      <x:c r="M288" s="83" t="str">
        <x:v>Moderate</x:v>
      </x:c>
      <x:c r="N288" s="83" t="str">
        <x:v>Moderate</x:v>
      </x:c>
      <x:c r="O288" s="83" t="str">
        <x:v>Application</x:v>
      </x:c>
      <x:c r="P288" s="83" t="str">
        <x:v>Application</x:v>
      </x:c>
      <x:c r="Q288" s="83" t="n">
        <x:v>3</x:v>
      </x:c>
      <x:c r="R288" s="83" t="str">
        <x:v>C</x:v>
      </x:c>
      <x:c r="S288" s="83" t="str">
        <x:v>Approved</x:v>
      </x:c>
      <x:c r="T288" s="83" t="str">
        <x:v>Active</x:v>
      </x:c>
      <x:c r="U288" s="83" t="n">
        <x:v>1</x:v>
      </x:c>
      <x:c r="V288" s="83" t="str">
        <x:v>LCSW-ALT-097</x:v>
      </x:c>
      <x:c r="W288" s="83" t="str">
        <x:v>Review Candidate</x:v>
      </x:c>
      <x:c r="X288" s="83" t="str">
        <x:v>No structural flag</x:v>
      </x:c>
      <x:c r="Y288" s="83" t="str">
        <x:v>Not Yet Reviewed</x:v>
      </x:c>
      <x:c r="Z288" s="83" t="str">
        <x:v>CTA LCSW WB2; CTA LCSW WB12; ASWB 2026 Clinical Content Area I</x:v>
      </x:c>
      <x:c r="AA288" s="83" t="str">
        <x:v>CTA_LCSW_2026_Comprehensive_Simulation_Form_A_Answer_Key_and_Detailed_Rationales_v1.0.docx</x:v>
      </x:c>
      <x:c r="AB288" s="83" t="str">
        <x:v>1.0</x:v>
      </x:c>
      <x:c r="AC288" s="102"/>
      <x:c r="AD288" s="102" t="n">
        <x:v>46228</x:v>
      </x:c>
      <x:c r="AE288" s="83" t="str">
        <x:v>Approved for Form A</x:v>
      </x:c>
      <x:c r="AF288" s="89" t="str">
        <x:v>Form A only; paired alternate retained on the other comprehensive form</x:v>
      </x:c>
    </x:row>
    <x:row r="289">
      <x:c r="A289" s="88" t="str">
        <x:v>CTA-LCSW-MQB-0288</x:v>
      </x:c>
      <x:c r="B289" s="83" t="str">
        <x:v>LCSW-MQB-FA-AP-027</x:v>
      </x:c>
      <x:c r="C289" s="83" t="str">
        <x:v>LCSW</x:v>
      </x:c>
      <x:c r="D289" s="83" t="str">
        <x:v>Comprehensive Simulation</x:v>
      </x:c>
      <x:c r="E289" s="83"/>
      <x:c r="F289" s="83"/>
      <x:c r="G289" s="83" t="str">
        <x:v>Form A</x:v>
      </x:c>
      <x:c r="H289" s="83" t="n">
        <x:v>84</x:v>
      </x:c>
      <x:c r="I289" s="83" t="str">
        <x:v>Scored-Style</x:v>
      </x:c>
      <x:c r="J289" s="83" t="str">
        <x:v>II. Assessment and Planning</x:v>
      </x:c>
      <x:c r="K289" s="83" t="str">
        <x:v>Trauma pacing</x:v>
      </x:c>
      <x:c r="L289" s="83" t="str"/>
      <x:c r="M289" s="83" t="str">
        <x:v>Moderate</x:v>
      </x:c>
      <x:c r="N289" s="83" t="str">
        <x:v>Moderate</x:v>
      </x:c>
      <x:c r="O289" s="83" t="str">
        <x:v>Scenario-based reasoning</x:v>
      </x:c>
      <x:c r="P289" s="83" t="str">
        <x:v>Scenario-Based</x:v>
      </x:c>
      <x:c r="Q289" s="83" t="n">
        <x:v>4</x:v>
      </x:c>
      <x:c r="R289" s="83" t="str">
        <x:v>B</x:v>
      </x:c>
      <x:c r="S289" s="83" t="str">
        <x:v>Approved</x:v>
      </x:c>
      <x:c r="T289" s="83" t="str">
        <x:v>Active</x:v>
      </x:c>
      <x:c r="U289" s="83" t="n">
        <x:v>1</x:v>
      </x:c>
      <x:c r="V289" s="83" t="str">
        <x:v>LCSW-ALT-027</x:v>
      </x:c>
      <x:c r="W289" s="83" t="str">
        <x:v>No additional flag</x:v>
      </x:c>
      <x:c r="X289" s="83" t="str">
        <x:v>No structural flag</x:v>
      </x:c>
      <x:c r="Y289" s="83" t="str">
        <x:v>Not Yet Reviewed</x:v>
      </x:c>
      <x:c r="Z289" s="83" t="str">
        <x:v>CTA LCSW WB6; ASWB 2026 Clinical Content Area II</x:v>
      </x:c>
      <x:c r="AA289" s="83" t="str">
        <x:v>CTA_LCSW_2026_Comprehensive_Simulation_Form_A_Answer_Key_and_Detailed_Rationales_v1.0.docx</x:v>
      </x:c>
      <x:c r="AB289" s="83" t="str">
        <x:v>1.0</x:v>
      </x:c>
      <x:c r="AC289" s="102"/>
      <x:c r="AD289" s="102" t="n">
        <x:v>46228</x:v>
      </x:c>
      <x:c r="AE289" s="83" t="str">
        <x:v>Approved for Form A</x:v>
      </x:c>
      <x:c r="AF289" s="89" t="str">
        <x:v>Form A only; paired alternate retained on the other comprehensive form</x:v>
      </x:c>
    </x:row>
    <x:row r="290">
      <x:c r="A290" s="88" t="str">
        <x:v>CTA-LCSW-MQB-0289</x:v>
      </x:c>
      <x:c r="B290" s="83" t="str">
        <x:v>LCSW-MQB-FA-IP-006</x:v>
      </x:c>
      <x:c r="C290" s="83" t="str">
        <x:v>LCSW</x:v>
      </x:c>
      <x:c r="D290" s="83" t="str">
        <x:v>Comprehensive Simulation</x:v>
      </x:c>
      <x:c r="E290" s="83"/>
      <x:c r="F290" s="83"/>
      <x:c r="G290" s="83" t="str">
        <x:v>Form A</x:v>
      </x:c>
      <x:c r="H290" s="83" t="n">
        <x:v>85</x:v>
      </x:c>
      <x:c r="I290" s="83" t="str">
        <x:v>Scored-Style</x:v>
      </x:c>
      <x:c r="J290" s="83" t="str">
        <x:v>III. Intervention and Practice</x:v>
      </x:c>
      <x:c r="K290" s="83" t="str">
        <x:v>Solution-focused exceptions</x:v>
      </x:c>
      <x:c r="L290" s="83" t="str"/>
      <x:c r="M290" s="83" t="str">
        <x:v>Easy</x:v>
      </x:c>
      <x:c r="N290" s="83" t="str">
        <x:v>Easy</x:v>
      </x:c>
      <x:c r="O290" s="83" t="str">
        <x:v>Application</x:v>
      </x:c>
      <x:c r="P290" s="83" t="str">
        <x:v>Application</x:v>
      </x:c>
      <x:c r="Q290" s="83" t="n">
        <x:v>3</x:v>
      </x:c>
      <x:c r="R290" s="83" t="str">
        <x:v>A</x:v>
      </x:c>
      <x:c r="S290" s="83" t="str">
        <x:v>Approved</x:v>
      </x:c>
      <x:c r="T290" s="83" t="str">
        <x:v>Active</x:v>
      </x:c>
      <x:c r="U290" s="83" t="n">
        <x:v>1</x:v>
      </x:c>
      <x:c r="V290" s="83" t="str">
        <x:v>LCSW-ALT-045</x:v>
      </x:c>
      <x:c r="W290" s="83" t="str">
        <x:v>No additional flag</x:v>
      </x:c>
      <x:c r="X290" s="83" t="str">
        <x:v>No structural flag</x:v>
      </x:c>
      <x:c r="Y290" s="83" t="str">
        <x:v>Not Yet Reviewed</x:v>
      </x:c>
      <x:c r="Z290" s="83" t="str">
        <x:v>CTA LCSW WB8–WB11; ASWB 2026 Clinical Content Area III</x:v>
      </x:c>
      <x:c r="AA290" s="83" t="str">
        <x:v>CTA_LCSW_2026_Comprehensive_Simulation_Form_A_Answer_Key_and_Detailed_Rationales_v1.0.docx</x:v>
      </x:c>
      <x:c r="AB290" s="83" t="str">
        <x:v>1.0</x:v>
      </x:c>
      <x:c r="AC290" s="102"/>
      <x:c r="AD290" s="102" t="n">
        <x:v>46228</x:v>
      </x:c>
      <x:c r="AE290" s="83" t="str">
        <x:v>Approved for Form A</x:v>
      </x:c>
      <x:c r="AF290" s="89" t="str">
        <x:v>Form A only; paired alternate retained on the other comprehensive form</x:v>
      </x:c>
    </x:row>
    <x:row r="291">
      <x:c r="A291" s="88" t="str">
        <x:v>CTA-LCSW-MQB-0290</x:v>
      </x:c>
      <x:c r="B291" s="83" t="str">
        <x:v>LCSW-MQB-FA-IP-007</x:v>
      </x:c>
      <x:c r="C291" s="83" t="str">
        <x:v>LCSW</x:v>
      </x:c>
      <x:c r="D291" s="83" t="str">
        <x:v>Comprehensive Simulation</x:v>
      </x:c>
      <x:c r="E291" s="83"/>
      <x:c r="F291" s="83"/>
      <x:c r="G291" s="83" t="str">
        <x:v>Form A</x:v>
      </x:c>
      <x:c r="H291" s="83" t="n">
        <x:v>86</x:v>
      </x:c>
      <x:c r="I291" s="83" t="str">
        <x:v>Scored-Style</x:v>
      </x:c>
      <x:c r="J291" s="83" t="str">
        <x:v>III. Intervention and Practice</x:v>
      </x:c>
      <x:c r="K291" s="83" t="str">
        <x:v>Psychoeducation</x:v>
      </x:c>
      <x:c r="L291" s="83" t="str"/>
      <x:c r="M291" s="83" t="str">
        <x:v>Easy</x:v>
      </x:c>
      <x:c r="N291" s="83" t="str">
        <x:v>Easy</x:v>
      </x:c>
      <x:c r="O291" s="83" t="str">
        <x:v>Application</x:v>
      </x:c>
      <x:c r="P291" s="83" t="str">
        <x:v>Application</x:v>
      </x:c>
      <x:c r="Q291" s="83" t="n">
        <x:v>3</x:v>
      </x:c>
      <x:c r="R291" s="83" t="str">
        <x:v>B</x:v>
      </x:c>
      <x:c r="S291" s="83" t="str">
        <x:v>Approved</x:v>
      </x:c>
      <x:c r="T291" s="83" t="str">
        <x:v>Active</x:v>
      </x:c>
      <x:c r="U291" s="83" t="n">
        <x:v>1</x:v>
      </x:c>
      <x:c r="V291" s="83" t="str">
        <x:v>LCSW-ALT-046</x:v>
      </x:c>
      <x:c r="W291" s="83" t="str">
        <x:v>No additional flag</x:v>
      </x:c>
      <x:c r="X291" s="83" t="str">
        <x:v>No structural flag</x:v>
      </x:c>
      <x:c r="Y291" s="83" t="str">
        <x:v>Not Yet Reviewed</x:v>
      </x:c>
      <x:c r="Z291" s="83" t="str">
        <x:v>CTA LCSW WB8–WB11; ASWB 2026 Clinical Content Area III</x:v>
      </x:c>
      <x:c r="AA291" s="83" t="str">
        <x:v>CTA_LCSW_2026_Comprehensive_Simulation_Form_A_Answer_Key_and_Detailed_Rationales_v1.0.docx</x:v>
      </x:c>
      <x:c r="AB291" s="83" t="str">
        <x:v>1.0</x:v>
      </x:c>
      <x:c r="AC291" s="102"/>
      <x:c r="AD291" s="102" t="n">
        <x:v>46228</x:v>
      </x:c>
      <x:c r="AE291" s="83" t="str">
        <x:v>Approved for Form A</x:v>
      </x:c>
      <x:c r="AF291" s="89" t="str">
        <x:v>Form A only; paired alternate retained on the other comprehensive form</x:v>
      </x:c>
    </x:row>
    <x:row r="292">
      <x:c r="A292" s="88" t="str">
        <x:v>CTA-LCSW-MQB-0291</x:v>
      </x:c>
      <x:c r="B292" s="83" t="str">
        <x:v>LCSW-MQB-FA-VE-024</x:v>
      </x:c>
      <x:c r="C292" s="83" t="str">
        <x:v>LCSW</x:v>
      </x:c>
      <x:c r="D292" s="83" t="str">
        <x:v>Comprehensive Simulation</x:v>
      </x:c>
      <x:c r="E292" s="83"/>
      <x:c r="F292" s="83"/>
      <x:c r="G292" s="83" t="str">
        <x:v>Form A</x:v>
      </x:c>
      <x:c r="H292" s="83" t="n">
        <x:v>87</x:v>
      </x:c>
      <x:c r="I292" s="83" t="str">
        <x:v>Scored-Style</x:v>
      </x:c>
      <x:c r="J292" s="83" t="str">
        <x:v>I. Values and Ethics</x:v>
      </x:c>
      <x:c r="K292" s="83" t="str">
        <x:v>Informed refusal</x:v>
      </x:c>
      <x:c r="L292" s="83" t="str"/>
      <x:c r="M292" s="83" t="str">
        <x:v>Moderate</x:v>
      </x:c>
      <x:c r="N292" s="83" t="str">
        <x:v>Moderate</x:v>
      </x:c>
      <x:c r="O292" s="83" t="str">
        <x:v>Scenario-based reasoning</x:v>
      </x:c>
      <x:c r="P292" s="83" t="str">
        <x:v>Scenario-Based</x:v>
      </x:c>
      <x:c r="Q292" s="83" t="n">
        <x:v>3</x:v>
      </x:c>
      <x:c r="R292" s="83" t="str">
        <x:v>A</x:v>
      </x:c>
      <x:c r="S292" s="83" t="str">
        <x:v>Approved</x:v>
      </x:c>
      <x:c r="T292" s="83" t="str">
        <x:v>Active</x:v>
      </x:c>
      <x:c r="U292" s="83" t="n">
        <x:v>1</x:v>
      </x:c>
      <x:c r="V292" s="83" t="str">
        <x:v>LCSW-ALT-102</x:v>
      </x:c>
      <x:c r="W292" s="83" t="str">
        <x:v>No additional flag</x:v>
      </x:c>
      <x:c r="X292" s="83" t="str">
        <x:v>No structural flag</x:v>
      </x:c>
      <x:c r="Y292" s="83" t="str">
        <x:v>Not Yet Reviewed</x:v>
      </x:c>
      <x:c r="Z292" s="83" t="str">
        <x:v>CTA LCSW WB2; ASWB 2026 Clinical Content Area I</x:v>
      </x:c>
      <x:c r="AA292" s="83" t="str">
        <x:v>CTA_LCSW_2026_Comprehensive_Simulation_Form_A_Answer_Key_and_Detailed_Rationales_v1.0.docx</x:v>
      </x:c>
      <x:c r="AB292" s="83" t="str">
        <x:v>1.0</x:v>
      </x:c>
      <x:c r="AC292" s="102"/>
      <x:c r="AD292" s="102" t="n">
        <x:v>46228</x:v>
      </x:c>
      <x:c r="AE292" s="83" t="str">
        <x:v>Approved for Form A</x:v>
      </x:c>
      <x:c r="AF292" s="89" t="str">
        <x:v>Form A only; paired alternate retained on the other comprehensive form</x:v>
      </x:c>
    </x:row>
    <x:row r="293">
      <x:c r="A293" s="88" t="str">
        <x:v>CTA-LCSW-MQB-0292</x:v>
      </x:c>
      <x:c r="B293" s="83" t="str">
        <x:v>LCSW-MQB-FA-IP-037</x:v>
      </x:c>
      <x:c r="C293" s="83" t="str">
        <x:v>LCSW</x:v>
      </x:c>
      <x:c r="D293" s="83" t="str">
        <x:v>Comprehensive Simulation</x:v>
      </x:c>
      <x:c r="E293" s="83"/>
      <x:c r="F293" s="83"/>
      <x:c r="G293" s="83" t="str">
        <x:v>Form A</x:v>
      </x:c>
      <x:c r="H293" s="83" t="n">
        <x:v>88</x:v>
      </x:c>
      <x:c r="I293" s="83" t="str">
        <x:v>Scored-Style</x:v>
      </x:c>
      <x:c r="J293" s="83" t="str">
        <x:v>III. Intervention and Practice</x:v>
      </x:c>
      <x:c r="K293" s="83" t="str">
        <x:v>Program evaluation and equity</x:v>
      </x:c>
      <x:c r="L293" s="83" t="str"/>
      <x:c r="M293" s="83" t="str">
        <x:v>Difficult</x:v>
      </x:c>
      <x:c r="N293" s="83" t="str">
        <x:v>Difficult</x:v>
      </x:c>
      <x:c r="O293" s="83" t="str">
        <x:v>Integrated reasoning</x:v>
      </x:c>
      <x:c r="P293" s="83" t="str">
        <x:v>Integrated Clinical Reasoning</x:v>
      </x:c>
      <x:c r="Q293" s="83" t="n">
        <x:v>4</x:v>
      </x:c>
      <x:c r="R293" s="83" t="str">
        <x:v>D</x:v>
      </x:c>
      <x:c r="S293" s="83" t="str">
        <x:v>Approved</x:v>
      </x:c>
      <x:c r="T293" s="83" t="str">
        <x:v>Active</x:v>
      </x:c>
      <x:c r="U293" s="83" t="n">
        <x:v>1</x:v>
      </x:c>
      <x:c r="V293" s="83" t="str">
        <x:v>LCSW-ALT-076</x:v>
      </x:c>
      <x:c r="W293" s="83" t="str">
        <x:v>No additional flag</x:v>
      </x:c>
      <x:c r="X293" s="83" t="str">
        <x:v>No structural flag</x:v>
      </x:c>
      <x:c r="Y293" s="83" t="str">
        <x:v>Not Yet Reviewed</x:v>
      </x:c>
      <x:c r="Z293" s="83" t="str">
        <x:v>CTA LCSW WB10; CTA LCSW WB11; ASWB 2026 Clinical Content Area III</x:v>
      </x:c>
      <x:c r="AA293" s="83" t="str">
        <x:v>CTA_LCSW_2026_Comprehensive_Simulation_Form_A_Answer_Key_and_Detailed_Rationales_v1.0.docx</x:v>
      </x:c>
      <x:c r="AB293" s="83" t="str">
        <x:v>1.0</x:v>
      </x:c>
      <x:c r="AC293" s="102"/>
      <x:c r="AD293" s="102" t="n">
        <x:v>46228</x:v>
      </x:c>
      <x:c r="AE293" s="83" t="str">
        <x:v>Approved for Form A</x:v>
      </x:c>
      <x:c r="AF293" s="89" t="str">
        <x:v>Form A only; paired alternate retained on the other comprehensive form</x:v>
      </x:c>
    </x:row>
    <x:row r="294">
      <x:c r="A294" s="88" t="str">
        <x:v>CTA-LCSW-MQB-0293</x:v>
      </x:c>
      <x:c r="B294" s="83" t="str">
        <x:v>LCSW-MQB-FA-AP-016</x:v>
      </x:c>
      <x:c r="C294" s="83" t="str">
        <x:v>LCSW</x:v>
      </x:c>
      <x:c r="D294" s="83" t="str">
        <x:v>Comprehensive Simulation</x:v>
      </x:c>
      <x:c r="E294" s="83"/>
      <x:c r="F294" s="83"/>
      <x:c r="G294" s="83" t="str">
        <x:v>Form A</x:v>
      </x:c>
      <x:c r="H294" s="83" t="n">
        <x:v>89</x:v>
      </x:c>
      <x:c r="I294" s="83" t="str">
        <x:v>Scored-Style</x:v>
      </x:c>
      <x:c r="J294" s="83" t="str">
        <x:v>II. Assessment and Planning</x:v>
      </x:c>
      <x:c r="K294" s="83" t="str">
        <x:v>Environmental barriers</x:v>
      </x:c>
      <x:c r="L294" s="83" t="str"/>
      <x:c r="M294" s="83" t="str">
        <x:v>Moderate</x:v>
      </x:c>
      <x:c r="N294" s="83" t="str">
        <x:v>Moderate</x:v>
      </x:c>
      <x:c r="O294" s="83" t="str">
        <x:v>Application</x:v>
      </x:c>
      <x:c r="P294" s="83" t="str">
        <x:v>Application</x:v>
      </x:c>
      <x:c r="Q294" s="83" t="n">
        <x:v>3</x:v>
      </x:c>
      <x:c r="R294" s="83" t="str">
        <x:v>C</x:v>
      </x:c>
      <x:c r="S294" s="83" t="str">
        <x:v>Approved</x:v>
      </x:c>
      <x:c r="T294" s="83" t="str">
        <x:v>Active</x:v>
      </x:c>
      <x:c r="U294" s="83" t="n">
        <x:v>1</x:v>
      </x:c>
      <x:c r="V294" s="83" t="str">
        <x:v>LCSW-ALT-016</x:v>
      </x:c>
      <x:c r="W294" s="83" t="str">
        <x:v>No additional flag</x:v>
      </x:c>
      <x:c r="X294" s="83" t="str">
        <x:v>No structural flag</x:v>
      </x:c>
      <x:c r="Y294" s="83" t="str">
        <x:v>Not Yet Reviewed</x:v>
      </x:c>
      <x:c r="Z294" s="83" t="str">
        <x:v>CTA LCSW WB3–WB7; ASWB 2026 Clinical Content Area II</x:v>
      </x:c>
      <x:c r="AA294" s="83" t="str">
        <x:v>CTA_LCSW_2026_Comprehensive_Simulation_Form_A_Answer_Key_and_Detailed_Rationales_v1.0.docx</x:v>
      </x:c>
      <x:c r="AB294" s="83" t="str">
        <x:v>1.0</x:v>
      </x:c>
      <x:c r="AC294" s="102"/>
      <x:c r="AD294" s="102" t="n">
        <x:v>46228</x:v>
      </x:c>
      <x:c r="AE294" s="83" t="str">
        <x:v>Approved for Form A</x:v>
      </x:c>
      <x:c r="AF294" s="89" t="str">
        <x:v>Form A only; paired alternate retained on the other comprehensive form</x:v>
      </x:c>
    </x:row>
    <x:row r="295">
      <x:c r="A295" s="88" t="str">
        <x:v>CTA-LCSW-MQB-0294</x:v>
      </x:c>
      <x:c r="B295" s="83" t="str">
        <x:v>LCSW-MQB-FA-AP-015</x:v>
      </x:c>
      <x:c r="C295" s="83" t="str">
        <x:v>LCSW</x:v>
      </x:c>
      <x:c r="D295" s="83" t="str">
        <x:v>Comprehensive Simulation</x:v>
      </x:c>
      <x:c r="E295" s="83"/>
      <x:c r="F295" s="83"/>
      <x:c r="G295" s="83" t="str">
        <x:v>Form A</x:v>
      </x:c>
      <x:c r="H295" s="83" t="n">
        <x:v>90</x:v>
      </x:c>
      <x:c r="I295" s="83" t="str">
        <x:v>Scored-Style</x:v>
      </x:c>
      <x:c r="J295" s="83" t="str">
        <x:v>II. Assessment and Planning</x:v>
      </x:c>
      <x:c r="K295" s="83" t="str">
        <x:v>Level of care</x:v>
      </x:c>
      <x:c r="L295" s="83" t="str"/>
      <x:c r="M295" s="83" t="str">
        <x:v>Moderate</x:v>
      </x:c>
      <x:c r="N295" s="83" t="str">
        <x:v>Moderate</x:v>
      </x:c>
      <x:c r="O295" s="83" t="str">
        <x:v>Application</x:v>
      </x:c>
      <x:c r="P295" s="83" t="str">
        <x:v>Application</x:v>
      </x:c>
      <x:c r="Q295" s="83" t="n">
        <x:v>3</x:v>
      </x:c>
      <x:c r="R295" s="83" t="str">
        <x:v>A</x:v>
      </x:c>
      <x:c r="S295" s="83" t="str">
        <x:v>Approved</x:v>
      </x:c>
      <x:c r="T295" s="83" t="str">
        <x:v>Active</x:v>
      </x:c>
      <x:c r="U295" s="83" t="n">
        <x:v>1</x:v>
      </x:c>
      <x:c r="V295" s="83" t="str">
        <x:v>LCSW-ALT-015</x:v>
      </x:c>
      <x:c r="W295" s="83" t="str">
        <x:v>No additional flag</x:v>
      </x:c>
      <x:c r="X295" s="83" t="str">
        <x:v>No structural flag</x:v>
      </x:c>
      <x:c r="Y295" s="83" t="str">
        <x:v>Not Yet Reviewed</x:v>
      </x:c>
      <x:c r="Z295" s="83" t="str">
        <x:v>CTA LCSW WB6; ASWB 2026 Clinical Content Area II</x:v>
      </x:c>
      <x:c r="AA295" s="83" t="str">
        <x:v>CTA_LCSW_2026_Comprehensive_Simulation_Form_A_Answer_Key_and_Detailed_Rationales_v1.0.docx</x:v>
      </x:c>
      <x:c r="AB295" s="83" t="str">
        <x:v>1.0</x:v>
      </x:c>
      <x:c r="AC295" s="102"/>
      <x:c r="AD295" s="102" t="n">
        <x:v>46228</x:v>
      </x:c>
      <x:c r="AE295" s="83" t="str">
        <x:v>Approved for Form A</x:v>
      </x:c>
      <x:c r="AF295" s="89" t="str">
        <x:v>Form A only; paired alternate retained on the other comprehensive form</x:v>
      </x:c>
    </x:row>
    <x:row r="296">
      <x:c r="A296" s="88" t="str">
        <x:v>CTA-LCSW-MQB-0295</x:v>
      </x:c>
      <x:c r="B296" s="83" t="str">
        <x:v>LCSW-MQB-FA-VE-042</x:v>
      </x:c>
      <x:c r="C296" s="83" t="str">
        <x:v>LCSW</x:v>
      </x:c>
      <x:c r="D296" s="83" t="str">
        <x:v>Comprehensive Simulation</x:v>
      </x:c>
      <x:c r="E296" s="83"/>
      <x:c r="F296" s="83"/>
      <x:c r="G296" s="83" t="str">
        <x:v>Form A</x:v>
      </x:c>
      <x:c r="H296" s="83" t="n">
        <x:v>91</x:v>
      </x:c>
      <x:c r="I296" s="83" t="str">
        <x:v>Scored-Style</x:v>
      </x:c>
      <x:c r="J296" s="83" t="str">
        <x:v>I. Values and Ethics</x:v>
      </x:c>
      <x:c r="K296" s="83" t="str">
        <x:v>Organizational ethics and scarce resources</x:v>
      </x:c>
      <x:c r="L296" s="83" t="str"/>
      <x:c r="M296" s="83" t="str">
        <x:v>Difficult</x:v>
      </x:c>
      <x:c r="N296" s="83" t="str">
        <x:v>Difficult</x:v>
      </x:c>
      <x:c r="O296" s="83" t="str">
        <x:v>Integrated reasoning</x:v>
      </x:c>
      <x:c r="P296" s="83" t="str">
        <x:v>Integrated Clinical Reasoning</x:v>
      </x:c>
      <x:c r="Q296" s="83" t="n">
        <x:v>4</x:v>
      </x:c>
      <x:c r="R296" s="83" t="str">
        <x:v>A</x:v>
      </x:c>
      <x:c r="S296" s="83" t="str">
        <x:v>Approved</x:v>
      </x:c>
      <x:c r="T296" s="83" t="str">
        <x:v>Active</x:v>
      </x:c>
      <x:c r="U296" s="83" t="n">
        <x:v>1</x:v>
      </x:c>
      <x:c r="V296" s="83" t="str">
        <x:v>LCSW-ALT-120</x:v>
      </x:c>
      <x:c r="W296" s="83" t="str">
        <x:v>No additional flag</x:v>
      </x:c>
      <x:c r="X296" s="83" t="str">
        <x:v>No structural flag</x:v>
      </x:c>
      <x:c r="Y296" s="83" t="str">
        <x:v>Not Yet Reviewed</x:v>
      </x:c>
      <x:c r="Z296" s="83" t="str">
        <x:v>CTA LCSW WB2; ASWB 2026 Clinical Content Area I</x:v>
      </x:c>
      <x:c r="AA296" s="83" t="str">
        <x:v>CTA_LCSW_2026_Comprehensive_Simulation_Form_A_Answer_Key_and_Detailed_Rationales_v1.0.docx</x:v>
      </x:c>
      <x:c r="AB296" s="83" t="str">
        <x:v>1.0</x:v>
      </x:c>
      <x:c r="AC296" s="102"/>
      <x:c r="AD296" s="102" t="n">
        <x:v>46228</x:v>
      </x:c>
      <x:c r="AE296" s="83" t="str">
        <x:v>Approved for Form A</x:v>
      </x:c>
      <x:c r="AF296" s="89" t="str">
        <x:v>Form A only; paired alternate retained on the other comprehensive form</x:v>
      </x:c>
    </x:row>
    <x:row r="297">
      <x:c r="A297" s="88" t="str">
        <x:v>CTA-LCSW-MQB-0296</x:v>
      </x:c>
      <x:c r="B297" s="83" t="str">
        <x:v>LCSW-MQB-FA-VE-016</x:v>
      </x:c>
      <x:c r="C297" s="83" t="str">
        <x:v>LCSW</x:v>
      </x:c>
      <x:c r="D297" s="83" t="str">
        <x:v>Comprehensive Simulation</x:v>
      </x:c>
      <x:c r="E297" s="83"/>
      <x:c r="F297" s="83"/>
      <x:c r="G297" s="83" t="str">
        <x:v>Form A</x:v>
      </x:c>
      <x:c r="H297" s="83" t="n">
        <x:v>92</x:v>
      </x:c>
      <x:c r="I297" s="83" t="str">
        <x:v>Scored-Style</x:v>
      </x:c>
      <x:c r="J297" s="83" t="str">
        <x:v>I. Values and Ethics</x:v>
      </x:c>
      <x:c r="K297" s="83" t="str">
        <x:v>Professional use of self</x:v>
      </x:c>
      <x:c r="L297" s="83" t="str"/>
      <x:c r="M297" s="83" t="str">
        <x:v>Moderate</x:v>
      </x:c>
      <x:c r="N297" s="83" t="str">
        <x:v>Moderate</x:v>
      </x:c>
      <x:c r="O297" s="83" t="str">
        <x:v>Application</x:v>
      </x:c>
      <x:c r="P297" s="83" t="str">
        <x:v>Application</x:v>
      </x:c>
      <x:c r="Q297" s="83" t="n">
        <x:v>3</x:v>
      </x:c>
      <x:c r="R297" s="83" t="str">
        <x:v>A</x:v>
      </x:c>
      <x:c r="S297" s="83" t="str">
        <x:v>Approved</x:v>
      </x:c>
      <x:c r="T297" s="83" t="str">
        <x:v>Active</x:v>
      </x:c>
      <x:c r="U297" s="83" t="n">
        <x:v>1</x:v>
      </x:c>
      <x:c r="V297" s="83" t="str">
        <x:v>LCSW-ALT-094</x:v>
      </x:c>
      <x:c r="W297" s="83" t="str">
        <x:v>No additional flag</x:v>
      </x:c>
      <x:c r="X297" s="83" t="str">
        <x:v>No structural flag</x:v>
      </x:c>
      <x:c r="Y297" s="83" t="str">
        <x:v>Not Yet Reviewed</x:v>
      </x:c>
      <x:c r="Z297" s="83" t="str">
        <x:v>CTA LCSW WB2; CTA LCSW WB12; ASWB 2026 Clinical Content Area I</x:v>
      </x:c>
      <x:c r="AA297" s="83" t="str">
        <x:v>CTA_LCSW_2026_Comprehensive_Simulation_Form_A_Answer_Key_and_Detailed_Rationales_v1.0.docx</x:v>
      </x:c>
      <x:c r="AB297" s="83" t="str">
        <x:v>1.0</x:v>
      </x:c>
      <x:c r="AC297" s="102"/>
      <x:c r="AD297" s="102" t="n">
        <x:v>46228</x:v>
      </x:c>
      <x:c r="AE297" s="83" t="str">
        <x:v>Approved for Form A</x:v>
      </x:c>
      <x:c r="AF297" s="89" t="str">
        <x:v>Form A only; paired alternate retained on the other comprehensive form</x:v>
      </x:c>
    </x:row>
    <x:row r="298">
      <x:c r="A298" s="88" t="str">
        <x:v>CTA-LCSW-MQB-0297</x:v>
      </x:c>
      <x:c r="B298" s="83" t="str">
        <x:v>LCSW-MQB-FA-IP-015</x:v>
      </x:c>
      <x:c r="C298" s="83" t="str">
        <x:v>LCSW</x:v>
      </x:c>
      <x:c r="D298" s="83" t="str">
        <x:v>Comprehensive Simulation</x:v>
      </x:c>
      <x:c r="E298" s="83"/>
      <x:c r="F298" s="83"/>
      <x:c r="G298" s="83" t="str">
        <x:v>Form A</x:v>
      </x:c>
      <x:c r="H298" s="83" t="n">
        <x:v>93</x:v>
      </x:c>
      <x:c r="I298" s="83" t="str">
        <x:v>Scored-Style</x:v>
      </x:c>
      <x:c r="J298" s="83" t="str">
        <x:v>III. Intervention and Practice</x:v>
      </x:c>
      <x:c r="K298" s="83" t="str">
        <x:v>Measurement-based care</x:v>
      </x:c>
      <x:c r="L298" s="83" t="str"/>
      <x:c r="M298" s="83" t="str">
        <x:v>Moderate</x:v>
      </x:c>
      <x:c r="N298" s="83" t="str">
        <x:v>Moderate</x:v>
      </x:c>
      <x:c r="O298" s="83" t="str">
        <x:v>Application</x:v>
      </x:c>
      <x:c r="P298" s="83" t="str">
        <x:v>Application</x:v>
      </x:c>
      <x:c r="Q298" s="83" t="n">
        <x:v>3</x:v>
      </x:c>
      <x:c r="R298" s="83" t="str">
        <x:v>C</x:v>
      </x:c>
      <x:c r="S298" s="83" t="str">
        <x:v>Approved</x:v>
      </x:c>
      <x:c r="T298" s="83" t="str">
        <x:v>Active</x:v>
      </x:c>
      <x:c r="U298" s="83" t="n">
        <x:v>1</x:v>
      </x:c>
      <x:c r="V298" s="83" t="str">
        <x:v>LCSW-ALT-054</x:v>
      </x:c>
      <x:c r="W298" s="83" t="str">
        <x:v>No additional flag</x:v>
      </x:c>
      <x:c r="X298" s="83" t="str">
        <x:v>No structural flag</x:v>
      </x:c>
      <x:c r="Y298" s="83" t="str">
        <x:v>Not Yet Reviewed</x:v>
      </x:c>
      <x:c r="Z298" s="83" t="str">
        <x:v>CTA LCSW WB10; CTA LCSW WB11; ASWB 2026 Clinical Content Area III</x:v>
      </x:c>
      <x:c r="AA298" s="83" t="str">
        <x:v>CTA_LCSW_2026_Comprehensive_Simulation_Form_A_Answer_Key_and_Detailed_Rationales_v1.0.docx</x:v>
      </x:c>
      <x:c r="AB298" s="83" t="str">
        <x:v>1.0</x:v>
      </x:c>
      <x:c r="AC298" s="102"/>
      <x:c r="AD298" s="102" t="n">
        <x:v>46228</x:v>
      </x:c>
      <x:c r="AE298" s="83" t="str">
        <x:v>Approved for Form A</x:v>
      </x:c>
      <x:c r="AF298" s="89" t="str">
        <x:v>Form A only; paired alternate retained on the other comprehensive form</x:v>
      </x:c>
    </x:row>
    <x:row r="299">
      <x:c r="A299" s="88" t="str">
        <x:v>CTA-LCSW-MQB-0298</x:v>
      </x:c>
      <x:c r="B299" s="83" t="str">
        <x:v>LCSW-MQB-FA-IP-013</x:v>
      </x:c>
      <x:c r="C299" s="83" t="str">
        <x:v>LCSW</x:v>
      </x:c>
      <x:c r="D299" s="83" t="str">
        <x:v>Comprehensive Simulation</x:v>
      </x:c>
      <x:c r="E299" s="83"/>
      <x:c r="F299" s="83"/>
      <x:c r="G299" s="83" t="str">
        <x:v>Form A</x:v>
      </x:c>
      <x:c r="H299" s="83" t="n">
        <x:v>94</x:v>
      </x:c>
      <x:c r="I299" s="83" t="str">
        <x:v>Scored-Style</x:v>
      </x:c>
      <x:c r="J299" s="83" t="str">
        <x:v>III. Intervention and Practice</x:v>
      </x:c>
      <x:c r="K299" s="83" t="str">
        <x:v>Parenting intervention</x:v>
      </x:c>
      <x:c r="L299" s="83" t="str"/>
      <x:c r="M299" s="83" t="str">
        <x:v>Moderate</x:v>
      </x:c>
      <x:c r="N299" s="83" t="str">
        <x:v>Moderate</x:v>
      </x:c>
      <x:c r="O299" s="83" t="str">
        <x:v>Application</x:v>
      </x:c>
      <x:c r="P299" s="83" t="str">
        <x:v>Application</x:v>
      </x:c>
      <x:c r="Q299" s="83" t="n">
        <x:v>3</x:v>
      </x:c>
      <x:c r="R299" s="83" t="str">
        <x:v>A</x:v>
      </x:c>
      <x:c r="S299" s="83" t="str">
        <x:v>Approved</x:v>
      </x:c>
      <x:c r="T299" s="83" t="str">
        <x:v>Active</x:v>
      </x:c>
      <x:c r="U299" s="83" t="n">
        <x:v>1</x:v>
      </x:c>
      <x:c r="V299" s="83" t="str">
        <x:v>LCSW-ALT-052</x:v>
      </x:c>
      <x:c r="W299" s="83" t="str">
        <x:v>No additional flag</x:v>
      </x:c>
      <x:c r="X299" s="83" t="str">
        <x:v>No structural flag</x:v>
      </x:c>
      <x:c r="Y299" s="83" t="str">
        <x:v>Not Yet Reviewed</x:v>
      </x:c>
      <x:c r="Z299" s="83" t="str">
        <x:v>CTA LCSW WB8–WB11; ASWB 2026 Clinical Content Area III</x:v>
      </x:c>
      <x:c r="AA299" s="83" t="str">
        <x:v>CTA_LCSW_2026_Comprehensive_Simulation_Form_A_Answer_Key_and_Detailed_Rationales_v1.0.docx</x:v>
      </x:c>
      <x:c r="AB299" s="83" t="str">
        <x:v>1.0</x:v>
      </x:c>
      <x:c r="AC299" s="102"/>
      <x:c r="AD299" s="102" t="n">
        <x:v>46228</x:v>
      </x:c>
      <x:c r="AE299" s="83" t="str">
        <x:v>Approved for Form A</x:v>
      </x:c>
      <x:c r="AF299" s="89" t="str">
        <x:v>Form A only; paired alternate retained on the other comprehensive form</x:v>
      </x:c>
    </x:row>
    <x:row r="300">
      <x:c r="A300" s="88" t="str">
        <x:v>CTA-LCSW-MQB-0299</x:v>
      </x:c>
      <x:c r="B300" s="83" t="str">
        <x:v>LCSW-MQB-FA-AP-031</x:v>
      </x:c>
      <x:c r="C300" s="83" t="str">
        <x:v>LCSW</x:v>
      </x:c>
      <x:c r="D300" s="83" t="str">
        <x:v>Comprehensive Simulation</x:v>
      </x:c>
      <x:c r="E300" s="83"/>
      <x:c r="F300" s="83"/>
      <x:c r="G300" s="83" t="str">
        <x:v>Form A</x:v>
      </x:c>
      <x:c r="H300" s="83" t="n">
        <x:v>95</x:v>
      </x:c>
      <x:c r="I300" s="83" t="str">
        <x:v>Scored-Style</x:v>
      </x:c>
      <x:c r="J300" s="83" t="str">
        <x:v>II. Assessment and Planning</x:v>
      </x:c>
      <x:c r="K300" s="83" t="str">
        <x:v>Housing and psychiatric symptoms</x:v>
      </x:c>
      <x:c r="L300" s="83" t="str"/>
      <x:c r="M300" s="83" t="str">
        <x:v>Difficult</x:v>
      </x:c>
      <x:c r="N300" s="83" t="str">
        <x:v>Difficult</x:v>
      </x:c>
      <x:c r="O300" s="83" t="str">
        <x:v>Scenario-based reasoning</x:v>
      </x:c>
      <x:c r="P300" s="83" t="str">
        <x:v>Scenario-Based</x:v>
      </x:c>
      <x:c r="Q300" s="83" t="n">
        <x:v>4</x:v>
      </x:c>
      <x:c r="R300" s="83" t="str">
        <x:v>C</x:v>
      </x:c>
      <x:c r="S300" s="83" t="str">
        <x:v>Approved</x:v>
      </x:c>
      <x:c r="T300" s="83" t="str">
        <x:v>Active</x:v>
      </x:c>
      <x:c r="U300" s="83" t="n">
        <x:v>1</x:v>
      </x:c>
      <x:c r="V300" s="83" t="str">
        <x:v>LCSW-ALT-031</x:v>
      </x:c>
      <x:c r="W300" s="83" t="str">
        <x:v>No additional flag</x:v>
      </x:c>
      <x:c r="X300" s="83" t="str">
        <x:v>No structural flag</x:v>
      </x:c>
      <x:c r="Y300" s="83" t="str">
        <x:v>Not Yet Reviewed</x:v>
      </x:c>
      <x:c r="Z300" s="83" t="str">
        <x:v>CTA LCSW WB3–WB7; ASWB 2026 Clinical Content Area II</x:v>
      </x:c>
      <x:c r="AA300" s="83" t="str">
        <x:v>CTA_LCSW_2026_Comprehensive_Simulation_Form_A_Answer_Key_and_Detailed_Rationales_v1.0.docx</x:v>
      </x:c>
      <x:c r="AB300" s="83" t="str">
        <x:v>1.0</x:v>
      </x:c>
      <x:c r="AC300" s="102"/>
      <x:c r="AD300" s="102" t="n">
        <x:v>46228</x:v>
      </x:c>
      <x:c r="AE300" s="83" t="str">
        <x:v>Approved for Form A</x:v>
      </x:c>
      <x:c r="AF300" s="89" t="str">
        <x:v>Form A only; paired alternate retained on the other comprehensive form</x:v>
      </x:c>
    </x:row>
    <x:row r="301">
      <x:c r="A301" s="88" t="str">
        <x:v>CTA-LCSW-MQB-0300</x:v>
      </x:c>
      <x:c r="B301" s="83" t="str">
        <x:v>LCSW-MQB-FA-AP-003</x:v>
      </x:c>
      <x:c r="C301" s="83" t="str">
        <x:v>LCSW</x:v>
      </x:c>
      <x:c r="D301" s="83" t="str">
        <x:v>Comprehensive Simulation</x:v>
      </x:c>
      <x:c r="E301" s="83"/>
      <x:c r="F301" s="83"/>
      <x:c r="G301" s="83" t="str">
        <x:v>Form A</x:v>
      </x:c>
      <x:c r="H301" s="83" t="n">
        <x:v>96</x:v>
      </x:c>
      <x:c r="I301" s="83" t="str">
        <x:v>Scored-Style</x:v>
      </x:c>
      <x:c r="J301" s="83" t="str">
        <x:v>II. Assessment and Planning</x:v>
      </x:c>
      <x:c r="K301" s="83" t="str">
        <x:v>Protective factors</x:v>
      </x:c>
      <x:c r="L301" s="83" t="str"/>
      <x:c r="M301" s="83" t="str">
        <x:v>Easy</x:v>
      </x:c>
      <x:c r="N301" s="83" t="str">
        <x:v>Easy</x:v>
      </x:c>
      <x:c r="O301" s="83" t="str">
        <x:v>Direct recognition</x:v>
      </x:c>
      <x:c r="P301" s="83" t="str">
        <x:v>Knowledge &amp; Recall</x:v>
      </x:c>
      <x:c r="Q301" s="83" t="n">
        <x:v>3</x:v>
      </x:c>
      <x:c r="R301" s="83" t="str">
        <x:v>B</x:v>
      </x:c>
      <x:c r="S301" s="83" t="str">
        <x:v>Approved</x:v>
      </x:c>
      <x:c r="T301" s="83" t="str">
        <x:v>Active</x:v>
      </x:c>
      <x:c r="U301" s="83" t="n">
        <x:v>1</x:v>
      </x:c>
      <x:c r="V301" s="83" t="str">
        <x:v>LCSW-ALT-003</x:v>
      </x:c>
      <x:c r="W301" s="83" t="str">
        <x:v>No additional flag</x:v>
      </x:c>
      <x:c r="X301" s="83" t="str">
        <x:v>No structural flag</x:v>
      </x:c>
      <x:c r="Y301" s="83" t="str">
        <x:v>Not Yet Reviewed</x:v>
      </x:c>
      <x:c r="Z301" s="83" t="str">
        <x:v>CTA LCSW WB6; ASWB 2026 Clinical Content Area II</x:v>
      </x:c>
      <x:c r="AA301" s="83" t="str">
        <x:v>CTA_LCSW_2026_Comprehensive_Simulation_Form_A_Answer_Key_and_Detailed_Rationales_v1.0.docx</x:v>
      </x:c>
      <x:c r="AB301" s="83" t="str">
        <x:v>1.0</x:v>
      </x:c>
      <x:c r="AC301" s="102"/>
      <x:c r="AD301" s="102" t="n">
        <x:v>46228</x:v>
      </x:c>
      <x:c r="AE301" s="83" t="str">
        <x:v>Approved for Form A</x:v>
      </x:c>
      <x:c r="AF301" s="89" t="str">
        <x:v>Form A only; paired alternate retained on the other comprehensive form</x:v>
      </x:c>
    </x:row>
    <x:row r="302">
      <x:c r="A302" s="88" t="str">
        <x:v>CTA-LCSW-MQB-0301</x:v>
      </x:c>
      <x:c r="B302" s="83" t="str">
        <x:v>LCSW-MQB-FA-VE-037</x:v>
      </x:c>
      <x:c r="C302" s="83" t="str">
        <x:v>LCSW</x:v>
      </x:c>
      <x:c r="D302" s="83" t="str">
        <x:v>Comprehensive Simulation</x:v>
      </x:c>
      <x:c r="E302" s="83"/>
      <x:c r="F302" s="83"/>
      <x:c r="G302" s="83" t="str">
        <x:v>Form A</x:v>
      </x:c>
      <x:c r="H302" s="83" t="n">
        <x:v>97</x:v>
      </x:c>
      <x:c r="I302" s="83" t="str">
        <x:v>Scored-Style</x:v>
      </x:c>
      <x:c r="J302" s="83" t="str">
        <x:v>I. Values and Ethics</x:v>
      </x:c>
      <x:c r="K302" s="83" t="str">
        <x:v>Colleague misconduct</x:v>
      </x:c>
      <x:c r="L302" s="83" t="str"/>
      <x:c r="M302" s="83" t="str">
        <x:v>Difficult</x:v>
      </x:c>
      <x:c r="N302" s="83" t="str">
        <x:v>Difficult</x:v>
      </x:c>
      <x:c r="O302" s="83" t="str">
        <x:v>Scenario-based reasoning</x:v>
      </x:c>
      <x:c r="P302" s="83" t="str">
        <x:v>Scenario-Based</x:v>
      </x:c>
      <x:c r="Q302" s="83" t="n">
        <x:v>4</x:v>
      </x:c>
      <x:c r="R302" s="83" t="str">
        <x:v>B</x:v>
      </x:c>
      <x:c r="S302" s="83" t="str">
        <x:v>Approved</x:v>
      </x:c>
      <x:c r="T302" s="83" t="str">
        <x:v>Active</x:v>
      </x:c>
      <x:c r="U302" s="83" t="n">
        <x:v>1</x:v>
      </x:c>
      <x:c r="V302" s="83" t="str">
        <x:v>LCSW-ALT-115</x:v>
      </x:c>
      <x:c r="W302" s="83" t="str">
        <x:v>No additional flag</x:v>
      </x:c>
      <x:c r="X302" s="83" t="str">
        <x:v>No structural flag</x:v>
      </x:c>
      <x:c r="Y302" s="83" t="str">
        <x:v>Not Yet Reviewed</x:v>
      </x:c>
      <x:c r="Z302" s="83" t="str">
        <x:v>CTA LCSW WB2; CTA LCSW WB12; ASWB 2026 Clinical Content Area I</x:v>
      </x:c>
      <x:c r="AA302" s="83" t="str">
        <x:v>CTA_LCSW_2026_Comprehensive_Simulation_Form_A_Answer_Key_and_Detailed_Rationales_v1.0.docx</x:v>
      </x:c>
      <x:c r="AB302" s="83" t="str">
        <x:v>1.0</x:v>
      </x:c>
      <x:c r="AC302" s="102"/>
      <x:c r="AD302" s="102" t="n">
        <x:v>46228</x:v>
      </x:c>
      <x:c r="AE302" s="83" t="str">
        <x:v>Approved for Form A</x:v>
      </x:c>
      <x:c r="AF302" s="89" t="str">
        <x:v>Form A only; paired alternate retained on the other comprehensive form</x:v>
      </x:c>
    </x:row>
    <x:row r="303">
      <x:c r="A303" s="88" t="str">
        <x:v>CTA-LCSW-MQB-0302</x:v>
      </x:c>
      <x:c r="B303" s="83" t="str">
        <x:v>LCSW-MQB-FA-IP-001</x:v>
      </x:c>
      <x:c r="C303" s="83" t="str">
        <x:v>LCSW</x:v>
      </x:c>
      <x:c r="D303" s="83" t="str">
        <x:v>Comprehensive Simulation</x:v>
      </x:c>
      <x:c r="E303" s="83"/>
      <x:c r="F303" s="83"/>
      <x:c r="G303" s="83" t="str">
        <x:v>Form A</x:v>
      </x:c>
      <x:c r="H303" s="83" t="n">
        <x:v>98</x:v>
      </x:c>
      <x:c r="I303" s="83" t="str">
        <x:v>Scored-Style</x:v>
      </x:c>
      <x:c r="J303" s="83" t="str">
        <x:v>III. Intervention and Practice</x:v>
      </x:c>
      <x:c r="K303" s="83" t="str">
        <x:v>Motivational interviewing</x:v>
      </x:c>
      <x:c r="L303" s="83" t="str"/>
      <x:c r="M303" s="83" t="str">
        <x:v>Easy</x:v>
      </x:c>
      <x:c r="N303" s="83" t="str">
        <x:v>Easy</x:v>
      </x:c>
      <x:c r="O303" s="83" t="str">
        <x:v>Direct recognition</x:v>
      </x:c>
      <x:c r="P303" s="83" t="str">
        <x:v>Knowledge &amp; Recall</x:v>
      </x:c>
      <x:c r="Q303" s="83" t="n">
        <x:v>3</x:v>
      </x:c>
      <x:c r="R303" s="83" t="str">
        <x:v>B</x:v>
      </x:c>
      <x:c r="S303" s="83" t="str">
        <x:v>Approved</x:v>
      </x:c>
      <x:c r="T303" s="83" t="str">
        <x:v>Active</x:v>
      </x:c>
      <x:c r="U303" s="83" t="n">
        <x:v>1</x:v>
      </x:c>
      <x:c r="V303" s="83" t="str">
        <x:v>LCSW-ALT-040</x:v>
      </x:c>
      <x:c r="W303" s="83" t="str">
        <x:v>No additional flag</x:v>
      </x:c>
      <x:c r="X303" s="83" t="str">
        <x:v>No structural flag</x:v>
      </x:c>
      <x:c r="Y303" s="83" t="str">
        <x:v>Not Yet Reviewed</x:v>
      </x:c>
      <x:c r="Z303" s="83" t="str">
        <x:v>CTA LCSW WB8–WB11; ASWB 2026 Clinical Content Area III</x:v>
      </x:c>
      <x:c r="AA303" s="83" t="str">
        <x:v>CTA_LCSW_2026_Comprehensive_Simulation_Form_A_Answer_Key_and_Detailed_Rationales_v1.0.docx</x:v>
      </x:c>
      <x:c r="AB303" s="83" t="str">
        <x:v>1.0</x:v>
      </x:c>
      <x:c r="AC303" s="102"/>
      <x:c r="AD303" s="102" t="n">
        <x:v>46228</x:v>
      </x:c>
      <x:c r="AE303" s="83" t="str">
        <x:v>Approved for Form A</x:v>
      </x:c>
      <x:c r="AF303" s="89" t="str">
        <x:v>Form A only; paired alternate retained on the other comprehensive form</x:v>
      </x:c>
    </x:row>
    <x:row r="304">
      <x:c r="A304" s="88" t="str">
        <x:v>CTA-LCSW-MQB-0303</x:v>
      </x:c>
      <x:c r="B304" s="83" t="str">
        <x:v>LCSW-MQB-FA-IP-010</x:v>
      </x:c>
      <x:c r="C304" s="83" t="str">
        <x:v>LCSW</x:v>
      </x:c>
      <x:c r="D304" s="83" t="str">
        <x:v>Comprehensive Simulation</x:v>
      </x:c>
      <x:c r="E304" s="83"/>
      <x:c r="F304" s="83"/>
      <x:c r="G304" s="83" t="str">
        <x:v>Form A</x:v>
      </x:c>
      <x:c r="H304" s="83" t="n">
        <x:v>99</x:v>
      </x:c>
      <x:c r="I304" s="83" t="str">
        <x:v>Pretest-Style</x:v>
      </x:c>
      <x:c r="J304" s="83" t="str">
        <x:v>III. Intervention and Practice</x:v>
      </x:c>
      <x:c r="K304" s="83" t="str">
        <x:v>Referral fit</x:v>
      </x:c>
      <x:c r="L304" s="83" t="str"/>
      <x:c r="M304" s="83" t="str">
        <x:v>Moderate</x:v>
      </x:c>
      <x:c r="N304" s="83" t="str">
        <x:v>Moderate</x:v>
      </x:c>
      <x:c r="O304" s="83" t="str">
        <x:v>Application</x:v>
      </x:c>
      <x:c r="P304" s="83" t="str">
        <x:v>Application</x:v>
      </x:c>
      <x:c r="Q304" s="83" t="n">
        <x:v>3</x:v>
      </x:c>
      <x:c r="R304" s="83" t="str">
        <x:v>C</x:v>
      </x:c>
      <x:c r="S304" s="83" t="str">
        <x:v>Approved</x:v>
      </x:c>
      <x:c r="T304" s="83" t="str">
        <x:v>Active</x:v>
      </x:c>
      <x:c r="U304" s="83" t="n">
        <x:v>1</x:v>
      </x:c>
      <x:c r="V304" s="83" t="str">
        <x:v>LCSW-ALT-049</x:v>
      </x:c>
      <x:c r="W304" s="83" t="str">
        <x:v>No additional flag</x:v>
      </x:c>
      <x:c r="X304" s="83" t="str">
        <x:v>No structural flag</x:v>
      </x:c>
      <x:c r="Y304" s="83" t="str">
        <x:v>Not Yet Reviewed</x:v>
      </x:c>
      <x:c r="Z304" s="83" t="str">
        <x:v>CTA LCSW WB8–WB11; ASWB 2026 Clinical Content Area III</x:v>
      </x:c>
      <x:c r="AA304" s="83" t="str">
        <x:v>CTA_LCSW_2026_Comprehensive_Simulation_Form_A_Answer_Key_and_Detailed_Rationales_v1.0.docx</x:v>
      </x:c>
      <x:c r="AB304" s="83" t="str">
        <x:v>1.0</x:v>
      </x:c>
      <x:c r="AC304" s="102"/>
      <x:c r="AD304" s="102" t="n">
        <x:v>46228</x:v>
      </x:c>
      <x:c r="AE304" s="83" t="str">
        <x:v>Approved for Form A</x:v>
      </x:c>
      <x:c r="AF304" s="89" t="str">
        <x:v>Form A only; paired alternate retained on the other comprehensive form</x:v>
      </x:c>
    </x:row>
    <x:row r="305">
      <x:c r="A305" s="88" t="str">
        <x:v>CTA-LCSW-MQB-0304</x:v>
      </x:c>
      <x:c r="B305" s="83" t="str">
        <x:v>LCSW-MQB-FA-AP-030</x:v>
      </x:c>
      <x:c r="C305" s="83" t="str">
        <x:v>LCSW</x:v>
      </x:c>
      <x:c r="D305" s="83" t="str">
        <x:v>Comprehensive Simulation</x:v>
      </x:c>
      <x:c r="E305" s="83"/>
      <x:c r="F305" s="83"/>
      <x:c r="G305" s="83" t="str">
        <x:v>Form A</x:v>
      </x:c>
      <x:c r="H305" s="83" t="n">
        <x:v>100</x:v>
      </x:c>
      <x:c r="I305" s="83" t="str">
        <x:v>Scored-Style</x:v>
      </x:c>
      <x:c r="J305" s="83" t="str">
        <x:v>II. Assessment and Planning</x:v>
      </x:c>
      <x:c r="K305" s="83" t="str">
        <x:v>Adolescent confidentiality</x:v>
      </x:c>
      <x:c r="L305" s="83" t="str"/>
      <x:c r="M305" s="83" t="str">
        <x:v>Moderate</x:v>
      </x:c>
      <x:c r="N305" s="83" t="str">
        <x:v>Moderate</x:v>
      </x:c>
      <x:c r="O305" s="83" t="str">
        <x:v>Scenario-based reasoning</x:v>
      </x:c>
      <x:c r="P305" s="83" t="str">
        <x:v>Scenario-Based</x:v>
      </x:c>
      <x:c r="Q305" s="83" t="n">
        <x:v>4</x:v>
      </x:c>
      <x:c r="R305" s="83" t="str">
        <x:v>B</x:v>
      </x:c>
      <x:c r="S305" s="83" t="str">
        <x:v>Approved</x:v>
      </x:c>
      <x:c r="T305" s="83" t="str">
        <x:v>Active</x:v>
      </x:c>
      <x:c r="U305" s="83" t="n">
        <x:v>1</x:v>
      </x:c>
      <x:c r="V305" s="83" t="str">
        <x:v>LCSW-ALT-030</x:v>
      </x:c>
      <x:c r="W305" s="83" t="str">
        <x:v>No additional flag</x:v>
      </x:c>
      <x:c r="X305" s="83" t="str">
        <x:v>No structural flag</x:v>
      </x:c>
      <x:c r="Y305" s="83" t="str">
        <x:v>Not Yet Reviewed</x:v>
      </x:c>
      <x:c r="Z305" s="83" t="str">
        <x:v>CTA LCSW WB3–WB7; ASWB 2026 Clinical Content Area II</x:v>
      </x:c>
      <x:c r="AA305" s="83" t="str">
        <x:v>CTA_LCSW_2026_Comprehensive_Simulation_Form_A_Answer_Key_and_Detailed_Rationales_v1.0.docx</x:v>
      </x:c>
      <x:c r="AB305" s="83" t="str">
        <x:v>1.0</x:v>
      </x:c>
      <x:c r="AC305" s="102"/>
      <x:c r="AD305" s="102" t="n">
        <x:v>46228</x:v>
      </x:c>
      <x:c r="AE305" s="83" t="str">
        <x:v>Approved for Form A</x:v>
      </x:c>
      <x:c r="AF305" s="89" t="str">
        <x:v>Form A only; paired alternate retained on the other comprehensive form</x:v>
      </x:c>
    </x:row>
    <x:row r="306">
      <x:c r="A306" s="88" t="str">
        <x:v>CTA-LCSW-MQB-0305</x:v>
      </x:c>
      <x:c r="B306" s="83" t="str">
        <x:v>LCSW-MQB-FA-VE-011</x:v>
      </x:c>
      <x:c r="C306" s="83" t="str">
        <x:v>LCSW</x:v>
      </x:c>
      <x:c r="D306" s="83" t="str">
        <x:v>Comprehensive Simulation</x:v>
      </x:c>
      <x:c r="E306" s="83"/>
      <x:c r="F306" s="83"/>
      <x:c r="G306" s="83" t="str">
        <x:v>Form A</x:v>
      </x:c>
      <x:c r="H306" s="83" t="n">
        <x:v>101</x:v>
      </x:c>
      <x:c r="I306" s="83" t="str">
        <x:v>Scored-Style</x:v>
      </x:c>
      <x:c r="J306" s="83" t="str">
        <x:v>I. Values and Ethics</x:v>
      </x:c>
      <x:c r="K306" s="83" t="str">
        <x:v>Minimum necessary disclosure</x:v>
      </x:c>
      <x:c r="L306" s="83" t="str"/>
      <x:c r="M306" s="83" t="str">
        <x:v>Easy</x:v>
      </x:c>
      <x:c r="N306" s="83" t="str">
        <x:v>Easy</x:v>
      </x:c>
      <x:c r="O306" s="83" t="str">
        <x:v>Application</x:v>
      </x:c>
      <x:c r="P306" s="83" t="str">
        <x:v>Application</x:v>
      </x:c>
      <x:c r="Q306" s="83" t="n">
        <x:v>3</x:v>
      </x:c>
      <x:c r="R306" s="83" t="str">
        <x:v>A</x:v>
      </x:c>
      <x:c r="S306" s="83" t="str">
        <x:v>Approved</x:v>
      </x:c>
      <x:c r="T306" s="83" t="str">
        <x:v>Active</x:v>
      </x:c>
      <x:c r="U306" s="83" t="n">
        <x:v>1</x:v>
      </x:c>
      <x:c r="V306" s="83" t="str">
        <x:v>LCSW-ALT-089</x:v>
      </x:c>
      <x:c r="W306" s="83" t="str">
        <x:v>No additional flag</x:v>
      </x:c>
      <x:c r="X306" s="83" t="str">
        <x:v>No structural flag</x:v>
      </x:c>
      <x:c r="Y306" s="83" t="str">
        <x:v>Not Yet Reviewed</x:v>
      </x:c>
      <x:c r="Z306" s="83" t="str">
        <x:v>CTA LCSW WB2; CTA LCSW WB12; ASWB 2026 Clinical Content Area I</x:v>
      </x:c>
      <x:c r="AA306" s="83" t="str">
        <x:v>CTA_LCSW_2026_Comprehensive_Simulation_Form_A_Answer_Key_and_Detailed_Rationales_v1.0.docx</x:v>
      </x:c>
      <x:c r="AB306" s="83" t="str">
        <x:v>1.0</x:v>
      </x:c>
      <x:c r="AC306" s="102"/>
      <x:c r="AD306" s="102" t="n">
        <x:v>46228</x:v>
      </x:c>
      <x:c r="AE306" s="83" t="str">
        <x:v>Approved for Form A</x:v>
      </x:c>
      <x:c r="AF306" s="89" t="str">
        <x:v>Form A only; paired alternate retained on the other comprehensive form</x:v>
      </x:c>
    </x:row>
    <x:row r="307">
      <x:c r="A307" s="88" t="str">
        <x:v>CTA-LCSW-MQB-0306</x:v>
      </x:c>
      <x:c r="B307" s="83" t="str">
        <x:v>LCSW-MQB-FA-VE-012</x:v>
      </x:c>
      <x:c r="C307" s="83" t="str">
        <x:v>LCSW</x:v>
      </x:c>
      <x:c r="D307" s="83" t="str">
        <x:v>Comprehensive Simulation</x:v>
      </x:c>
      <x:c r="E307" s="83"/>
      <x:c r="F307" s="83"/>
      <x:c r="G307" s="83" t="str">
        <x:v>Form A</x:v>
      </x:c>
      <x:c r="H307" s="83" t="n">
        <x:v>102</x:v>
      </x:c>
      <x:c r="I307" s="83" t="str">
        <x:v>Scored-Style</x:v>
      </x:c>
      <x:c r="J307" s="83" t="str">
        <x:v>I. Values and Ethics</x:v>
      </x:c>
      <x:c r="K307" s="83" t="str">
        <x:v>Conflict of interest</x:v>
      </x:c>
      <x:c r="L307" s="83" t="str"/>
      <x:c r="M307" s="83" t="str">
        <x:v>Easy</x:v>
      </x:c>
      <x:c r="N307" s="83" t="str">
        <x:v>Easy</x:v>
      </x:c>
      <x:c r="O307" s="83" t="str">
        <x:v>Application</x:v>
      </x:c>
      <x:c r="P307" s="83" t="str">
        <x:v>Application</x:v>
      </x:c>
      <x:c r="Q307" s="83" t="n">
        <x:v>3</x:v>
      </x:c>
      <x:c r="R307" s="83" t="str">
        <x:v>B</x:v>
      </x:c>
      <x:c r="S307" s="83" t="str">
        <x:v>Approved</x:v>
      </x:c>
      <x:c r="T307" s="83" t="str">
        <x:v>Active</x:v>
      </x:c>
      <x:c r="U307" s="83" t="n">
        <x:v>1</x:v>
      </x:c>
      <x:c r="V307" s="83" t="str">
        <x:v>LCSW-ALT-090</x:v>
      </x:c>
      <x:c r="W307" s="83" t="str">
        <x:v>No additional flag</x:v>
      </x:c>
      <x:c r="X307" s="83" t="str">
        <x:v>No structural flag</x:v>
      </x:c>
      <x:c r="Y307" s="83" t="str">
        <x:v>Not Yet Reviewed</x:v>
      </x:c>
      <x:c r="Z307" s="83" t="str">
        <x:v>CTA LCSW WB2; CTA LCSW WB12; ASWB 2026 Clinical Content Area I</x:v>
      </x:c>
      <x:c r="AA307" s="83" t="str">
        <x:v>CTA_LCSW_2026_Comprehensive_Simulation_Form_A_Answer_Key_and_Detailed_Rationales_v1.0.docx</x:v>
      </x:c>
      <x:c r="AB307" s="83" t="str">
        <x:v>1.0</x:v>
      </x:c>
      <x:c r="AC307" s="102"/>
      <x:c r="AD307" s="102" t="n">
        <x:v>46228</x:v>
      </x:c>
      <x:c r="AE307" s="83" t="str">
        <x:v>Approved for Form A</x:v>
      </x:c>
      <x:c r="AF307" s="89" t="str">
        <x:v>Form A only; paired alternate retained on the other comprehensive form</x:v>
      </x:c>
    </x:row>
    <x:row r="308">
      <x:c r="A308" s="88" t="str">
        <x:v>CTA-LCSW-MQB-0307</x:v>
      </x:c>
      <x:c r="B308" s="83" t="str">
        <x:v>LCSW-MQB-FA-AP-033</x:v>
      </x:c>
      <x:c r="C308" s="83" t="str">
        <x:v>LCSW</x:v>
      </x:c>
      <x:c r="D308" s="83" t="str">
        <x:v>Comprehensive Simulation</x:v>
      </x:c>
      <x:c r="E308" s="83"/>
      <x:c r="F308" s="83"/>
      <x:c r="G308" s="83" t="str">
        <x:v>Form A</x:v>
      </x:c>
      <x:c r="H308" s="83" t="n">
        <x:v>103</x:v>
      </x:c>
      <x:c r="I308" s="83" t="str">
        <x:v>Scored-Style</x:v>
      </x:c>
      <x:c r="J308" s="83" t="str">
        <x:v>II. Assessment and Planning</x:v>
      </x:c>
      <x:c r="K308" s="83" t="str">
        <x:v>Diagnosis and grief</x:v>
      </x:c>
      <x:c r="L308" s="83" t="str"/>
      <x:c r="M308" s="83" t="str">
        <x:v>Difficult</x:v>
      </x:c>
      <x:c r="N308" s="83" t="str">
        <x:v>Difficult</x:v>
      </x:c>
      <x:c r="O308" s="83" t="str">
        <x:v>Scenario-based reasoning</x:v>
      </x:c>
      <x:c r="P308" s="83" t="str">
        <x:v>Scenario-Based</x:v>
      </x:c>
      <x:c r="Q308" s="83" t="n">
        <x:v>4</x:v>
      </x:c>
      <x:c r="R308" s="83" t="str">
        <x:v>C</x:v>
      </x:c>
      <x:c r="S308" s="83" t="str">
        <x:v>Approved</x:v>
      </x:c>
      <x:c r="T308" s="83" t="str">
        <x:v>Active</x:v>
      </x:c>
      <x:c r="U308" s="83" t="n">
        <x:v>1</x:v>
      </x:c>
      <x:c r="V308" s="83" t="str">
        <x:v>LCSW-ALT-033</x:v>
      </x:c>
      <x:c r="W308" s="83" t="str">
        <x:v>No additional flag</x:v>
      </x:c>
      <x:c r="X308" s="83" t="str">
        <x:v>No structural flag</x:v>
      </x:c>
      <x:c r="Y308" s="83" t="str">
        <x:v>Not Yet Reviewed</x:v>
      </x:c>
      <x:c r="Z308" s="83" t="str">
        <x:v>CTA LCSW WB5; ASWB 2026 Clinical Content Area II</x:v>
      </x:c>
      <x:c r="AA308" s="83" t="str">
        <x:v>CTA_LCSW_2026_Comprehensive_Simulation_Form_A_Answer_Key_and_Detailed_Rationales_v1.0.docx</x:v>
      </x:c>
      <x:c r="AB308" s="83" t="str">
        <x:v>1.0</x:v>
      </x:c>
      <x:c r="AC308" s="102"/>
      <x:c r="AD308" s="102" t="n">
        <x:v>46228</x:v>
      </x:c>
      <x:c r="AE308" s="83" t="str">
        <x:v>Approved for Form A</x:v>
      </x:c>
      <x:c r="AF308" s="89" t="str">
        <x:v>Form A only; paired alternate retained on the other comprehensive form</x:v>
      </x:c>
    </x:row>
    <x:row r="309">
      <x:c r="A309" s="88" t="str">
        <x:v>CTA-LCSW-MQB-0308</x:v>
      </x:c>
      <x:c r="B309" s="83" t="str">
        <x:v>LCSW-MQB-FA-VE-028</x:v>
      </x:c>
      <x:c r="C309" s="83" t="str">
        <x:v>LCSW</x:v>
      </x:c>
      <x:c r="D309" s="83" t="str">
        <x:v>Comprehensive Simulation</x:v>
      </x:c>
      <x:c r="E309" s="83"/>
      <x:c r="F309" s="83"/>
      <x:c r="G309" s="83" t="str">
        <x:v>Form A</x:v>
      </x:c>
      <x:c r="H309" s="83" t="n">
        <x:v>104</x:v>
      </x:c>
      <x:c r="I309" s="83" t="str">
        <x:v>Pretest-Style</x:v>
      </x:c>
      <x:c r="J309" s="83" t="str">
        <x:v>I. Values and Ethics</x:v>
      </x:c>
      <x:c r="K309" s="83" t="str">
        <x:v>Client access and third-party information</x:v>
      </x:c>
      <x:c r="L309" s="83" t="str"/>
      <x:c r="M309" s="83" t="str">
        <x:v>Moderate</x:v>
      </x:c>
      <x:c r="N309" s="83" t="str">
        <x:v>Moderate</x:v>
      </x:c>
      <x:c r="O309" s="83" t="str">
        <x:v>Scenario-based reasoning</x:v>
      </x:c>
      <x:c r="P309" s="83" t="str">
        <x:v>Scenario-Based</x:v>
      </x:c>
      <x:c r="Q309" s="83" t="n">
        <x:v>4</x:v>
      </x:c>
      <x:c r="R309" s="83" t="str">
        <x:v>C</x:v>
      </x:c>
      <x:c r="S309" s="83" t="str">
        <x:v>Approved</x:v>
      </x:c>
      <x:c r="T309" s="83" t="str">
        <x:v>Active</x:v>
      </x:c>
      <x:c r="U309" s="83" t="n">
        <x:v>1</x:v>
      </x:c>
      <x:c r="V309" s="83" t="str">
        <x:v>LCSW-ALT-106</x:v>
      </x:c>
      <x:c r="W309" s="83" t="str">
        <x:v>No additional flag</x:v>
      </x:c>
      <x:c r="X309" s="83" t="str">
        <x:v>No structural flag</x:v>
      </x:c>
      <x:c r="Y309" s="83" t="str">
        <x:v>Not Yet Reviewed</x:v>
      </x:c>
      <x:c r="Z309" s="83" t="str">
        <x:v>CTA LCSW WB2; CTA LCSW WB12; ASWB 2026 Clinical Content Area I</x:v>
      </x:c>
      <x:c r="AA309" s="83" t="str">
        <x:v>CTA_LCSW_2026_Comprehensive_Simulation_Form_A_Answer_Key_and_Detailed_Rationales_v1.0.docx</x:v>
      </x:c>
      <x:c r="AB309" s="83" t="str">
        <x:v>1.0</x:v>
      </x:c>
      <x:c r="AC309" s="102"/>
      <x:c r="AD309" s="102" t="n">
        <x:v>46228</x:v>
      </x:c>
      <x:c r="AE309" s="83" t="str">
        <x:v>Approved for Form A</x:v>
      </x:c>
      <x:c r="AF309" s="89" t="str">
        <x:v>Form A only; paired alternate retained on the other comprehensive form</x:v>
      </x:c>
    </x:row>
    <x:row r="310">
      <x:c r="A310" s="88" t="str">
        <x:v>CTA-LCSW-MQB-0309</x:v>
      </x:c>
      <x:c r="B310" s="83" t="str">
        <x:v>LCSW-MQB-FA-AP-002</x:v>
      </x:c>
      <x:c r="C310" s="83" t="str">
        <x:v>LCSW</x:v>
      </x:c>
      <x:c r="D310" s="83" t="str">
        <x:v>Comprehensive Simulation</x:v>
      </x:c>
      <x:c r="E310" s="83"/>
      <x:c r="F310" s="83"/>
      <x:c r="G310" s="83" t="str">
        <x:v>Form A</x:v>
      </x:c>
      <x:c r="H310" s="83" t="n">
        <x:v>105</x:v>
      </x:c>
      <x:c r="I310" s="83" t="str">
        <x:v>Scored-Style</x:v>
      </x:c>
      <x:c r="J310" s="83" t="str">
        <x:v>II. Assessment and Planning</x:v>
      </x:c>
      <x:c r="K310" s="83" t="str">
        <x:v>Person-in-environment</x:v>
      </x:c>
      <x:c r="L310" s="83" t="str"/>
      <x:c r="M310" s="83" t="str">
        <x:v>Easy</x:v>
      </x:c>
      <x:c r="N310" s="83" t="str">
        <x:v>Easy</x:v>
      </x:c>
      <x:c r="O310" s="83" t="str">
        <x:v>Direct recognition</x:v>
      </x:c>
      <x:c r="P310" s="83" t="str">
        <x:v>Knowledge &amp; Recall</x:v>
      </x:c>
      <x:c r="Q310" s="83" t="n">
        <x:v>3</x:v>
      </x:c>
      <x:c r="R310" s="83" t="str">
        <x:v>C</x:v>
      </x:c>
      <x:c r="S310" s="83" t="str">
        <x:v>Approved</x:v>
      </x:c>
      <x:c r="T310" s="83" t="str">
        <x:v>Active</x:v>
      </x:c>
      <x:c r="U310" s="83" t="n">
        <x:v>1</x:v>
      </x:c>
      <x:c r="V310" s="83" t="str">
        <x:v>LCSW-ALT-002</x:v>
      </x:c>
      <x:c r="W310" s="83" t="str">
        <x:v>No additional flag</x:v>
      </x:c>
      <x:c r="X310" s="83" t="str">
        <x:v>No structural flag</x:v>
      </x:c>
      <x:c r="Y310" s="83" t="str">
        <x:v>Not Yet Reviewed</x:v>
      </x:c>
      <x:c r="Z310" s="83" t="str">
        <x:v>CTA LCSW WB3–WB7; ASWB 2026 Clinical Content Area II</x:v>
      </x:c>
      <x:c r="AA310" s="83" t="str">
        <x:v>CTA_LCSW_2026_Comprehensive_Simulation_Form_A_Answer_Key_and_Detailed_Rationales_v1.0.docx</x:v>
      </x:c>
      <x:c r="AB310" s="83" t="str">
        <x:v>1.0</x:v>
      </x:c>
      <x:c r="AC310" s="102"/>
      <x:c r="AD310" s="102" t="n">
        <x:v>46228</x:v>
      </x:c>
      <x:c r="AE310" s="83" t="str">
        <x:v>Approved for Form A</x:v>
      </x:c>
      <x:c r="AF310" s="89" t="str">
        <x:v>Form A only; paired alternate retained on the other comprehensive form</x:v>
      </x:c>
    </x:row>
    <x:row r="311">
      <x:c r="A311" s="88" t="str">
        <x:v>CTA-LCSW-MQB-0310</x:v>
      </x:c>
      <x:c r="B311" s="83" t="str">
        <x:v>LCSW-MQB-FA-AP-005</x:v>
      </x:c>
      <x:c r="C311" s="83" t="str">
        <x:v>LCSW</x:v>
      </x:c>
      <x:c r="D311" s="83" t="str">
        <x:v>Comprehensive Simulation</x:v>
      </x:c>
      <x:c r="E311" s="83"/>
      <x:c r="F311" s="83"/>
      <x:c r="G311" s="83" t="str">
        <x:v>Form A</x:v>
      </x:c>
      <x:c r="H311" s="83" t="n">
        <x:v>106</x:v>
      </x:c>
      <x:c r="I311" s="83" t="str">
        <x:v>Pretest-Style</x:v>
      </x:c>
      <x:c r="J311" s="83" t="str">
        <x:v>II. Assessment and Planning</x:v>
      </x:c>
      <x:c r="K311" s="83" t="str">
        <x:v>Open-ended assessment</x:v>
      </x:c>
      <x:c r="L311" s="83" t="str"/>
      <x:c r="M311" s="83" t="str">
        <x:v>Easy</x:v>
      </x:c>
      <x:c r="N311" s="83" t="str">
        <x:v>Easy</x:v>
      </x:c>
      <x:c r="O311" s="83" t="str">
        <x:v>Application</x:v>
      </x:c>
      <x:c r="P311" s="83" t="str">
        <x:v>Application</x:v>
      </x:c>
      <x:c r="Q311" s="83" t="n">
        <x:v>3</x:v>
      </x:c>
      <x:c r="R311" s="83" t="str">
        <x:v>A</x:v>
      </x:c>
      <x:c r="S311" s="83" t="str">
        <x:v>Approved</x:v>
      </x:c>
      <x:c r="T311" s="83" t="str">
        <x:v>Active</x:v>
      </x:c>
      <x:c r="U311" s="83" t="n">
        <x:v>1</x:v>
      </x:c>
      <x:c r="V311" s="83" t="str">
        <x:v>LCSW-ALT-005</x:v>
      </x:c>
      <x:c r="W311" s="83" t="str">
        <x:v>No additional flag</x:v>
      </x:c>
      <x:c r="X311" s="83" t="str">
        <x:v>No structural flag</x:v>
      </x:c>
      <x:c r="Y311" s="83" t="str">
        <x:v>Not Yet Reviewed</x:v>
      </x:c>
      <x:c r="Z311" s="83" t="str">
        <x:v>CTA LCSW WB3–WB7; ASWB 2026 Clinical Content Area II</x:v>
      </x:c>
      <x:c r="AA311" s="83" t="str">
        <x:v>CTA_LCSW_2026_Comprehensive_Simulation_Form_A_Answer_Key_and_Detailed_Rationales_v1.0.docx</x:v>
      </x:c>
      <x:c r="AB311" s="83" t="str">
        <x:v>1.0</x:v>
      </x:c>
      <x:c r="AC311" s="102"/>
      <x:c r="AD311" s="102" t="n">
        <x:v>46228</x:v>
      </x:c>
      <x:c r="AE311" s="83" t="str">
        <x:v>Approved for Form A</x:v>
      </x:c>
      <x:c r="AF311" s="89" t="str">
        <x:v>Form A only; paired alternate retained on the other comprehensive form</x:v>
      </x:c>
    </x:row>
    <x:row r="312">
      <x:c r="A312" s="88" t="str">
        <x:v>CTA-LCSW-MQB-0311</x:v>
      </x:c>
      <x:c r="B312" s="83" t="str">
        <x:v>LCSW-MQB-FA-VE-027</x:v>
      </x:c>
      <x:c r="C312" s="83" t="str">
        <x:v>LCSW</x:v>
      </x:c>
      <x:c r="D312" s="83" t="str">
        <x:v>Comprehensive Simulation</x:v>
      </x:c>
      <x:c r="E312" s="83"/>
      <x:c r="F312" s="83"/>
      <x:c r="G312" s="83" t="str">
        <x:v>Form A</x:v>
      </x:c>
      <x:c r="H312" s="83" t="n">
        <x:v>107</x:v>
      </x:c>
      <x:c r="I312" s="83" t="str">
        <x:v>Scored-Style</x:v>
      </x:c>
      <x:c r="J312" s="83" t="str">
        <x:v>I. Values and Ethics</x:v>
      </x:c>
      <x:c r="K312" s="83" t="str">
        <x:v>Subpoena response</x:v>
      </x:c>
      <x:c r="L312" s="83" t="str"/>
      <x:c r="M312" s="83" t="str">
        <x:v>Moderate</x:v>
      </x:c>
      <x:c r="N312" s="83" t="str">
        <x:v>Moderate</x:v>
      </x:c>
      <x:c r="O312" s="83" t="str">
        <x:v>Scenario-based reasoning</x:v>
      </x:c>
      <x:c r="P312" s="83" t="str">
        <x:v>Scenario-Based</x:v>
      </x:c>
      <x:c r="Q312" s="83" t="n">
        <x:v>3</x:v>
      </x:c>
      <x:c r="R312" s="83" t="str">
        <x:v>A</x:v>
      </x:c>
      <x:c r="S312" s="83" t="str">
        <x:v>Approved</x:v>
      </x:c>
      <x:c r="T312" s="83" t="str">
        <x:v>Active</x:v>
      </x:c>
      <x:c r="U312" s="83" t="n">
        <x:v>1</x:v>
      </x:c>
      <x:c r="V312" s="83" t="str">
        <x:v>LCSW-ALT-105</x:v>
      </x:c>
      <x:c r="W312" s="83" t="str">
        <x:v>No additional flag</x:v>
      </x:c>
      <x:c r="X312" s="83" t="str">
        <x:v>No structural flag</x:v>
      </x:c>
      <x:c r="Y312" s="83" t="str">
        <x:v>Not Yet Reviewed</x:v>
      </x:c>
      <x:c r="Z312" s="83" t="str">
        <x:v>CTA LCSW WB2; CTA LCSW WB12; ASWB 2026 Clinical Content Area I</x:v>
      </x:c>
      <x:c r="AA312" s="83" t="str">
        <x:v>CTA_LCSW_2026_Comprehensive_Simulation_Form_A_Answer_Key_and_Detailed_Rationales_v1.0.docx</x:v>
      </x:c>
      <x:c r="AB312" s="83" t="str">
        <x:v>1.0</x:v>
      </x:c>
      <x:c r="AC312" s="102"/>
      <x:c r="AD312" s="102" t="n">
        <x:v>46228</x:v>
      </x:c>
      <x:c r="AE312" s="83" t="str">
        <x:v>Approved for Form A</x:v>
      </x:c>
      <x:c r="AF312" s="89" t="str">
        <x:v>Form A only; paired alternate retained on the other comprehensive form</x:v>
      </x:c>
    </x:row>
    <x:row r="313">
      <x:c r="A313" s="88" t="str">
        <x:v>CTA-LCSW-MQB-0312</x:v>
      </x:c>
      <x:c r="B313" s="83" t="str">
        <x:v>LCSW-MQB-FA-IP-014</x:v>
      </x:c>
      <x:c r="C313" s="83" t="str">
        <x:v>LCSW</x:v>
      </x:c>
      <x:c r="D313" s="83" t="str">
        <x:v>Comprehensive Simulation</x:v>
      </x:c>
      <x:c r="E313" s="83"/>
      <x:c r="F313" s="83"/>
      <x:c r="G313" s="83" t="str">
        <x:v>Form A</x:v>
      </x:c>
      <x:c r="H313" s="83" t="n">
        <x:v>108</x:v>
      </x:c>
      <x:c r="I313" s="83" t="str">
        <x:v>Scored-Style</x:v>
      </x:c>
      <x:c r="J313" s="83" t="str">
        <x:v>III. Intervention and Practice</x:v>
      </x:c>
      <x:c r="K313" s="83" t="str">
        <x:v>Grief intervention</x:v>
      </x:c>
      <x:c r="L313" s="83" t="str"/>
      <x:c r="M313" s="83" t="str">
        <x:v>Moderate</x:v>
      </x:c>
      <x:c r="N313" s="83" t="str">
        <x:v>Moderate</x:v>
      </x:c>
      <x:c r="O313" s="83" t="str">
        <x:v>Application</x:v>
      </x:c>
      <x:c r="P313" s="83" t="str">
        <x:v>Application</x:v>
      </x:c>
      <x:c r="Q313" s="83" t="n">
        <x:v>3</x:v>
      </x:c>
      <x:c r="R313" s="83" t="str">
        <x:v>B</x:v>
      </x:c>
      <x:c r="S313" s="83" t="str">
        <x:v>Approved</x:v>
      </x:c>
      <x:c r="T313" s="83" t="str">
        <x:v>Active</x:v>
      </x:c>
      <x:c r="U313" s="83" t="n">
        <x:v>1</x:v>
      </x:c>
      <x:c r="V313" s="83" t="str">
        <x:v>LCSW-ALT-053</x:v>
      </x:c>
      <x:c r="W313" s="83" t="str">
        <x:v>No additional flag</x:v>
      </x:c>
      <x:c r="X313" s="83" t="str">
        <x:v>No structural flag</x:v>
      </x:c>
      <x:c r="Y313" s="83" t="str">
        <x:v>Not Yet Reviewed</x:v>
      </x:c>
      <x:c r="Z313" s="83" t="str">
        <x:v>CTA LCSW WB8–WB11; ASWB 2026 Clinical Content Area III</x:v>
      </x:c>
      <x:c r="AA313" s="83" t="str">
        <x:v>CTA_LCSW_2026_Comprehensive_Simulation_Form_A_Answer_Key_and_Detailed_Rationales_v1.0.docx</x:v>
      </x:c>
      <x:c r="AB313" s="83" t="str">
        <x:v>1.0</x:v>
      </x:c>
      <x:c r="AC313" s="102"/>
      <x:c r="AD313" s="102" t="n">
        <x:v>46228</x:v>
      </x:c>
      <x:c r="AE313" s="83" t="str">
        <x:v>Approved for Form A</x:v>
      </x:c>
      <x:c r="AF313" s="89" t="str">
        <x:v>Form A only; paired alternate retained on the other comprehensive form</x:v>
      </x:c>
    </x:row>
    <x:row r="314">
      <x:c r="A314" s="88" t="str">
        <x:v>CTA-LCSW-MQB-0313</x:v>
      </x:c>
      <x:c r="B314" s="83" t="str">
        <x:v>LCSW-MQB-FA-VE-035</x:v>
      </x:c>
      <x:c r="C314" s="83" t="str">
        <x:v>LCSW</x:v>
      </x:c>
      <x:c r="D314" s="83" t="str">
        <x:v>Comprehensive Simulation</x:v>
      </x:c>
      <x:c r="E314" s="83"/>
      <x:c r="F314" s="83"/>
      <x:c r="G314" s="83" t="str">
        <x:v>Form A</x:v>
      </x:c>
      <x:c r="H314" s="83" t="n">
        <x:v>109</x:v>
      </x:c>
      <x:c r="I314" s="83" t="str">
        <x:v>Scored-Style</x:v>
      </x:c>
      <x:c r="J314" s="83" t="str">
        <x:v>I. Values and Ethics</x:v>
      </x:c>
      <x:c r="K314" s="83" t="str">
        <x:v>Termination and continuity</x:v>
      </x:c>
      <x:c r="L314" s="83" t="str"/>
      <x:c r="M314" s="83" t="str">
        <x:v>Difficult</x:v>
      </x:c>
      <x:c r="N314" s="83" t="str">
        <x:v>Difficult</x:v>
      </x:c>
      <x:c r="O314" s="83" t="str">
        <x:v>Scenario-based reasoning</x:v>
      </x:c>
      <x:c r="P314" s="83" t="str">
        <x:v>Scenario-Based</x:v>
      </x:c>
      <x:c r="Q314" s="83" t="n">
        <x:v>4</x:v>
      </x:c>
      <x:c r="R314" s="83" t="str">
        <x:v>D</x:v>
      </x:c>
      <x:c r="S314" s="83" t="str">
        <x:v>Approved</x:v>
      </x:c>
      <x:c r="T314" s="83" t="str">
        <x:v>Active</x:v>
      </x:c>
      <x:c r="U314" s="83" t="n">
        <x:v>1</x:v>
      </x:c>
      <x:c r="V314" s="83" t="str">
        <x:v>LCSW-ALT-113</x:v>
      </x:c>
      <x:c r="W314" s="83" t="str">
        <x:v>No additional flag</x:v>
      </x:c>
      <x:c r="X314" s="83" t="str">
        <x:v>No structural flag</x:v>
      </x:c>
      <x:c r="Y314" s="83" t="str">
        <x:v>Not Yet Reviewed</x:v>
      </x:c>
      <x:c r="Z314" s="83" t="str">
        <x:v>CTA LCSW WB2; CTA LCSW WB12; ASWB 2026 Clinical Content Area I</x:v>
      </x:c>
      <x:c r="AA314" s="83" t="str">
        <x:v>CTA_LCSW_2026_Comprehensive_Simulation_Form_A_Answer_Key_and_Detailed_Rationales_v1.0.docx</x:v>
      </x:c>
      <x:c r="AB314" s="83" t="str">
        <x:v>1.0</x:v>
      </x:c>
      <x:c r="AC314" s="102"/>
      <x:c r="AD314" s="102" t="n">
        <x:v>46228</x:v>
      </x:c>
      <x:c r="AE314" s="83" t="str">
        <x:v>Approved for Form A</x:v>
      </x:c>
      <x:c r="AF314" s="89" t="str">
        <x:v>Form A only; paired alternate retained on the other comprehensive form</x:v>
      </x:c>
    </x:row>
    <x:row r="315">
      <x:c r="A315" s="88" t="str">
        <x:v>CTA-LCSW-MQB-0314</x:v>
      </x:c>
      <x:c r="B315" s="83" t="str">
        <x:v>LCSW-MQB-FA-AP-037</x:v>
      </x:c>
      <x:c r="C315" s="83" t="str">
        <x:v>LCSW</x:v>
      </x:c>
      <x:c r="D315" s="83" t="str">
        <x:v>Comprehensive Simulation</x:v>
      </x:c>
      <x:c r="E315" s="83"/>
      <x:c r="F315" s="83"/>
      <x:c r="G315" s="83" t="str">
        <x:v>Form A</x:v>
      </x:c>
      <x:c r="H315" s="83" t="n">
        <x:v>110</x:v>
      </x:c>
      <x:c r="I315" s="83" t="str">
        <x:v>Scored-Style</x:v>
      </x:c>
      <x:c r="J315" s="83" t="str">
        <x:v>II. Assessment and Planning</x:v>
      </x:c>
      <x:c r="K315" s="83" t="str">
        <x:v>Medical, medication, and mood differential</x:v>
      </x:c>
      <x:c r="L315" s="83" t="str"/>
      <x:c r="M315" s="83" t="str">
        <x:v>Difficult</x:v>
      </x:c>
      <x:c r="N315" s="83" t="str">
        <x:v>Difficult</x:v>
      </x:c>
      <x:c r="O315" s="83" t="str">
        <x:v>Integrated reasoning</x:v>
      </x:c>
      <x:c r="P315" s="83" t="str">
        <x:v>Integrated Clinical Reasoning</x:v>
      </x:c>
      <x:c r="Q315" s="83" t="n">
        <x:v>4</x:v>
      </x:c>
      <x:c r="R315" s="83" t="str">
        <x:v>D</x:v>
      </x:c>
      <x:c r="S315" s="83" t="str">
        <x:v>Approved</x:v>
      </x:c>
      <x:c r="T315" s="83" t="str">
        <x:v>Active</x:v>
      </x:c>
      <x:c r="U315" s="83" t="n">
        <x:v>1</x:v>
      </x:c>
      <x:c r="V315" s="83" t="str">
        <x:v>LCSW-ALT-037</x:v>
      </x:c>
      <x:c r="W315" s="83" t="str">
        <x:v>No additional flag</x:v>
      </x:c>
      <x:c r="X315" s="83" t="str">
        <x:v>No structural flag</x:v>
      </x:c>
      <x:c r="Y315" s="83" t="str">
        <x:v>Not Yet Reviewed</x:v>
      </x:c>
      <x:c r="Z315" s="83" t="str">
        <x:v>CTA LCSW WB5; ASWB 2026 Clinical Content Area II</x:v>
      </x:c>
      <x:c r="AA315" s="83" t="str">
        <x:v>CTA_LCSW_2026_Comprehensive_Simulation_Form_A_Answer_Key_and_Detailed_Rationales_v1.0.docx</x:v>
      </x:c>
      <x:c r="AB315" s="83" t="str">
        <x:v>1.0</x:v>
      </x:c>
      <x:c r="AC315" s="102"/>
      <x:c r="AD315" s="102" t="n">
        <x:v>46228</x:v>
      </x:c>
      <x:c r="AE315" s="83" t="str">
        <x:v>Approved for Form A</x:v>
      </x:c>
      <x:c r="AF315" s="89" t="str">
        <x:v>Form A only; paired alternate retained on the other comprehensive form</x:v>
      </x:c>
    </x:row>
    <x:row r="316">
      <x:c r="A316" s="88" t="str">
        <x:v>CTA-LCSW-MQB-0315</x:v>
      </x:c>
      <x:c r="B316" s="83" t="str">
        <x:v>LCSW-MQB-FA-IP-026</x:v>
      </x:c>
      <x:c r="C316" s="83" t="str">
        <x:v>LCSW</x:v>
      </x:c>
      <x:c r="D316" s="83" t="str">
        <x:v>Comprehensive Simulation</x:v>
      </x:c>
      <x:c r="E316" s="83"/>
      <x:c r="F316" s="83"/>
      <x:c r="G316" s="83" t="str">
        <x:v>Form A</x:v>
      </x:c>
      <x:c r="H316" s="83" t="n">
        <x:v>111</x:v>
      </x:c>
      <x:c r="I316" s="83" t="str">
        <x:v>Scored-Style</x:v>
      </x:c>
      <x:c r="J316" s="83" t="str">
        <x:v>III. Intervention and Practice</x:v>
      </x:c>
      <x:c r="K316" s="83" t="str">
        <x:v>Group conflict</x:v>
      </x:c>
      <x:c r="L316" s="83" t="str"/>
      <x:c r="M316" s="83" t="str">
        <x:v>Moderate</x:v>
      </x:c>
      <x:c r="N316" s="83" t="str">
        <x:v>Moderate</x:v>
      </x:c>
      <x:c r="O316" s="83" t="str">
        <x:v>Scenario-based reasoning</x:v>
      </x:c>
      <x:c r="P316" s="83" t="str">
        <x:v>Scenario-Based</x:v>
      </x:c>
      <x:c r="Q316" s="83" t="n">
        <x:v>4</x:v>
      </x:c>
      <x:c r="R316" s="83" t="str">
        <x:v>D</x:v>
      </x:c>
      <x:c r="S316" s="83" t="str">
        <x:v>Approved</x:v>
      </x:c>
      <x:c r="T316" s="83" t="str">
        <x:v>Active</x:v>
      </x:c>
      <x:c r="U316" s="83" t="n">
        <x:v>1</x:v>
      </x:c>
      <x:c r="V316" s="83" t="str">
        <x:v>LCSW-ALT-065</x:v>
      </x:c>
      <x:c r="W316" s="83" t="str">
        <x:v>Review Candidate</x:v>
      </x:c>
      <x:c r="X316" s="83" t="str">
        <x:v>No structural flag</x:v>
      </x:c>
      <x:c r="Y316" s="83" t="str">
        <x:v>Not Yet Reviewed</x:v>
      </x:c>
      <x:c r="Z316" s="83" t="str">
        <x:v>CTA LCSW WB8–WB11; ASWB 2026 Clinical Content Area III</x:v>
      </x:c>
      <x:c r="AA316" s="83" t="str">
        <x:v>CTA_LCSW_2026_Comprehensive_Simulation_Form_A_Answer_Key_and_Detailed_Rationales_v1.0.docx</x:v>
      </x:c>
      <x:c r="AB316" s="83" t="str">
        <x:v>1.0</x:v>
      </x:c>
      <x:c r="AC316" s="102"/>
      <x:c r="AD316" s="102" t="n">
        <x:v>46228</x:v>
      </x:c>
      <x:c r="AE316" s="83" t="str">
        <x:v>Approved for Form A</x:v>
      </x:c>
      <x:c r="AF316" s="89" t="str">
        <x:v>Form A only; paired alternate retained on the other comprehensive form</x:v>
      </x:c>
    </x:row>
    <x:row r="317">
      <x:c r="A317" s="88" t="str">
        <x:v>CTA-LCSW-MQB-0316</x:v>
      </x:c>
      <x:c r="B317" s="83" t="str">
        <x:v>LCSW-MQB-FA-AP-014</x:v>
      </x:c>
      <x:c r="C317" s="83" t="str">
        <x:v>LCSW</x:v>
      </x:c>
      <x:c r="D317" s="83" t="str">
        <x:v>Comprehensive Simulation</x:v>
      </x:c>
      <x:c r="E317" s="83"/>
      <x:c r="F317" s="83"/>
      <x:c r="G317" s="83" t="str">
        <x:v>Form A</x:v>
      </x:c>
      <x:c r="H317" s="83" t="n">
        <x:v>112</x:v>
      </x:c>
      <x:c r="I317" s="83" t="str">
        <x:v>Scored-Style</x:v>
      </x:c>
      <x:c r="J317" s="83" t="str">
        <x:v>II. Assessment and Planning</x:v>
      </x:c>
      <x:c r="K317" s="83" t="str">
        <x:v>Readiness for change</x:v>
      </x:c>
      <x:c r="L317" s="83" t="str"/>
      <x:c r="M317" s="83" t="str">
        <x:v>Moderate</x:v>
      </x:c>
      <x:c r="N317" s="83" t="str">
        <x:v>Moderate</x:v>
      </x:c>
      <x:c r="O317" s="83" t="str">
        <x:v>Application</x:v>
      </x:c>
      <x:c r="P317" s="83" t="str">
        <x:v>Application</x:v>
      </x:c>
      <x:c r="Q317" s="83" t="n">
        <x:v>3</x:v>
      </x:c>
      <x:c r="R317" s="83" t="str">
        <x:v>C</x:v>
      </x:c>
      <x:c r="S317" s="83" t="str">
        <x:v>Approved</x:v>
      </x:c>
      <x:c r="T317" s="83" t="str">
        <x:v>Active</x:v>
      </x:c>
      <x:c r="U317" s="83" t="n">
        <x:v>1</x:v>
      </x:c>
      <x:c r="V317" s="83" t="str">
        <x:v>LCSW-ALT-014</x:v>
      </x:c>
      <x:c r="W317" s="83" t="str">
        <x:v>No additional flag</x:v>
      </x:c>
      <x:c r="X317" s="83" t="str">
        <x:v>No structural flag</x:v>
      </x:c>
      <x:c r="Y317" s="83" t="str">
        <x:v>Not Yet Reviewed</x:v>
      </x:c>
      <x:c r="Z317" s="83" t="str">
        <x:v>CTA LCSW WB3–WB7; ASWB 2026 Clinical Content Area II</x:v>
      </x:c>
      <x:c r="AA317" s="83" t="str">
        <x:v>CTA_LCSW_2026_Comprehensive_Simulation_Form_A_Answer_Key_and_Detailed_Rationales_v1.0.docx</x:v>
      </x:c>
      <x:c r="AB317" s="83" t="str">
        <x:v>1.0</x:v>
      </x:c>
      <x:c r="AC317" s="102"/>
      <x:c r="AD317" s="102" t="n">
        <x:v>46228</x:v>
      </x:c>
      <x:c r="AE317" s="83" t="str">
        <x:v>Approved for Form A</x:v>
      </x:c>
      <x:c r="AF317" s="89" t="str">
        <x:v>Form A only; paired alternate retained on the other comprehensive form</x:v>
      </x:c>
    </x:row>
    <x:row r="318">
      <x:c r="A318" s="88" t="str">
        <x:v>CTA-LCSW-MQB-0317</x:v>
      </x:c>
      <x:c r="B318" s="83" t="str">
        <x:v>LCSW-MQB-FA-IP-016</x:v>
      </x:c>
      <x:c r="C318" s="83" t="str">
        <x:v>LCSW</x:v>
      </x:c>
      <x:c r="D318" s="83" t="str">
        <x:v>Comprehensive Simulation</x:v>
      </x:c>
      <x:c r="E318" s="83"/>
      <x:c r="F318" s="83"/>
      <x:c r="G318" s="83" t="str">
        <x:v>Form A</x:v>
      </x:c>
      <x:c r="H318" s="83" t="n">
        <x:v>113</x:v>
      </x:c>
      <x:c r="I318" s="83" t="str">
        <x:v>Scored-Style</x:v>
      </x:c>
      <x:c r="J318" s="83" t="str">
        <x:v>III. Intervention and Practice</x:v>
      </x:c>
      <x:c r="K318" s="83" t="str">
        <x:v>Research literacy</x:v>
      </x:c>
      <x:c r="L318" s="83" t="str"/>
      <x:c r="M318" s="83" t="str">
        <x:v>Moderate</x:v>
      </x:c>
      <x:c r="N318" s="83" t="str">
        <x:v>Moderate</x:v>
      </x:c>
      <x:c r="O318" s="83" t="str">
        <x:v>Application</x:v>
      </x:c>
      <x:c r="P318" s="83" t="str">
        <x:v>Application</x:v>
      </x:c>
      <x:c r="Q318" s="83" t="n">
        <x:v>3</x:v>
      </x:c>
      <x:c r="R318" s="83" t="str">
        <x:v>B</x:v>
      </x:c>
      <x:c r="S318" s="83" t="str">
        <x:v>Approved</x:v>
      </x:c>
      <x:c r="T318" s="83" t="str">
        <x:v>Active</x:v>
      </x:c>
      <x:c r="U318" s="83" t="n">
        <x:v>1</x:v>
      </x:c>
      <x:c r="V318" s="83" t="str">
        <x:v>LCSW-ALT-055</x:v>
      </x:c>
      <x:c r="W318" s="83" t="str">
        <x:v>No additional flag</x:v>
      </x:c>
      <x:c r="X318" s="83" t="str">
        <x:v>No structural flag</x:v>
      </x:c>
      <x:c r="Y318" s="83" t="str">
        <x:v>Not Yet Reviewed</x:v>
      </x:c>
      <x:c r="Z318" s="83" t="str">
        <x:v>CTA LCSW WB10; CTA LCSW WB11; ASWB 2026 Clinical Content Area III</x:v>
      </x:c>
      <x:c r="AA318" s="83" t="str">
        <x:v>CTA_LCSW_2026_Comprehensive_Simulation_Form_A_Answer_Key_and_Detailed_Rationales_v1.0.docx</x:v>
      </x:c>
      <x:c r="AB318" s="83" t="str">
        <x:v>1.0</x:v>
      </x:c>
      <x:c r="AC318" s="102"/>
      <x:c r="AD318" s="102" t="n">
        <x:v>46228</x:v>
      </x:c>
      <x:c r="AE318" s="83" t="str">
        <x:v>Approved for Form A</x:v>
      </x:c>
      <x:c r="AF318" s="89" t="str">
        <x:v>Form A only; paired alternate retained on the other comprehensive form</x:v>
      </x:c>
    </x:row>
    <x:row r="319">
      <x:c r="A319" s="88" t="str">
        <x:v>CTA-LCSW-MQB-0318</x:v>
      </x:c>
      <x:c r="B319" s="83" t="str">
        <x:v>LCSW-MQB-FA-AP-006</x:v>
      </x:c>
      <x:c r="C319" s="83" t="str">
        <x:v>LCSW</x:v>
      </x:c>
      <x:c r="D319" s="83" t="str">
        <x:v>Comprehensive Simulation</x:v>
      </x:c>
      <x:c r="E319" s="83"/>
      <x:c r="F319" s="83"/>
      <x:c r="G319" s="83" t="str">
        <x:v>Form A</x:v>
      </x:c>
      <x:c r="H319" s="83" t="n">
        <x:v>114</x:v>
      </x:c>
      <x:c r="I319" s="83" t="str">
        <x:v>Scored-Style</x:v>
      </x:c>
      <x:c r="J319" s="83" t="str">
        <x:v>II. Assessment and Planning</x:v>
      </x:c>
      <x:c r="K319" s="83" t="str">
        <x:v>Mood and affect</x:v>
      </x:c>
      <x:c r="L319" s="83" t="str"/>
      <x:c r="M319" s="83" t="str">
        <x:v>Easy</x:v>
      </x:c>
      <x:c r="N319" s="83" t="str">
        <x:v>Easy</x:v>
      </x:c>
      <x:c r="O319" s="83" t="str">
        <x:v>Application</x:v>
      </x:c>
      <x:c r="P319" s="83" t="str">
        <x:v>Application</x:v>
      </x:c>
      <x:c r="Q319" s="83" t="n">
        <x:v>3</x:v>
      </x:c>
      <x:c r="R319" s="83" t="str">
        <x:v>A</x:v>
      </x:c>
      <x:c r="S319" s="83" t="str">
        <x:v>Approved</x:v>
      </x:c>
      <x:c r="T319" s="83" t="str">
        <x:v>Active</x:v>
      </x:c>
      <x:c r="U319" s="83" t="n">
        <x:v>1</x:v>
      </x:c>
      <x:c r="V319" s="83" t="str">
        <x:v>LCSW-ALT-006</x:v>
      </x:c>
      <x:c r="W319" s="83" t="str">
        <x:v>No additional flag</x:v>
      </x:c>
      <x:c r="X319" s="83" t="str">
        <x:v>No structural flag</x:v>
      </x:c>
      <x:c r="Y319" s="83" t="str">
        <x:v>Not Yet Reviewed</x:v>
      </x:c>
      <x:c r="Z319" s="83" t="str">
        <x:v>CTA LCSW WB3–WB7; ASWB 2026 Clinical Content Area II</x:v>
      </x:c>
      <x:c r="AA319" s="83" t="str">
        <x:v>CTA_LCSW_2026_Comprehensive_Simulation_Form_A_Answer_Key_and_Detailed_Rationales_v1.0.docx</x:v>
      </x:c>
      <x:c r="AB319" s="83" t="str">
        <x:v>1.0</x:v>
      </x:c>
      <x:c r="AC319" s="102"/>
      <x:c r="AD319" s="102" t="n">
        <x:v>46228</x:v>
      </x:c>
      <x:c r="AE319" s="83" t="str">
        <x:v>Approved for Form A</x:v>
      </x:c>
      <x:c r="AF319" s="89" t="str">
        <x:v>Form A only; paired alternate retained on the other comprehensive form</x:v>
      </x:c>
    </x:row>
    <x:row r="320">
      <x:c r="A320" s="88" t="str">
        <x:v>CTA-LCSW-MQB-0319</x:v>
      </x:c>
      <x:c r="B320" s="83" t="str">
        <x:v>LCSW-MQB-FA-IP-027</x:v>
      </x:c>
      <x:c r="C320" s="83" t="str">
        <x:v>LCSW</x:v>
      </x:c>
      <x:c r="D320" s="83" t="str">
        <x:v>Comprehensive Simulation</x:v>
      </x:c>
      <x:c r="E320" s="83"/>
      <x:c r="F320" s="83"/>
      <x:c r="G320" s="83" t="str">
        <x:v>Form A</x:v>
      </x:c>
      <x:c r="H320" s="83" t="n">
        <x:v>115</x:v>
      </x:c>
      <x:c r="I320" s="83" t="str">
        <x:v>Scored-Style</x:v>
      </x:c>
      <x:c r="J320" s="83" t="str">
        <x:v>III. Intervention and Practice</x:v>
      </x:c>
      <x:c r="K320" s="83" t="str">
        <x:v>Warm referral</x:v>
      </x:c>
      <x:c r="L320" s="83" t="str"/>
      <x:c r="M320" s="83" t="str">
        <x:v>Moderate</x:v>
      </x:c>
      <x:c r="N320" s="83" t="str">
        <x:v>Moderate</x:v>
      </x:c>
      <x:c r="O320" s="83" t="str">
        <x:v>Scenario-based reasoning</x:v>
      </x:c>
      <x:c r="P320" s="83" t="str">
        <x:v>Scenario-Based</x:v>
      </x:c>
      <x:c r="Q320" s="83" t="n">
        <x:v>4</x:v>
      </x:c>
      <x:c r="R320" s="83" t="str">
        <x:v>C</x:v>
      </x:c>
      <x:c r="S320" s="83" t="str">
        <x:v>Approved</x:v>
      </x:c>
      <x:c r="T320" s="83" t="str">
        <x:v>Active</x:v>
      </x:c>
      <x:c r="U320" s="83" t="n">
        <x:v>1</x:v>
      </x:c>
      <x:c r="V320" s="83" t="str">
        <x:v>LCSW-ALT-066</x:v>
      </x:c>
      <x:c r="W320" s="83" t="str">
        <x:v>No additional flag</x:v>
      </x:c>
      <x:c r="X320" s="83" t="str">
        <x:v>No structural flag</x:v>
      </x:c>
      <x:c r="Y320" s="83" t="str">
        <x:v>Not Yet Reviewed</x:v>
      </x:c>
      <x:c r="Z320" s="83" t="str">
        <x:v>CTA LCSW WB10; CTA LCSW WB11; ASWB 2026 Clinical Content Area III</x:v>
      </x:c>
      <x:c r="AA320" s="83" t="str">
        <x:v>CTA_LCSW_2026_Comprehensive_Simulation_Form_A_Answer_Key_and_Detailed_Rationales_v1.0.docx</x:v>
      </x:c>
      <x:c r="AB320" s="83" t="str">
        <x:v>1.0</x:v>
      </x:c>
      <x:c r="AC320" s="102"/>
      <x:c r="AD320" s="102" t="n">
        <x:v>46228</x:v>
      </x:c>
      <x:c r="AE320" s="83" t="str">
        <x:v>Approved for Form A</x:v>
      </x:c>
      <x:c r="AF320" s="89" t="str">
        <x:v>Form A only; paired alternate retained on the other comprehensive form</x:v>
      </x:c>
    </x:row>
    <x:row r="321">
      <x:c r="A321" s="88" t="str">
        <x:v>CTA-LCSW-MQB-0320</x:v>
      </x:c>
      <x:c r="B321" s="83" t="str">
        <x:v>LCSW-MQB-FA-VE-041</x:v>
      </x:c>
      <x:c r="C321" s="83" t="str">
        <x:v>LCSW</x:v>
      </x:c>
      <x:c r="D321" s="83" t="str">
        <x:v>Comprehensive Simulation</x:v>
      </x:c>
      <x:c r="E321" s="83"/>
      <x:c r="F321" s="83"/>
      <x:c r="G321" s="83" t="str">
        <x:v>Form A</x:v>
      </x:c>
      <x:c r="H321" s="83" t="n">
        <x:v>116</x:v>
      </x:c>
      <x:c r="I321" s="83" t="str">
        <x:v>Scored-Style</x:v>
      </x:c>
      <x:c r="J321" s="83" t="str">
        <x:v>I. Values and Ethics</x:v>
      </x:c>
      <x:c r="K321" s="83" t="str">
        <x:v>Supervision and documentation</x:v>
      </x:c>
      <x:c r="L321" s="83" t="str"/>
      <x:c r="M321" s="83" t="str">
        <x:v>Difficult</x:v>
      </x:c>
      <x:c r="N321" s="83" t="str">
        <x:v>Difficult</x:v>
      </x:c>
      <x:c r="O321" s="83" t="str">
        <x:v>Integrated reasoning</x:v>
      </x:c>
      <x:c r="P321" s="83" t="str">
        <x:v>Integrated Clinical Reasoning</x:v>
      </x:c>
      <x:c r="Q321" s="83" t="n">
        <x:v>4</x:v>
      </x:c>
      <x:c r="R321" s="83" t="str">
        <x:v>C</x:v>
      </x:c>
      <x:c r="S321" s="83" t="str">
        <x:v>Approved</x:v>
      </x:c>
      <x:c r="T321" s="83" t="str">
        <x:v>Active</x:v>
      </x:c>
      <x:c r="U321" s="83" t="n">
        <x:v>1</x:v>
      </x:c>
      <x:c r="V321" s="83" t="str">
        <x:v>LCSW-ALT-119</x:v>
      </x:c>
      <x:c r="W321" s="83" t="str">
        <x:v>Review Candidate</x:v>
      </x:c>
      <x:c r="X321" s="83" t="str">
        <x:v>No structural flag</x:v>
      </x:c>
      <x:c r="Y321" s="83" t="str">
        <x:v>Not Yet Reviewed</x:v>
      </x:c>
      <x:c r="Z321" s="83" t="str">
        <x:v>CTA LCSW WB2; CTA LCSW WB12; ASWB 2026 Clinical Content Area I</x:v>
      </x:c>
      <x:c r="AA321" s="83" t="str">
        <x:v>CTA_LCSW_2026_Comprehensive_Simulation_Form_A_Answer_Key_and_Detailed_Rationales_v1.0.docx</x:v>
      </x:c>
      <x:c r="AB321" s="83" t="str">
        <x:v>1.0</x:v>
      </x:c>
      <x:c r="AC321" s="102"/>
      <x:c r="AD321" s="102" t="n">
        <x:v>46228</x:v>
      </x:c>
      <x:c r="AE321" s="83" t="str">
        <x:v>Approved for Form A</x:v>
      </x:c>
      <x:c r="AF321" s="89" t="str">
        <x:v>Form A only; paired alternate retained on the other comprehensive form</x:v>
      </x:c>
    </x:row>
    <x:row r="322">
      <x:c r="A322" s="88" t="str">
        <x:v>CTA-LCSW-MQB-0321</x:v>
      </x:c>
      <x:c r="B322" s="83" t="str">
        <x:v>LCSW-MQB-FA-VE-040</x:v>
      </x:c>
      <x:c r="C322" s="83" t="str">
        <x:v>LCSW</x:v>
      </x:c>
      <x:c r="D322" s="83" t="str">
        <x:v>Comprehensive Simulation</x:v>
      </x:c>
      <x:c r="E322" s="83"/>
      <x:c r="F322" s="83"/>
      <x:c r="G322" s="83" t="str">
        <x:v>Form A</x:v>
      </x:c>
      <x:c r="H322" s="83" t="n">
        <x:v>117</x:v>
      </x:c>
      <x:c r="I322" s="83" t="str">
        <x:v>Scored-Style</x:v>
      </x:c>
      <x:c r="J322" s="83" t="str">
        <x:v>I. Values and Ethics</x:v>
      </x:c>
      <x:c r="K322" s="83" t="str">
        <x:v>Technology, consent, and equity</x:v>
      </x:c>
      <x:c r="L322" s="83" t="str"/>
      <x:c r="M322" s="83" t="str">
        <x:v>Difficult</x:v>
      </x:c>
      <x:c r="N322" s="83" t="str">
        <x:v>Difficult</x:v>
      </x:c>
      <x:c r="O322" s="83" t="str">
        <x:v>Integrated reasoning</x:v>
      </x:c>
      <x:c r="P322" s="83" t="str">
        <x:v>Integrated Clinical Reasoning</x:v>
      </x:c>
      <x:c r="Q322" s="83" t="n">
        <x:v>4</x:v>
      </x:c>
      <x:c r="R322" s="83" t="str">
        <x:v>D</x:v>
      </x:c>
      <x:c r="S322" s="83" t="str">
        <x:v>Approved</x:v>
      </x:c>
      <x:c r="T322" s="83" t="str">
        <x:v>Active</x:v>
      </x:c>
      <x:c r="U322" s="83" t="n">
        <x:v>1</x:v>
      </x:c>
      <x:c r="V322" s="83" t="str">
        <x:v>LCSW-ALT-118</x:v>
      </x:c>
      <x:c r="W322" s="83" t="str">
        <x:v>No additional flag</x:v>
      </x:c>
      <x:c r="X322" s="83" t="str">
        <x:v>No structural flag</x:v>
      </x:c>
      <x:c r="Y322" s="83" t="str">
        <x:v>Not Yet Reviewed</x:v>
      </x:c>
      <x:c r="Z322" s="83" t="str">
        <x:v>CTA LCSW WB2; CTA LCSW WB12; ASWB 2026 Clinical Content Area I</x:v>
      </x:c>
      <x:c r="AA322" s="83" t="str">
        <x:v>CTA_LCSW_2026_Comprehensive_Simulation_Form_A_Answer_Key_and_Detailed_Rationales_v1.0.docx</x:v>
      </x:c>
      <x:c r="AB322" s="83" t="str">
        <x:v>1.0</x:v>
      </x:c>
      <x:c r="AC322" s="102"/>
      <x:c r="AD322" s="102" t="n">
        <x:v>46228</x:v>
      </x:c>
      <x:c r="AE322" s="83" t="str">
        <x:v>Approved for Form A</x:v>
      </x:c>
      <x:c r="AF322" s="89" t="str">
        <x:v>Form A only; paired alternate retained on the other comprehensive form</x:v>
      </x:c>
    </x:row>
    <x:row r="323">
      <x:c r="A323" s="88" t="str">
        <x:v>CTA-LCSW-MQB-0322</x:v>
      </x:c>
      <x:c r="B323" s="83" t="str">
        <x:v>LCSW-MQB-FA-IP-025</x:v>
      </x:c>
      <x:c r="C323" s="83" t="str">
        <x:v>LCSW</x:v>
      </x:c>
      <x:c r="D323" s="83" t="str">
        <x:v>Comprehensive Simulation</x:v>
      </x:c>
      <x:c r="E323" s="83"/>
      <x:c r="F323" s="83"/>
      <x:c r="G323" s="83" t="str">
        <x:v>Form A</x:v>
      </x:c>
      <x:c r="H323" s="83" t="n">
        <x:v>118</x:v>
      </x:c>
      <x:c r="I323" s="83" t="str">
        <x:v>Scored-Style</x:v>
      </x:c>
      <x:c r="J323" s="83" t="str">
        <x:v>III. Intervention and Practice</x:v>
      </x:c>
      <x:c r="K323" s="83" t="str">
        <x:v>Family conflict and safety</x:v>
      </x:c>
      <x:c r="L323" s="83" t="str"/>
      <x:c r="M323" s="83" t="str">
        <x:v>Moderate</x:v>
      </x:c>
      <x:c r="N323" s="83" t="str">
        <x:v>Moderate</x:v>
      </x:c>
      <x:c r="O323" s="83" t="str">
        <x:v>Scenario-based reasoning</x:v>
      </x:c>
      <x:c r="P323" s="83" t="str">
        <x:v>Scenario-Based</x:v>
      </x:c>
      <x:c r="Q323" s="83" t="n">
        <x:v>4</x:v>
      </x:c>
      <x:c r="R323" s="83" t="str">
        <x:v>C</x:v>
      </x:c>
      <x:c r="S323" s="83" t="str">
        <x:v>Approved</x:v>
      </x:c>
      <x:c r="T323" s="83" t="str">
        <x:v>Active</x:v>
      </x:c>
      <x:c r="U323" s="83" t="n">
        <x:v>1</x:v>
      </x:c>
      <x:c r="V323" s="83" t="str">
        <x:v>LCSW-ALT-064</x:v>
      </x:c>
      <x:c r="W323" s="83" t="str">
        <x:v>No additional flag</x:v>
      </x:c>
      <x:c r="X323" s="83" t="str">
        <x:v>No structural flag</x:v>
      </x:c>
      <x:c r="Y323" s="83" t="str">
        <x:v>Not Yet Reviewed</x:v>
      </x:c>
      <x:c r="Z323" s="83" t="str">
        <x:v>CTA LCSW WB8–WB11; ASWB 2026 Clinical Content Area III</x:v>
      </x:c>
      <x:c r="AA323" s="83" t="str">
        <x:v>CTA_LCSW_2026_Comprehensive_Simulation_Form_A_Answer_Key_and_Detailed_Rationales_v1.0.docx</x:v>
      </x:c>
      <x:c r="AB323" s="83" t="str">
        <x:v>1.0</x:v>
      </x:c>
      <x:c r="AC323" s="102"/>
      <x:c r="AD323" s="102" t="n">
        <x:v>46228</x:v>
      </x:c>
      <x:c r="AE323" s="83" t="str">
        <x:v>Approved for Form A</x:v>
      </x:c>
      <x:c r="AF323" s="89" t="str">
        <x:v>Form A only; paired alternate retained on the other comprehensive form</x:v>
      </x:c>
    </x:row>
    <x:row r="324">
      <x:c r="A324" s="88" t="str">
        <x:v>CTA-LCSW-MQB-0323</x:v>
      </x:c>
      <x:c r="B324" s="83" t="str">
        <x:v>LCSW-MQB-FA-IP-018</x:v>
      </x:c>
      <x:c r="C324" s="83" t="str">
        <x:v>LCSW</x:v>
      </x:c>
      <x:c r="D324" s="83" t="str">
        <x:v>Comprehensive Simulation</x:v>
      </x:c>
      <x:c r="E324" s="83"/>
      <x:c r="F324" s="83"/>
      <x:c r="G324" s="83" t="str">
        <x:v>Form A</x:v>
      </x:c>
      <x:c r="H324" s="83" t="n">
        <x:v>119</x:v>
      </x:c>
      <x:c r="I324" s="83" t="str">
        <x:v>Scored-Style</x:v>
      </x:c>
      <x:c r="J324" s="83" t="str">
        <x:v>III. Intervention and Practice</x:v>
      </x:c>
      <x:c r="K324" s="83" t="str">
        <x:v>Termination review</x:v>
      </x:c>
      <x:c r="L324" s="83" t="str"/>
      <x:c r="M324" s="83" t="str">
        <x:v>Moderate</x:v>
      </x:c>
      <x:c r="N324" s="83" t="str">
        <x:v>Moderate</x:v>
      </x:c>
      <x:c r="O324" s="83" t="str">
        <x:v>Application</x:v>
      </x:c>
      <x:c r="P324" s="83" t="str">
        <x:v>Application</x:v>
      </x:c>
      <x:c r="Q324" s="83" t="n">
        <x:v>3</x:v>
      </x:c>
      <x:c r="R324" s="83" t="str">
        <x:v>C</x:v>
      </x:c>
      <x:c r="S324" s="83" t="str">
        <x:v>Approved</x:v>
      </x:c>
      <x:c r="T324" s="83" t="str">
        <x:v>Active</x:v>
      </x:c>
      <x:c r="U324" s="83" t="n">
        <x:v>1</x:v>
      </x:c>
      <x:c r="V324" s="83" t="str">
        <x:v>LCSW-ALT-057</x:v>
      </x:c>
      <x:c r="W324" s="83" t="str">
        <x:v>No additional flag</x:v>
      </x:c>
      <x:c r="X324" s="83" t="str">
        <x:v>No structural flag</x:v>
      </x:c>
      <x:c r="Y324" s="83" t="str">
        <x:v>Not Yet Reviewed</x:v>
      </x:c>
      <x:c r="Z324" s="83" t="str">
        <x:v>CTA LCSW WB8–WB11; ASWB 2026 Clinical Content Area III</x:v>
      </x:c>
      <x:c r="AA324" s="83" t="str">
        <x:v>CTA_LCSW_2026_Comprehensive_Simulation_Form_A_Answer_Key_and_Detailed_Rationales_v1.0.docx</x:v>
      </x:c>
      <x:c r="AB324" s="83" t="str">
        <x:v>1.0</x:v>
      </x:c>
      <x:c r="AC324" s="102"/>
      <x:c r="AD324" s="102" t="n">
        <x:v>46228</x:v>
      </x:c>
      <x:c r="AE324" s="83" t="str">
        <x:v>Approved for Form A</x:v>
      </x:c>
      <x:c r="AF324" s="89" t="str">
        <x:v>Form A only; paired alternate retained on the other comprehensive form</x:v>
      </x:c>
    </x:row>
    <x:row r="325">
      <x:c r="A325" s="88" t="str">
        <x:v>CTA-LCSW-MQB-0324</x:v>
      </x:c>
      <x:c r="B325" s="83" t="str">
        <x:v>LCSW-MQB-FA-AP-026</x:v>
      </x:c>
      <x:c r="C325" s="83" t="str">
        <x:v>LCSW</x:v>
      </x:c>
      <x:c r="D325" s="83" t="str">
        <x:v>Comprehensive Simulation</x:v>
      </x:c>
      <x:c r="E325" s="83"/>
      <x:c r="F325" s="83"/>
      <x:c r="G325" s="83" t="str">
        <x:v>Form A</x:v>
      </x:c>
      <x:c r="H325" s="83" t="n">
        <x:v>120</x:v>
      </x:c>
      <x:c r="I325" s="83" t="str">
        <x:v>Scored-Style</x:v>
      </x:c>
      <x:c r="J325" s="83" t="str">
        <x:v>II. Assessment and Planning</x:v>
      </x:c>
      <x:c r="K325" s="83" t="str">
        <x:v>Psychosis and culture</x:v>
      </x:c>
      <x:c r="L325" s="83" t="str"/>
      <x:c r="M325" s="83" t="str">
        <x:v>Moderate</x:v>
      </x:c>
      <x:c r="N325" s="83" t="str">
        <x:v>Moderate</x:v>
      </x:c>
      <x:c r="O325" s="83" t="str">
        <x:v>Scenario-based reasoning</x:v>
      </x:c>
      <x:c r="P325" s="83" t="str">
        <x:v>Scenario-Based</x:v>
      </x:c>
      <x:c r="Q325" s="83" t="n">
        <x:v>4</x:v>
      </x:c>
      <x:c r="R325" s="83" t="str">
        <x:v>B</x:v>
      </x:c>
      <x:c r="S325" s="83" t="str">
        <x:v>Approved</x:v>
      </x:c>
      <x:c r="T325" s="83" t="str">
        <x:v>Active</x:v>
      </x:c>
      <x:c r="U325" s="83" t="n">
        <x:v>1</x:v>
      </x:c>
      <x:c r="V325" s="83" t="str">
        <x:v>LCSW-ALT-026</x:v>
      </x:c>
      <x:c r="W325" s="83" t="str">
        <x:v>No additional flag</x:v>
      </x:c>
      <x:c r="X325" s="83" t="str">
        <x:v>No structural flag</x:v>
      </x:c>
      <x:c r="Y325" s="83" t="str">
        <x:v>Not Yet Reviewed</x:v>
      </x:c>
      <x:c r="Z325" s="83" t="str">
        <x:v>CTA LCSW WB3–WB7; ASWB 2026 Clinical Content Area II</x:v>
      </x:c>
      <x:c r="AA325" s="83" t="str">
        <x:v>CTA_LCSW_2026_Comprehensive_Simulation_Form_A_Answer_Key_and_Detailed_Rationales_v1.0.docx</x:v>
      </x:c>
      <x:c r="AB325" s="83" t="str">
        <x:v>1.0</x:v>
      </x:c>
      <x:c r="AC325" s="102"/>
      <x:c r="AD325" s="102" t="n">
        <x:v>46228</x:v>
      </x:c>
      <x:c r="AE325" s="83" t="str">
        <x:v>Approved for Form A</x:v>
      </x:c>
      <x:c r="AF325" s="89" t="str">
        <x:v>Form A only; paired alternate retained on the other comprehensive form</x:v>
      </x:c>
    </x:row>
    <x:row r="326">
      <x:c r="A326" s="88" t="str">
        <x:v>CTA-LCSW-MQB-0325</x:v>
      </x:c>
      <x:c r="B326" s="83" t="str">
        <x:v>LCSW-MQB-FA-AP-017</x:v>
      </x:c>
      <x:c r="C326" s="83" t="str">
        <x:v>LCSW</x:v>
      </x:c>
      <x:c r="D326" s="83" t="str">
        <x:v>Comprehensive Simulation</x:v>
      </x:c>
      <x:c r="E326" s="83"/>
      <x:c r="F326" s="83"/>
      <x:c r="G326" s="83" t="str">
        <x:v>Form A</x:v>
      </x:c>
      <x:c r="H326" s="83" t="n">
        <x:v>121</x:v>
      </x:c>
      <x:c r="I326" s="83" t="str">
        <x:v>Scored-Style</x:v>
      </x:c>
      <x:c r="J326" s="83" t="str">
        <x:v>II. Assessment and Planning</x:v>
      </x:c>
      <x:c r="K326" s="83" t="str">
        <x:v>Grief assessment</x:v>
      </x:c>
      <x:c r="L326" s="83" t="str"/>
      <x:c r="M326" s="83" t="str">
        <x:v>Moderate</x:v>
      </x:c>
      <x:c r="N326" s="83" t="str">
        <x:v>Moderate</x:v>
      </x:c>
      <x:c r="O326" s="83" t="str">
        <x:v>Application</x:v>
      </x:c>
      <x:c r="P326" s="83" t="str">
        <x:v>Application</x:v>
      </x:c>
      <x:c r="Q326" s="83" t="n">
        <x:v>3</x:v>
      </x:c>
      <x:c r="R326" s="83" t="str">
        <x:v>A</x:v>
      </x:c>
      <x:c r="S326" s="83" t="str">
        <x:v>Approved</x:v>
      </x:c>
      <x:c r="T326" s="83" t="str">
        <x:v>Active</x:v>
      </x:c>
      <x:c r="U326" s="83" t="n">
        <x:v>1</x:v>
      </x:c>
      <x:c r="V326" s="83" t="str">
        <x:v>LCSW-ALT-017</x:v>
      </x:c>
      <x:c r="W326" s="83" t="str">
        <x:v>No additional flag</x:v>
      </x:c>
      <x:c r="X326" s="83" t="str">
        <x:v>No structural flag</x:v>
      </x:c>
      <x:c r="Y326" s="83" t="str">
        <x:v>Not Yet Reviewed</x:v>
      </x:c>
      <x:c r="Z326" s="83" t="str">
        <x:v>CTA LCSW WB3–WB7; ASWB 2026 Clinical Content Area II</x:v>
      </x:c>
      <x:c r="AA326" s="83" t="str">
        <x:v>CTA_LCSW_2026_Comprehensive_Simulation_Form_A_Answer_Key_and_Detailed_Rationales_v1.0.docx</x:v>
      </x:c>
      <x:c r="AB326" s="83" t="str">
        <x:v>1.0</x:v>
      </x:c>
      <x:c r="AC326" s="102"/>
      <x:c r="AD326" s="102" t="n">
        <x:v>46228</x:v>
      </x:c>
      <x:c r="AE326" s="83" t="str">
        <x:v>Approved for Form A</x:v>
      </x:c>
      <x:c r="AF326" s="89" t="str">
        <x:v>Form A only; paired alternate retained on the other comprehensive form</x:v>
      </x:c>
    </x:row>
    <x:row r="327">
      <x:c r="A327" s="88" t="str">
        <x:v>CTA-LCSW-MQB-0326</x:v>
      </x:c>
      <x:c r="B327" s="83" t="str">
        <x:v>LCSW-MQB-FA-IP-034</x:v>
      </x:c>
      <x:c r="C327" s="83" t="str">
        <x:v>LCSW</x:v>
      </x:c>
      <x:c r="D327" s="83" t="str">
        <x:v>Comprehensive Simulation</x:v>
      </x:c>
      <x:c r="E327" s="83"/>
      <x:c r="F327" s="83"/>
      <x:c r="G327" s="83" t="str">
        <x:v>Form A</x:v>
      </x:c>
      <x:c r="H327" s="83" t="n">
        <x:v>122</x:v>
      </x:c>
      <x:c r="I327" s="83" t="str">
        <x:v>Scored-Style</x:v>
      </x:c>
      <x:c r="J327" s="83" t="str">
        <x:v>III. Intervention and Practice</x:v>
      </x:c>
      <x:c r="K327" s="83" t="str">
        <x:v>Crisis, housing, and continuity</x:v>
      </x:c>
      <x:c r="L327" s="83" t="str"/>
      <x:c r="M327" s="83" t="str">
        <x:v>Difficult</x:v>
      </x:c>
      <x:c r="N327" s="83" t="str">
        <x:v>Difficult</x:v>
      </x:c>
      <x:c r="O327" s="83" t="str">
        <x:v>Integrated reasoning</x:v>
      </x:c>
      <x:c r="P327" s="83" t="str">
        <x:v>Integrated Clinical Reasoning</x:v>
      </x:c>
      <x:c r="Q327" s="83" t="n">
        <x:v>4</x:v>
      </x:c>
      <x:c r="R327" s="83" t="str">
        <x:v>B</x:v>
      </x:c>
      <x:c r="S327" s="83" t="str">
        <x:v>Approved</x:v>
      </x:c>
      <x:c r="T327" s="83" t="str">
        <x:v>Active</x:v>
      </x:c>
      <x:c r="U327" s="83" t="n">
        <x:v>1</x:v>
      </x:c>
      <x:c r="V327" s="83" t="str">
        <x:v>LCSW-ALT-073</x:v>
      </x:c>
      <x:c r="W327" s="83" t="str">
        <x:v>Review Candidate</x:v>
      </x:c>
      <x:c r="X327" s="83" t="str">
        <x:v>No structural flag</x:v>
      </x:c>
      <x:c r="Y327" s="83" t="str">
        <x:v>Not Yet Reviewed</x:v>
      </x:c>
      <x:c r="Z327" s="83" t="str">
        <x:v>CTA LCSW WB10; CTA LCSW WB11; ASWB 2026 Clinical Content Area III</x:v>
      </x:c>
      <x:c r="AA327" s="83" t="str">
        <x:v>CTA_LCSW_2026_Comprehensive_Simulation_Form_A_Answer_Key_and_Detailed_Rationales_v1.0.docx</x:v>
      </x:c>
      <x:c r="AB327" s="83" t="str">
        <x:v>1.0</x:v>
      </x:c>
      <x:c r="AC327" s="102"/>
      <x:c r="AD327" s="102" t="n">
        <x:v>46228</x:v>
      </x:c>
      <x:c r="AE327" s="83" t="str">
        <x:v>Approved for Form A</x:v>
      </x:c>
      <x:c r="AF327" s="89" t="str">
        <x:v>Form A only; paired alternate retained on the other comprehensive form</x:v>
      </x:c>
    </x:row>
    <x:row r="328">
      <x:c r="A328" s="88" t="str">
        <x:v>CTA-LCSW-MQB-0327</x:v>
      </x:c>
      <x:c r="B328" s="83" t="str">
        <x:v>LCSW-MQB-FB-AP-034</x:v>
      </x:c>
      <x:c r="C328" s="83" t="str">
        <x:v>LCSW</x:v>
      </x:c>
      <x:c r="D328" s="83" t="str">
        <x:v>Comprehensive Simulation</x:v>
      </x:c>
      <x:c r="E328" s="83"/>
      <x:c r="F328" s="83"/>
      <x:c r="G328" s="83" t="str">
        <x:v>Form B</x:v>
      </x:c>
      <x:c r="H328" s="83" t="n">
        <x:v>1</x:v>
      </x:c>
      <x:c r="I328" s="83" t="str">
        <x:v>Scored-Style</x:v>
      </x:c>
      <x:c r="J328" s="83" t="str">
        <x:v>II. Assessment and Planning</x:v>
      </x:c>
      <x:c r="K328" s="83" t="str">
        <x:v>Acute confusion and risk</x:v>
      </x:c>
      <x:c r="L328" s="83" t="str"/>
      <x:c r="M328" s="83" t="str">
        <x:v>Difficult</x:v>
      </x:c>
      <x:c r="N328" s="83" t="str">
        <x:v>Difficult</x:v>
      </x:c>
      <x:c r="O328" s="83" t="str">
        <x:v>Integrated reasoning</x:v>
      </x:c>
      <x:c r="P328" s="83" t="str">
        <x:v>Integrated Clinical Reasoning</x:v>
      </x:c>
      <x:c r="Q328" s="83" t="n">
        <x:v>4</x:v>
      </x:c>
      <x:c r="R328" s="83" t="str">
        <x:v>C</x:v>
      </x:c>
      <x:c r="S328" s="83" t="str">
        <x:v>Approved</x:v>
      </x:c>
      <x:c r="T328" s="83" t="str">
        <x:v>Active</x:v>
      </x:c>
      <x:c r="U328" s="83" t="n">
        <x:v>1</x:v>
      </x:c>
      <x:c r="V328" s="83" t="str">
        <x:v>LCSW-ALT-034</x:v>
      </x:c>
      <x:c r="W328" s="83" t="str">
        <x:v>No additional flag</x:v>
      </x:c>
      <x:c r="X328" s="83" t="str">
        <x:v>No structural flag</x:v>
      </x:c>
      <x:c r="Y328" s="83" t="str">
        <x:v>Not Yet Reviewed</x:v>
      </x:c>
      <x:c r="Z328" s="83" t="str">
        <x:v>CTA LCSW WB5; ASWB 2026 Clinical Content Area II</x:v>
      </x:c>
      <x:c r="AA328" s="83" t="str">
        <x:v>CTA_LCSW_2026_Comprehensive_Simulation_Form_B_Answer_Key_and_Detailed_Rationales_v1.0.docx</x:v>
      </x:c>
      <x:c r="AB328" s="83" t="str">
        <x:v>1.0</x:v>
      </x:c>
      <x:c r="AC328" s="102"/>
      <x:c r="AD328" s="102" t="n">
        <x:v>46228</x:v>
      </x:c>
      <x:c r="AE328" s="83" t="str">
        <x:v>Approved for Form B</x:v>
      </x:c>
      <x:c r="AF328" s="89" t="str">
        <x:v>Form B only; paired alternate retained on the other comprehensive form</x:v>
      </x:c>
    </x:row>
    <x:row r="329">
      <x:c r="A329" s="88" t="str">
        <x:v>CTA-LCSW-MQB-0328</x:v>
      </x:c>
      <x:c r="B329" s="83" t="str">
        <x:v>LCSW-MQB-FB-IP-008</x:v>
      </x:c>
      <x:c r="C329" s="83" t="str">
        <x:v>LCSW</x:v>
      </x:c>
      <x:c r="D329" s="83" t="str">
        <x:v>Comprehensive Simulation</x:v>
      </x:c>
      <x:c r="E329" s="83"/>
      <x:c r="F329" s="83"/>
      <x:c r="G329" s="83" t="str">
        <x:v>Form B</x:v>
      </x:c>
      <x:c r="H329" s="83" t="n">
        <x:v>2</x:v>
      </x:c>
      <x:c r="I329" s="83" t="str">
        <x:v>Scored-Style</x:v>
      </x:c>
      <x:c r="J329" s="83" t="str">
        <x:v>III. Intervention and Practice</x:v>
      </x:c>
      <x:c r="K329" s="83" t="str">
        <x:v>Case management</x:v>
      </x:c>
      <x:c r="L329" s="83" t="str"/>
      <x:c r="M329" s="83" t="str">
        <x:v>Easy</x:v>
      </x:c>
      <x:c r="N329" s="83" t="str">
        <x:v>Easy</x:v>
      </x:c>
      <x:c r="O329" s="83" t="str">
        <x:v>Application</x:v>
      </x:c>
      <x:c r="P329" s="83" t="str">
        <x:v>Application</x:v>
      </x:c>
      <x:c r="Q329" s="83" t="n">
        <x:v>3</x:v>
      </x:c>
      <x:c r="R329" s="83" t="str">
        <x:v>B</x:v>
      </x:c>
      <x:c r="S329" s="83" t="str">
        <x:v>Approved</x:v>
      </x:c>
      <x:c r="T329" s="83" t="str">
        <x:v>Active</x:v>
      </x:c>
      <x:c r="U329" s="83" t="n">
        <x:v>1</x:v>
      </x:c>
      <x:c r="V329" s="83" t="str">
        <x:v>LCSW-ALT-047</x:v>
      </x:c>
      <x:c r="W329" s="83" t="str">
        <x:v>No additional flag</x:v>
      </x:c>
      <x:c r="X329" s="83" t="str">
        <x:v>No structural flag</x:v>
      </x:c>
      <x:c r="Y329" s="83" t="str">
        <x:v>Not Yet Reviewed</x:v>
      </x:c>
      <x:c r="Z329" s="83" t="str">
        <x:v>CTA LCSW WB10; CTA LCSW WB11; ASWB 2026 Clinical Content Area III</x:v>
      </x:c>
      <x:c r="AA329" s="83" t="str">
        <x:v>CTA_LCSW_2026_Comprehensive_Simulation_Form_B_Answer_Key_and_Detailed_Rationales_v1.0.docx</x:v>
      </x:c>
      <x:c r="AB329" s="83" t="str">
        <x:v>1.0</x:v>
      </x:c>
      <x:c r="AC329" s="102"/>
      <x:c r="AD329" s="102" t="n">
        <x:v>46228</x:v>
      </x:c>
      <x:c r="AE329" s="83" t="str">
        <x:v>Approved for Form B</x:v>
      </x:c>
      <x:c r="AF329" s="89" t="str">
        <x:v>Form B only; paired alternate retained on the other comprehensive form</x:v>
      </x:c>
    </x:row>
    <x:row r="330">
      <x:c r="A330" s="88" t="str">
        <x:v>CTA-LCSW-MQB-0329</x:v>
      </x:c>
      <x:c r="B330" s="83" t="str">
        <x:v>LCSW-MQB-FB-AP-018</x:v>
      </x:c>
      <x:c r="C330" s="83" t="str">
        <x:v>LCSW</x:v>
      </x:c>
      <x:c r="D330" s="83" t="str">
        <x:v>Comprehensive Simulation</x:v>
      </x:c>
      <x:c r="E330" s="83"/>
      <x:c r="F330" s="83"/>
      <x:c r="G330" s="83" t="str">
        <x:v>Form B</x:v>
      </x:c>
      <x:c r="H330" s="83" t="n">
        <x:v>3</x:v>
      </x:c>
      <x:c r="I330" s="83" t="str">
        <x:v>Scored-Style</x:v>
      </x:c>
      <x:c r="J330" s="83" t="str">
        <x:v>II. Assessment and Planning</x:v>
      </x:c>
      <x:c r="K330" s="83" t="str">
        <x:v>Medical rule-out</x:v>
      </x:c>
      <x:c r="L330" s="83" t="str"/>
      <x:c r="M330" s="83" t="str">
        <x:v>Moderate</x:v>
      </x:c>
      <x:c r="N330" s="83" t="str">
        <x:v>Moderate</x:v>
      </x:c>
      <x:c r="O330" s="83" t="str">
        <x:v>Application</x:v>
      </x:c>
      <x:c r="P330" s="83" t="str">
        <x:v>Application</x:v>
      </x:c>
      <x:c r="Q330" s="83" t="n">
        <x:v>3</x:v>
      </x:c>
      <x:c r="R330" s="83" t="str">
        <x:v>A</x:v>
      </x:c>
      <x:c r="S330" s="83" t="str">
        <x:v>Approved</x:v>
      </x:c>
      <x:c r="T330" s="83" t="str">
        <x:v>Active</x:v>
      </x:c>
      <x:c r="U330" s="83" t="n">
        <x:v>1</x:v>
      </x:c>
      <x:c r="V330" s="83" t="str">
        <x:v>LCSW-ALT-018</x:v>
      </x:c>
      <x:c r="W330" s="83" t="str">
        <x:v>No additional flag</x:v>
      </x:c>
      <x:c r="X330" s="83" t="str">
        <x:v>No structural flag</x:v>
      </x:c>
      <x:c r="Y330" s="83" t="str">
        <x:v>Not Yet Reviewed</x:v>
      </x:c>
      <x:c r="Z330" s="83" t="str">
        <x:v>CTA LCSW WB5; ASWB 2026 Clinical Content Area II</x:v>
      </x:c>
      <x:c r="AA330" s="83" t="str">
        <x:v>CTA_LCSW_2026_Comprehensive_Simulation_Form_B_Answer_Key_and_Detailed_Rationales_v1.0.docx</x:v>
      </x:c>
      <x:c r="AB330" s="83" t="str">
        <x:v>1.0</x:v>
      </x:c>
      <x:c r="AC330" s="102"/>
      <x:c r="AD330" s="102" t="n">
        <x:v>46228</x:v>
      </x:c>
      <x:c r="AE330" s="83" t="str">
        <x:v>Approved for Form B</x:v>
      </x:c>
      <x:c r="AF330" s="89" t="str">
        <x:v>Form B only; paired alternate retained on the other comprehensive form</x:v>
      </x:c>
    </x:row>
    <x:row r="331">
      <x:c r="A331" s="88" t="str">
        <x:v>CTA-LCSW-MQB-0330</x:v>
      </x:c>
      <x:c r="B331" s="83" t="str">
        <x:v>LCSW-MQB-FB-VE-029</x:v>
      </x:c>
      <x:c r="C331" s="83" t="str">
        <x:v>LCSW</x:v>
      </x:c>
      <x:c r="D331" s="83" t="str">
        <x:v>Comprehensive Simulation</x:v>
      </x:c>
      <x:c r="E331" s="83"/>
      <x:c r="F331" s="83"/>
      <x:c r="G331" s="83" t="str">
        <x:v>Form B</x:v>
      </x:c>
      <x:c r="H331" s="83" t="n">
        <x:v>4</x:v>
      </x:c>
      <x:c r="I331" s="83" t="str">
        <x:v>Scored-Style</x:v>
      </x:c>
      <x:c r="J331" s="83" t="str">
        <x:v>I. Values and Ethics</x:v>
      </x:c>
      <x:c r="K331" s="83" t="str">
        <x:v>Social justice and service barriers</x:v>
      </x:c>
      <x:c r="L331" s="83" t="str"/>
      <x:c r="M331" s="83" t="str">
        <x:v>Moderate</x:v>
      </x:c>
      <x:c r="N331" s="83" t="str">
        <x:v>Moderate</x:v>
      </x:c>
      <x:c r="O331" s="83" t="str">
        <x:v>Scenario-based reasoning</x:v>
      </x:c>
      <x:c r="P331" s="83" t="str">
        <x:v>Scenario-Based</x:v>
      </x:c>
      <x:c r="Q331" s="83" t="n">
        <x:v>4</x:v>
      </x:c>
      <x:c r="R331" s="83" t="str">
        <x:v>A</x:v>
      </x:c>
      <x:c r="S331" s="83" t="str">
        <x:v>Approved</x:v>
      </x:c>
      <x:c r="T331" s="83" t="str">
        <x:v>Active</x:v>
      </x:c>
      <x:c r="U331" s="83" t="n">
        <x:v>1</x:v>
      </x:c>
      <x:c r="V331" s="83" t="str">
        <x:v>LCSW-ALT-107</x:v>
      </x:c>
      <x:c r="W331" s="83" t="str">
        <x:v>No additional flag</x:v>
      </x:c>
      <x:c r="X331" s="83" t="str">
        <x:v>No structural flag</x:v>
      </x:c>
      <x:c r="Y331" s="83" t="str">
        <x:v>Not Yet Reviewed</x:v>
      </x:c>
      <x:c r="Z331" s="83" t="str">
        <x:v>CTA LCSW WB2; ASWB 2026 Clinical Content Area I</x:v>
      </x:c>
      <x:c r="AA331" s="83" t="str">
        <x:v>CTA_LCSW_2026_Comprehensive_Simulation_Form_B_Answer_Key_and_Detailed_Rationales_v1.0.docx</x:v>
      </x:c>
      <x:c r="AB331" s="83" t="str">
        <x:v>1.0</x:v>
      </x:c>
      <x:c r="AC331" s="102"/>
      <x:c r="AD331" s="102" t="n">
        <x:v>46228</x:v>
      </x:c>
      <x:c r="AE331" s="83" t="str">
        <x:v>Approved for Form B</x:v>
      </x:c>
      <x:c r="AF331" s="89" t="str">
        <x:v>Form B only; paired alternate retained on the other comprehensive form</x:v>
      </x:c>
    </x:row>
    <x:row r="332">
      <x:c r="A332" s="88" t="str">
        <x:v>CTA-LCSW-MQB-0331</x:v>
      </x:c>
      <x:c r="B332" s="83" t="str">
        <x:v>LCSW-MQB-FB-VE-009</x:v>
      </x:c>
      <x:c r="C332" s="83" t="str">
        <x:v>LCSW</x:v>
      </x:c>
      <x:c r="D332" s="83" t="str">
        <x:v>Comprehensive Simulation</x:v>
      </x:c>
      <x:c r="E332" s="83"/>
      <x:c r="F332" s="83"/>
      <x:c r="G332" s="83" t="str">
        <x:v>Form B</x:v>
      </x:c>
      <x:c r="H332" s="83" t="n">
        <x:v>5</x:v>
      </x:c>
      <x:c r="I332" s="83" t="str">
        <x:v>Scored-Style</x:v>
      </x:c>
      <x:c r="J332" s="83" t="str">
        <x:v>I. Values and Ethics</x:v>
      </x:c>
      <x:c r="K332" s="83" t="str">
        <x:v>Social media boundaries</x:v>
      </x:c>
      <x:c r="L332" s="83" t="str"/>
      <x:c r="M332" s="83" t="str">
        <x:v>Easy</x:v>
      </x:c>
      <x:c r="N332" s="83" t="str">
        <x:v>Easy</x:v>
      </x:c>
      <x:c r="O332" s="83" t="str">
        <x:v>Application</x:v>
      </x:c>
      <x:c r="P332" s="83" t="str">
        <x:v>Application</x:v>
      </x:c>
      <x:c r="Q332" s="83" t="n">
        <x:v>3</x:v>
      </x:c>
      <x:c r="R332" s="83" t="str">
        <x:v>C</x:v>
      </x:c>
      <x:c r="S332" s="83" t="str">
        <x:v>Approved</x:v>
      </x:c>
      <x:c r="T332" s="83" t="str">
        <x:v>Active</x:v>
      </x:c>
      <x:c r="U332" s="83" t="n">
        <x:v>1</x:v>
      </x:c>
      <x:c r="V332" s="83" t="str">
        <x:v>LCSW-ALT-087</x:v>
      </x:c>
      <x:c r="W332" s="83" t="str">
        <x:v>No additional flag</x:v>
      </x:c>
      <x:c r="X332" s="83" t="str">
        <x:v>No structural flag</x:v>
      </x:c>
      <x:c r="Y332" s="83" t="str">
        <x:v>Not Yet Reviewed</x:v>
      </x:c>
      <x:c r="Z332" s="83" t="str">
        <x:v>CTA LCSW WB2; CTA LCSW WB12; ASWB 2026 Clinical Content Area I</x:v>
      </x:c>
      <x:c r="AA332" s="83" t="str">
        <x:v>CTA_LCSW_2026_Comprehensive_Simulation_Form_B_Answer_Key_and_Detailed_Rationales_v1.0.docx</x:v>
      </x:c>
      <x:c r="AB332" s="83" t="str">
        <x:v>1.0</x:v>
      </x:c>
      <x:c r="AC332" s="102"/>
      <x:c r="AD332" s="102" t="n">
        <x:v>46228</x:v>
      </x:c>
      <x:c r="AE332" s="83" t="str">
        <x:v>Approved for Form B</x:v>
      </x:c>
      <x:c r="AF332" s="89" t="str">
        <x:v>Form B only; paired alternate retained on the other comprehensive form</x:v>
      </x:c>
    </x:row>
    <x:row r="333">
      <x:c r="A333" s="88" t="str">
        <x:v>CTA-LCSW-MQB-0332</x:v>
      </x:c>
      <x:c r="B333" s="83" t="str">
        <x:v>LCSW-MQB-FB-AP-033</x:v>
      </x:c>
      <x:c r="C333" s="83" t="str">
        <x:v>LCSW</x:v>
      </x:c>
      <x:c r="D333" s="83" t="str">
        <x:v>Comprehensive Simulation</x:v>
      </x:c>
      <x:c r="E333" s="83"/>
      <x:c r="F333" s="83"/>
      <x:c r="G333" s="83" t="str">
        <x:v>Form B</x:v>
      </x:c>
      <x:c r="H333" s="83" t="n">
        <x:v>6</x:v>
      </x:c>
      <x:c r="I333" s="83" t="str">
        <x:v>Scored-Style</x:v>
      </x:c>
      <x:c r="J333" s="83" t="str">
        <x:v>II. Assessment and Planning</x:v>
      </x:c>
      <x:c r="K333" s="83" t="str">
        <x:v>Diagnosis and grief</x:v>
      </x:c>
      <x:c r="L333" s="83" t="str"/>
      <x:c r="M333" s="83" t="str">
        <x:v>Difficult</x:v>
      </x:c>
      <x:c r="N333" s="83" t="str">
        <x:v>Difficult</x:v>
      </x:c>
      <x:c r="O333" s="83" t="str">
        <x:v>Scenario-based reasoning</x:v>
      </x:c>
      <x:c r="P333" s="83" t="str">
        <x:v>Scenario-Based</x:v>
      </x:c>
      <x:c r="Q333" s="83" t="n">
        <x:v>4</x:v>
      </x:c>
      <x:c r="R333" s="83" t="str">
        <x:v>B</x:v>
      </x:c>
      <x:c r="S333" s="83" t="str">
        <x:v>Approved</x:v>
      </x:c>
      <x:c r="T333" s="83" t="str">
        <x:v>Active</x:v>
      </x:c>
      <x:c r="U333" s="83" t="n">
        <x:v>1</x:v>
      </x:c>
      <x:c r="V333" s="83" t="str">
        <x:v>LCSW-ALT-033</x:v>
      </x:c>
      <x:c r="W333" s="83" t="str">
        <x:v>No additional flag</x:v>
      </x:c>
      <x:c r="X333" s="83" t="str">
        <x:v>No structural flag</x:v>
      </x:c>
      <x:c r="Y333" s="83" t="str">
        <x:v>Not Yet Reviewed</x:v>
      </x:c>
      <x:c r="Z333" s="83" t="str">
        <x:v>CTA LCSW WB5; ASWB 2026 Clinical Content Area II</x:v>
      </x:c>
      <x:c r="AA333" s="83" t="str">
        <x:v>CTA_LCSW_2026_Comprehensive_Simulation_Form_B_Answer_Key_and_Detailed_Rationales_v1.0.docx</x:v>
      </x:c>
      <x:c r="AB333" s="83" t="str">
        <x:v>1.0</x:v>
      </x:c>
      <x:c r="AC333" s="102"/>
      <x:c r="AD333" s="102" t="n">
        <x:v>46228</x:v>
      </x:c>
      <x:c r="AE333" s="83" t="str">
        <x:v>Approved for Form B</x:v>
      </x:c>
      <x:c r="AF333" s="89" t="str">
        <x:v>Form B only; paired alternate retained on the other comprehensive form</x:v>
      </x:c>
    </x:row>
    <x:row r="334">
      <x:c r="A334" s="88" t="str">
        <x:v>CTA-LCSW-MQB-0333</x:v>
      </x:c>
      <x:c r="B334" s="83" t="str">
        <x:v>LCSW-MQB-FB-VE-025</x:v>
      </x:c>
      <x:c r="C334" s="83" t="str">
        <x:v>LCSW</x:v>
      </x:c>
      <x:c r="D334" s="83" t="str">
        <x:v>Comprehensive Simulation</x:v>
      </x:c>
      <x:c r="E334" s="83"/>
      <x:c r="F334" s="83"/>
      <x:c r="G334" s="83" t="str">
        <x:v>Form B</x:v>
      </x:c>
      <x:c r="H334" s="83" t="n">
        <x:v>7</x:v>
      </x:c>
      <x:c r="I334" s="83" t="str">
        <x:v>Scored-Style</x:v>
      </x:c>
      <x:c r="J334" s="83" t="str">
        <x:v>I. Values and Ethics</x:v>
      </x:c>
      <x:c r="K334" s="83" t="str">
        <x:v>Boundary drift</x:v>
      </x:c>
      <x:c r="L334" s="83" t="str"/>
      <x:c r="M334" s="83" t="str">
        <x:v>Moderate</x:v>
      </x:c>
      <x:c r="N334" s="83" t="str">
        <x:v>Moderate</x:v>
      </x:c>
      <x:c r="O334" s="83" t="str">
        <x:v>Scenario-based reasoning</x:v>
      </x:c>
      <x:c r="P334" s="83" t="str">
        <x:v>Scenario-Based</x:v>
      </x:c>
      <x:c r="Q334" s="83" t="n">
        <x:v>3</x:v>
      </x:c>
      <x:c r="R334" s="83" t="str">
        <x:v>B</x:v>
      </x:c>
      <x:c r="S334" s="83" t="str">
        <x:v>Approved</x:v>
      </x:c>
      <x:c r="T334" s="83" t="str">
        <x:v>Active</x:v>
      </x:c>
      <x:c r="U334" s="83" t="n">
        <x:v>1</x:v>
      </x:c>
      <x:c r="V334" s="83" t="str">
        <x:v>LCSW-ALT-103</x:v>
      </x:c>
      <x:c r="W334" s="83" t="str">
        <x:v>No additional flag</x:v>
      </x:c>
      <x:c r="X334" s="83" t="str">
        <x:v>No structural flag</x:v>
      </x:c>
      <x:c r="Y334" s="83" t="str">
        <x:v>Not Yet Reviewed</x:v>
      </x:c>
      <x:c r="Z334" s="83" t="str">
        <x:v>CTA LCSW WB2; CTA LCSW WB12; ASWB 2026 Clinical Content Area I</x:v>
      </x:c>
      <x:c r="AA334" s="83" t="str">
        <x:v>CTA_LCSW_2026_Comprehensive_Simulation_Form_B_Answer_Key_and_Detailed_Rationales_v1.0.docx</x:v>
      </x:c>
      <x:c r="AB334" s="83" t="str">
        <x:v>1.0</x:v>
      </x:c>
      <x:c r="AC334" s="102"/>
      <x:c r="AD334" s="102" t="n">
        <x:v>46228</x:v>
      </x:c>
      <x:c r="AE334" s="83" t="str">
        <x:v>Approved for Form B</x:v>
      </x:c>
      <x:c r="AF334" s="89" t="str">
        <x:v>Form B only; paired alternate retained on the other comprehensive form</x:v>
      </x:c>
    </x:row>
    <x:row r="335">
      <x:c r="A335" s="88" t="str">
        <x:v>CTA-LCSW-MQB-0334</x:v>
      </x:c>
      <x:c r="B335" s="83" t="str">
        <x:v>LCSW-MQB-FB-VE-040</x:v>
      </x:c>
      <x:c r="C335" s="83" t="str">
        <x:v>LCSW</x:v>
      </x:c>
      <x:c r="D335" s="83" t="str">
        <x:v>Comprehensive Simulation</x:v>
      </x:c>
      <x:c r="E335" s="83"/>
      <x:c r="F335" s="83"/>
      <x:c r="G335" s="83" t="str">
        <x:v>Form B</x:v>
      </x:c>
      <x:c r="H335" s="83" t="n">
        <x:v>8</x:v>
      </x:c>
      <x:c r="I335" s="83" t="str">
        <x:v>Scored-Style</x:v>
      </x:c>
      <x:c r="J335" s="83" t="str">
        <x:v>I. Values and Ethics</x:v>
      </x:c>
      <x:c r="K335" s="83" t="str">
        <x:v>Technology, consent, and equity</x:v>
      </x:c>
      <x:c r="L335" s="83" t="str"/>
      <x:c r="M335" s="83" t="str">
        <x:v>Difficult</x:v>
      </x:c>
      <x:c r="N335" s="83" t="str">
        <x:v>Difficult</x:v>
      </x:c>
      <x:c r="O335" s="83" t="str">
        <x:v>Integrated reasoning</x:v>
      </x:c>
      <x:c r="P335" s="83" t="str">
        <x:v>Integrated Clinical Reasoning</x:v>
      </x:c>
      <x:c r="Q335" s="83" t="n">
        <x:v>4</x:v>
      </x:c>
      <x:c r="R335" s="83" t="str">
        <x:v>D</x:v>
      </x:c>
      <x:c r="S335" s="83" t="str">
        <x:v>Approved</x:v>
      </x:c>
      <x:c r="T335" s="83" t="str">
        <x:v>Active</x:v>
      </x:c>
      <x:c r="U335" s="83" t="n">
        <x:v>1</x:v>
      </x:c>
      <x:c r="V335" s="83" t="str">
        <x:v>LCSW-ALT-118</x:v>
      </x:c>
      <x:c r="W335" s="83" t="str">
        <x:v>No additional flag</x:v>
      </x:c>
      <x:c r="X335" s="83" t="str">
        <x:v>No structural flag</x:v>
      </x:c>
      <x:c r="Y335" s="83" t="str">
        <x:v>Not Yet Reviewed</x:v>
      </x:c>
      <x:c r="Z335" s="83" t="str">
        <x:v>CTA LCSW WB2; CTA LCSW WB12; ASWB 2026 Clinical Content Area I</x:v>
      </x:c>
      <x:c r="AA335" s="83" t="str">
        <x:v>CTA_LCSW_2026_Comprehensive_Simulation_Form_B_Answer_Key_and_Detailed_Rationales_v1.0.docx</x:v>
      </x:c>
      <x:c r="AB335" s="83" t="str">
        <x:v>1.0</x:v>
      </x:c>
      <x:c r="AC335" s="102"/>
      <x:c r="AD335" s="102" t="n">
        <x:v>46228</x:v>
      </x:c>
      <x:c r="AE335" s="83" t="str">
        <x:v>Approved for Form B</x:v>
      </x:c>
      <x:c r="AF335" s="89" t="str">
        <x:v>Form B only; paired alternate retained on the other comprehensive form</x:v>
      </x:c>
    </x:row>
    <x:row r="336">
      <x:c r="A336" s="88" t="str">
        <x:v>CTA-LCSW-MQB-0335</x:v>
      </x:c>
      <x:c r="B336" s="83" t="str">
        <x:v>LCSW-MQB-FB-IP-014</x:v>
      </x:c>
      <x:c r="C336" s="83" t="str">
        <x:v>LCSW</x:v>
      </x:c>
      <x:c r="D336" s="83" t="str">
        <x:v>Comprehensive Simulation</x:v>
      </x:c>
      <x:c r="E336" s="83"/>
      <x:c r="F336" s="83"/>
      <x:c r="G336" s="83" t="str">
        <x:v>Form B</x:v>
      </x:c>
      <x:c r="H336" s="83" t="n">
        <x:v>9</x:v>
      </x:c>
      <x:c r="I336" s="83" t="str">
        <x:v>Scored-Style</x:v>
      </x:c>
      <x:c r="J336" s="83" t="str">
        <x:v>III. Intervention and Practice</x:v>
      </x:c>
      <x:c r="K336" s="83" t="str">
        <x:v>Grief intervention</x:v>
      </x:c>
      <x:c r="L336" s="83" t="str"/>
      <x:c r="M336" s="83" t="str">
        <x:v>Moderate</x:v>
      </x:c>
      <x:c r="N336" s="83" t="str">
        <x:v>Moderate</x:v>
      </x:c>
      <x:c r="O336" s="83" t="str">
        <x:v>Application</x:v>
      </x:c>
      <x:c r="P336" s="83" t="str">
        <x:v>Application</x:v>
      </x:c>
      <x:c r="Q336" s="83" t="n">
        <x:v>3</x:v>
      </x:c>
      <x:c r="R336" s="83" t="str">
        <x:v>C</x:v>
      </x:c>
      <x:c r="S336" s="83" t="str">
        <x:v>Approved</x:v>
      </x:c>
      <x:c r="T336" s="83" t="str">
        <x:v>Active</x:v>
      </x:c>
      <x:c r="U336" s="83" t="n">
        <x:v>1</x:v>
      </x:c>
      <x:c r="V336" s="83" t="str">
        <x:v>LCSW-ALT-053</x:v>
      </x:c>
      <x:c r="W336" s="83" t="str">
        <x:v>No additional flag</x:v>
      </x:c>
      <x:c r="X336" s="83" t="str">
        <x:v>No structural flag</x:v>
      </x:c>
      <x:c r="Y336" s="83" t="str">
        <x:v>Not Yet Reviewed</x:v>
      </x:c>
      <x:c r="Z336" s="83" t="str">
        <x:v>CTA LCSW WB8–WB11; ASWB 2026 Clinical Content Area III</x:v>
      </x:c>
      <x:c r="AA336" s="83" t="str">
        <x:v>CTA_LCSW_2026_Comprehensive_Simulation_Form_B_Answer_Key_and_Detailed_Rationales_v1.0.docx</x:v>
      </x:c>
      <x:c r="AB336" s="83" t="str">
        <x:v>1.0</x:v>
      </x:c>
      <x:c r="AC336" s="102"/>
      <x:c r="AD336" s="102" t="n">
        <x:v>46228</x:v>
      </x:c>
      <x:c r="AE336" s="83" t="str">
        <x:v>Approved for Form B</x:v>
      </x:c>
      <x:c r="AF336" s="89" t="str">
        <x:v>Form B only; paired alternate retained on the other comprehensive form</x:v>
      </x:c>
    </x:row>
    <x:row r="337">
      <x:c r="A337" s="88" t="str">
        <x:v>CTA-LCSW-MQB-0336</x:v>
      </x:c>
      <x:c r="B337" s="83" t="str">
        <x:v>LCSW-MQB-FB-VE-031</x:v>
      </x:c>
      <x:c r="C337" s="83" t="str">
        <x:v>LCSW</x:v>
      </x:c>
      <x:c r="D337" s="83" t="str">
        <x:v>Comprehensive Simulation</x:v>
      </x:c>
      <x:c r="E337" s="83"/>
      <x:c r="F337" s="83"/>
      <x:c r="G337" s="83" t="str">
        <x:v>Form B</x:v>
      </x:c>
      <x:c r="H337" s="83" t="n">
        <x:v>10</x:v>
      </x:c>
      <x:c r="I337" s="83" t="str">
        <x:v>Scored-Style</x:v>
      </x:c>
      <x:c r="J337" s="83" t="str">
        <x:v>I. Values and Ethics</x:v>
      </x:c>
      <x:c r="K337" s="83" t="str">
        <x:v>Research participation</x:v>
      </x:c>
      <x:c r="L337" s="83" t="str"/>
      <x:c r="M337" s="83" t="str">
        <x:v>Moderate</x:v>
      </x:c>
      <x:c r="N337" s="83" t="str">
        <x:v>Moderate</x:v>
      </x:c>
      <x:c r="O337" s="83" t="str">
        <x:v>Scenario-based reasoning</x:v>
      </x:c>
      <x:c r="P337" s="83" t="str">
        <x:v>Scenario-Based</x:v>
      </x:c>
      <x:c r="Q337" s="83" t="n">
        <x:v>4</x:v>
      </x:c>
      <x:c r="R337" s="83" t="str">
        <x:v>C</x:v>
      </x:c>
      <x:c r="S337" s="83" t="str">
        <x:v>Approved</x:v>
      </x:c>
      <x:c r="T337" s="83" t="str">
        <x:v>Active</x:v>
      </x:c>
      <x:c r="U337" s="83" t="n">
        <x:v>1</x:v>
      </x:c>
      <x:c r="V337" s="83" t="str">
        <x:v>LCSW-ALT-109</x:v>
      </x:c>
      <x:c r="W337" s="83" t="str">
        <x:v>No additional flag</x:v>
      </x:c>
      <x:c r="X337" s="83" t="str">
        <x:v>No structural flag</x:v>
      </x:c>
      <x:c r="Y337" s="83" t="str">
        <x:v>Not Yet Reviewed</x:v>
      </x:c>
      <x:c r="Z337" s="83" t="str">
        <x:v>CTA LCSW WB2; CTA LCSW WB12; ASWB 2026 Clinical Content Area I</x:v>
      </x:c>
      <x:c r="AA337" s="83" t="str">
        <x:v>CTA_LCSW_2026_Comprehensive_Simulation_Form_B_Answer_Key_and_Detailed_Rationales_v1.0.docx</x:v>
      </x:c>
      <x:c r="AB337" s="83" t="str">
        <x:v>1.0</x:v>
      </x:c>
      <x:c r="AC337" s="102"/>
      <x:c r="AD337" s="102" t="n">
        <x:v>46228</x:v>
      </x:c>
      <x:c r="AE337" s="83" t="str">
        <x:v>Approved for Form B</x:v>
      </x:c>
      <x:c r="AF337" s="89" t="str">
        <x:v>Form B only; paired alternate retained on the other comprehensive form</x:v>
      </x:c>
    </x:row>
    <x:row r="338">
      <x:c r="A338" s="88" t="str">
        <x:v>CTA-LCSW-MQB-0337</x:v>
      </x:c>
      <x:c r="B338" s="83" t="str">
        <x:v>LCSW-MQB-FB-AP-022</x:v>
      </x:c>
      <x:c r="C338" s="83" t="str">
        <x:v>LCSW</x:v>
      </x:c>
      <x:c r="D338" s="83" t="str">
        <x:v>Comprehensive Simulation</x:v>
      </x:c>
      <x:c r="E338" s="83"/>
      <x:c r="F338" s="83"/>
      <x:c r="G338" s="83" t="str">
        <x:v>Form B</x:v>
      </x:c>
      <x:c r="H338" s="83" t="n">
        <x:v>11</x:v>
      </x:c>
      <x:c r="I338" s="83" t="str">
        <x:v>Scored-Style</x:v>
      </x:c>
      <x:c r="J338" s="83" t="str">
        <x:v>II. Assessment and Planning</x:v>
      </x:c>
      <x:c r="K338" s="83" t="str">
        <x:v>Violence risk</x:v>
      </x:c>
      <x:c r="L338" s="83" t="str"/>
      <x:c r="M338" s="83" t="str">
        <x:v>Moderate</x:v>
      </x:c>
      <x:c r="N338" s="83" t="str">
        <x:v>Moderate</x:v>
      </x:c>
      <x:c r="O338" s="83" t="str">
        <x:v>Scenario-based reasoning</x:v>
      </x:c>
      <x:c r="P338" s="83" t="str">
        <x:v>Scenario-Based</x:v>
      </x:c>
      <x:c r="Q338" s="83" t="n">
        <x:v>3</x:v>
      </x:c>
      <x:c r="R338" s="83" t="str">
        <x:v>C</x:v>
      </x:c>
      <x:c r="S338" s="83" t="str">
        <x:v>Approved</x:v>
      </x:c>
      <x:c r="T338" s="83" t="str">
        <x:v>Active</x:v>
      </x:c>
      <x:c r="U338" s="83" t="n">
        <x:v>1</x:v>
      </x:c>
      <x:c r="V338" s="83" t="str">
        <x:v>LCSW-ALT-022</x:v>
      </x:c>
      <x:c r="W338" s="83" t="str">
        <x:v>No additional flag</x:v>
      </x:c>
      <x:c r="X338" s="83" t="str">
        <x:v>No structural flag</x:v>
      </x:c>
      <x:c r="Y338" s="83" t="str">
        <x:v>Not Yet Reviewed</x:v>
      </x:c>
      <x:c r="Z338" s="83" t="str">
        <x:v>CTA LCSW WB6; ASWB 2026 Clinical Content Area II</x:v>
      </x:c>
      <x:c r="AA338" s="83" t="str">
        <x:v>CTA_LCSW_2026_Comprehensive_Simulation_Form_B_Answer_Key_and_Detailed_Rationales_v1.0.docx</x:v>
      </x:c>
      <x:c r="AB338" s="83" t="str">
        <x:v>1.0</x:v>
      </x:c>
      <x:c r="AC338" s="102"/>
      <x:c r="AD338" s="102" t="n">
        <x:v>46228</x:v>
      </x:c>
      <x:c r="AE338" s="83" t="str">
        <x:v>Approved for Form B</x:v>
      </x:c>
      <x:c r="AF338" s="89" t="str">
        <x:v>Form B only; paired alternate retained on the other comprehensive form</x:v>
      </x:c>
    </x:row>
    <x:row r="339">
      <x:c r="A339" s="88" t="str">
        <x:v>CTA-LCSW-MQB-0338</x:v>
      </x:c>
      <x:c r="B339" s="83" t="str">
        <x:v>LCSW-MQB-FB-IP-006</x:v>
      </x:c>
      <x:c r="C339" s="83" t="str">
        <x:v>LCSW</x:v>
      </x:c>
      <x:c r="D339" s="83" t="str">
        <x:v>Comprehensive Simulation</x:v>
      </x:c>
      <x:c r="E339" s="83"/>
      <x:c r="F339" s="83"/>
      <x:c r="G339" s="83" t="str">
        <x:v>Form B</x:v>
      </x:c>
      <x:c r="H339" s="83" t="n">
        <x:v>12</x:v>
      </x:c>
      <x:c r="I339" s="83" t="str">
        <x:v>Scored-Style</x:v>
      </x:c>
      <x:c r="J339" s="83" t="str">
        <x:v>III. Intervention and Practice</x:v>
      </x:c>
      <x:c r="K339" s="83" t="str">
        <x:v>Solution-focused exceptions</x:v>
      </x:c>
      <x:c r="L339" s="83" t="str"/>
      <x:c r="M339" s="83" t="str">
        <x:v>Easy</x:v>
      </x:c>
      <x:c r="N339" s="83" t="str">
        <x:v>Easy</x:v>
      </x:c>
      <x:c r="O339" s="83" t="str">
        <x:v>Application</x:v>
      </x:c>
      <x:c r="P339" s="83" t="str">
        <x:v>Application</x:v>
      </x:c>
      <x:c r="Q339" s="83" t="n">
        <x:v>3</x:v>
      </x:c>
      <x:c r="R339" s="83" t="str">
        <x:v>A</x:v>
      </x:c>
      <x:c r="S339" s="83" t="str">
        <x:v>Approved</x:v>
      </x:c>
      <x:c r="T339" s="83" t="str">
        <x:v>Active</x:v>
      </x:c>
      <x:c r="U339" s="83" t="n">
        <x:v>1</x:v>
      </x:c>
      <x:c r="V339" s="83" t="str">
        <x:v>LCSW-ALT-045</x:v>
      </x:c>
      <x:c r="W339" s="83" t="str">
        <x:v>No additional flag</x:v>
      </x:c>
      <x:c r="X339" s="83" t="str">
        <x:v>No structural flag</x:v>
      </x:c>
      <x:c r="Y339" s="83" t="str">
        <x:v>Not Yet Reviewed</x:v>
      </x:c>
      <x:c r="Z339" s="83" t="str">
        <x:v>CTA LCSW WB8–WB11; ASWB 2026 Clinical Content Area III</x:v>
      </x:c>
      <x:c r="AA339" s="83" t="str">
        <x:v>CTA_LCSW_2026_Comprehensive_Simulation_Form_B_Answer_Key_and_Detailed_Rationales_v1.0.docx</x:v>
      </x:c>
      <x:c r="AB339" s="83" t="str">
        <x:v>1.0</x:v>
      </x:c>
      <x:c r="AC339" s="102"/>
      <x:c r="AD339" s="102" t="n">
        <x:v>46228</x:v>
      </x:c>
      <x:c r="AE339" s="83" t="str">
        <x:v>Approved for Form B</x:v>
      </x:c>
      <x:c r="AF339" s="89" t="str">
        <x:v>Form B only; paired alternate retained on the other comprehensive form</x:v>
      </x:c>
    </x:row>
    <x:row r="340">
      <x:c r="A340" s="88" t="str">
        <x:v>CTA-LCSW-MQB-0339</x:v>
      </x:c>
      <x:c r="B340" s="83" t="str">
        <x:v>LCSW-MQB-FB-VE-032</x:v>
      </x:c>
      <x:c r="C340" s="83" t="str">
        <x:v>LCSW</x:v>
      </x:c>
      <x:c r="D340" s="83" t="str">
        <x:v>Comprehensive Simulation</x:v>
      </x:c>
      <x:c r="E340" s="83"/>
      <x:c r="F340" s="83"/>
      <x:c r="G340" s="83" t="str">
        <x:v>Form B</x:v>
      </x:c>
      <x:c r="H340" s="83" t="n">
        <x:v>13</x:v>
      </x:c>
      <x:c r="I340" s="83" t="str">
        <x:v>Scored-Style</x:v>
      </x:c>
      <x:c r="J340" s="83" t="str">
        <x:v>I. Values and Ethics</x:v>
      </x:c>
      <x:c r="K340" s="83" t="str">
        <x:v>Telehealth privacy</x:v>
      </x:c>
      <x:c r="L340" s="83" t="str"/>
      <x:c r="M340" s="83" t="str">
        <x:v>Moderate</x:v>
      </x:c>
      <x:c r="N340" s="83" t="str">
        <x:v>Moderate</x:v>
      </x:c>
      <x:c r="O340" s="83" t="str">
        <x:v>Scenario-based reasoning</x:v>
      </x:c>
      <x:c r="P340" s="83" t="str">
        <x:v>Scenario-Based</x:v>
      </x:c>
      <x:c r="Q340" s="83" t="n">
        <x:v>4</x:v>
      </x:c>
      <x:c r="R340" s="83" t="str">
        <x:v>C</x:v>
      </x:c>
      <x:c r="S340" s="83" t="str">
        <x:v>Approved</x:v>
      </x:c>
      <x:c r="T340" s="83" t="str">
        <x:v>Active</x:v>
      </x:c>
      <x:c r="U340" s="83" t="n">
        <x:v>1</x:v>
      </x:c>
      <x:c r="V340" s="83" t="str">
        <x:v>LCSW-ALT-110</x:v>
      </x:c>
      <x:c r="W340" s="83" t="str">
        <x:v>No additional flag</x:v>
      </x:c>
      <x:c r="X340" s="83" t="str">
        <x:v>No structural flag</x:v>
      </x:c>
      <x:c r="Y340" s="83" t="str">
        <x:v>Not Yet Reviewed</x:v>
      </x:c>
      <x:c r="Z340" s="83" t="str">
        <x:v>CTA LCSW WB2; CTA LCSW WB12; ASWB 2026 Clinical Content Area I</x:v>
      </x:c>
      <x:c r="AA340" s="83" t="str">
        <x:v>CTA_LCSW_2026_Comprehensive_Simulation_Form_B_Answer_Key_and_Detailed_Rationales_v1.0.docx</x:v>
      </x:c>
      <x:c r="AB340" s="83" t="str">
        <x:v>1.0</x:v>
      </x:c>
      <x:c r="AC340" s="102"/>
      <x:c r="AD340" s="102" t="n">
        <x:v>46228</x:v>
      </x:c>
      <x:c r="AE340" s="83" t="str">
        <x:v>Approved for Form B</x:v>
      </x:c>
      <x:c r="AF340" s="89" t="str">
        <x:v>Form B only; paired alternate retained on the other comprehensive form</x:v>
      </x:c>
    </x:row>
    <x:row r="341">
      <x:c r="A341" s="88" t="str">
        <x:v>CTA-LCSW-MQB-0340</x:v>
      </x:c>
      <x:c r="B341" s="83" t="str">
        <x:v>LCSW-MQB-FB-AP-004</x:v>
      </x:c>
      <x:c r="C341" s="83" t="str">
        <x:v>LCSW</x:v>
      </x:c>
      <x:c r="D341" s="83" t="str">
        <x:v>Comprehensive Simulation</x:v>
      </x:c>
      <x:c r="E341" s="83"/>
      <x:c r="F341" s="83"/>
      <x:c r="G341" s="83" t="str">
        <x:v>Form B</x:v>
      </x:c>
      <x:c r="H341" s="83" t="n">
        <x:v>14</x:v>
      </x:c>
      <x:c r="I341" s="83" t="str">
        <x:v>Scored-Style</x:v>
      </x:c>
      <x:c r="J341" s="83" t="str">
        <x:v>II. Assessment and Planning</x:v>
      </x:c>
      <x:c r="K341" s="83" t="str">
        <x:v>Provisional diagnosis</x:v>
      </x:c>
      <x:c r="L341" s="83" t="str"/>
      <x:c r="M341" s="83" t="str">
        <x:v>Easy</x:v>
      </x:c>
      <x:c r="N341" s="83" t="str">
        <x:v>Easy</x:v>
      </x:c>
      <x:c r="O341" s="83" t="str">
        <x:v>Direct recognition</x:v>
      </x:c>
      <x:c r="P341" s="83" t="str">
        <x:v>Knowledge &amp; Recall</x:v>
      </x:c>
      <x:c r="Q341" s="83" t="n">
        <x:v>3</x:v>
      </x:c>
      <x:c r="R341" s="83" t="str">
        <x:v>A</x:v>
      </x:c>
      <x:c r="S341" s="83" t="str">
        <x:v>Approved</x:v>
      </x:c>
      <x:c r="T341" s="83" t="str">
        <x:v>Active</x:v>
      </x:c>
      <x:c r="U341" s="83" t="n">
        <x:v>1</x:v>
      </x:c>
      <x:c r="V341" s="83" t="str">
        <x:v>LCSW-ALT-004</x:v>
      </x:c>
      <x:c r="W341" s="83" t="str">
        <x:v>No additional flag</x:v>
      </x:c>
      <x:c r="X341" s="83" t="str">
        <x:v>No structural flag</x:v>
      </x:c>
      <x:c r="Y341" s="83" t="str">
        <x:v>Not Yet Reviewed</x:v>
      </x:c>
      <x:c r="Z341" s="83" t="str">
        <x:v>CTA LCSW WB5; ASWB 2026 Clinical Content Area II</x:v>
      </x:c>
      <x:c r="AA341" s="83" t="str">
        <x:v>CTA_LCSW_2026_Comprehensive_Simulation_Form_B_Answer_Key_and_Detailed_Rationales_v1.0.docx</x:v>
      </x:c>
      <x:c r="AB341" s="83" t="str">
        <x:v>1.0</x:v>
      </x:c>
      <x:c r="AC341" s="102"/>
      <x:c r="AD341" s="102" t="n">
        <x:v>46228</x:v>
      </x:c>
      <x:c r="AE341" s="83" t="str">
        <x:v>Approved for Form B</x:v>
      </x:c>
      <x:c r="AF341" s="89" t="str">
        <x:v>Form B only; paired alternate retained on the other comprehensive form</x:v>
      </x:c>
    </x:row>
    <x:row r="342">
      <x:c r="A342" s="88" t="str">
        <x:v>CTA-LCSW-MQB-0341</x:v>
      </x:c>
      <x:c r="B342" s="83" t="str">
        <x:v>LCSW-MQB-FB-IP-037</x:v>
      </x:c>
      <x:c r="C342" s="83" t="str">
        <x:v>LCSW</x:v>
      </x:c>
      <x:c r="D342" s="83" t="str">
        <x:v>Comprehensive Simulation</x:v>
      </x:c>
      <x:c r="E342" s="83"/>
      <x:c r="F342" s="83"/>
      <x:c r="G342" s="83" t="str">
        <x:v>Form B</x:v>
      </x:c>
      <x:c r="H342" s="83" t="n">
        <x:v>15</x:v>
      </x:c>
      <x:c r="I342" s="83" t="str">
        <x:v>Scored-Style</x:v>
      </x:c>
      <x:c r="J342" s="83" t="str">
        <x:v>III. Intervention and Practice</x:v>
      </x:c>
      <x:c r="K342" s="83" t="str">
        <x:v>Program evaluation and equity</x:v>
      </x:c>
      <x:c r="L342" s="83" t="str"/>
      <x:c r="M342" s="83" t="str">
        <x:v>Difficult</x:v>
      </x:c>
      <x:c r="N342" s="83" t="str">
        <x:v>Difficult</x:v>
      </x:c>
      <x:c r="O342" s="83" t="str">
        <x:v>Integrated reasoning</x:v>
      </x:c>
      <x:c r="P342" s="83" t="str">
        <x:v>Integrated Clinical Reasoning</x:v>
      </x:c>
      <x:c r="Q342" s="83" t="n">
        <x:v>4</x:v>
      </x:c>
      <x:c r="R342" s="83" t="str">
        <x:v>D</x:v>
      </x:c>
      <x:c r="S342" s="83" t="str">
        <x:v>Approved</x:v>
      </x:c>
      <x:c r="T342" s="83" t="str">
        <x:v>Active</x:v>
      </x:c>
      <x:c r="U342" s="83" t="n">
        <x:v>1</x:v>
      </x:c>
      <x:c r="V342" s="83" t="str">
        <x:v>LCSW-ALT-076</x:v>
      </x:c>
      <x:c r="W342" s="83" t="str">
        <x:v>No additional flag</x:v>
      </x:c>
      <x:c r="X342" s="83" t="str">
        <x:v>No structural flag</x:v>
      </x:c>
      <x:c r="Y342" s="83" t="str">
        <x:v>Not Yet Reviewed</x:v>
      </x:c>
      <x:c r="Z342" s="83" t="str">
        <x:v>CTA LCSW WB10; CTA LCSW WB11; ASWB 2026 Clinical Content Area III</x:v>
      </x:c>
      <x:c r="AA342" s="83" t="str">
        <x:v>CTA_LCSW_2026_Comprehensive_Simulation_Form_B_Answer_Key_and_Detailed_Rationales_v1.0.docx</x:v>
      </x:c>
      <x:c r="AB342" s="83" t="str">
        <x:v>1.0</x:v>
      </x:c>
      <x:c r="AC342" s="102"/>
      <x:c r="AD342" s="102" t="n">
        <x:v>46228</x:v>
      </x:c>
      <x:c r="AE342" s="83" t="str">
        <x:v>Approved for Form B</x:v>
      </x:c>
      <x:c r="AF342" s="89" t="str">
        <x:v>Form B only; paired alternate retained on the other comprehensive form</x:v>
      </x:c>
    </x:row>
    <x:row r="343">
      <x:c r="A343" s="88" t="str">
        <x:v>CTA-LCSW-MQB-0342</x:v>
      </x:c>
      <x:c r="B343" s="83" t="str">
        <x:v>LCSW-MQB-FB-AP-024</x:v>
      </x:c>
      <x:c r="C343" s="83" t="str">
        <x:v>LCSW</x:v>
      </x:c>
      <x:c r="D343" s="83" t="str">
        <x:v>Comprehensive Simulation</x:v>
      </x:c>
      <x:c r="E343" s="83"/>
      <x:c r="F343" s="83"/>
      <x:c r="G343" s="83" t="str">
        <x:v>Form B</x:v>
      </x:c>
      <x:c r="H343" s="83" t="n">
        <x:v>16</x:v>
      </x:c>
      <x:c r="I343" s="83" t="str">
        <x:v>Pretest-Style</x:v>
      </x:c>
      <x:c r="J343" s="83" t="str">
        <x:v>II. Assessment and Planning</x:v>
      </x:c>
      <x:c r="K343" s="83" t="str">
        <x:v>Domestic violence assessment</x:v>
      </x:c>
      <x:c r="L343" s="83" t="str"/>
      <x:c r="M343" s="83" t="str">
        <x:v>Moderate</x:v>
      </x:c>
      <x:c r="N343" s="83" t="str">
        <x:v>Moderate</x:v>
      </x:c>
      <x:c r="O343" s="83" t="str">
        <x:v>Scenario-based reasoning</x:v>
      </x:c>
      <x:c r="P343" s="83" t="str">
        <x:v>Scenario-Based</x:v>
      </x:c>
      <x:c r="Q343" s="83" t="n">
        <x:v>3</x:v>
      </x:c>
      <x:c r="R343" s="83" t="str">
        <x:v>A</x:v>
      </x:c>
      <x:c r="S343" s="83" t="str">
        <x:v>Approved</x:v>
      </x:c>
      <x:c r="T343" s="83" t="str">
        <x:v>Active</x:v>
      </x:c>
      <x:c r="U343" s="83" t="n">
        <x:v>1</x:v>
      </x:c>
      <x:c r="V343" s="83" t="str">
        <x:v>LCSW-ALT-024</x:v>
      </x:c>
      <x:c r="W343" s="83" t="str">
        <x:v>No additional flag</x:v>
      </x:c>
      <x:c r="X343" s="83" t="str">
        <x:v>No structural flag</x:v>
      </x:c>
      <x:c r="Y343" s="83" t="str">
        <x:v>Not Yet Reviewed</x:v>
      </x:c>
      <x:c r="Z343" s="83" t="str">
        <x:v>CTA LCSW WB6; ASWB 2026 Clinical Content Area II</x:v>
      </x:c>
      <x:c r="AA343" s="83" t="str">
        <x:v>CTA_LCSW_2026_Comprehensive_Simulation_Form_B_Answer_Key_and_Detailed_Rationales_v1.0.docx</x:v>
      </x:c>
      <x:c r="AB343" s="83" t="str">
        <x:v>1.0</x:v>
      </x:c>
      <x:c r="AC343" s="102"/>
      <x:c r="AD343" s="102" t="n">
        <x:v>46228</x:v>
      </x:c>
      <x:c r="AE343" s="83" t="str">
        <x:v>Approved for Form B</x:v>
      </x:c>
      <x:c r="AF343" s="89" t="str">
        <x:v>Form B only; paired alternate retained on the other comprehensive form</x:v>
      </x:c>
    </x:row>
    <x:row r="344">
      <x:c r="A344" s="88" t="str">
        <x:v>CTA-LCSW-MQB-0343</x:v>
      </x:c>
      <x:c r="B344" s="83" t="str">
        <x:v>LCSW-MQB-FB-IP-022</x:v>
      </x:c>
      <x:c r="C344" s="83" t="str">
        <x:v>LCSW</x:v>
      </x:c>
      <x:c r="D344" s="83" t="str">
        <x:v>Comprehensive Simulation</x:v>
      </x:c>
      <x:c r="E344" s="83"/>
      <x:c r="F344" s="83"/>
      <x:c r="G344" s="83" t="str">
        <x:v>Form B</x:v>
      </x:c>
      <x:c r="H344" s="83" t="n">
        <x:v>17</x:v>
      </x:c>
      <x:c r="I344" s="83" t="str">
        <x:v>Scored-Style</x:v>
      </x:c>
      <x:c r="J344" s="83" t="str">
        <x:v>III. Intervention and Practice</x:v>
      </x:c>
      <x:c r="K344" s="83" t="str">
        <x:v>Psychosis engagement</x:v>
      </x:c>
      <x:c r="L344" s="83" t="str"/>
      <x:c r="M344" s="83" t="str">
        <x:v>Moderate</x:v>
      </x:c>
      <x:c r="N344" s="83" t="str">
        <x:v>Moderate</x:v>
      </x:c>
      <x:c r="O344" s="83" t="str">
        <x:v>Scenario-based reasoning</x:v>
      </x:c>
      <x:c r="P344" s="83" t="str">
        <x:v>Scenario-Based</x:v>
      </x:c>
      <x:c r="Q344" s="83" t="n">
        <x:v>3</x:v>
      </x:c>
      <x:c r="R344" s="83" t="str">
        <x:v>B</x:v>
      </x:c>
      <x:c r="S344" s="83" t="str">
        <x:v>Approved</x:v>
      </x:c>
      <x:c r="T344" s="83" t="str">
        <x:v>Active</x:v>
      </x:c>
      <x:c r="U344" s="83" t="n">
        <x:v>1</x:v>
      </x:c>
      <x:c r="V344" s="83" t="str">
        <x:v>LCSW-ALT-061</x:v>
      </x:c>
      <x:c r="W344" s="83" t="str">
        <x:v>No additional flag</x:v>
      </x:c>
      <x:c r="X344" s="83" t="str">
        <x:v>No structural flag</x:v>
      </x:c>
      <x:c r="Y344" s="83" t="str">
        <x:v>Not Yet Reviewed</x:v>
      </x:c>
      <x:c r="Z344" s="83" t="str">
        <x:v>CTA LCSW WB8–WB11; ASWB 2026 Clinical Content Area III</x:v>
      </x:c>
      <x:c r="AA344" s="83" t="str">
        <x:v>CTA_LCSW_2026_Comprehensive_Simulation_Form_B_Answer_Key_and_Detailed_Rationales_v1.0.docx</x:v>
      </x:c>
      <x:c r="AB344" s="83" t="str">
        <x:v>1.0</x:v>
      </x:c>
      <x:c r="AC344" s="102"/>
      <x:c r="AD344" s="102" t="n">
        <x:v>46228</x:v>
      </x:c>
      <x:c r="AE344" s="83" t="str">
        <x:v>Approved for Form B</x:v>
      </x:c>
      <x:c r="AF344" s="89" t="str">
        <x:v>Form B only; paired alternate retained on the other comprehensive form</x:v>
      </x:c>
    </x:row>
    <x:row r="345">
      <x:c r="A345" s="88" t="str">
        <x:v>CTA-LCSW-MQB-0344</x:v>
      </x:c>
      <x:c r="B345" s="83" t="str">
        <x:v>LCSW-MQB-FB-VE-008</x:v>
      </x:c>
      <x:c r="C345" s="83" t="str">
        <x:v>LCSW</x:v>
      </x:c>
      <x:c r="D345" s="83" t="str">
        <x:v>Comprehensive Simulation</x:v>
      </x:c>
      <x:c r="E345" s="83"/>
      <x:c r="F345" s="83"/>
      <x:c r="G345" s="83" t="str">
        <x:v>Form B</x:v>
      </x:c>
      <x:c r="H345" s="83" t="n">
        <x:v>18</x:v>
      </x:c>
      <x:c r="I345" s="83" t="str">
        <x:v>Scored-Style</x:v>
      </x:c>
      <x:c r="J345" s="83" t="str">
        <x:v>I. Values and Ethics</x:v>
      </x:c>
      <x:c r="K345" s="83" t="str">
        <x:v>Gift boundaries</x:v>
      </x:c>
      <x:c r="L345" s="83" t="str"/>
      <x:c r="M345" s="83" t="str">
        <x:v>Easy</x:v>
      </x:c>
      <x:c r="N345" s="83" t="str">
        <x:v>Easy</x:v>
      </x:c>
      <x:c r="O345" s="83" t="str">
        <x:v>Application</x:v>
      </x:c>
      <x:c r="P345" s="83" t="str">
        <x:v>Application</x:v>
      </x:c>
      <x:c r="Q345" s="83" t="n">
        <x:v>3</x:v>
      </x:c>
      <x:c r="R345" s="83" t="str">
        <x:v>B</x:v>
      </x:c>
      <x:c r="S345" s="83" t="str">
        <x:v>Approved</x:v>
      </x:c>
      <x:c r="T345" s="83" t="str">
        <x:v>Active</x:v>
      </x:c>
      <x:c r="U345" s="83" t="n">
        <x:v>1</x:v>
      </x:c>
      <x:c r="V345" s="83" t="str">
        <x:v>LCSW-ALT-086</x:v>
      </x:c>
      <x:c r="W345" s="83" t="str">
        <x:v>No additional flag</x:v>
      </x:c>
      <x:c r="X345" s="83" t="str">
        <x:v>No structural flag</x:v>
      </x:c>
      <x:c r="Y345" s="83" t="str">
        <x:v>Not Yet Reviewed</x:v>
      </x:c>
      <x:c r="Z345" s="83" t="str">
        <x:v>CTA LCSW WB2; CTA LCSW WB12; ASWB 2026 Clinical Content Area I</x:v>
      </x:c>
      <x:c r="AA345" s="83" t="str">
        <x:v>CTA_LCSW_2026_Comprehensive_Simulation_Form_B_Answer_Key_and_Detailed_Rationales_v1.0.docx</x:v>
      </x:c>
      <x:c r="AB345" s="83" t="str">
        <x:v>1.0</x:v>
      </x:c>
      <x:c r="AC345" s="102"/>
      <x:c r="AD345" s="102" t="n">
        <x:v>46228</x:v>
      </x:c>
      <x:c r="AE345" s="83" t="str">
        <x:v>Approved for Form B</x:v>
      </x:c>
      <x:c r="AF345" s="89" t="str">
        <x:v>Form B only; paired alternate retained on the other comprehensive form</x:v>
      </x:c>
    </x:row>
    <x:row r="346">
      <x:c r="A346" s="88" t="str">
        <x:v>CTA-LCSW-MQB-0345</x:v>
      </x:c>
      <x:c r="B346" s="83" t="str">
        <x:v>LCSW-MQB-FB-AP-038</x:v>
      </x:c>
      <x:c r="C346" s="83" t="str">
        <x:v>LCSW</x:v>
      </x:c>
      <x:c r="D346" s="83" t="str">
        <x:v>Comprehensive Simulation</x:v>
      </x:c>
      <x:c r="E346" s="83"/>
      <x:c r="F346" s="83"/>
      <x:c r="G346" s="83" t="str">
        <x:v>Form B</x:v>
      </x:c>
      <x:c r="H346" s="83" t="n">
        <x:v>19</x:v>
      </x:c>
      <x:c r="I346" s="83" t="str">
        <x:v>Scored-Style</x:v>
      </x:c>
      <x:c r="J346" s="83" t="str">
        <x:v>II. Assessment and Planning</x:v>
      </x:c>
      <x:c r="K346" s="83" t="str">
        <x:v>Capacity, autonomy, and exploitation</x:v>
      </x:c>
      <x:c r="L346" s="83" t="str"/>
      <x:c r="M346" s="83" t="str">
        <x:v>Difficult</x:v>
      </x:c>
      <x:c r="N346" s="83" t="str">
        <x:v>Difficult</x:v>
      </x:c>
      <x:c r="O346" s="83" t="str">
        <x:v>Integrated reasoning</x:v>
      </x:c>
      <x:c r="P346" s="83" t="str">
        <x:v>Integrated Clinical Reasoning</x:v>
      </x:c>
      <x:c r="Q346" s="83" t="n">
        <x:v>4</x:v>
      </x:c>
      <x:c r="R346" s="83" t="str">
        <x:v>B</x:v>
      </x:c>
      <x:c r="S346" s="83" t="str">
        <x:v>Approved</x:v>
      </x:c>
      <x:c r="T346" s="83" t="str">
        <x:v>Active</x:v>
      </x:c>
      <x:c r="U346" s="83" t="n">
        <x:v>1</x:v>
      </x:c>
      <x:c r="V346" s="83" t="str">
        <x:v>LCSW-ALT-038</x:v>
      </x:c>
      <x:c r="W346" s="83" t="str">
        <x:v>No additional flag</x:v>
      </x:c>
      <x:c r="X346" s="83" t="str">
        <x:v>No structural flag</x:v>
      </x:c>
      <x:c r="Y346" s="83" t="str">
        <x:v>Not Yet Reviewed</x:v>
      </x:c>
      <x:c r="Z346" s="83" t="str">
        <x:v>CTA LCSW WB3–WB7; ASWB 2026 Clinical Content Area II</x:v>
      </x:c>
      <x:c r="AA346" s="83" t="str">
        <x:v>CTA_LCSW_2026_Comprehensive_Simulation_Form_B_Answer_Key_and_Detailed_Rationales_v1.0.docx</x:v>
      </x:c>
      <x:c r="AB346" s="83" t="str">
        <x:v>1.0</x:v>
      </x:c>
      <x:c r="AC346" s="102"/>
      <x:c r="AD346" s="102" t="n">
        <x:v>46228</x:v>
      </x:c>
      <x:c r="AE346" s="83" t="str">
        <x:v>Approved for Form B</x:v>
      </x:c>
      <x:c r="AF346" s="89" t="str">
        <x:v>Form B only; paired alternate retained on the other comprehensive form</x:v>
      </x:c>
    </x:row>
    <x:row r="347">
      <x:c r="A347" s="88" t="str">
        <x:v>CTA-LCSW-MQB-0346</x:v>
      </x:c>
      <x:c r="B347" s="83" t="str">
        <x:v>LCSW-MQB-FB-VE-039</x:v>
      </x:c>
      <x:c r="C347" s="83" t="str">
        <x:v>LCSW</x:v>
      </x:c>
      <x:c r="D347" s="83" t="str">
        <x:v>Comprehensive Simulation</x:v>
      </x:c>
      <x:c r="E347" s="83"/>
      <x:c r="F347" s="83"/>
      <x:c r="G347" s="83" t="str">
        <x:v>Form B</x:v>
      </x:c>
      <x:c r="H347" s="83" t="n">
        <x:v>20</x:v>
      </x:c>
      <x:c r="I347" s="83" t="str">
        <x:v>Scored-Style</x:v>
      </x:c>
      <x:c r="J347" s="83" t="str">
        <x:v>I. Values and Ethics</x:v>
      </x:c>
      <x:c r="K347" s="83" t="str">
        <x:v>Cultural values and autonomy</x:v>
      </x:c>
      <x:c r="L347" s="83" t="str"/>
      <x:c r="M347" s="83" t="str">
        <x:v>Difficult</x:v>
      </x:c>
      <x:c r="N347" s="83" t="str">
        <x:v>Difficult</x:v>
      </x:c>
      <x:c r="O347" s="83" t="str">
        <x:v>Integrated reasoning</x:v>
      </x:c>
      <x:c r="P347" s="83" t="str">
        <x:v>Integrated Clinical Reasoning</x:v>
      </x:c>
      <x:c r="Q347" s="83" t="n">
        <x:v>4</x:v>
      </x:c>
      <x:c r="R347" s="83" t="str">
        <x:v>D</x:v>
      </x:c>
      <x:c r="S347" s="83" t="str">
        <x:v>Approved</x:v>
      </x:c>
      <x:c r="T347" s="83" t="str">
        <x:v>Active</x:v>
      </x:c>
      <x:c r="U347" s="83" t="n">
        <x:v>1</x:v>
      </x:c>
      <x:c r="V347" s="83" t="str">
        <x:v>LCSW-ALT-117</x:v>
      </x:c>
      <x:c r="W347" s="83" t="str">
        <x:v>No additional flag</x:v>
      </x:c>
      <x:c r="X347" s="83" t="str">
        <x:v>No structural flag</x:v>
      </x:c>
      <x:c r="Y347" s="83" t="str">
        <x:v>Not Yet Reviewed</x:v>
      </x:c>
      <x:c r="Z347" s="83" t="str">
        <x:v>CTA LCSW WB2; ASWB 2026 Clinical Content Area I</x:v>
      </x:c>
      <x:c r="AA347" s="83" t="str">
        <x:v>CTA_LCSW_2026_Comprehensive_Simulation_Form_B_Answer_Key_and_Detailed_Rationales_v1.0.docx</x:v>
      </x:c>
      <x:c r="AB347" s="83" t="str">
        <x:v>1.0</x:v>
      </x:c>
      <x:c r="AC347" s="102"/>
      <x:c r="AD347" s="102" t="n">
        <x:v>46228</x:v>
      </x:c>
      <x:c r="AE347" s="83" t="str">
        <x:v>Approved for Form B</x:v>
      </x:c>
      <x:c r="AF347" s="89" t="str">
        <x:v>Form B only; paired alternate retained on the other comprehensive form</x:v>
      </x:c>
    </x:row>
    <x:row r="348">
      <x:c r="A348" s="88" t="str">
        <x:v>CTA-LCSW-MQB-0347</x:v>
      </x:c>
      <x:c r="B348" s="83" t="str">
        <x:v>LCSW-MQB-FB-IP-034</x:v>
      </x:c>
      <x:c r="C348" s="83" t="str">
        <x:v>LCSW</x:v>
      </x:c>
      <x:c r="D348" s="83" t="str">
        <x:v>Comprehensive Simulation</x:v>
      </x:c>
      <x:c r="E348" s="83"/>
      <x:c r="F348" s="83"/>
      <x:c r="G348" s="83" t="str">
        <x:v>Form B</x:v>
      </x:c>
      <x:c r="H348" s="83" t="n">
        <x:v>21</x:v>
      </x:c>
      <x:c r="I348" s="83" t="str">
        <x:v>Scored-Style</x:v>
      </x:c>
      <x:c r="J348" s="83" t="str">
        <x:v>III. Intervention and Practice</x:v>
      </x:c>
      <x:c r="K348" s="83" t="str">
        <x:v>Crisis, housing, and continuity</x:v>
      </x:c>
      <x:c r="L348" s="83" t="str"/>
      <x:c r="M348" s="83" t="str">
        <x:v>Difficult</x:v>
      </x:c>
      <x:c r="N348" s="83" t="str">
        <x:v>Difficult</x:v>
      </x:c>
      <x:c r="O348" s="83" t="str">
        <x:v>Integrated reasoning</x:v>
      </x:c>
      <x:c r="P348" s="83" t="str">
        <x:v>Integrated Clinical Reasoning</x:v>
      </x:c>
      <x:c r="Q348" s="83" t="n">
        <x:v>4</x:v>
      </x:c>
      <x:c r="R348" s="83" t="str">
        <x:v>C</x:v>
      </x:c>
      <x:c r="S348" s="83" t="str">
        <x:v>Approved</x:v>
      </x:c>
      <x:c r="T348" s="83" t="str">
        <x:v>Active</x:v>
      </x:c>
      <x:c r="U348" s="83" t="n">
        <x:v>1</x:v>
      </x:c>
      <x:c r="V348" s="83" t="str">
        <x:v>LCSW-ALT-073</x:v>
      </x:c>
      <x:c r="W348" s="83" t="str">
        <x:v>No additional flag</x:v>
      </x:c>
      <x:c r="X348" s="83" t="str">
        <x:v>No structural flag</x:v>
      </x:c>
      <x:c r="Y348" s="83" t="str">
        <x:v>Not Yet Reviewed</x:v>
      </x:c>
      <x:c r="Z348" s="83" t="str">
        <x:v>CTA LCSW WB10; CTA LCSW WB11; ASWB 2026 Clinical Content Area III</x:v>
      </x:c>
      <x:c r="AA348" s="83" t="str">
        <x:v>CTA_LCSW_2026_Comprehensive_Simulation_Form_B_Answer_Key_and_Detailed_Rationales_v1.0.docx</x:v>
      </x:c>
      <x:c r="AB348" s="83" t="str">
        <x:v>1.0</x:v>
      </x:c>
      <x:c r="AC348" s="102"/>
      <x:c r="AD348" s="102" t="n">
        <x:v>46228</x:v>
      </x:c>
      <x:c r="AE348" s="83" t="str">
        <x:v>Approved for Form B</x:v>
      </x:c>
      <x:c r="AF348" s="89" t="str">
        <x:v>Form B only; paired alternate retained on the other comprehensive form</x:v>
      </x:c>
    </x:row>
    <x:row r="349">
      <x:c r="A349" s="88" t="str">
        <x:v>CTA-LCSW-MQB-0348</x:v>
      </x:c>
      <x:c r="B349" s="83" t="str">
        <x:v>LCSW-MQB-FB-AP-039</x:v>
      </x:c>
      <x:c r="C349" s="83" t="str">
        <x:v>LCSW</x:v>
      </x:c>
      <x:c r="D349" s="83" t="str">
        <x:v>Comprehensive Simulation</x:v>
      </x:c>
      <x:c r="E349" s="83"/>
      <x:c r="F349" s="83"/>
      <x:c r="G349" s="83" t="str">
        <x:v>Form B</x:v>
      </x:c>
      <x:c r="H349" s="83" t="n">
        <x:v>22</x:v>
      </x:c>
      <x:c r="I349" s="83" t="str">
        <x:v>Pretest-Style</x:v>
      </x:c>
      <x:c r="J349" s="83" t="str">
        <x:v>II. Assessment and Planning</x:v>
      </x:c>
      <x:c r="K349" s="83" t="str">
        <x:v>Collaborative planning across systems</x:v>
      </x:c>
      <x:c r="L349" s="83" t="str"/>
      <x:c r="M349" s="83" t="str">
        <x:v>Difficult</x:v>
      </x:c>
      <x:c r="N349" s="83" t="str">
        <x:v>Difficult</x:v>
      </x:c>
      <x:c r="O349" s="83" t="str">
        <x:v>Integrated reasoning</x:v>
      </x:c>
      <x:c r="P349" s="83" t="str">
        <x:v>Integrated Clinical Reasoning</x:v>
      </x:c>
      <x:c r="Q349" s="83" t="n">
        <x:v>4</x:v>
      </x:c>
      <x:c r="R349" s="83" t="str">
        <x:v>D</x:v>
      </x:c>
      <x:c r="S349" s="83" t="str">
        <x:v>Approved</x:v>
      </x:c>
      <x:c r="T349" s="83" t="str">
        <x:v>Active</x:v>
      </x:c>
      <x:c r="U349" s="83" t="n">
        <x:v>1</x:v>
      </x:c>
      <x:c r="V349" s="83" t="str">
        <x:v>LCSW-ALT-039</x:v>
      </x:c>
      <x:c r="W349" s="83" t="str">
        <x:v>No additional flag</x:v>
      </x:c>
      <x:c r="X349" s="83" t="str">
        <x:v>No structural flag</x:v>
      </x:c>
      <x:c r="Y349" s="83" t="str">
        <x:v>Not Yet Reviewed</x:v>
      </x:c>
      <x:c r="Z349" s="83" t="str">
        <x:v>CTA LCSW WB3–WB7; ASWB 2026 Clinical Content Area II</x:v>
      </x:c>
      <x:c r="AA349" s="83" t="str">
        <x:v>CTA_LCSW_2026_Comprehensive_Simulation_Form_B_Answer_Key_and_Detailed_Rationales_v1.0.docx</x:v>
      </x:c>
      <x:c r="AB349" s="83" t="str">
        <x:v>1.0</x:v>
      </x:c>
      <x:c r="AC349" s="102"/>
      <x:c r="AD349" s="102" t="n">
        <x:v>46228</x:v>
      </x:c>
      <x:c r="AE349" s="83" t="str">
        <x:v>Approved for Form B</x:v>
      </x:c>
      <x:c r="AF349" s="89" t="str">
        <x:v>Form B only; paired alternate retained on the other comprehensive form</x:v>
      </x:c>
    </x:row>
    <x:row r="350">
      <x:c r="A350" s="88" t="str">
        <x:v>CTA-LCSW-MQB-0349</x:v>
      </x:c>
      <x:c r="B350" s="83" t="str">
        <x:v>LCSW-MQB-FB-AP-008</x:v>
      </x:c>
      <x:c r="C350" s="83" t="str">
        <x:v>LCSW</x:v>
      </x:c>
      <x:c r="D350" s="83" t="str">
        <x:v>Comprehensive Simulation</x:v>
      </x:c>
      <x:c r="E350" s="83"/>
      <x:c r="F350" s="83"/>
      <x:c r="G350" s="83" t="str">
        <x:v>Form B</x:v>
      </x:c>
      <x:c r="H350" s="83" t="n">
        <x:v>23</x:v>
      </x:c>
      <x:c r="I350" s="83" t="str">
        <x:v>Scored-Style</x:v>
      </x:c>
      <x:c r="J350" s="83" t="str">
        <x:v>II. Assessment and Planning</x:v>
      </x:c>
      <x:c r="K350" s="83" t="str">
        <x:v>Medication timing</x:v>
      </x:c>
      <x:c r="L350" s="83" t="str"/>
      <x:c r="M350" s="83" t="str">
        <x:v>Easy</x:v>
      </x:c>
      <x:c r="N350" s="83" t="str">
        <x:v>Easy</x:v>
      </x:c>
      <x:c r="O350" s="83" t="str">
        <x:v>Application</x:v>
      </x:c>
      <x:c r="P350" s="83" t="str">
        <x:v>Application</x:v>
      </x:c>
      <x:c r="Q350" s="83" t="n">
        <x:v>3</x:v>
      </x:c>
      <x:c r="R350" s="83" t="str">
        <x:v>C</x:v>
      </x:c>
      <x:c r="S350" s="83" t="str">
        <x:v>Approved</x:v>
      </x:c>
      <x:c r="T350" s="83" t="str">
        <x:v>Active</x:v>
      </x:c>
      <x:c r="U350" s="83" t="n">
        <x:v>1</x:v>
      </x:c>
      <x:c r="V350" s="83" t="str">
        <x:v>LCSW-ALT-008</x:v>
      </x:c>
      <x:c r="W350" s="83" t="str">
        <x:v>No additional flag</x:v>
      </x:c>
      <x:c r="X350" s="83" t="str">
        <x:v>No structural flag</x:v>
      </x:c>
      <x:c r="Y350" s="83" t="str">
        <x:v>Not Yet Reviewed</x:v>
      </x:c>
      <x:c r="Z350" s="83" t="str">
        <x:v>CTA LCSW WB5; ASWB 2026 Clinical Content Area II</x:v>
      </x:c>
      <x:c r="AA350" s="83" t="str">
        <x:v>CTA_LCSW_2026_Comprehensive_Simulation_Form_B_Answer_Key_and_Detailed_Rationales_v1.0.docx</x:v>
      </x:c>
      <x:c r="AB350" s="83" t="str">
        <x:v>1.0</x:v>
      </x:c>
      <x:c r="AC350" s="102"/>
      <x:c r="AD350" s="102" t="n">
        <x:v>46228</x:v>
      </x:c>
      <x:c r="AE350" s="83" t="str">
        <x:v>Approved for Form B</x:v>
      </x:c>
      <x:c r="AF350" s="89" t="str">
        <x:v>Form B only; paired alternate retained on the other comprehensive form</x:v>
      </x:c>
    </x:row>
    <x:row r="351">
      <x:c r="A351" s="88" t="str">
        <x:v>CTA-LCSW-MQB-0350</x:v>
      </x:c>
      <x:c r="B351" s="83" t="str">
        <x:v>LCSW-MQB-FB-IP-012</x:v>
      </x:c>
      <x:c r="C351" s="83" t="str">
        <x:v>LCSW</x:v>
      </x:c>
      <x:c r="D351" s="83" t="str">
        <x:v>Comprehensive Simulation</x:v>
      </x:c>
      <x:c r="E351" s="83"/>
      <x:c r="F351" s="83"/>
      <x:c r="G351" s="83" t="str">
        <x:v>Form B</x:v>
      </x:c>
      <x:c r="H351" s="83" t="n">
        <x:v>24</x:v>
      </x:c>
      <x:c r="I351" s="83" t="str">
        <x:v>Scored-Style</x:v>
      </x:c>
      <x:c r="J351" s="83" t="str">
        <x:v>III. Intervention and Practice</x:v>
      </x:c>
      <x:c r="K351" s="83" t="str">
        <x:v>Group facilitation</x:v>
      </x:c>
      <x:c r="L351" s="83" t="str"/>
      <x:c r="M351" s="83" t="str">
        <x:v>Moderate</x:v>
      </x:c>
      <x:c r="N351" s="83" t="str">
        <x:v>Moderate</x:v>
      </x:c>
      <x:c r="O351" s="83" t="str">
        <x:v>Application</x:v>
      </x:c>
      <x:c r="P351" s="83" t="str">
        <x:v>Application</x:v>
      </x:c>
      <x:c r="Q351" s="83" t="n">
        <x:v>3</x:v>
      </x:c>
      <x:c r="R351" s="83" t="str">
        <x:v>C</x:v>
      </x:c>
      <x:c r="S351" s="83" t="str">
        <x:v>Approved</x:v>
      </x:c>
      <x:c r="T351" s="83" t="str">
        <x:v>Active</x:v>
      </x:c>
      <x:c r="U351" s="83" t="n">
        <x:v>1</x:v>
      </x:c>
      <x:c r="V351" s="83" t="str">
        <x:v>LCSW-ALT-051</x:v>
      </x:c>
      <x:c r="W351" s="83" t="str">
        <x:v>No additional flag</x:v>
      </x:c>
      <x:c r="X351" s="83" t="str">
        <x:v>No structural flag</x:v>
      </x:c>
      <x:c r="Y351" s="83" t="str">
        <x:v>Not Yet Reviewed</x:v>
      </x:c>
      <x:c r="Z351" s="83" t="str">
        <x:v>CTA LCSW WB8–WB11; ASWB 2026 Clinical Content Area III</x:v>
      </x:c>
      <x:c r="AA351" s="83" t="str">
        <x:v>CTA_LCSW_2026_Comprehensive_Simulation_Form_B_Answer_Key_and_Detailed_Rationales_v1.0.docx</x:v>
      </x:c>
      <x:c r="AB351" s="83" t="str">
        <x:v>1.0</x:v>
      </x:c>
      <x:c r="AC351" s="102"/>
      <x:c r="AD351" s="102" t="n">
        <x:v>46228</x:v>
      </x:c>
      <x:c r="AE351" s="83" t="str">
        <x:v>Approved for Form B</x:v>
      </x:c>
      <x:c r="AF351" s="89" t="str">
        <x:v>Form B only; paired alternate retained on the other comprehensive form</x:v>
      </x:c>
    </x:row>
    <x:row r="352">
      <x:c r="A352" s="88" t="str">
        <x:v>CTA-LCSW-MQB-0351</x:v>
      </x:c>
      <x:c r="B352" s="83" t="str">
        <x:v>LCSW-MQB-FB-VE-020</x:v>
      </x:c>
      <x:c r="C352" s="83" t="str">
        <x:v>LCSW</x:v>
      </x:c>
      <x:c r="D352" s="83" t="str">
        <x:v>Comprehensive Simulation</x:v>
      </x:c>
      <x:c r="E352" s="83"/>
      <x:c r="F352" s="83"/>
      <x:c r="G352" s="83" t="str">
        <x:v>Form B</x:v>
      </x:c>
      <x:c r="H352" s="83" t="n">
        <x:v>25</x:v>
      </x:c>
      <x:c r="I352" s="83" t="str">
        <x:v>Scored-Style</x:v>
      </x:c>
      <x:c r="J352" s="83" t="str">
        <x:v>I. Values and Ethics</x:v>
      </x:c>
      <x:c r="K352" s="83" t="str">
        <x:v>Ethical consultation</x:v>
      </x:c>
      <x:c r="L352" s="83" t="str"/>
      <x:c r="M352" s="83" t="str">
        <x:v>Moderate</x:v>
      </x:c>
      <x:c r="N352" s="83" t="str">
        <x:v>Moderate</x:v>
      </x:c>
      <x:c r="O352" s="83" t="str">
        <x:v>Application</x:v>
      </x:c>
      <x:c r="P352" s="83" t="str">
        <x:v>Application</x:v>
      </x:c>
      <x:c r="Q352" s="83" t="n">
        <x:v>3</x:v>
      </x:c>
      <x:c r="R352" s="83" t="str">
        <x:v>A</x:v>
      </x:c>
      <x:c r="S352" s="83" t="str">
        <x:v>Approved</x:v>
      </x:c>
      <x:c r="T352" s="83" t="str">
        <x:v>Active</x:v>
      </x:c>
      <x:c r="U352" s="83" t="n">
        <x:v>1</x:v>
      </x:c>
      <x:c r="V352" s="83" t="str">
        <x:v>LCSW-ALT-098</x:v>
      </x:c>
      <x:c r="W352" s="83" t="str">
        <x:v>No additional flag</x:v>
      </x:c>
      <x:c r="X352" s="83" t="str">
        <x:v>No structural flag</x:v>
      </x:c>
      <x:c r="Y352" s="83" t="str">
        <x:v>Not Yet Reviewed</x:v>
      </x:c>
      <x:c r="Z352" s="83" t="str">
        <x:v>CTA LCSW WB2; CTA LCSW WB12; ASWB 2026 Clinical Content Area I</x:v>
      </x:c>
      <x:c r="AA352" s="83" t="str">
        <x:v>CTA_LCSW_2026_Comprehensive_Simulation_Form_B_Answer_Key_and_Detailed_Rationales_v1.0.docx</x:v>
      </x:c>
      <x:c r="AB352" s="83" t="str">
        <x:v>1.0</x:v>
      </x:c>
      <x:c r="AC352" s="102"/>
      <x:c r="AD352" s="102" t="n">
        <x:v>46228</x:v>
      </x:c>
      <x:c r="AE352" s="83" t="str">
        <x:v>Approved for Form B</x:v>
      </x:c>
      <x:c r="AF352" s="89" t="str">
        <x:v>Form B only; paired alternate retained on the other comprehensive form</x:v>
      </x:c>
    </x:row>
    <x:row r="353">
      <x:c r="A353" s="88" t="str">
        <x:v>CTA-LCSW-MQB-0352</x:v>
      </x:c>
      <x:c r="B353" s="83" t="str">
        <x:v>LCSW-MQB-FB-VE-036</x:v>
      </x:c>
      <x:c r="C353" s="83" t="str">
        <x:v>LCSW</x:v>
      </x:c>
      <x:c r="D353" s="83" t="str">
        <x:v>Comprehensive Simulation</x:v>
      </x:c>
      <x:c r="E353" s="83"/>
      <x:c r="F353" s="83"/>
      <x:c r="G353" s="83" t="str">
        <x:v>Form B</x:v>
      </x:c>
      <x:c r="H353" s="83" t="n">
        <x:v>26</x:v>
      </x:c>
      <x:c r="I353" s="83" t="str">
        <x:v>Scored-Style</x:v>
      </x:c>
      <x:c r="J353" s="83" t="str">
        <x:v>I. Values and Ethics</x:v>
      </x:c>
      <x:c r="K353" s="83" t="str">
        <x:v>Client complaint</x:v>
      </x:c>
      <x:c r="L353" s="83" t="str"/>
      <x:c r="M353" s="83" t="str">
        <x:v>Difficult</x:v>
      </x:c>
      <x:c r="N353" s="83" t="str">
        <x:v>Difficult</x:v>
      </x:c>
      <x:c r="O353" s="83" t="str">
        <x:v>Scenario-based reasoning</x:v>
      </x:c>
      <x:c r="P353" s="83" t="str">
        <x:v>Scenario-Based</x:v>
      </x:c>
      <x:c r="Q353" s="83" t="n">
        <x:v>4</x:v>
      </x:c>
      <x:c r="R353" s="83" t="str">
        <x:v>B</x:v>
      </x:c>
      <x:c r="S353" s="83" t="str">
        <x:v>Approved</x:v>
      </x:c>
      <x:c r="T353" s="83" t="str">
        <x:v>Active</x:v>
      </x:c>
      <x:c r="U353" s="83" t="n">
        <x:v>1</x:v>
      </x:c>
      <x:c r="V353" s="83" t="str">
        <x:v>LCSW-ALT-114</x:v>
      </x:c>
      <x:c r="W353" s="83" t="str">
        <x:v>No additional flag</x:v>
      </x:c>
      <x:c r="X353" s="83" t="str">
        <x:v>No structural flag</x:v>
      </x:c>
      <x:c r="Y353" s="83" t="str">
        <x:v>Not Yet Reviewed</x:v>
      </x:c>
      <x:c r="Z353" s="83" t="str">
        <x:v>CTA LCSW WB2; ASWB 2026 Clinical Content Area I</x:v>
      </x:c>
      <x:c r="AA353" s="83" t="str">
        <x:v>CTA_LCSW_2026_Comprehensive_Simulation_Form_B_Answer_Key_and_Detailed_Rationales_v1.0.docx</x:v>
      </x:c>
      <x:c r="AB353" s="83" t="str">
        <x:v>1.0</x:v>
      </x:c>
      <x:c r="AC353" s="102"/>
      <x:c r="AD353" s="102" t="n">
        <x:v>46228</x:v>
      </x:c>
      <x:c r="AE353" s="83" t="str">
        <x:v>Approved for Form B</x:v>
      </x:c>
      <x:c r="AF353" s="89" t="str">
        <x:v>Form B only; paired alternate retained on the other comprehensive form</x:v>
      </x:c>
    </x:row>
    <x:row r="354">
      <x:c r="A354" s="88" t="str">
        <x:v>CTA-LCSW-MQB-0353</x:v>
      </x:c>
      <x:c r="B354" s="83" t="str">
        <x:v>LCSW-MQB-FB-AP-011</x:v>
      </x:c>
      <x:c r="C354" s="83" t="str">
        <x:v>LCSW</x:v>
      </x:c>
      <x:c r="D354" s="83" t="str">
        <x:v>Comprehensive Simulation</x:v>
      </x:c>
      <x:c r="E354" s="83"/>
      <x:c r="F354" s="83"/>
      <x:c r="G354" s="83" t="str">
        <x:v>Form B</x:v>
      </x:c>
      <x:c r="H354" s="83" t="n">
        <x:v>27</x:v>
      </x:c>
      <x:c r="I354" s="83" t="str">
        <x:v>Scored-Style</x:v>
      </x:c>
      <x:c r="J354" s="83" t="str">
        <x:v>II. Assessment and Planning</x:v>
      </x:c>
      <x:c r="K354" s="83" t="str">
        <x:v>Substance-use pattern</x:v>
      </x:c>
      <x:c r="L354" s="83" t="str"/>
      <x:c r="M354" s="83" t="str">
        <x:v>Moderate</x:v>
      </x:c>
      <x:c r="N354" s="83" t="str">
        <x:v>Moderate</x:v>
      </x:c>
      <x:c r="O354" s="83" t="str">
        <x:v>Application</x:v>
      </x:c>
      <x:c r="P354" s="83" t="str">
        <x:v>Application</x:v>
      </x:c>
      <x:c r="Q354" s="83" t="n">
        <x:v>3</x:v>
      </x:c>
      <x:c r="R354" s="83" t="str">
        <x:v>B</x:v>
      </x:c>
      <x:c r="S354" s="83" t="str">
        <x:v>Approved</x:v>
      </x:c>
      <x:c r="T354" s="83" t="str">
        <x:v>Active</x:v>
      </x:c>
      <x:c r="U354" s="83" t="n">
        <x:v>1</x:v>
      </x:c>
      <x:c r="V354" s="83" t="str">
        <x:v>LCSW-ALT-011</x:v>
      </x:c>
      <x:c r="W354" s="83" t="str">
        <x:v>No additional flag</x:v>
      </x:c>
      <x:c r="X354" s="83" t="str">
        <x:v>No structural flag</x:v>
      </x:c>
      <x:c r="Y354" s="83" t="str">
        <x:v>Not Yet Reviewed</x:v>
      </x:c>
      <x:c r="Z354" s="83" t="str">
        <x:v>CTA LCSW WB3–WB7; ASWB 2026 Clinical Content Area II</x:v>
      </x:c>
      <x:c r="AA354" s="83" t="str">
        <x:v>CTA_LCSW_2026_Comprehensive_Simulation_Form_B_Answer_Key_and_Detailed_Rationales_v1.0.docx</x:v>
      </x:c>
      <x:c r="AB354" s="83" t="str">
        <x:v>1.0</x:v>
      </x:c>
      <x:c r="AC354" s="102"/>
      <x:c r="AD354" s="102" t="n">
        <x:v>46228</x:v>
      </x:c>
      <x:c r="AE354" s="83" t="str">
        <x:v>Approved for Form B</x:v>
      </x:c>
      <x:c r="AF354" s="89" t="str">
        <x:v>Form B only; paired alternate retained on the other comprehensive form</x:v>
      </x:c>
    </x:row>
    <x:row r="355">
      <x:c r="A355" s="88" t="str">
        <x:v>CTA-LCSW-MQB-0354</x:v>
      </x:c>
      <x:c r="B355" s="83" t="str">
        <x:v>LCSW-MQB-FB-VE-038</x:v>
      </x:c>
      <x:c r="C355" s="83" t="str">
        <x:v>LCSW</x:v>
      </x:c>
      <x:c r="D355" s="83" t="str">
        <x:v>Comprehensive Simulation</x:v>
      </x:c>
      <x:c r="E355" s="83"/>
      <x:c r="F355" s="83"/>
      <x:c r="G355" s="83" t="str">
        <x:v>Form B</x:v>
      </x:c>
      <x:c r="H355" s="83" t="n">
        <x:v>28</x:v>
      </x:c>
      <x:c r="I355" s="83" t="str">
        <x:v>Scored-Style</x:v>
      </x:c>
      <x:c r="J355" s="83" t="str">
        <x:v>I. Values and Ethics</x:v>
      </x:c>
      <x:c r="K355" s="83" t="str">
        <x:v>Safety and confidentiality</x:v>
      </x:c>
      <x:c r="L355" s="83" t="str"/>
      <x:c r="M355" s="83" t="str">
        <x:v>Difficult</x:v>
      </x:c>
      <x:c r="N355" s="83" t="str">
        <x:v>Difficult</x:v>
      </x:c>
      <x:c r="O355" s="83" t="str">
        <x:v>Integrated reasoning</x:v>
      </x:c>
      <x:c r="P355" s="83" t="str">
        <x:v>Integrated Clinical Reasoning</x:v>
      </x:c>
      <x:c r="Q355" s="83" t="n">
        <x:v>4</x:v>
      </x:c>
      <x:c r="R355" s="83" t="str">
        <x:v>A</x:v>
      </x:c>
      <x:c r="S355" s="83" t="str">
        <x:v>Approved</x:v>
      </x:c>
      <x:c r="T355" s="83" t="str">
        <x:v>Active</x:v>
      </x:c>
      <x:c r="U355" s="83" t="n">
        <x:v>1</x:v>
      </x:c>
      <x:c r="V355" s="83" t="str">
        <x:v>LCSW-ALT-116</x:v>
      </x:c>
      <x:c r="W355" s="83" t="str">
        <x:v>No additional flag</x:v>
      </x:c>
      <x:c r="X355" s="83" t="str">
        <x:v>No structural flag</x:v>
      </x:c>
      <x:c r="Y355" s="83" t="str">
        <x:v>Not Yet Reviewed</x:v>
      </x:c>
      <x:c r="Z355" s="83" t="str">
        <x:v>CTA LCSW WB2; CTA LCSW WB12; ASWB 2026 Clinical Content Area I</x:v>
      </x:c>
      <x:c r="AA355" s="83" t="str">
        <x:v>CTA_LCSW_2026_Comprehensive_Simulation_Form_B_Answer_Key_and_Detailed_Rationales_v1.0.docx</x:v>
      </x:c>
      <x:c r="AB355" s="83" t="str">
        <x:v>1.0</x:v>
      </x:c>
      <x:c r="AC355" s="102"/>
      <x:c r="AD355" s="102" t="n">
        <x:v>46228</x:v>
      </x:c>
      <x:c r="AE355" s="83" t="str">
        <x:v>Approved for Form B</x:v>
      </x:c>
      <x:c r="AF355" s="89" t="str">
        <x:v>Form B only; paired alternate retained on the other comprehensive form</x:v>
      </x:c>
    </x:row>
    <x:row r="356">
      <x:c r="A356" s="88" t="str">
        <x:v>CTA-LCSW-MQB-0355</x:v>
      </x:c>
      <x:c r="B356" s="83" t="str">
        <x:v>LCSW-MQB-FB-IP-002</x:v>
      </x:c>
      <x:c r="C356" s="83" t="str">
        <x:v>LCSW</x:v>
      </x:c>
      <x:c r="D356" s="83" t="str">
        <x:v>Comprehensive Simulation</x:v>
      </x:c>
      <x:c r="E356" s="83"/>
      <x:c r="F356" s="83"/>
      <x:c r="G356" s="83" t="str">
        <x:v>Form B</x:v>
      </x:c>
      <x:c r="H356" s="83" t="n">
        <x:v>29</x:v>
      </x:c>
      <x:c r="I356" s="83" t="str">
        <x:v>Scored-Style</x:v>
      </x:c>
      <x:c r="J356" s="83" t="str">
        <x:v>III. Intervention and Practice</x:v>
      </x:c>
      <x:c r="K356" s="83" t="str">
        <x:v>Program evaluation</x:v>
      </x:c>
      <x:c r="L356" s="83" t="str"/>
      <x:c r="M356" s="83" t="str">
        <x:v>Easy</x:v>
      </x:c>
      <x:c r="N356" s="83" t="str">
        <x:v>Easy</x:v>
      </x:c>
      <x:c r="O356" s="83" t="str">
        <x:v>Direct recognition</x:v>
      </x:c>
      <x:c r="P356" s="83" t="str">
        <x:v>Knowledge &amp; Recall</x:v>
      </x:c>
      <x:c r="Q356" s="83" t="n">
        <x:v>3</x:v>
      </x:c>
      <x:c r="R356" s="83" t="str">
        <x:v>B</x:v>
      </x:c>
      <x:c r="S356" s="83" t="str">
        <x:v>Approved</x:v>
      </x:c>
      <x:c r="T356" s="83" t="str">
        <x:v>Active</x:v>
      </x:c>
      <x:c r="U356" s="83" t="n">
        <x:v>1</x:v>
      </x:c>
      <x:c r="V356" s="83" t="str">
        <x:v>LCSW-ALT-041</x:v>
      </x:c>
      <x:c r="W356" s="83" t="str">
        <x:v>No additional flag</x:v>
      </x:c>
      <x:c r="X356" s="83" t="str">
        <x:v>No structural flag</x:v>
      </x:c>
      <x:c r="Y356" s="83" t="str">
        <x:v>Not Yet Reviewed</x:v>
      </x:c>
      <x:c r="Z356" s="83" t="str">
        <x:v>CTA LCSW WB10; CTA LCSW WB11; ASWB 2026 Clinical Content Area III</x:v>
      </x:c>
      <x:c r="AA356" s="83" t="str">
        <x:v>CTA_LCSW_2026_Comprehensive_Simulation_Form_B_Answer_Key_and_Detailed_Rationales_v1.0.docx</x:v>
      </x:c>
      <x:c r="AB356" s="83" t="str">
        <x:v>1.0</x:v>
      </x:c>
      <x:c r="AC356" s="102"/>
      <x:c r="AD356" s="102" t="n">
        <x:v>46228</x:v>
      </x:c>
      <x:c r="AE356" s="83" t="str">
        <x:v>Approved for Form B</x:v>
      </x:c>
      <x:c r="AF356" s="89" t="str">
        <x:v>Form B only; paired alternate retained on the other comprehensive form</x:v>
      </x:c>
    </x:row>
    <x:row r="357">
      <x:c r="A357" s="88" t="str">
        <x:v>CTA-LCSW-MQB-0356</x:v>
      </x:c>
      <x:c r="B357" s="83" t="str">
        <x:v>LCSW-MQB-FB-VE-030</x:v>
      </x:c>
      <x:c r="C357" s="83" t="str">
        <x:v>LCSW</x:v>
      </x:c>
      <x:c r="D357" s="83" t="str">
        <x:v>Comprehensive Simulation</x:v>
      </x:c>
      <x:c r="E357" s="83"/>
      <x:c r="F357" s="83"/>
      <x:c r="G357" s="83" t="str">
        <x:v>Form B</x:v>
      </x:c>
      <x:c r="H357" s="83" t="n">
        <x:v>30</x:v>
      </x:c>
      <x:c r="I357" s="83" t="str">
        <x:v>Scored-Style</x:v>
      </x:c>
      <x:c r="J357" s="83" t="str">
        <x:v>I. Values and Ethics</x:v>
      </x:c>
      <x:c r="K357" s="83" t="str">
        <x:v>Supervisor impairment</x:v>
      </x:c>
      <x:c r="L357" s="83" t="str"/>
      <x:c r="M357" s="83" t="str">
        <x:v>Moderate</x:v>
      </x:c>
      <x:c r="N357" s="83" t="str">
        <x:v>Moderate</x:v>
      </x:c>
      <x:c r="O357" s="83" t="str">
        <x:v>Scenario-based reasoning</x:v>
      </x:c>
      <x:c r="P357" s="83" t="str">
        <x:v>Scenario-Based</x:v>
      </x:c>
      <x:c r="Q357" s="83" t="n">
        <x:v>4</x:v>
      </x:c>
      <x:c r="R357" s="83" t="str">
        <x:v>A</x:v>
      </x:c>
      <x:c r="S357" s="83" t="str">
        <x:v>Approved</x:v>
      </x:c>
      <x:c r="T357" s="83" t="str">
        <x:v>Active</x:v>
      </x:c>
      <x:c r="U357" s="83" t="n">
        <x:v>1</x:v>
      </x:c>
      <x:c r="V357" s="83" t="str">
        <x:v>LCSW-ALT-108</x:v>
      </x:c>
      <x:c r="W357" s="83" t="str">
        <x:v>No additional flag</x:v>
      </x:c>
      <x:c r="X357" s="83" t="str">
        <x:v>No structural flag</x:v>
      </x:c>
      <x:c r="Y357" s="83" t="str">
        <x:v>Not Yet Reviewed</x:v>
      </x:c>
      <x:c r="Z357" s="83" t="str">
        <x:v>CTA LCSW WB2; CTA LCSW WB12; ASWB 2026 Clinical Content Area I</x:v>
      </x:c>
      <x:c r="AA357" s="83" t="str">
        <x:v>CTA_LCSW_2026_Comprehensive_Simulation_Form_B_Answer_Key_and_Detailed_Rationales_v1.0.docx</x:v>
      </x:c>
      <x:c r="AB357" s="83" t="str">
        <x:v>1.0</x:v>
      </x:c>
      <x:c r="AC357" s="102"/>
      <x:c r="AD357" s="102" t="n">
        <x:v>46228</x:v>
      </x:c>
      <x:c r="AE357" s="83" t="str">
        <x:v>Approved for Form B</x:v>
      </x:c>
      <x:c r="AF357" s="89" t="str">
        <x:v>Form B only; paired alternate retained on the other comprehensive form</x:v>
      </x:c>
    </x:row>
    <x:row r="358">
      <x:c r="A358" s="88" t="str">
        <x:v>CTA-LCSW-MQB-0357</x:v>
      </x:c>
      <x:c r="B358" s="83" t="str">
        <x:v>LCSW-MQB-FB-VE-002</x:v>
      </x:c>
      <x:c r="C358" s="83" t="str">
        <x:v>LCSW</x:v>
      </x:c>
      <x:c r="D358" s="83" t="str">
        <x:v>Comprehensive Simulation</x:v>
      </x:c>
      <x:c r="E358" s="83"/>
      <x:c r="F358" s="83"/>
      <x:c r="G358" s="83" t="str">
        <x:v>Form B</x:v>
      </x:c>
      <x:c r="H358" s="83" t="n">
        <x:v>31</x:v>
      </x:c>
      <x:c r="I358" s="83" t="str">
        <x:v>Scored-Style</x:v>
      </x:c>
      <x:c r="J358" s="83" t="str">
        <x:v>I. Values and Ethics</x:v>
      </x:c>
      <x:c r="K358" s="83" t="str">
        <x:v>Informed consent</x:v>
      </x:c>
      <x:c r="L358" s="83" t="str"/>
      <x:c r="M358" s="83" t="str">
        <x:v>Easy</x:v>
      </x:c>
      <x:c r="N358" s="83" t="str">
        <x:v>Easy</x:v>
      </x:c>
      <x:c r="O358" s="83" t="str">
        <x:v>Direct recognition</x:v>
      </x:c>
      <x:c r="P358" s="83" t="str">
        <x:v>Knowledge &amp; Recall</x:v>
      </x:c>
      <x:c r="Q358" s="83" t="n">
        <x:v>3</x:v>
      </x:c>
      <x:c r="R358" s="83" t="str">
        <x:v>B</x:v>
      </x:c>
      <x:c r="S358" s="83" t="str">
        <x:v>Approved</x:v>
      </x:c>
      <x:c r="T358" s="83" t="str">
        <x:v>Active</x:v>
      </x:c>
      <x:c r="U358" s="83" t="n">
        <x:v>1</x:v>
      </x:c>
      <x:c r="V358" s="83" t="str">
        <x:v>LCSW-ALT-080</x:v>
      </x:c>
      <x:c r="W358" s="83" t="str">
        <x:v>No additional flag</x:v>
      </x:c>
      <x:c r="X358" s="83" t="str">
        <x:v>No structural flag</x:v>
      </x:c>
      <x:c r="Y358" s="83" t="str">
        <x:v>Not Yet Reviewed</x:v>
      </x:c>
      <x:c r="Z358" s="83" t="str">
        <x:v>CTA LCSW WB2; ASWB 2026 Clinical Content Area I</x:v>
      </x:c>
      <x:c r="AA358" s="83" t="str">
        <x:v>CTA_LCSW_2026_Comprehensive_Simulation_Form_B_Answer_Key_and_Detailed_Rationales_v1.0.docx</x:v>
      </x:c>
      <x:c r="AB358" s="83" t="str">
        <x:v>1.0</x:v>
      </x:c>
      <x:c r="AC358" s="102"/>
      <x:c r="AD358" s="102" t="n">
        <x:v>46228</x:v>
      </x:c>
      <x:c r="AE358" s="83" t="str">
        <x:v>Approved for Form B</x:v>
      </x:c>
      <x:c r="AF358" s="89" t="str">
        <x:v>Form B only; paired alternate retained on the other comprehensive form</x:v>
      </x:c>
    </x:row>
    <x:row r="359">
      <x:c r="A359" s="88" t="str">
        <x:v>CTA-LCSW-MQB-0358</x:v>
      </x:c>
      <x:c r="B359" s="83" t="str">
        <x:v>LCSW-MQB-FB-IP-007</x:v>
      </x:c>
      <x:c r="C359" s="83" t="str">
        <x:v>LCSW</x:v>
      </x:c>
      <x:c r="D359" s="83" t="str">
        <x:v>Comprehensive Simulation</x:v>
      </x:c>
      <x:c r="E359" s="83"/>
      <x:c r="F359" s="83"/>
      <x:c r="G359" s="83" t="str">
        <x:v>Form B</x:v>
      </x:c>
      <x:c r="H359" s="83" t="n">
        <x:v>32</x:v>
      </x:c>
      <x:c r="I359" s="83" t="str">
        <x:v>Scored-Style</x:v>
      </x:c>
      <x:c r="J359" s="83" t="str">
        <x:v>III. Intervention and Practice</x:v>
      </x:c>
      <x:c r="K359" s="83" t="str">
        <x:v>Psychoeducation</x:v>
      </x:c>
      <x:c r="L359" s="83" t="str"/>
      <x:c r="M359" s="83" t="str">
        <x:v>Easy</x:v>
      </x:c>
      <x:c r="N359" s="83" t="str">
        <x:v>Easy</x:v>
      </x:c>
      <x:c r="O359" s="83" t="str">
        <x:v>Application</x:v>
      </x:c>
      <x:c r="P359" s="83" t="str">
        <x:v>Application</x:v>
      </x:c>
      <x:c r="Q359" s="83" t="n">
        <x:v>3</x:v>
      </x:c>
      <x:c r="R359" s="83" t="str">
        <x:v>A</x:v>
      </x:c>
      <x:c r="S359" s="83" t="str">
        <x:v>Approved</x:v>
      </x:c>
      <x:c r="T359" s="83" t="str">
        <x:v>Active</x:v>
      </x:c>
      <x:c r="U359" s="83" t="n">
        <x:v>1</x:v>
      </x:c>
      <x:c r="V359" s="83" t="str">
        <x:v>LCSW-ALT-046</x:v>
      </x:c>
      <x:c r="W359" s="83" t="str">
        <x:v>No additional flag</x:v>
      </x:c>
      <x:c r="X359" s="83" t="str">
        <x:v>No structural flag</x:v>
      </x:c>
      <x:c r="Y359" s="83" t="str">
        <x:v>Not Yet Reviewed</x:v>
      </x:c>
      <x:c r="Z359" s="83" t="str">
        <x:v>CTA LCSW WB8–WB11; ASWB 2026 Clinical Content Area III</x:v>
      </x:c>
      <x:c r="AA359" s="83" t="str">
        <x:v>CTA_LCSW_2026_Comprehensive_Simulation_Form_B_Answer_Key_and_Detailed_Rationales_v1.0.docx</x:v>
      </x:c>
      <x:c r="AB359" s="83" t="str">
        <x:v>1.0</x:v>
      </x:c>
      <x:c r="AC359" s="102"/>
      <x:c r="AD359" s="102" t="n">
        <x:v>46228</x:v>
      </x:c>
      <x:c r="AE359" s="83" t="str">
        <x:v>Approved for Form B</x:v>
      </x:c>
      <x:c r="AF359" s="89" t="str">
        <x:v>Form B only; paired alternate retained on the other comprehensive form</x:v>
      </x:c>
    </x:row>
    <x:row r="360">
      <x:c r="A360" s="88" t="str">
        <x:v>CTA-LCSW-MQB-0359</x:v>
      </x:c>
      <x:c r="B360" s="83" t="str">
        <x:v>LCSW-MQB-FB-AP-027</x:v>
      </x:c>
      <x:c r="C360" s="83" t="str">
        <x:v>LCSW</x:v>
      </x:c>
      <x:c r="D360" s="83" t="str">
        <x:v>Comprehensive Simulation</x:v>
      </x:c>
      <x:c r="E360" s="83"/>
      <x:c r="F360" s="83"/>
      <x:c r="G360" s="83" t="str">
        <x:v>Form B</x:v>
      </x:c>
      <x:c r="H360" s="83" t="n">
        <x:v>33</x:v>
      </x:c>
      <x:c r="I360" s="83" t="str">
        <x:v>Scored-Style</x:v>
      </x:c>
      <x:c r="J360" s="83" t="str">
        <x:v>II. Assessment and Planning</x:v>
      </x:c>
      <x:c r="K360" s="83" t="str">
        <x:v>Trauma pacing</x:v>
      </x:c>
      <x:c r="L360" s="83" t="str"/>
      <x:c r="M360" s="83" t="str">
        <x:v>Moderate</x:v>
      </x:c>
      <x:c r="N360" s="83" t="str">
        <x:v>Moderate</x:v>
      </x:c>
      <x:c r="O360" s="83" t="str">
        <x:v>Scenario-based reasoning</x:v>
      </x:c>
      <x:c r="P360" s="83" t="str">
        <x:v>Scenario-Based</x:v>
      </x:c>
      <x:c r="Q360" s="83" t="n">
        <x:v>4</x:v>
      </x:c>
      <x:c r="R360" s="83" t="str">
        <x:v>A</x:v>
      </x:c>
      <x:c r="S360" s="83" t="str">
        <x:v>Approved</x:v>
      </x:c>
      <x:c r="T360" s="83" t="str">
        <x:v>Active</x:v>
      </x:c>
      <x:c r="U360" s="83" t="n">
        <x:v>1</x:v>
      </x:c>
      <x:c r="V360" s="83" t="str">
        <x:v>LCSW-ALT-027</x:v>
      </x:c>
      <x:c r="W360" s="83" t="str">
        <x:v>No additional flag</x:v>
      </x:c>
      <x:c r="X360" s="83" t="str">
        <x:v>No structural flag</x:v>
      </x:c>
      <x:c r="Y360" s="83" t="str">
        <x:v>Not Yet Reviewed</x:v>
      </x:c>
      <x:c r="Z360" s="83" t="str">
        <x:v>CTA LCSW WB6; ASWB 2026 Clinical Content Area II</x:v>
      </x:c>
      <x:c r="AA360" s="83" t="str">
        <x:v>CTA_LCSW_2026_Comprehensive_Simulation_Form_B_Answer_Key_and_Detailed_Rationales_v1.0.docx</x:v>
      </x:c>
      <x:c r="AB360" s="83" t="str">
        <x:v>1.0</x:v>
      </x:c>
      <x:c r="AC360" s="102"/>
      <x:c r="AD360" s="102" t="n">
        <x:v>46228</x:v>
      </x:c>
      <x:c r="AE360" s="83" t="str">
        <x:v>Approved for Form B</x:v>
      </x:c>
      <x:c r="AF360" s="89" t="str">
        <x:v>Form B only; paired alternate retained on the other comprehensive form</x:v>
      </x:c>
    </x:row>
    <x:row r="361">
      <x:c r="A361" s="88" t="str">
        <x:v>CTA-LCSW-MQB-0360</x:v>
      </x:c>
      <x:c r="B361" s="83" t="str">
        <x:v>LCSW-MQB-FB-AP-005</x:v>
      </x:c>
      <x:c r="C361" s="83" t="str">
        <x:v>LCSW</x:v>
      </x:c>
      <x:c r="D361" s="83" t="str">
        <x:v>Comprehensive Simulation</x:v>
      </x:c>
      <x:c r="E361" s="83"/>
      <x:c r="F361" s="83"/>
      <x:c r="G361" s="83" t="str">
        <x:v>Form B</x:v>
      </x:c>
      <x:c r="H361" s="83" t="n">
        <x:v>34</x:v>
      </x:c>
      <x:c r="I361" s="83" t="str">
        <x:v>Scored-Style</x:v>
      </x:c>
      <x:c r="J361" s="83" t="str">
        <x:v>II. Assessment and Planning</x:v>
      </x:c>
      <x:c r="K361" s="83" t="str">
        <x:v>Open-ended assessment</x:v>
      </x:c>
      <x:c r="L361" s="83" t="str"/>
      <x:c r="M361" s="83" t="str">
        <x:v>Easy</x:v>
      </x:c>
      <x:c r="N361" s="83" t="str">
        <x:v>Easy</x:v>
      </x:c>
      <x:c r="O361" s="83" t="str">
        <x:v>Application</x:v>
      </x:c>
      <x:c r="P361" s="83" t="str">
        <x:v>Application</x:v>
      </x:c>
      <x:c r="Q361" s="83" t="n">
        <x:v>3</x:v>
      </x:c>
      <x:c r="R361" s="83" t="str">
        <x:v>B</x:v>
      </x:c>
      <x:c r="S361" s="83" t="str">
        <x:v>Approved</x:v>
      </x:c>
      <x:c r="T361" s="83" t="str">
        <x:v>Active</x:v>
      </x:c>
      <x:c r="U361" s="83" t="n">
        <x:v>1</x:v>
      </x:c>
      <x:c r="V361" s="83" t="str">
        <x:v>LCSW-ALT-005</x:v>
      </x:c>
      <x:c r="W361" s="83" t="str">
        <x:v>No additional flag</x:v>
      </x:c>
      <x:c r="X361" s="83" t="str">
        <x:v>No structural flag</x:v>
      </x:c>
      <x:c r="Y361" s="83" t="str">
        <x:v>Not Yet Reviewed</x:v>
      </x:c>
      <x:c r="Z361" s="83" t="str">
        <x:v>CTA LCSW WB3–WB7; ASWB 2026 Clinical Content Area II</x:v>
      </x:c>
      <x:c r="AA361" s="83" t="str">
        <x:v>CTA_LCSW_2026_Comprehensive_Simulation_Form_B_Answer_Key_and_Detailed_Rationales_v1.0.docx</x:v>
      </x:c>
      <x:c r="AB361" s="83" t="str">
        <x:v>1.0</x:v>
      </x:c>
      <x:c r="AC361" s="102"/>
      <x:c r="AD361" s="102" t="n">
        <x:v>46228</x:v>
      </x:c>
      <x:c r="AE361" s="83" t="str">
        <x:v>Approved for Form B</x:v>
      </x:c>
      <x:c r="AF361" s="89" t="str">
        <x:v>Form B only; paired alternate retained on the other comprehensive form</x:v>
      </x:c>
    </x:row>
    <x:row r="362">
      <x:c r="A362" s="88" t="str">
        <x:v>CTA-LCSW-MQB-0361</x:v>
      </x:c>
      <x:c r="B362" s="83" t="str">
        <x:v>LCSW-MQB-FB-IP-031</x:v>
      </x:c>
      <x:c r="C362" s="83" t="str">
        <x:v>LCSW</x:v>
      </x:c>
      <x:c r="D362" s="83" t="str">
        <x:v>Comprehensive Simulation</x:v>
      </x:c>
      <x:c r="E362" s="83"/>
      <x:c r="F362" s="83"/>
      <x:c r="G362" s="83" t="str">
        <x:v>Form B</x:v>
      </x:c>
      <x:c r="H362" s="83" t="n">
        <x:v>35</x:v>
      </x:c>
      <x:c r="I362" s="83" t="str">
        <x:v>Scored-Style</x:v>
      </x:c>
      <x:c r="J362" s="83" t="str">
        <x:v>III. Intervention and Practice</x:v>
      </x:c>
      <x:c r="K362" s="83" t="str">
        <x:v>Program fidelity and adaptation</x:v>
      </x:c>
      <x:c r="L362" s="83" t="str"/>
      <x:c r="M362" s="83" t="str">
        <x:v>Difficult</x:v>
      </x:c>
      <x:c r="N362" s="83" t="str">
        <x:v>Difficult</x:v>
      </x:c>
      <x:c r="O362" s="83" t="str">
        <x:v>Scenario-based reasoning</x:v>
      </x:c>
      <x:c r="P362" s="83" t="str">
        <x:v>Scenario-Based</x:v>
      </x:c>
      <x:c r="Q362" s="83" t="n">
        <x:v>4</x:v>
      </x:c>
      <x:c r="R362" s="83" t="str">
        <x:v>D</x:v>
      </x:c>
      <x:c r="S362" s="83" t="str">
        <x:v>Approved</x:v>
      </x:c>
      <x:c r="T362" s="83" t="str">
        <x:v>Active</x:v>
      </x:c>
      <x:c r="U362" s="83" t="n">
        <x:v>1</x:v>
      </x:c>
      <x:c r="V362" s="83" t="str">
        <x:v>LCSW-ALT-070</x:v>
      </x:c>
      <x:c r="W362" s="83" t="str">
        <x:v>No additional flag</x:v>
      </x:c>
      <x:c r="X362" s="83" t="str">
        <x:v>No structural flag</x:v>
      </x:c>
      <x:c r="Y362" s="83" t="str">
        <x:v>Not Yet Reviewed</x:v>
      </x:c>
      <x:c r="Z362" s="83" t="str">
        <x:v>CTA LCSW WB10; CTA LCSW WB11; ASWB 2026 Clinical Content Area III</x:v>
      </x:c>
      <x:c r="AA362" s="83" t="str">
        <x:v>CTA_LCSW_2026_Comprehensive_Simulation_Form_B_Answer_Key_and_Detailed_Rationales_v1.0.docx</x:v>
      </x:c>
      <x:c r="AB362" s="83" t="str">
        <x:v>1.0</x:v>
      </x:c>
      <x:c r="AC362" s="102"/>
      <x:c r="AD362" s="102" t="n">
        <x:v>46228</x:v>
      </x:c>
      <x:c r="AE362" s="83" t="str">
        <x:v>Approved for Form B</x:v>
      </x:c>
      <x:c r="AF362" s="89" t="str">
        <x:v>Form B only; paired alternate retained on the other comprehensive form</x:v>
      </x:c>
    </x:row>
    <x:row r="363">
      <x:c r="A363" s="88" t="str">
        <x:v>CTA-LCSW-MQB-0362</x:v>
      </x:c>
      <x:c r="B363" s="83" t="str">
        <x:v>LCSW-MQB-FB-VE-004</x:v>
      </x:c>
      <x:c r="C363" s="83" t="str">
        <x:v>LCSW</x:v>
      </x:c>
      <x:c r="D363" s="83" t="str">
        <x:v>Comprehensive Simulation</x:v>
      </x:c>
      <x:c r="E363" s="83"/>
      <x:c r="F363" s="83"/>
      <x:c r="G363" s="83" t="str">
        <x:v>Form B</x:v>
      </x:c>
      <x:c r="H363" s="83" t="n">
        <x:v>36</x:v>
      </x:c>
      <x:c r="I363" s="83" t="str">
        <x:v>Scored-Style</x:v>
      </x:c>
      <x:c r="J363" s="83" t="str">
        <x:v>I. Values and Ethics</x:v>
      </x:c>
      <x:c r="K363" s="83" t="str">
        <x:v>Cultural humility</x:v>
      </x:c>
      <x:c r="L363" s="83" t="str"/>
      <x:c r="M363" s="83" t="str">
        <x:v>Easy</x:v>
      </x:c>
      <x:c r="N363" s="83" t="str">
        <x:v>Easy</x:v>
      </x:c>
      <x:c r="O363" s="83" t="str">
        <x:v>Direct recognition</x:v>
      </x:c>
      <x:c r="P363" s="83" t="str">
        <x:v>Knowledge &amp; Recall</x:v>
      </x:c>
      <x:c r="Q363" s="83" t="n">
        <x:v>3</x:v>
      </x:c>
      <x:c r="R363" s="83" t="str">
        <x:v>C</x:v>
      </x:c>
      <x:c r="S363" s="83" t="str">
        <x:v>Approved</x:v>
      </x:c>
      <x:c r="T363" s="83" t="str">
        <x:v>Active</x:v>
      </x:c>
      <x:c r="U363" s="83" t="n">
        <x:v>1</x:v>
      </x:c>
      <x:c r="V363" s="83" t="str">
        <x:v>LCSW-ALT-082</x:v>
      </x:c>
      <x:c r="W363" s="83" t="str">
        <x:v>No additional flag</x:v>
      </x:c>
      <x:c r="X363" s="83" t="str">
        <x:v>No structural flag</x:v>
      </x:c>
      <x:c r="Y363" s="83" t="str">
        <x:v>Not Yet Reviewed</x:v>
      </x:c>
      <x:c r="Z363" s="83" t="str">
        <x:v>CTA LCSW WB2; ASWB 2026 Clinical Content Area I</x:v>
      </x:c>
      <x:c r="AA363" s="83" t="str">
        <x:v>CTA_LCSW_2026_Comprehensive_Simulation_Form_B_Answer_Key_and_Detailed_Rationales_v1.0.docx</x:v>
      </x:c>
      <x:c r="AB363" s="83" t="str">
        <x:v>1.0</x:v>
      </x:c>
      <x:c r="AC363" s="102"/>
      <x:c r="AD363" s="102" t="n">
        <x:v>46228</x:v>
      </x:c>
      <x:c r="AE363" s="83" t="str">
        <x:v>Approved for Form B</x:v>
      </x:c>
      <x:c r="AF363" s="89" t="str">
        <x:v>Form B only; paired alternate retained on the other comprehensive form</x:v>
      </x:c>
    </x:row>
    <x:row r="364">
      <x:c r="A364" s="88" t="str">
        <x:v>CTA-LCSW-MQB-0363</x:v>
      </x:c>
      <x:c r="B364" s="83" t="str">
        <x:v>LCSW-MQB-FB-VE-043</x:v>
      </x:c>
      <x:c r="C364" s="83" t="str">
        <x:v>LCSW</x:v>
      </x:c>
      <x:c r="D364" s="83" t="str">
        <x:v>Comprehensive Simulation</x:v>
      </x:c>
      <x:c r="E364" s="83"/>
      <x:c r="F364" s="83"/>
      <x:c r="G364" s="83" t="str">
        <x:v>Form B</x:v>
      </x:c>
      <x:c r="H364" s="83" t="n">
        <x:v>37</x:v>
      </x:c>
      <x:c r="I364" s="83" t="str">
        <x:v>Scored-Style</x:v>
      </x:c>
      <x:c r="J364" s="83" t="str">
        <x:v>I. Values and Ethics</x:v>
      </x:c>
      <x:c r="K364" s="83" t="str">
        <x:v>Former-client boundary and access</x:v>
      </x:c>
      <x:c r="L364" s="83" t="str"/>
      <x:c r="M364" s="83" t="str">
        <x:v>Difficult</x:v>
      </x:c>
      <x:c r="N364" s="83" t="str">
        <x:v>Difficult</x:v>
      </x:c>
      <x:c r="O364" s="83" t="str">
        <x:v>Integrated reasoning</x:v>
      </x:c>
      <x:c r="P364" s="83" t="str">
        <x:v>Integrated Clinical Reasoning</x:v>
      </x:c>
      <x:c r="Q364" s="83" t="n">
        <x:v>4</x:v>
      </x:c>
      <x:c r="R364" s="83" t="str">
        <x:v>C</x:v>
      </x:c>
      <x:c r="S364" s="83" t="str">
        <x:v>Approved</x:v>
      </x:c>
      <x:c r="T364" s="83" t="str">
        <x:v>Active</x:v>
      </x:c>
      <x:c r="U364" s="83" t="n">
        <x:v>1</x:v>
      </x:c>
      <x:c r="V364" s="83" t="str">
        <x:v>LCSW-ALT-121</x:v>
      </x:c>
      <x:c r="W364" s="83" t="str">
        <x:v>No additional flag</x:v>
      </x:c>
      <x:c r="X364" s="83" t="str">
        <x:v>No structural flag</x:v>
      </x:c>
      <x:c r="Y364" s="83" t="str">
        <x:v>Not Yet Reviewed</x:v>
      </x:c>
      <x:c r="Z364" s="83" t="str">
        <x:v>CTA LCSW WB2; CTA LCSW WB12; ASWB 2026 Clinical Content Area I</x:v>
      </x:c>
      <x:c r="AA364" s="83" t="str">
        <x:v>CTA_LCSW_2026_Comprehensive_Simulation_Form_B_Answer_Key_and_Detailed_Rationales_v1.0.docx</x:v>
      </x:c>
      <x:c r="AB364" s="83" t="str">
        <x:v>1.0</x:v>
      </x:c>
      <x:c r="AC364" s="102"/>
      <x:c r="AD364" s="102" t="n">
        <x:v>46228</x:v>
      </x:c>
      <x:c r="AE364" s="83" t="str">
        <x:v>Approved for Form B</x:v>
      </x:c>
      <x:c r="AF364" s="89" t="str">
        <x:v>Form B only; paired alternate retained on the other comprehensive form</x:v>
      </x:c>
    </x:row>
    <x:row r="365">
      <x:c r="A365" s="88" t="str">
        <x:v>CTA-LCSW-MQB-0364</x:v>
      </x:c>
      <x:c r="B365" s="83" t="str">
        <x:v>LCSW-MQB-FB-AP-016</x:v>
      </x:c>
      <x:c r="C365" s="83" t="str">
        <x:v>LCSW</x:v>
      </x:c>
      <x:c r="D365" s="83" t="str">
        <x:v>Comprehensive Simulation</x:v>
      </x:c>
      <x:c r="E365" s="83"/>
      <x:c r="F365" s="83"/>
      <x:c r="G365" s="83" t="str">
        <x:v>Form B</x:v>
      </x:c>
      <x:c r="H365" s="83" t="n">
        <x:v>38</x:v>
      </x:c>
      <x:c r="I365" s="83" t="str">
        <x:v>Scored-Style</x:v>
      </x:c>
      <x:c r="J365" s="83" t="str">
        <x:v>II. Assessment and Planning</x:v>
      </x:c>
      <x:c r="K365" s="83" t="str">
        <x:v>Environmental barriers</x:v>
      </x:c>
      <x:c r="L365" s="83" t="str"/>
      <x:c r="M365" s="83" t="str">
        <x:v>Moderate</x:v>
      </x:c>
      <x:c r="N365" s="83" t="str">
        <x:v>Moderate</x:v>
      </x:c>
      <x:c r="O365" s="83" t="str">
        <x:v>Application</x:v>
      </x:c>
      <x:c r="P365" s="83" t="str">
        <x:v>Application</x:v>
      </x:c>
      <x:c r="Q365" s="83" t="n">
        <x:v>3</x:v>
      </x:c>
      <x:c r="R365" s="83" t="str">
        <x:v>A</x:v>
      </x:c>
      <x:c r="S365" s="83" t="str">
        <x:v>Approved</x:v>
      </x:c>
      <x:c r="T365" s="83" t="str">
        <x:v>Active</x:v>
      </x:c>
      <x:c r="U365" s="83" t="n">
        <x:v>1</x:v>
      </x:c>
      <x:c r="V365" s="83" t="str">
        <x:v>LCSW-ALT-016</x:v>
      </x:c>
      <x:c r="W365" s="83" t="str">
        <x:v>No additional flag</x:v>
      </x:c>
      <x:c r="X365" s="83" t="str">
        <x:v>No structural flag</x:v>
      </x:c>
      <x:c r="Y365" s="83" t="str">
        <x:v>Not Yet Reviewed</x:v>
      </x:c>
      <x:c r="Z365" s="83" t="str">
        <x:v>CTA LCSW WB3–WB7; ASWB 2026 Clinical Content Area II</x:v>
      </x:c>
      <x:c r="AA365" s="83" t="str">
        <x:v>CTA_LCSW_2026_Comprehensive_Simulation_Form_B_Answer_Key_and_Detailed_Rationales_v1.0.docx</x:v>
      </x:c>
      <x:c r="AB365" s="83" t="str">
        <x:v>1.0</x:v>
      </x:c>
      <x:c r="AC365" s="102"/>
      <x:c r="AD365" s="102" t="n">
        <x:v>46228</x:v>
      </x:c>
      <x:c r="AE365" s="83" t="str">
        <x:v>Approved for Form B</x:v>
      </x:c>
      <x:c r="AF365" s="89" t="str">
        <x:v>Form B only; paired alternate retained on the other comprehensive form</x:v>
      </x:c>
    </x:row>
    <x:row r="366">
      <x:c r="A366" s="88" t="str">
        <x:v>CTA-LCSW-MQB-0365</x:v>
      </x:c>
      <x:c r="B366" s="83" t="str">
        <x:v>LCSW-MQB-FB-VE-024</x:v>
      </x:c>
      <x:c r="C366" s="83" t="str">
        <x:v>LCSW</x:v>
      </x:c>
      <x:c r="D366" s="83" t="str">
        <x:v>Comprehensive Simulation</x:v>
      </x:c>
      <x:c r="E366" s="83"/>
      <x:c r="F366" s="83"/>
      <x:c r="G366" s="83" t="str">
        <x:v>Form B</x:v>
      </x:c>
      <x:c r="H366" s="83" t="n">
        <x:v>39</x:v>
      </x:c>
      <x:c r="I366" s="83" t="str">
        <x:v>Scored-Style</x:v>
      </x:c>
      <x:c r="J366" s="83" t="str">
        <x:v>I. Values and Ethics</x:v>
      </x:c>
      <x:c r="K366" s="83" t="str">
        <x:v>Informed refusal</x:v>
      </x:c>
      <x:c r="L366" s="83" t="str"/>
      <x:c r="M366" s="83" t="str">
        <x:v>Moderate</x:v>
      </x:c>
      <x:c r="N366" s="83" t="str">
        <x:v>Moderate</x:v>
      </x:c>
      <x:c r="O366" s="83" t="str">
        <x:v>Scenario-based reasoning</x:v>
      </x:c>
      <x:c r="P366" s="83" t="str">
        <x:v>Scenario-Based</x:v>
      </x:c>
      <x:c r="Q366" s="83" t="n">
        <x:v>3</x:v>
      </x:c>
      <x:c r="R366" s="83" t="str">
        <x:v>A</x:v>
      </x:c>
      <x:c r="S366" s="83" t="str">
        <x:v>Approved</x:v>
      </x:c>
      <x:c r="T366" s="83" t="str">
        <x:v>Active</x:v>
      </x:c>
      <x:c r="U366" s="83" t="n">
        <x:v>1</x:v>
      </x:c>
      <x:c r="V366" s="83" t="str">
        <x:v>LCSW-ALT-102</x:v>
      </x:c>
      <x:c r="W366" s="83" t="str">
        <x:v>No additional flag</x:v>
      </x:c>
      <x:c r="X366" s="83" t="str">
        <x:v>No structural flag</x:v>
      </x:c>
      <x:c r="Y366" s="83" t="str">
        <x:v>Not Yet Reviewed</x:v>
      </x:c>
      <x:c r="Z366" s="83" t="str">
        <x:v>CTA LCSW WB2; ASWB 2026 Clinical Content Area I</x:v>
      </x:c>
      <x:c r="AA366" s="83" t="str">
        <x:v>CTA_LCSW_2026_Comprehensive_Simulation_Form_B_Answer_Key_and_Detailed_Rationales_v1.0.docx</x:v>
      </x:c>
      <x:c r="AB366" s="83" t="str">
        <x:v>1.0</x:v>
      </x:c>
      <x:c r="AC366" s="102"/>
      <x:c r="AD366" s="102" t="n">
        <x:v>46228</x:v>
      </x:c>
      <x:c r="AE366" s="83" t="str">
        <x:v>Approved for Form B</x:v>
      </x:c>
      <x:c r="AF366" s="89" t="str">
        <x:v>Form B only; paired alternate retained on the other comprehensive form</x:v>
      </x:c>
    </x:row>
    <x:row r="367">
      <x:c r="A367" s="88" t="str">
        <x:v>CTA-LCSW-MQB-0366</x:v>
      </x:c>
      <x:c r="B367" s="83" t="str">
        <x:v>LCSW-MQB-FB-IP-032</x:v>
      </x:c>
      <x:c r="C367" s="83" t="str">
        <x:v>LCSW</x:v>
      </x:c>
      <x:c r="D367" s="83" t="str">
        <x:v>Comprehensive Simulation</x:v>
      </x:c>
      <x:c r="E367" s="83"/>
      <x:c r="F367" s="83"/>
      <x:c r="G367" s="83" t="str">
        <x:v>Form B</x:v>
      </x:c>
      <x:c r="H367" s="83" t="n">
        <x:v>40</x:v>
      </x:c>
      <x:c r="I367" s="83" t="str">
        <x:v>Scored-Style</x:v>
      </x:c>
      <x:c r="J367" s="83" t="str">
        <x:v>III. Intervention and Practice</x:v>
      </x:c>
      <x:c r="K367" s="83" t="str">
        <x:v>Supervision and client risk</x:v>
      </x:c>
      <x:c r="L367" s="83" t="str"/>
      <x:c r="M367" s="83" t="str">
        <x:v>Difficult</x:v>
      </x:c>
      <x:c r="N367" s="83" t="str">
        <x:v>Difficult</x:v>
      </x:c>
      <x:c r="O367" s="83" t="str">
        <x:v>Scenario-based reasoning</x:v>
      </x:c>
      <x:c r="P367" s="83" t="str">
        <x:v>Scenario-Based</x:v>
      </x:c>
      <x:c r="Q367" s="83" t="n">
        <x:v>4</x:v>
      </x:c>
      <x:c r="R367" s="83" t="str">
        <x:v>A</x:v>
      </x:c>
      <x:c r="S367" s="83" t="str">
        <x:v>Approved</x:v>
      </x:c>
      <x:c r="T367" s="83" t="str">
        <x:v>Active</x:v>
      </x:c>
      <x:c r="U367" s="83" t="n">
        <x:v>1</x:v>
      </x:c>
      <x:c r="V367" s="83" t="str">
        <x:v>LCSW-ALT-071</x:v>
      </x:c>
      <x:c r="W367" s="83" t="str">
        <x:v>No additional flag</x:v>
      </x:c>
      <x:c r="X367" s="83" t="str">
        <x:v>No structural flag</x:v>
      </x:c>
      <x:c r="Y367" s="83" t="str">
        <x:v>Not Yet Reviewed</x:v>
      </x:c>
      <x:c r="Z367" s="83" t="str">
        <x:v>CTA LCSW WB10; CTA LCSW WB11; ASWB 2026 Clinical Content Area III</x:v>
      </x:c>
      <x:c r="AA367" s="83" t="str">
        <x:v>CTA_LCSW_2026_Comprehensive_Simulation_Form_B_Answer_Key_and_Detailed_Rationales_v1.0.docx</x:v>
      </x:c>
      <x:c r="AB367" s="83" t="str">
        <x:v>1.0</x:v>
      </x:c>
      <x:c r="AC367" s="102"/>
      <x:c r="AD367" s="102" t="n">
        <x:v>46228</x:v>
      </x:c>
      <x:c r="AE367" s="83" t="str">
        <x:v>Approved for Form B</x:v>
      </x:c>
      <x:c r="AF367" s="89" t="str">
        <x:v>Form B only; paired alternate retained on the other comprehensive form</x:v>
      </x:c>
    </x:row>
    <x:row r="368">
      <x:c r="A368" s="88" t="str">
        <x:v>CTA-LCSW-MQB-0367</x:v>
      </x:c>
      <x:c r="B368" s="83" t="str">
        <x:v>LCSW-MQB-FB-IP-024</x:v>
      </x:c>
      <x:c r="C368" s="83" t="str">
        <x:v>LCSW</x:v>
      </x:c>
      <x:c r="D368" s="83" t="str">
        <x:v>Comprehensive Simulation</x:v>
      </x:c>
      <x:c r="E368" s="83"/>
      <x:c r="F368" s="83"/>
      <x:c r="G368" s="83" t="str">
        <x:v>Form B</x:v>
      </x:c>
      <x:c r="H368" s="83" t="n">
        <x:v>41</x:v>
      </x:c>
      <x:c r="I368" s="83" t="str">
        <x:v>Scored-Style</x:v>
      </x:c>
      <x:c r="J368" s="83" t="str">
        <x:v>III. Intervention and Practice</x:v>
      </x:c>
      <x:c r="K368" s="83" t="str">
        <x:v>Trauma exposure pacing</x:v>
      </x:c>
      <x:c r="L368" s="83" t="str"/>
      <x:c r="M368" s="83" t="str">
        <x:v>Moderate</x:v>
      </x:c>
      <x:c r="N368" s="83" t="str">
        <x:v>Moderate</x:v>
      </x:c>
      <x:c r="O368" s="83" t="str">
        <x:v>Scenario-based reasoning</x:v>
      </x:c>
      <x:c r="P368" s="83" t="str">
        <x:v>Scenario-Based</x:v>
      </x:c>
      <x:c r="Q368" s="83" t="n">
        <x:v>4</x:v>
      </x:c>
      <x:c r="R368" s="83" t="str">
        <x:v>B</x:v>
      </x:c>
      <x:c r="S368" s="83" t="str">
        <x:v>Approved</x:v>
      </x:c>
      <x:c r="T368" s="83" t="str">
        <x:v>Active</x:v>
      </x:c>
      <x:c r="U368" s="83" t="n">
        <x:v>1</x:v>
      </x:c>
      <x:c r="V368" s="83" t="str">
        <x:v>LCSW-ALT-063</x:v>
      </x:c>
      <x:c r="W368" s="83" t="str">
        <x:v>No additional flag</x:v>
      </x:c>
      <x:c r="X368" s="83" t="str">
        <x:v>No structural flag</x:v>
      </x:c>
      <x:c r="Y368" s="83" t="str">
        <x:v>Not Yet Reviewed</x:v>
      </x:c>
      <x:c r="Z368" s="83" t="str">
        <x:v>CTA LCSW WB8–WB11; ASWB 2026 Clinical Content Area III</x:v>
      </x:c>
      <x:c r="AA368" s="83" t="str">
        <x:v>CTA_LCSW_2026_Comprehensive_Simulation_Form_B_Answer_Key_and_Detailed_Rationales_v1.0.docx</x:v>
      </x:c>
      <x:c r="AB368" s="83" t="str">
        <x:v>1.0</x:v>
      </x:c>
      <x:c r="AC368" s="102"/>
      <x:c r="AD368" s="102" t="n">
        <x:v>46228</x:v>
      </x:c>
      <x:c r="AE368" s="83" t="str">
        <x:v>Approved for Form B</x:v>
      </x:c>
      <x:c r="AF368" s="89" t="str">
        <x:v>Form B only; paired alternate retained on the other comprehensive form</x:v>
      </x:c>
    </x:row>
    <x:row r="369">
      <x:c r="A369" s="88" t="str">
        <x:v>CTA-LCSW-MQB-0368</x:v>
      </x:c>
      <x:c r="B369" s="83" t="str">
        <x:v>LCSW-MQB-FB-VE-007</x:v>
      </x:c>
      <x:c r="C369" s="83" t="str">
        <x:v>LCSW</x:v>
      </x:c>
      <x:c r="D369" s="83" t="str">
        <x:v>Comprehensive Simulation</x:v>
      </x:c>
      <x:c r="E369" s="83"/>
      <x:c r="F369" s="83"/>
      <x:c r="G369" s="83" t="str">
        <x:v>Form B</x:v>
      </x:c>
      <x:c r="H369" s="83" t="n">
        <x:v>42</x:v>
      </x:c>
      <x:c r="I369" s="83" t="str">
        <x:v>Scored-Style</x:v>
      </x:c>
      <x:c r="J369" s="83" t="str">
        <x:v>I. Values and Ethics</x:v>
      </x:c>
      <x:c r="K369" s="83" t="str">
        <x:v>Language access</x:v>
      </x:c>
      <x:c r="L369" s="83" t="str"/>
      <x:c r="M369" s="83" t="str">
        <x:v>Easy</x:v>
      </x:c>
      <x:c r="N369" s="83" t="str">
        <x:v>Easy</x:v>
      </x:c>
      <x:c r="O369" s="83" t="str">
        <x:v>Application</x:v>
      </x:c>
      <x:c r="P369" s="83" t="str">
        <x:v>Application</x:v>
      </x:c>
      <x:c r="Q369" s="83" t="n">
        <x:v>3</x:v>
      </x:c>
      <x:c r="R369" s="83" t="str">
        <x:v>B</x:v>
      </x:c>
      <x:c r="S369" s="83" t="str">
        <x:v>Approved</x:v>
      </x:c>
      <x:c r="T369" s="83" t="str">
        <x:v>Active</x:v>
      </x:c>
      <x:c r="U369" s="83" t="n">
        <x:v>1</x:v>
      </x:c>
      <x:c r="V369" s="83" t="str">
        <x:v>LCSW-ALT-085</x:v>
      </x:c>
      <x:c r="W369" s="83" t="str">
        <x:v>No additional flag</x:v>
      </x:c>
      <x:c r="X369" s="83" t="str">
        <x:v>No structural flag</x:v>
      </x:c>
      <x:c r="Y369" s="83" t="str">
        <x:v>Not Yet Reviewed</x:v>
      </x:c>
      <x:c r="Z369" s="83" t="str">
        <x:v>CTA LCSW WB2; ASWB 2026 Clinical Content Area I</x:v>
      </x:c>
      <x:c r="AA369" s="83" t="str">
        <x:v>CTA_LCSW_2026_Comprehensive_Simulation_Form_B_Answer_Key_and_Detailed_Rationales_v1.0.docx</x:v>
      </x:c>
      <x:c r="AB369" s="83" t="str">
        <x:v>1.0</x:v>
      </x:c>
      <x:c r="AC369" s="102"/>
      <x:c r="AD369" s="102" t="n">
        <x:v>46228</x:v>
      </x:c>
      <x:c r="AE369" s="83" t="str">
        <x:v>Approved for Form B</x:v>
      </x:c>
      <x:c r="AF369" s="89" t="str">
        <x:v>Form B only; paired alternate retained on the other comprehensive form</x:v>
      </x:c>
    </x:row>
    <x:row r="370">
      <x:c r="A370" s="88" t="str">
        <x:v>CTA-LCSW-MQB-0369</x:v>
      </x:c>
      <x:c r="B370" s="83" t="str">
        <x:v>LCSW-MQB-FB-AP-030</x:v>
      </x:c>
      <x:c r="C370" s="83" t="str">
        <x:v>LCSW</x:v>
      </x:c>
      <x:c r="D370" s="83" t="str">
        <x:v>Comprehensive Simulation</x:v>
      </x:c>
      <x:c r="E370" s="83"/>
      <x:c r="F370" s="83"/>
      <x:c r="G370" s="83" t="str">
        <x:v>Form B</x:v>
      </x:c>
      <x:c r="H370" s="83" t="n">
        <x:v>43</x:v>
      </x:c>
      <x:c r="I370" s="83" t="str">
        <x:v>Scored-Style</x:v>
      </x:c>
      <x:c r="J370" s="83" t="str">
        <x:v>II. Assessment and Planning</x:v>
      </x:c>
      <x:c r="K370" s="83" t="str">
        <x:v>Adolescent confidentiality</x:v>
      </x:c>
      <x:c r="L370" s="83" t="str"/>
      <x:c r="M370" s="83" t="str">
        <x:v>Moderate</x:v>
      </x:c>
      <x:c r="N370" s="83" t="str">
        <x:v>Moderate</x:v>
      </x:c>
      <x:c r="O370" s="83" t="str">
        <x:v>Scenario-based reasoning</x:v>
      </x:c>
      <x:c r="P370" s="83" t="str">
        <x:v>Scenario-Based</x:v>
      </x:c>
      <x:c r="Q370" s="83" t="n">
        <x:v>4</x:v>
      </x:c>
      <x:c r="R370" s="83" t="str">
        <x:v>A</x:v>
      </x:c>
      <x:c r="S370" s="83" t="str">
        <x:v>Approved</x:v>
      </x:c>
      <x:c r="T370" s="83" t="str">
        <x:v>Active</x:v>
      </x:c>
      <x:c r="U370" s="83" t="n">
        <x:v>1</x:v>
      </x:c>
      <x:c r="V370" s="83" t="str">
        <x:v>LCSW-ALT-030</x:v>
      </x:c>
      <x:c r="W370" s="83" t="str">
        <x:v>No additional flag</x:v>
      </x:c>
      <x:c r="X370" s="83" t="str">
        <x:v>No structural flag</x:v>
      </x:c>
      <x:c r="Y370" s="83" t="str">
        <x:v>Not Yet Reviewed</x:v>
      </x:c>
      <x:c r="Z370" s="83" t="str">
        <x:v>CTA LCSW WB3–WB7; ASWB 2026 Clinical Content Area II</x:v>
      </x:c>
      <x:c r="AA370" s="83" t="str">
        <x:v>CTA_LCSW_2026_Comprehensive_Simulation_Form_B_Answer_Key_and_Detailed_Rationales_v1.0.docx</x:v>
      </x:c>
      <x:c r="AB370" s="83" t="str">
        <x:v>1.0</x:v>
      </x:c>
      <x:c r="AC370" s="102"/>
      <x:c r="AD370" s="102" t="n">
        <x:v>46228</x:v>
      </x:c>
      <x:c r="AE370" s="83" t="str">
        <x:v>Approved for Form B</x:v>
      </x:c>
      <x:c r="AF370" s="89" t="str">
        <x:v>Form B only; paired alternate retained on the other comprehensive form</x:v>
      </x:c>
    </x:row>
    <x:row r="371">
      <x:c r="A371" s="88" t="str">
        <x:v>CTA-LCSW-MQB-0370</x:v>
      </x:c>
      <x:c r="B371" s="83" t="str">
        <x:v>LCSW-MQB-FB-IP-021</x:v>
      </x:c>
      <x:c r="C371" s="83" t="str">
        <x:v>LCSW</x:v>
      </x:c>
      <x:c r="D371" s="83" t="str">
        <x:v>Comprehensive Simulation</x:v>
      </x:c>
      <x:c r="E371" s="83"/>
      <x:c r="F371" s="83"/>
      <x:c r="G371" s="83" t="str">
        <x:v>Form B</x:v>
      </x:c>
      <x:c r="H371" s="83" t="n">
        <x:v>44</x:v>
      </x:c>
      <x:c r="I371" s="83" t="str">
        <x:v>Scored-Style</x:v>
      </x:c>
      <x:c r="J371" s="83" t="str">
        <x:v>III. Intervention and Practice</x:v>
      </x:c>
      <x:c r="K371" s="83" t="str">
        <x:v>Domestic violence safety planning</x:v>
      </x:c>
      <x:c r="L371" s="83" t="str"/>
      <x:c r="M371" s="83" t="str">
        <x:v>Moderate</x:v>
      </x:c>
      <x:c r="N371" s="83" t="str">
        <x:v>Moderate</x:v>
      </x:c>
      <x:c r="O371" s="83" t="str">
        <x:v>Scenario-based reasoning</x:v>
      </x:c>
      <x:c r="P371" s="83" t="str">
        <x:v>Scenario-Based</x:v>
      </x:c>
      <x:c r="Q371" s="83" t="n">
        <x:v>3</x:v>
      </x:c>
      <x:c r="R371" s="83" t="str">
        <x:v>C</x:v>
      </x:c>
      <x:c r="S371" s="83" t="str">
        <x:v>Approved</x:v>
      </x:c>
      <x:c r="T371" s="83" t="str">
        <x:v>Active</x:v>
      </x:c>
      <x:c r="U371" s="83" t="n">
        <x:v>1</x:v>
      </x:c>
      <x:c r="V371" s="83" t="str">
        <x:v>LCSW-ALT-060</x:v>
      </x:c>
      <x:c r="W371" s="83" t="str">
        <x:v>No additional flag</x:v>
      </x:c>
      <x:c r="X371" s="83" t="str">
        <x:v>No structural flag</x:v>
      </x:c>
      <x:c r="Y371" s="83" t="str">
        <x:v>Not Yet Reviewed</x:v>
      </x:c>
      <x:c r="Z371" s="83" t="str">
        <x:v>CTA LCSW WB8–WB11; ASWB 2026 Clinical Content Area III</x:v>
      </x:c>
      <x:c r="AA371" s="83" t="str">
        <x:v>CTA_LCSW_2026_Comprehensive_Simulation_Form_B_Answer_Key_and_Detailed_Rationales_v1.0.docx</x:v>
      </x:c>
      <x:c r="AB371" s="83" t="str">
        <x:v>1.0</x:v>
      </x:c>
      <x:c r="AC371" s="102"/>
      <x:c r="AD371" s="102" t="n">
        <x:v>46228</x:v>
      </x:c>
      <x:c r="AE371" s="83" t="str">
        <x:v>Approved for Form B</x:v>
      </x:c>
      <x:c r="AF371" s="89" t="str">
        <x:v>Form B only; paired alternate retained on the other comprehensive form</x:v>
      </x:c>
    </x:row>
    <x:row r="372">
      <x:c r="A372" s="88" t="str">
        <x:v>CTA-LCSW-MQB-0371</x:v>
      </x:c>
      <x:c r="B372" s="83" t="str">
        <x:v>LCSW-MQB-FB-VE-005</x:v>
      </x:c>
      <x:c r="C372" s="83" t="str">
        <x:v>LCSW</x:v>
      </x:c>
      <x:c r="D372" s="83" t="str">
        <x:v>Comprehensive Simulation</x:v>
      </x:c>
      <x:c r="E372" s="83"/>
      <x:c r="F372" s="83"/>
      <x:c r="G372" s="83" t="str">
        <x:v>Form B</x:v>
      </x:c>
      <x:c r="H372" s="83" t="n">
        <x:v>45</x:v>
      </x:c>
      <x:c r="I372" s="83" t="str">
        <x:v>Pretest-Style</x:v>
      </x:c>
      <x:c r="J372" s="83" t="str">
        <x:v>I. Values and Ethics</x:v>
      </x:c>
      <x:c r="K372" s="83" t="str">
        <x:v>Professional competence</x:v>
      </x:c>
      <x:c r="L372" s="83" t="str"/>
      <x:c r="M372" s="83" t="str">
        <x:v>Easy</x:v>
      </x:c>
      <x:c r="N372" s="83" t="str">
        <x:v>Easy</x:v>
      </x:c>
      <x:c r="O372" s="83" t="str">
        <x:v>Direct recognition</x:v>
      </x:c>
      <x:c r="P372" s="83" t="str">
        <x:v>Knowledge &amp; Recall</x:v>
      </x:c>
      <x:c r="Q372" s="83" t="n">
        <x:v>3</x:v>
      </x:c>
      <x:c r="R372" s="83" t="str">
        <x:v>B</x:v>
      </x:c>
      <x:c r="S372" s="83" t="str">
        <x:v>Approved</x:v>
      </x:c>
      <x:c r="T372" s="83" t="str">
        <x:v>Active</x:v>
      </x:c>
      <x:c r="U372" s="83" t="n">
        <x:v>1</x:v>
      </x:c>
      <x:c r="V372" s="83" t="str">
        <x:v>LCSW-ALT-083</x:v>
      </x:c>
      <x:c r="W372" s="83" t="str">
        <x:v>No additional flag</x:v>
      </x:c>
      <x:c r="X372" s="83" t="str">
        <x:v>No structural flag</x:v>
      </x:c>
      <x:c r="Y372" s="83" t="str">
        <x:v>Not Yet Reviewed</x:v>
      </x:c>
      <x:c r="Z372" s="83" t="str">
        <x:v>CTA LCSW WB2; CTA LCSW WB12; ASWB 2026 Clinical Content Area I</x:v>
      </x:c>
      <x:c r="AA372" s="83" t="str">
        <x:v>CTA_LCSW_2026_Comprehensive_Simulation_Form_B_Answer_Key_and_Detailed_Rationales_v1.0.docx</x:v>
      </x:c>
      <x:c r="AB372" s="83" t="str">
        <x:v>1.0</x:v>
      </x:c>
      <x:c r="AC372" s="102"/>
      <x:c r="AD372" s="102" t="n">
        <x:v>46228</x:v>
      </x:c>
      <x:c r="AE372" s="83" t="str">
        <x:v>Approved for Form B</x:v>
      </x:c>
      <x:c r="AF372" s="89" t="str">
        <x:v>Form B only; paired alternate retained on the other comprehensive form</x:v>
      </x:c>
    </x:row>
    <x:row r="373">
      <x:c r="A373" s="88" t="str">
        <x:v>CTA-LCSW-MQB-0372</x:v>
      </x:c>
      <x:c r="B373" s="83" t="str">
        <x:v>LCSW-MQB-FB-AP-026</x:v>
      </x:c>
      <x:c r="C373" s="83" t="str">
        <x:v>LCSW</x:v>
      </x:c>
      <x:c r="D373" s="83" t="str">
        <x:v>Comprehensive Simulation</x:v>
      </x:c>
      <x:c r="E373" s="83"/>
      <x:c r="F373" s="83"/>
      <x:c r="G373" s="83" t="str">
        <x:v>Form B</x:v>
      </x:c>
      <x:c r="H373" s="83" t="n">
        <x:v>46</x:v>
      </x:c>
      <x:c r="I373" s="83" t="str">
        <x:v>Scored-Style</x:v>
      </x:c>
      <x:c r="J373" s="83" t="str">
        <x:v>II. Assessment and Planning</x:v>
      </x:c>
      <x:c r="K373" s="83" t="str">
        <x:v>Psychosis and culture</x:v>
      </x:c>
      <x:c r="L373" s="83" t="str"/>
      <x:c r="M373" s="83" t="str">
        <x:v>Moderate</x:v>
      </x:c>
      <x:c r="N373" s="83" t="str">
        <x:v>Moderate</x:v>
      </x:c>
      <x:c r="O373" s="83" t="str">
        <x:v>Scenario-based reasoning</x:v>
      </x:c>
      <x:c r="P373" s="83" t="str">
        <x:v>Scenario-Based</x:v>
      </x:c>
      <x:c r="Q373" s="83" t="n">
        <x:v>4</x:v>
      </x:c>
      <x:c r="R373" s="83" t="str">
        <x:v>C</x:v>
      </x:c>
      <x:c r="S373" s="83" t="str">
        <x:v>Approved</x:v>
      </x:c>
      <x:c r="T373" s="83" t="str">
        <x:v>Active</x:v>
      </x:c>
      <x:c r="U373" s="83" t="n">
        <x:v>1</x:v>
      </x:c>
      <x:c r="V373" s="83" t="str">
        <x:v>LCSW-ALT-026</x:v>
      </x:c>
      <x:c r="W373" s="83" t="str">
        <x:v>No additional flag</x:v>
      </x:c>
      <x:c r="X373" s="83" t="str">
        <x:v>No structural flag</x:v>
      </x:c>
      <x:c r="Y373" s="83" t="str">
        <x:v>Not Yet Reviewed</x:v>
      </x:c>
      <x:c r="Z373" s="83" t="str">
        <x:v>CTA LCSW WB3–WB7; ASWB 2026 Clinical Content Area II</x:v>
      </x:c>
      <x:c r="AA373" s="83" t="str">
        <x:v>CTA_LCSW_2026_Comprehensive_Simulation_Form_B_Answer_Key_and_Detailed_Rationales_v1.0.docx</x:v>
      </x:c>
      <x:c r="AB373" s="83" t="str">
        <x:v>1.0</x:v>
      </x:c>
      <x:c r="AC373" s="102"/>
      <x:c r="AD373" s="102" t="n">
        <x:v>46228</x:v>
      </x:c>
      <x:c r="AE373" s="83" t="str">
        <x:v>Approved for Form B</x:v>
      </x:c>
      <x:c r="AF373" s="89" t="str">
        <x:v>Form B only; paired alternate retained on the other comprehensive form</x:v>
      </x:c>
    </x:row>
    <x:row r="374">
      <x:c r="A374" s="88" t="str">
        <x:v>CTA-LCSW-MQB-0373</x:v>
      </x:c>
      <x:c r="B374" s="83" t="str">
        <x:v>LCSW-MQB-FB-VE-001</x:v>
      </x:c>
      <x:c r="C374" s="83" t="str">
        <x:v>LCSW</x:v>
      </x:c>
      <x:c r="D374" s="83" t="str">
        <x:v>Comprehensive Simulation</x:v>
      </x:c>
      <x:c r="E374" s="83"/>
      <x:c r="F374" s="83"/>
      <x:c r="G374" s="83" t="str">
        <x:v>Form B</x:v>
      </x:c>
      <x:c r="H374" s="83" t="n">
        <x:v>47</x:v>
      </x:c>
      <x:c r="I374" s="83" t="str">
        <x:v>Scored-Style</x:v>
      </x:c>
      <x:c r="J374" s="83" t="str">
        <x:v>I. Values and Ethics</x:v>
      </x:c>
      <x:c r="K374" s="83" t="str">
        <x:v>Self-determination</x:v>
      </x:c>
      <x:c r="L374" s="83" t="str"/>
      <x:c r="M374" s="83" t="str">
        <x:v>Easy</x:v>
      </x:c>
      <x:c r="N374" s="83" t="str">
        <x:v>Easy</x:v>
      </x:c>
      <x:c r="O374" s="83" t="str">
        <x:v>Direct recognition</x:v>
      </x:c>
      <x:c r="P374" s="83" t="str">
        <x:v>Knowledge &amp; Recall</x:v>
      </x:c>
      <x:c r="Q374" s="83" t="n">
        <x:v>3</x:v>
      </x:c>
      <x:c r="R374" s="83" t="str">
        <x:v>C</x:v>
      </x:c>
      <x:c r="S374" s="83" t="str">
        <x:v>Approved</x:v>
      </x:c>
      <x:c r="T374" s="83" t="str">
        <x:v>Active</x:v>
      </x:c>
      <x:c r="U374" s="83" t="n">
        <x:v>1</x:v>
      </x:c>
      <x:c r="V374" s="83" t="str">
        <x:v>LCSW-ALT-079</x:v>
      </x:c>
      <x:c r="W374" s="83" t="str">
        <x:v>No additional flag</x:v>
      </x:c>
      <x:c r="X374" s="83" t="str">
        <x:v>No structural flag</x:v>
      </x:c>
      <x:c r="Y374" s="83" t="str">
        <x:v>Not Yet Reviewed</x:v>
      </x:c>
      <x:c r="Z374" s="83" t="str">
        <x:v>CTA LCSW WB2; ASWB 2026 Clinical Content Area I</x:v>
      </x:c>
      <x:c r="AA374" s="83" t="str">
        <x:v>CTA_LCSW_2026_Comprehensive_Simulation_Form_B_Answer_Key_and_Detailed_Rationales_v1.0.docx</x:v>
      </x:c>
      <x:c r="AB374" s="83" t="str">
        <x:v>1.0</x:v>
      </x:c>
      <x:c r="AC374" s="102"/>
      <x:c r="AD374" s="102" t="n">
        <x:v>46228</x:v>
      </x:c>
      <x:c r="AE374" s="83" t="str">
        <x:v>Approved for Form B</x:v>
      </x:c>
      <x:c r="AF374" s="89" t="str">
        <x:v>Form B only; paired alternate retained on the other comprehensive form</x:v>
      </x:c>
    </x:row>
    <x:row r="375">
      <x:c r="A375" s="88" t="str">
        <x:v>CTA-LCSW-MQB-0374</x:v>
      </x:c>
      <x:c r="B375" s="83" t="str">
        <x:v>LCSW-MQB-FB-AP-019</x:v>
      </x:c>
      <x:c r="C375" s="83" t="str">
        <x:v>LCSW</x:v>
      </x:c>
      <x:c r="D375" s="83" t="str">
        <x:v>Comprehensive Simulation</x:v>
      </x:c>
      <x:c r="E375" s="83"/>
      <x:c r="F375" s="83"/>
      <x:c r="G375" s="83" t="str">
        <x:v>Form B</x:v>
      </x:c>
      <x:c r="H375" s="83" t="n">
        <x:v>48</x:v>
      </x:c>
      <x:c r="I375" s="83" t="str">
        <x:v>Scored-Style</x:v>
      </x:c>
      <x:c r="J375" s="83" t="str">
        <x:v>II. Assessment and Planning</x:v>
      </x:c>
      <x:c r="K375" s="83" t="str">
        <x:v>Family role assessment</x:v>
      </x:c>
      <x:c r="L375" s="83" t="str"/>
      <x:c r="M375" s="83" t="str">
        <x:v>Moderate</x:v>
      </x:c>
      <x:c r="N375" s="83" t="str">
        <x:v>Moderate</x:v>
      </x:c>
      <x:c r="O375" s="83" t="str">
        <x:v>Application</x:v>
      </x:c>
      <x:c r="P375" s="83" t="str">
        <x:v>Application</x:v>
      </x:c>
      <x:c r="Q375" s="83" t="n">
        <x:v>3</x:v>
      </x:c>
      <x:c r="R375" s="83" t="str">
        <x:v>C</x:v>
      </x:c>
      <x:c r="S375" s="83" t="str">
        <x:v>Approved</x:v>
      </x:c>
      <x:c r="T375" s="83" t="str">
        <x:v>Active</x:v>
      </x:c>
      <x:c r="U375" s="83" t="n">
        <x:v>1</x:v>
      </x:c>
      <x:c r="V375" s="83" t="str">
        <x:v>LCSW-ALT-019</x:v>
      </x:c>
      <x:c r="W375" s="83" t="str">
        <x:v>No additional flag</x:v>
      </x:c>
      <x:c r="X375" s="83" t="str">
        <x:v>No structural flag</x:v>
      </x:c>
      <x:c r="Y375" s="83" t="str">
        <x:v>Not Yet Reviewed</x:v>
      </x:c>
      <x:c r="Z375" s="83" t="str">
        <x:v>CTA LCSW WB3–WB7; ASWB 2026 Clinical Content Area II</x:v>
      </x:c>
      <x:c r="AA375" s="83" t="str">
        <x:v>CTA_LCSW_2026_Comprehensive_Simulation_Form_B_Answer_Key_and_Detailed_Rationales_v1.0.docx</x:v>
      </x:c>
      <x:c r="AB375" s="83" t="str">
        <x:v>1.0</x:v>
      </x:c>
      <x:c r="AC375" s="102"/>
      <x:c r="AD375" s="102" t="n">
        <x:v>46228</x:v>
      </x:c>
      <x:c r="AE375" s="83" t="str">
        <x:v>Approved for Form B</x:v>
      </x:c>
      <x:c r="AF375" s="89" t="str">
        <x:v>Form B only; paired alternate retained on the other comprehensive form</x:v>
      </x:c>
    </x:row>
    <x:row r="376">
      <x:c r="A376" s="88" t="str">
        <x:v>CTA-LCSW-MQB-0375</x:v>
      </x:c>
      <x:c r="B376" s="83" t="str">
        <x:v>LCSW-MQB-FB-AP-023</x:v>
      </x:c>
      <x:c r="C376" s="83" t="str">
        <x:v>LCSW</x:v>
      </x:c>
      <x:c r="D376" s="83" t="str">
        <x:v>Comprehensive Simulation</x:v>
      </x:c>
      <x:c r="E376" s="83"/>
      <x:c r="F376" s="83"/>
      <x:c r="G376" s="83" t="str">
        <x:v>Form B</x:v>
      </x:c>
      <x:c r="H376" s="83" t="n">
        <x:v>49</x:v>
      </x:c>
      <x:c r="I376" s="83" t="str">
        <x:v>Scored-Style</x:v>
      </x:c>
      <x:c r="J376" s="83" t="str">
        <x:v>II. Assessment and Planning</x:v>
      </x:c>
      <x:c r="K376" s="83" t="str">
        <x:v>Child abuse concern</x:v>
      </x:c>
      <x:c r="L376" s="83" t="str"/>
      <x:c r="M376" s="83" t="str">
        <x:v>Moderate</x:v>
      </x:c>
      <x:c r="N376" s="83" t="str">
        <x:v>Moderate</x:v>
      </x:c>
      <x:c r="O376" s="83" t="str">
        <x:v>Scenario-based reasoning</x:v>
      </x:c>
      <x:c r="P376" s="83" t="str">
        <x:v>Scenario-Based</x:v>
      </x:c>
      <x:c r="Q376" s="83" t="n">
        <x:v>3</x:v>
      </x:c>
      <x:c r="R376" s="83" t="str">
        <x:v>B</x:v>
      </x:c>
      <x:c r="S376" s="83" t="str">
        <x:v>Approved</x:v>
      </x:c>
      <x:c r="T376" s="83" t="str">
        <x:v>Active</x:v>
      </x:c>
      <x:c r="U376" s="83" t="n">
        <x:v>1</x:v>
      </x:c>
      <x:c r="V376" s="83" t="str">
        <x:v>LCSW-ALT-023</x:v>
      </x:c>
      <x:c r="W376" s="83" t="str">
        <x:v>No additional flag</x:v>
      </x:c>
      <x:c r="X376" s="83" t="str">
        <x:v>No structural flag</x:v>
      </x:c>
      <x:c r="Y376" s="83" t="str">
        <x:v>Not Yet Reviewed</x:v>
      </x:c>
      <x:c r="Z376" s="83" t="str">
        <x:v>CTA LCSW WB6; ASWB 2026 Clinical Content Area II</x:v>
      </x:c>
      <x:c r="AA376" s="83" t="str">
        <x:v>CTA_LCSW_2026_Comprehensive_Simulation_Form_B_Answer_Key_and_Detailed_Rationales_v1.0.docx</x:v>
      </x:c>
      <x:c r="AB376" s="83" t="str">
        <x:v>1.0</x:v>
      </x:c>
      <x:c r="AC376" s="102"/>
      <x:c r="AD376" s="102" t="n">
        <x:v>46228</x:v>
      </x:c>
      <x:c r="AE376" s="83" t="str">
        <x:v>Approved for Form B</x:v>
      </x:c>
      <x:c r="AF376" s="89" t="str">
        <x:v>Form B only; paired alternate retained on the other comprehensive form</x:v>
      </x:c>
    </x:row>
    <x:row r="377">
      <x:c r="A377" s="88" t="str">
        <x:v>CTA-LCSW-MQB-0376</x:v>
      </x:c>
      <x:c r="B377" s="83" t="str">
        <x:v>LCSW-MQB-FB-IP-003</x:v>
      </x:c>
      <x:c r="C377" s="83" t="str">
        <x:v>LCSW</x:v>
      </x:c>
      <x:c r="D377" s="83" t="str">
        <x:v>Comprehensive Simulation</x:v>
      </x:c>
      <x:c r="E377" s="83"/>
      <x:c r="F377" s="83"/>
      <x:c r="G377" s="83" t="str">
        <x:v>Form B</x:v>
      </x:c>
      <x:c r="H377" s="83" t="n">
        <x:v>50</x:v>
      </x:c>
      <x:c r="I377" s="83" t="str">
        <x:v>Scored-Style</x:v>
      </x:c>
      <x:c r="J377" s="83" t="str">
        <x:v>III. Intervention and Practice</x:v>
      </x:c>
      <x:c r="K377" s="83" t="str">
        <x:v>Reflective listening</x:v>
      </x:c>
      <x:c r="L377" s="83" t="str"/>
      <x:c r="M377" s="83" t="str">
        <x:v>Easy</x:v>
      </x:c>
      <x:c r="N377" s="83" t="str">
        <x:v>Easy</x:v>
      </x:c>
      <x:c r="O377" s="83" t="str">
        <x:v>Application</x:v>
      </x:c>
      <x:c r="P377" s="83" t="str">
        <x:v>Application</x:v>
      </x:c>
      <x:c r="Q377" s="83" t="n">
        <x:v>3</x:v>
      </x:c>
      <x:c r="R377" s="83" t="str">
        <x:v>C</x:v>
      </x:c>
      <x:c r="S377" s="83" t="str">
        <x:v>Approved</x:v>
      </x:c>
      <x:c r="T377" s="83" t="str">
        <x:v>Active</x:v>
      </x:c>
      <x:c r="U377" s="83" t="n">
        <x:v>1</x:v>
      </x:c>
      <x:c r="V377" s="83" t="str">
        <x:v>LCSW-ALT-042</x:v>
      </x:c>
      <x:c r="W377" s="83" t="str">
        <x:v>No additional flag</x:v>
      </x:c>
      <x:c r="X377" s="83" t="str">
        <x:v>No structural flag</x:v>
      </x:c>
      <x:c r="Y377" s="83" t="str">
        <x:v>Not Yet Reviewed</x:v>
      </x:c>
      <x:c r="Z377" s="83" t="str">
        <x:v>CTA LCSW WB8–WB11; ASWB 2026 Clinical Content Area III</x:v>
      </x:c>
      <x:c r="AA377" s="83" t="str">
        <x:v>CTA_LCSW_2026_Comprehensive_Simulation_Form_B_Answer_Key_and_Detailed_Rationales_v1.0.docx</x:v>
      </x:c>
      <x:c r="AB377" s="83" t="str">
        <x:v>1.0</x:v>
      </x:c>
      <x:c r="AC377" s="102"/>
      <x:c r="AD377" s="102" t="n">
        <x:v>46228</x:v>
      </x:c>
      <x:c r="AE377" s="83" t="str">
        <x:v>Approved for Form B</x:v>
      </x:c>
      <x:c r="AF377" s="89" t="str">
        <x:v>Form B only; paired alternate retained on the other comprehensive form</x:v>
      </x:c>
    </x:row>
    <x:row r="378">
      <x:c r="A378" s="88" t="str">
        <x:v>CTA-LCSW-MQB-0377</x:v>
      </x:c>
      <x:c r="B378" s="83" t="str">
        <x:v>LCSW-MQB-FB-VE-044</x:v>
      </x:c>
      <x:c r="C378" s="83" t="str">
        <x:v>LCSW</x:v>
      </x:c>
      <x:c r="D378" s="83" t="str">
        <x:v>Comprehensive Simulation</x:v>
      </x:c>
      <x:c r="E378" s="83"/>
      <x:c r="F378" s="83"/>
      <x:c r="G378" s="83" t="str">
        <x:v>Form B</x:v>
      </x:c>
      <x:c r="H378" s="83" t="n">
        <x:v>51</x:v>
      </x:c>
      <x:c r="I378" s="83" t="str">
        <x:v>Pretest-Style</x:v>
      </x:c>
      <x:c r="J378" s="83" t="str">
        <x:v>I. Values and Ethics</x:v>
      </x:c>
      <x:c r="K378" s="83" t="str">
        <x:v>Ethical decision-making process</x:v>
      </x:c>
      <x:c r="L378" s="83" t="str"/>
      <x:c r="M378" s="83" t="str">
        <x:v>Difficult</x:v>
      </x:c>
      <x:c r="N378" s="83" t="str">
        <x:v>Difficult</x:v>
      </x:c>
      <x:c r="O378" s="83" t="str">
        <x:v>Integrated reasoning</x:v>
      </x:c>
      <x:c r="P378" s="83" t="str">
        <x:v>Integrated Clinical Reasoning</x:v>
      </x:c>
      <x:c r="Q378" s="83" t="n">
        <x:v>4</x:v>
      </x:c>
      <x:c r="R378" s="83" t="str">
        <x:v>C</x:v>
      </x:c>
      <x:c r="S378" s="83" t="str">
        <x:v>Approved</x:v>
      </x:c>
      <x:c r="T378" s="83" t="str">
        <x:v>Active</x:v>
      </x:c>
      <x:c r="U378" s="83" t="n">
        <x:v>1</x:v>
      </x:c>
      <x:c r="V378" s="83" t="str">
        <x:v>LCSW-ALT-122</x:v>
      </x:c>
      <x:c r="W378" s="83" t="str">
        <x:v>No additional flag</x:v>
      </x:c>
      <x:c r="X378" s="83" t="str">
        <x:v>No structural flag</x:v>
      </x:c>
      <x:c r="Y378" s="83" t="str">
        <x:v>Not Yet Reviewed</x:v>
      </x:c>
      <x:c r="Z378" s="83" t="str">
        <x:v>CTA LCSW WB2; CTA LCSW WB12; ASWB 2026 Clinical Content Area I</x:v>
      </x:c>
      <x:c r="AA378" s="83" t="str">
        <x:v>CTA_LCSW_2026_Comprehensive_Simulation_Form_B_Answer_Key_and_Detailed_Rationales_v1.0.docx</x:v>
      </x:c>
      <x:c r="AB378" s="83" t="str">
        <x:v>1.0</x:v>
      </x:c>
      <x:c r="AC378" s="102"/>
      <x:c r="AD378" s="102" t="n">
        <x:v>46228</x:v>
      </x:c>
      <x:c r="AE378" s="83" t="str">
        <x:v>Approved for Form B</x:v>
      </x:c>
      <x:c r="AF378" s="89" t="str">
        <x:v>Form B only; paired alternate retained on the other comprehensive form</x:v>
      </x:c>
    </x:row>
    <x:row r="379">
      <x:c r="A379" s="88" t="str">
        <x:v>CTA-LCSW-MQB-0378</x:v>
      </x:c>
      <x:c r="B379" s="83" t="str">
        <x:v>LCSW-MQB-FB-IP-011</x:v>
      </x:c>
      <x:c r="C379" s="83" t="str">
        <x:v>LCSW</x:v>
      </x:c>
      <x:c r="D379" s="83" t="str">
        <x:v>Comprehensive Simulation</x:v>
      </x:c>
      <x:c r="E379" s="83"/>
      <x:c r="F379" s="83"/>
      <x:c r="G379" s="83" t="str">
        <x:v>Form B</x:v>
      </x:c>
      <x:c r="H379" s="83" t="n">
        <x:v>52</x:v>
      </x:c>
      <x:c r="I379" s="83" t="str">
        <x:v>Scored-Style</x:v>
      </x:c>
      <x:c r="J379" s="83" t="str">
        <x:v>III. Intervention and Practice</x:v>
      </x:c>
      <x:c r="K379" s="83" t="str">
        <x:v>Interdisciplinary collaboration</x:v>
      </x:c>
      <x:c r="L379" s="83" t="str"/>
      <x:c r="M379" s="83" t="str">
        <x:v>Moderate</x:v>
      </x:c>
      <x:c r="N379" s="83" t="str">
        <x:v>Moderate</x:v>
      </x:c>
      <x:c r="O379" s="83" t="str">
        <x:v>Application</x:v>
      </x:c>
      <x:c r="P379" s="83" t="str">
        <x:v>Application</x:v>
      </x:c>
      <x:c r="Q379" s="83" t="n">
        <x:v>3</x:v>
      </x:c>
      <x:c r="R379" s="83" t="str">
        <x:v>B</x:v>
      </x:c>
      <x:c r="S379" s="83" t="str">
        <x:v>Approved</x:v>
      </x:c>
      <x:c r="T379" s="83" t="str">
        <x:v>Active</x:v>
      </x:c>
      <x:c r="U379" s="83" t="n">
        <x:v>1</x:v>
      </x:c>
      <x:c r="V379" s="83" t="str">
        <x:v>LCSW-ALT-050</x:v>
      </x:c>
      <x:c r="W379" s="83" t="str">
        <x:v>No additional flag</x:v>
      </x:c>
      <x:c r="X379" s="83" t="str">
        <x:v>No structural flag</x:v>
      </x:c>
      <x:c r="Y379" s="83" t="str">
        <x:v>Not Yet Reviewed</x:v>
      </x:c>
      <x:c r="Z379" s="83" t="str">
        <x:v>CTA LCSW WB10; CTA LCSW WB11; ASWB 2026 Clinical Content Area III</x:v>
      </x:c>
      <x:c r="AA379" s="83" t="str">
        <x:v>CTA_LCSW_2026_Comprehensive_Simulation_Form_B_Answer_Key_and_Detailed_Rationales_v1.0.docx</x:v>
      </x:c>
      <x:c r="AB379" s="83" t="str">
        <x:v>1.0</x:v>
      </x:c>
      <x:c r="AC379" s="102"/>
      <x:c r="AD379" s="102" t="n">
        <x:v>46228</x:v>
      </x:c>
      <x:c r="AE379" s="83" t="str">
        <x:v>Approved for Form B</x:v>
      </x:c>
      <x:c r="AF379" s="89" t="str">
        <x:v>Form B only; paired alternate retained on the other comprehensive form</x:v>
      </x:c>
    </x:row>
    <x:row r="380">
      <x:c r="A380" s="88" t="str">
        <x:v>CTA-LCSW-MQB-0379</x:v>
      </x:c>
      <x:c r="B380" s="83" t="str">
        <x:v>LCSW-MQB-FB-AP-001</x:v>
      </x:c>
      <x:c r="C380" s="83" t="str">
        <x:v>LCSW</x:v>
      </x:c>
      <x:c r="D380" s="83" t="str">
        <x:v>Comprehensive Simulation</x:v>
      </x:c>
      <x:c r="E380" s="83"/>
      <x:c r="F380" s="83"/>
      <x:c r="G380" s="83" t="str">
        <x:v>Form B</x:v>
      </x:c>
      <x:c r="H380" s="83" t="n">
        <x:v>53</x:v>
      </x:c>
      <x:c r="I380" s="83" t="str">
        <x:v>Scored-Style</x:v>
      </x:c>
      <x:c r="J380" s="83" t="str">
        <x:v>II. Assessment and Planning</x:v>
      </x:c>
      <x:c r="K380" s="83" t="str">
        <x:v>Mental status orientation</x:v>
      </x:c>
      <x:c r="L380" s="83" t="str"/>
      <x:c r="M380" s="83" t="str">
        <x:v>Easy</x:v>
      </x:c>
      <x:c r="N380" s="83" t="str">
        <x:v>Easy</x:v>
      </x:c>
      <x:c r="O380" s="83" t="str">
        <x:v>Direct recognition</x:v>
      </x:c>
      <x:c r="P380" s="83" t="str">
        <x:v>Knowledge &amp; Recall</x:v>
      </x:c>
      <x:c r="Q380" s="83" t="n">
        <x:v>3</x:v>
      </x:c>
      <x:c r="R380" s="83" t="str">
        <x:v>B</x:v>
      </x:c>
      <x:c r="S380" s="83" t="str">
        <x:v>Approved</x:v>
      </x:c>
      <x:c r="T380" s="83" t="str">
        <x:v>Active</x:v>
      </x:c>
      <x:c r="U380" s="83" t="n">
        <x:v>1</x:v>
      </x:c>
      <x:c r="V380" s="83" t="str">
        <x:v>LCSW-ALT-001</x:v>
      </x:c>
      <x:c r="W380" s="83" t="str">
        <x:v>No additional flag</x:v>
      </x:c>
      <x:c r="X380" s="83" t="str">
        <x:v>No structural flag</x:v>
      </x:c>
      <x:c r="Y380" s="83" t="str">
        <x:v>Not Yet Reviewed</x:v>
      </x:c>
      <x:c r="Z380" s="83" t="str">
        <x:v>CTA LCSW WB3–WB7; ASWB 2026 Clinical Content Area II</x:v>
      </x:c>
      <x:c r="AA380" s="83" t="str">
        <x:v>CTA_LCSW_2026_Comprehensive_Simulation_Form_B_Answer_Key_and_Detailed_Rationales_v1.0.docx</x:v>
      </x:c>
      <x:c r="AB380" s="83" t="str">
        <x:v>1.0</x:v>
      </x:c>
      <x:c r="AC380" s="102"/>
      <x:c r="AD380" s="102" t="n">
        <x:v>46228</x:v>
      </x:c>
      <x:c r="AE380" s="83" t="str">
        <x:v>Approved for Form B</x:v>
      </x:c>
      <x:c r="AF380" s="89" t="str">
        <x:v>Form B only; paired alternate retained on the other comprehensive form</x:v>
      </x:c>
    </x:row>
    <x:row r="381">
      <x:c r="A381" s="88" t="str">
        <x:v>CTA-LCSW-MQB-0380</x:v>
      </x:c>
      <x:c r="B381" s="83" t="str">
        <x:v>LCSW-MQB-FB-IP-033</x:v>
      </x:c>
      <x:c r="C381" s="83" t="str">
        <x:v>LCSW</x:v>
      </x:c>
      <x:c r="D381" s="83" t="str">
        <x:v>Comprehensive Simulation</x:v>
      </x:c>
      <x:c r="E381" s="83"/>
      <x:c r="F381" s="83"/>
      <x:c r="G381" s="83" t="str">
        <x:v>Form B</x:v>
      </x:c>
      <x:c r="H381" s="83" t="n">
        <x:v>54</x:v>
      </x:c>
      <x:c r="I381" s="83" t="str">
        <x:v>Pretest-Style</x:v>
      </x:c>
      <x:c r="J381" s="83" t="str">
        <x:v>III. Intervention and Practice</x:v>
      </x:c>
      <x:c r="K381" s="83" t="str">
        <x:v>Termination after dropout</x:v>
      </x:c>
      <x:c r="L381" s="83" t="str"/>
      <x:c r="M381" s="83" t="str">
        <x:v>Difficult</x:v>
      </x:c>
      <x:c r="N381" s="83" t="str">
        <x:v>Difficult</x:v>
      </x:c>
      <x:c r="O381" s="83" t="str">
        <x:v>Scenario-based reasoning</x:v>
      </x:c>
      <x:c r="P381" s="83" t="str">
        <x:v>Scenario-Based</x:v>
      </x:c>
      <x:c r="Q381" s="83" t="n">
        <x:v>4</x:v>
      </x:c>
      <x:c r="R381" s="83" t="str">
        <x:v>C</x:v>
      </x:c>
      <x:c r="S381" s="83" t="str">
        <x:v>Approved</x:v>
      </x:c>
      <x:c r="T381" s="83" t="str">
        <x:v>Active</x:v>
      </x:c>
      <x:c r="U381" s="83" t="n">
        <x:v>1</x:v>
      </x:c>
      <x:c r="V381" s="83" t="str">
        <x:v>LCSW-ALT-072</x:v>
      </x:c>
      <x:c r="W381" s="83" t="str">
        <x:v>No additional flag</x:v>
      </x:c>
      <x:c r="X381" s="83" t="str">
        <x:v>No structural flag</x:v>
      </x:c>
      <x:c r="Y381" s="83" t="str">
        <x:v>Not Yet Reviewed</x:v>
      </x:c>
      <x:c r="Z381" s="83" t="str">
        <x:v>CTA LCSW WB8–WB11; ASWB 2026 Clinical Content Area III</x:v>
      </x:c>
      <x:c r="AA381" s="83" t="str">
        <x:v>CTA_LCSW_2026_Comprehensive_Simulation_Form_B_Answer_Key_and_Detailed_Rationales_v1.0.docx</x:v>
      </x:c>
      <x:c r="AB381" s="83" t="str">
        <x:v>1.0</x:v>
      </x:c>
      <x:c r="AC381" s="102"/>
      <x:c r="AD381" s="102" t="n">
        <x:v>46228</x:v>
      </x:c>
      <x:c r="AE381" s="83" t="str">
        <x:v>Approved for Form B</x:v>
      </x:c>
      <x:c r="AF381" s="89" t="str">
        <x:v>Form B only; paired alternate retained on the other comprehensive form</x:v>
      </x:c>
    </x:row>
    <x:row r="382">
      <x:c r="A382" s="88" t="str">
        <x:v>CTA-LCSW-MQB-0381</x:v>
      </x:c>
      <x:c r="B382" s="83" t="str">
        <x:v>LCSW-MQB-FB-IP-010</x:v>
      </x:c>
      <x:c r="C382" s="83" t="str">
        <x:v>LCSW</x:v>
      </x:c>
      <x:c r="D382" s="83" t="str">
        <x:v>Comprehensive Simulation</x:v>
      </x:c>
      <x:c r="E382" s="83"/>
      <x:c r="F382" s="83"/>
      <x:c r="G382" s="83" t="str">
        <x:v>Form B</x:v>
      </x:c>
      <x:c r="H382" s="83" t="n">
        <x:v>55</x:v>
      </x:c>
      <x:c r="I382" s="83" t="str">
        <x:v>Scored-Style</x:v>
      </x:c>
      <x:c r="J382" s="83" t="str">
        <x:v>III. Intervention and Practice</x:v>
      </x:c>
      <x:c r="K382" s="83" t="str">
        <x:v>Referral fit</x:v>
      </x:c>
      <x:c r="L382" s="83" t="str"/>
      <x:c r="M382" s="83" t="str">
        <x:v>Moderate</x:v>
      </x:c>
      <x:c r="N382" s="83" t="str">
        <x:v>Moderate</x:v>
      </x:c>
      <x:c r="O382" s="83" t="str">
        <x:v>Application</x:v>
      </x:c>
      <x:c r="P382" s="83" t="str">
        <x:v>Application</x:v>
      </x:c>
      <x:c r="Q382" s="83" t="n">
        <x:v>3</x:v>
      </x:c>
      <x:c r="R382" s="83" t="str">
        <x:v>A</x:v>
      </x:c>
      <x:c r="S382" s="83" t="str">
        <x:v>Approved</x:v>
      </x:c>
      <x:c r="T382" s="83" t="str">
        <x:v>Active</x:v>
      </x:c>
      <x:c r="U382" s="83" t="n">
        <x:v>1</x:v>
      </x:c>
      <x:c r="V382" s="83" t="str">
        <x:v>LCSW-ALT-049</x:v>
      </x:c>
      <x:c r="W382" s="83" t="str">
        <x:v>No additional flag</x:v>
      </x:c>
      <x:c r="X382" s="83" t="str">
        <x:v>No structural flag</x:v>
      </x:c>
      <x:c r="Y382" s="83" t="str">
        <x:v>Not Yet Reviewed</x:v>
      </x:c>
      <x:c r="Z382" s="83" t="str">
        <x:v>CTA LCSW WB8–WB11; ASWB 2026 Clinical Content Area III</x:v>
      </x:c>
      <x:c r="AA382" s="83" t="str">
        <x:v>CTA_LCSW_2026_Comprehensive_Simulation_Form_B_Answer_Key_and_Detailed_Rationales_v1.0.docx</x:v>
      </x:c>
      <x:c r="AB382" s="83" t="str">
        <x:v>1.0</x:v>
      </x:c>
      <x:c r="AC382" s="102"/>
      <x:c r="AD382" s="102" t="n">
        <x:v>46228</x:v>
      </x:c>
      <x:c r="AE382" s="83" t="str">
        <x:v>Approved for Form B</x:v>
      </x:c>
      <x:c r="AF382" s="89" t="str">
        <x:v>Form B only; paired alternate retained on the other comprehensive form</x:v>
      </x:c>
    </x:row>
    <x:row r="383">
      <x:c r="A383" s="88" t="str">
        <x:v>CTA-LCSW-MQB-0382</x:v>
      </x:c>
      <x:c r="B383" s="83" t="str">
        <x:v>LCSW-MQB-FB-VE-018</x:v>
      </x:c>
      <x:c r="C383" s="83" t="str">
        <x:v>LCSW</x:v>
      </x:c>
      <x:c r="D383" s="83" t="str">
        <x:v>Comprehensive Simulation</x:v>
      </x:c>
      <x:c r="E383" s="83"/>
      <x:c r="F383" s="83"/>
      <x:c r="G383" s="83" t="str">
        <x:v>Form B</x:v>
      </x:c>
      <x:c r="H383" s="83" t="n">
        <x:v>56</x:v>
      </x:c>
      <x:c r="I383" s="83" t="str">
        <x:v>Scored-Style</x:v>
      </x:c>
      <x:c r="J383" s="83" t="str">
        <x:v>I. Values and Ethics</x:v>
      </x:c>
      <x:c r="K383" s="83" t="str">
        <x:v>Impairment and functioning</x:v>
      </x:c>
      <x:c r="L383" s="83" t="str"/>
      <x:c r="M383" s="83" t="str">
        <x:v>Moderate</x:v>
      </x:c>
      <x:c r="N383" s="83" t="str">
        <x:v>Moderate</x:v>
      </x:c>
      <x:c r="O383" s="83" t="str">
        <x:v>Application</x:v>
      </x:c>
      <x:c r="P383" s="83" t="str">
        <x:v>Application</x:v>
      </x:c>
      <x:c r="Q383" s="83" t="n">
        <x:v>3</x:v>
      </x:c>
      <x:c r="R383" s="83" t="str">
        <x:v>C</x:v>
      </x:c>
      <x:c r="S383" s="83" t="str">
        <x:v>Approved</x:v>
      </x:c>
      <x:c r="T383" s="83" t="str">
        <x:v>Active</x:v>
      </x:c>
      <x:c r="U383" s="83" t="n">
        <x:v>1</x:v>
      </x:c>
      <x:c r="V383" s="83" t="str">
        <x:v>LCSW-ALT-096</x:v>
      </x:c>
      <x:c r="W383" s="83" t="str">
        <x:v>No additional flag</x:v>
      </x:c>
      <x:c r="X383" s="83" t="str">
        <x:v>No structural flag</x:v>
      </x:c>
      <x:c r="Y383" s="83" t="str">
        <x:v>Not Yet Reviewed</x:v>
      </x:c>
      <x:c r="Z383" s="83" t="str">
        <x:v>CTA LCSW WB2; CTA LCSW WB12; ASWB 2026 Clinical Content Area I</x:v>
      </x:c>
      <x:c r="AA383" s="83" t="str">
        <x:v>CTA_LCSW_2026_Comprehensive_Simulation_Form_B_Answer_Key_and_Detailed_Rationales_v1.0.docx</x:v>
      </x:c>
      <x:c r="AB383" s="83" t="str">
        <x:v>1.0</x:v>
      </x:c>
      <x:c r="AC383" s="102"/>
      <x:c r="AD383" s="102" t="n">
        <x:v>46228</x:v>
      </x:c>
      <x:c r="AE383" s="83" t="str">
        <x:v>Approved for Form B</x:v>
      </x:c>
      <x:c r="AF383" s="89" t="str">
        <x:v>Form B only; paired alternate retained on the other comprehensive form</x:v>
      </x:c>
    </x:row>
    <x:row r="384">
      <x:c r="A384" s="88" t="str">
        <x:v>CTA-LCSW-MQB-0383</x:v>
      </x:c>
      <x:c r="B384" s="83" t="str">
        <x:v>LCSW-MQB-FB-AP-017</x:v>
      </x:c>
      <x:c r="C384" s="83" t="str">
        <x:v>LCSW</x:v>
      </x:c>
      <x:c r="D384" s="83" t="str">
        <x:v>Comprehensive Simulation</x:v>
      </x:c>
      <x:c r="E384" s="83"/>
      <x:c r="F384" s="83"/>
      <x:c r="G384" s="83" t="str">
        <x:v>Form B</x:v>
      </x:c>
      <x:c r="H384" s="83" t="n">
        <x:v>57</x:v>
      </x:c>
      <x:c r="I384" s="83" t="str">
        <x:v>Scored-Style</x:v>
      </x:c>
      <x:c r="J384" s="83" t="str">
        <x:v>II. Assessment and Planning</x:v>
      </x:c>
      <x:c r="K384" s="83" t="str">
        <x:v>Grief assessment</x:v>
      </x:c>
      <x:c r="L384" s="83" t="str"/>
      <x:c r="M384" s="83" t="str">
        <x:v>Moderate</x:v>
      </x:c>
      <x:c r="N384" s="83" t="str">
        <x:v>Moderate</x:v>
      </x:c>
      <x:c r="O384" s="83" t="str">
        <x:v>Application</x:v>
      </x:c>
      <x:c r="P384" s="83" t="str">
        <x:v>Application</x:v>
      </x:c>
      <x:c r="Q384" s="83" t="n">
        <x:v>3</x:v>
      </x:c>
      <x:c r="R384" s="83" t="str">
        <x:v>C</x:v>
      </x:c>
      <x:c r="S384" s="83" t="str">
        <x:v>Approved</x:v>
      </x:c>
      <x:c r="T384" s="83" t="str">
        <x:v>Active</x:v>
      </x:c>
      <x:c r="U384" s="83" t="n">
        <x:v>1</x:v>
      </x:c>
      <x:c r="V384" s="83" t="str">
        <x:v>LCSW-ALT-017</x:v>
      </x:c>
      <x:c r="W384" s="83" t="str">
        <x:v>No additional flag</x:v>
      </x:c>
      <x:c r="X384" s="83" t="str">
        <x:v>No structural flag</x:v>
      </x:c>
      <x:c r="Y384" s="83" t="str">
        <x:v>Not Yet Reviewed</x:v>
      </x:c>
      <x:c r="Z384" s="83" t="str">
        <x:v>CTA LCSW WB3–WB7; ASWB 2026 Clinical Content Area II</x:v>
      </x:c>
      <x:c r="AA384" s="83" t="str">
        <x:v>CTA_LCSW_2026_Comprehensive_Simulation_Form_B_Answer_Key_and_Detailed_Rationales_v1.0.docx</x:v>
      </x:c>
      <x:c r="AB384" s="83" t="str">
        <x:v>1.0</x:v>
      </x:c>
      <x:c r="AC384" s="102"/>
      <x:c r="AD384" s="102" t="n">
        <x:v>46228</x:v>
      </x:c>
      <x:c r="AE384" s="83" t="str">
        <x:v>Approved for Form B</x:v>
      </x:c>
      <x:c r="AF384" s="89" t="str">
        <x:v>Form B only; paired alternate retained on the other comprehensive form</x:v>
      </x:c>
    </x:row>
    <x:row r="385">
      <x:c r="A385" s="88" t="str">
        <x:v>CTA-LCSW-MQB-0384</x:v>
      </x:c>
      <x:c r="B385" s="83" t="str">
        <x:v>LCSW-MQB-FB-IP-017</x:v>
      </x:c>
      <x:c r="C385" s="83" t="str">
        <x:v>LCSW</x:v>
      </x:c>
      <x:c r="D385" s="83" t="str">
        <x:v>Comprehensive Simulation</x:v>
      </x:c>
      <x:c r="E385" s="83"/>
      <x:c r="F385" s="83"/>
      <x:c r="G385" s="83" t="str">
        <x:v>Form B</x:v>
      </x:c>
      <x:c r="H385" s="83" t="n">
        <x:v>58</x:v>
      </x:c>
      <x:c r="I385" s="83" t="str">
        <x:v>Scored-Style</x:v>
      </x:c>
      <x:c r="J385" s="83" t="str">
        <x:v>III. Intervention and Practice</x:v>
      </x:c>
      <x:c r="K385" s="83" t="str">
        <x:v>Supervision feedback</x:v>
      </x:c>
      <x:c r="L385" s="83" t="str"/>
      <x:c r="M385" s="83" t="str">
        <x:v>Moderate</x:v>
      </x:c>
      <x:c r="N385" s="83" t="str">
        <x:v>Moderate</x:v>
      </x:c>
      <x:c r="O385" s="83" t="str">
        <x:v>Application</x:v>
      </x:c>
      <x:c r="P385" s="83" t="str">
        <x:v>Application</x:v>
      </x:c>
      <x:c r="Q385" s="83" t="n">
        <x:v>3</x:v>
      </x:c>
      <x:c r="R385" s="83" t="str">
        <x:v>B</x:v>
      </x:c>
      <x:c r="S385" s="83" t="str">
        <x:v>Approved</x:v>
      </x:c>
      <x:c r="T385" s="83" t="str">
        <x:v>Active</x:v>
      </x:c>
      <x:c r="U385" s="83" t="n">
        <x:v>1</x:v>
      </x:c>
      <x:c r="V385" s="83" t="str">
        <x:v>LCSW-ALT-056</x:v>
      </x:c>
      <x:c r="W385" s="83" t="str">
        <x:v>Review Candidate</x:v>
      </x:c>
      <x:c r="X385" s="83" t="str">
        <x:v>No structural flag</x:v>
      </x:c>
      <x:c r="Y385" s="83" t="str">
        <x:v>Not Yet Reviewed</x:v>
      </x:c>
      <x:c r="Z385" s="83" t="str">
        <x:v>CTA LCSW WB10; CTA LCSW WB11; ASWB 2026 Clinical Content Area III</x:v>
      </x:c>
      <x:c r="AA385" s="83" t="str">
        <x:v>CTA_LCSW_2026_Comprehensive_Simulation_Form_B_Answer_Key_and_Detailed_Rationales_v1.0.docx</x:v>
      </x:c>
      <x:c r="AB385" s="83" t="str">
        <x:v>1.0</x:v>
      </x:c>
      <x:c r="AC385" s="102"/>
      <x:c r="AD385" s="102" t="n">
        <x:v>46228</x:v>
      </x:c>
      <x:c r="AE385" s="83" t="str">
        <x:v>Approved for Form B</x:v>
      </x:c>
      <x:c r="AF385" s="89" t="str">
        <x:v>Form B only; paired alternate retained on the other comprehensive form</x:v>
      </x:c>
    </x:row>
    <x:row r="386">
      <x:c r="A386" s="88" t="str">
        <x:v>CTA-LCSW-MQB-0385</x:v>
      </x:c>
      <x:c r="B386" s="83" t="str">
        <x:v>LCSW-MQB-FB-IP-026</x:v>
      </x:c>
      <x:c r="C386" s="83" t="str">
        <x:v>LCSW</x:v>
      </x:c>
      <x:c r="D386" s="83" t="str">
        <x:v>Comprehensive Simulation</x:v>
      </x:c>
      <x:c r="E386" s="83"/>
      <x:c r="F386" s="83"/>
      <x:c r="G386" s="83" t="str">
        <x:v>Form B</x:v>
      </x:c>
      <x:c r="H386" s="83" t="n">
        <x:v>59</x:v>
      </x:c>
      <x:c r="I386" s="83" t="str">
        <x:v>Scored-Style</x:v>
      </x:c>
      <x:c r="J386" s="83" t="str">
        <x:v>III. Intervention and Practice</x:v>
      </x:c>
      <x:c r="K386" s="83" t="str">
        <x:v>Group conflict</x:v>
      </x:c>
      <x:c r="L386" s="83" t="str"/>
      <x:c r="M386" s="83" t="str">
        <x:v>Moderate</x:v>
      </x:c>
      <x:c r="N386" s="83" t="str">
        <x:v>Moderate</x:v>
      </x:c>
      <x:c r="O386" s="83" t="str">
        <x:v>Scenario-based reasoning</x:v>
      </x:c>
      <x:c r="P386" s="83" t="str">
        <x:v>Scenario-Based</x:v>
      </x:c>
      <x:c r="Q386" s="83" t="n">
        <x:v>4</x:v>
      </x:c>
      <x:c r="R386" s="83" t="str">
        <x:v>A</x:v>
      </x:c>
      <x:c r="S386" s="83" t="str">
        <x:v>Approved</x:v>
      </x:c>
      <x:c r="T386" s="83" t="str">
        <x:v>Active</x:v>
      </x:c>
      <x:c r="U386" s="83" t="n">
        <x:v>1</x:v>
      </x:c>
      <x:c r="V386" s="83" t="str">
        <x:v>LCSW-ALT-065</x:v>
      </x:c>
      <x:c r="W386" s="83" t="str">
        <x:v>No additional flag</x:v>
      </x:c>
      <x:c r="X386" s="83" t="str">
        <x:v>No structural flag</x:v>
      </x:c>
      <x:c r="Y386" s="83" t="str">
        <x:v>Not Yet Reviewed</x:v>
      </x:c>
      <x:c r="Z386" s="83" t="str">
        <x:v>CTA LCSW WB8–WB11; ASWB 2026 Clinical Content Area III</x:v>
      </x:c>
      <x:c r="AA386" s="83" t="str">
        <x:v>CTA_LCSW_2026_Comprehensive_Simulation_Form_B_Answer_Key_and_Detailed_Rationales_v1.0.docx</x:v>
      </x:c>
      <x:c r="AB386" s="83" t="str">
        <x:v>1.0</x:v>
      </x:c>
      <x:c r="AC386" s="102"/>
      <x:c r="AD386" s="102" t="n">
        <x:v>46228</x:v>
      </x:c>
      <x:c r="AE386" s="83" t="str">
        <x:v>Approved for Form B</x:v>
      </x:c>
      <x:c r="AF386" s="89" t="str">
        <x:v>Form B only; paired alternate retained on the other comprehensive form</x:v>
      </x:c>
    </x:row>
    <x:row r="387">
      <x:c r="A387" s="88" t="str">
        <x:v>CTA-LCSW-MQB-0386</x:v>
      </x:c>
      <x:c r="B387" s="83" t="str">
        <x:v>LCSW-MQB-FB-VE-022</x:v>
      </x:c>
      <x:c r="C387" s="83" t="str">
        <x:v>LCSW</x:v>
      </x:c>
      <x:c r="D387" s="83" t="str">
        <x:v>Comprehensive Simulation</x:v>
      </x:c>
      <x:c r="E387" s="83"/>
      <x:c r="F387" s="83"/>
      <x:c r="G387" s="83" t="str">
        <x:v>Form B</x:v>
      </x:c>
      <x:c r="H387" s="83" t="n">
        <x:v>60</x:v>
      </x:c>
      <x:c r="I387" s="83" t="str">
        <x:v>Scored-Style</x:v>
      </x:c>
      <x:c r="J387" s="83" t="str">
        <x:v>I. Values and Ethics</x:v>
      </x:c>
      <x:c r="K387" s="83" t="str">
        <x:v>Billing integrity</x:v>
      </x:c>
      <x:c r="L387" s="83" t="str"/>
      <x:c r="M387" s="83" t="str">
        <x:v>Moderate</x:v>
      </x:c>
      <x:c r="N387" s="83" t="str">
        <x:v>Moderate</x:v>
      </x:c>
      <x:c r="O387" s="83" t="str">
        <x:v>Application</x:v>
      </x:c>
      <x:c r="P387" s="83" t="str">
        <x:v>Application</x:v>
      </x:c>
      <x:c r="Q387" s="83" t="n">
        <x:v>3</x:v>
      </x:c>
      <x:c r="R387" s="83" t="str">
        <x:v>A</x:v>
      </x:c>
      <x:c r="S387" s="83" t="str">
        <x:v>Approved</x:v>
      </x:c>
      <x:c r="T387" s="83" t="str">
        <x:v>Active</x:v>
      </x:c>
      <x:c r="U387" s="83" t="n">
        <x:v>1</x:v>
      </x:c>
      <x:c r="V387" s="83" t="str">
        <x:v>LCSW-ALT-100</x:v>
      </x:c>
      <x:c r="W387" s="83" t="str">
        <x:v>No additional flag</x:v>
      </x:c>
      <x:c r="X387" s="83" t="str">
        <x:v>No structural flag</x:v>
      </x:c>
      <x:c r="Y387" s="83" t="str">
        <x:v>Not Yet Reviewed</x:v>
      </x:c>
      <x:c r="Z387" s="83" t="str">
        <x:v>CTA LCSW WB2; CTA LCSW WB12; ASWB 2026 Clinical Content Area I</x:v>
      </x:c>
      <x:c r="AA387" s="83" t="str">
        <x:v>CTA_LCSW_2026_Comprehensive_Simulation_Form_B_Answer_Key_and_Detailed_Rationales_v1.0.docx</x:v>
      </x:c>
      <x:c r="AB387" s="83" t="str">
        <x:v>1.0</x:v>
      </x:c>
      <x:c r="AC387" s="102"/>
      <x:c r="AD387" s="102" t="n">
        <x:v>46228</x:v>
      </x:c>
      <x:c r="AE387" s="83" t="str">
        <x:v>Approved for Form B</x:v>
      </x:c>
      <x:c r="AF387" s="89" t="str">
        <x:v>Form B only; paired alternate retained on the other comprehensive form</x:v>
      </x:c>
    </x:row>
    <x:row r="388">
      <x:c r="A388" s="88" t="str">
        <x:v>CTA-LCSW-MQB-0387</x:v>
      </x:c>
      <x:c r="B388" s="83" t="str">
        <x:v>LCSW-MQB-FB-IP-028</x:v>
      </x:c>
      <x:c r="C388" s="83" t="str">
        <x:v>LCSW</x:v>
      </x:c>
      <x:c r="D388" s="83" t="str">
        <x:v>Comprehensive Simulation</x:v>
      </x:c>
      <x:c r="E388" s="83"/>
      <x:c r="F388" s="83"/>
      <x:c r="G388" s="83" t="str">
        <x:v>Form B</x:v>
      </x:c>
      <x:c r="H388" s="83" t="n">
        <x:v>61</x:v>
      </x:c>
      <x:c r="I388" s="83" t="str">
        <x:v>Pretest-Style</x:v>
      </x:c>
      <x:c r="J388" s="83" t="str">
        <x:v>III. Intervention and Practice</x:v>
      </x:c>
      <x:c r="K388" s="83" t="str">
        <x:v>Hospital discharge advocacy</x:v>
      </x:c>
      <x:c r="L388" s="83" t="str"/>
      <x:c r="M388" s="83" t="str">
        <x:v>Moderate</x:v>
      </x:c>
      <x:c r="N388" s="83" t="str">
        <x:v>Moderate</x:v>
      </x:c>
      <x:c r="O388" s="83" t="str">
        <x:v>Scenario-based reasoning</x:v>
      </x:c>
      <x:c r="P388" s="83" t="str">
        <x:v>Scenario-Based</x:v>
      </x:c>
      <x:c r="Q388" s="83" t="n">
        <x:v>4</x:v>
      </x:c>
      <x:c r="R388" s="83" t="str">
        <x:v>B</x:v>
      </x:c>
      <x:c r="S388" s="83" t="str">
        <x:v>Approved</x:v>
      </x:c>
      <x:c r="T388" s="83" t="str">
        <x:v>Active</x:v>
      </x:c>
      <x:c r="U388" s="83" t="n">
        <x:v>1</x:v>
      </x:c>
      <x:c r="V388" s="83" t="str">
        <x:v>LCSW-ALT-067</x:v>
      </x:c>
      <x:c r="W388" s="83" t="str">
        <x:v>No additional flag</x:v>
      </x:c>
      <x:c r="X388" s="83" t="str">
        <x:v>No structural flag</x:v>
      </x:c>
      <x:c r="Y388" s="83" t="str">
        <x:v>Not Yet Reviewed</x:v>
      </x:c>
      <x:c r="Z388" s="83" t="str">
        <x:v>CTA LCSW WB10; CTA LCSW WB11; ASWB 2026 Clinical Content Area III</x:v>
      </x:c>
      <x:c r="AA388" s="83" t="str">
        <x:v>CTA_LCSW_2026_Comprehensive_Simulation_Form_B_Answer_Key_and_Detailed_Rationales_v1.0.docx</x:v>
      </x:c>
      <x:c r="AB388" s="83" t="str">
        <x:v>1.0</x:v>
      </x:c>
      <x:c r="AC388" s="102"/>
      <x:c r="AD388" s="102" t="n">
        <x:v>46228</x:v>
      </x:c>
      <x:c r="AE388" s="83" t="str">
        <x:v>Approved for Form B</x:v>
      </x:c>
      <x:c r="AF388" s="89" t="str">
        <x:v>Form B only; paired alternate retained on the other comprehensive form</x:v>
      </x:c>
    </x:row>
    <x:row r="389">
      <x:c r="A389" s="88" t="str">
        <x:v>CTA-LCSW-MQB-0388</x:v>
      </x:c>
      <x:c r="B389" s="83" t="str">
        <x:v>LCSW-MQB-FB-AP-002</x:v>
      </x:c>
      <x:c r="C389" s="83" t="str">
        <x:v>LCSW</x:v>
      </x:c>
      <x:c r="D389" s="83" t="str">
        <x:v>Comprehensive Simulation</x:v>
      </x:c>
      <x:c r="E389" s="83"/>
      <x:c r="F389" s="83"/>
      <x:c r="G389" s="83" t="str">
        <x:v>Form B</x:v>
      </x:c>
      <x:c r="H389" s="83" t="n">
        <x:v>62</x:v>
      </x:c>
      <x:c r="I389" s="83" t="str">
        <x:v>Scored-Style</x:v>
      </x:c>
      <x:c r="J389" s="83" t="str">
        <x:v>II. Assessment and Planning</x:v>
      </x:c>
      <x:c r="K389" s="83" t="str">
        <x:v>Person-in-environment</x:v>
      </x:c>
      <x:c r="L389" s="83" t="str"/>
      <x:c r="M389" s="83" t="str">
        <x:v>Easy</x:v>
      </x:c>
      <x:c r="N389" s="83" t="str">
        <x:v>Easy</x:v>
      </x:c>
      <x:c r="O389" s="83" t="str">
        <x:v>Direct recognition</x:v>
      </x:c>
      <x:c r="P389" s="83" t="str">
        <x:v>Knowledge &amp; Recall</x:v>
      </x:c>
      <x:c r="Q389" s="83" t="n">
        <x:v>3</x:v>
      </x:c>
      <x:c r="R389" s="83" t="str">
        <x:v>A</x:v>
      </x:c>
      <x:c r="S389" s="83" t="str">
        <x:v>Approved</x:v>
      </x:c>
      <x:c r="T389" s="83" t="str">
        <x:v>Active</x:v>
      </x:c>
      <x:c r="U389" s="83" t="n">
        <x:v>1</x:v>
      </x:c>
      <x:c r="V389" s="83" t="str">
        <x:v>LCSW-ALT-002</x:v>
      </x:c>
      <x:c r="W389" s="83" t="str">
        <x:v>No additional flag</x:v>
      </x:c>
      <x:c r="X389" s="83" t="str">
        <x:v>No structural flag</x:v>
      </x:c>
      <x:c r="Y389" s="83" t="str">
        <x:v>Not Yet Reviewed</x:v>
      </x:c>
      <x:c r="Z389" s="83" t="str">
        <x:v>CTA LCSW WB3–WB7; ASWB 2026 Clinical Content Area II</x:v>
      </x:c>
      <x:c r="AA389" s="83" t="str">
        <x:v>CTA_LCSW_2026_Comprehensive_Simulation_Form_B_Answer_Key_and_Detailed_Rationales_v1.0.docx</x:v>
      </x:c>
      <x:c r="AB389" s="83" t="str">
        <x:v>1.0</x:v>
      </x:c>
      <x:c r="AC389" s="102"/>
      <x:c r="AD389" s="102" t="n">
        <x:v>46228</x:v>
      </x:c>
      <x:c r="AE389" s="83" t="str">
        <x:v>Approved for Form B</x:v>
      </x:c>
      <x:c r="AF389" s="89" t="str">
        <x:v>Form B only; paired alternate retained on the other comprehensive form</x:v>
      </x:c>
    </x:row>
    <x:row r="390">
      <x:c r="A390" s="88" t="str">
        <x:v>CTA-LCSW-MQB-0389</x:v>
      </x:c>
      <x:c r="B390" s="83" t="str">
        <x:v>LCSW-MQB-FB-AP-007</x:v>
      </x:c>
      <x:c r="C390" s="83" t="str">
        <x:v>LCSW</x:v>
      </x:c>
      <x:c r="D390" s="83" t="str">
        <x:v>Comprehensive Simulation</x:v>
      </x:c>
      <x:c r="E390" s="83"/>
      <x:c r="F390" s="83"/>
      <x:c r="G390" s="83" t="str">
        <x:v>Form B</x:v>
      </x:c>
      <x:c r="H390" s="83" t="n">
        <x:v>63</x:v>
      </x:c>
      <x:c r="I390" s="83" t="str">
        <x:v>Scored-Style</x:v>
      </x:c>
      <x:c r="J390" s="83" t="str">
        <x:v>II. Assessment and Planning</x:v>
      </x:c>
      <x:c r="K390" s="83" t="str">
        <x:v>Collateral discrepancy</x:v>
      </x:c>
      <x:c r="L390" s="83" t="str"/>
      <x:c r="M390" s="83" t="str">
        <x:v>Easy</x:v>
      </x:c>
      <x:c r="N390" s="83" t="str">
        <x:v>Easy</x:v>
      </x:c>
      <x:c r="O390" s="83" t="str">
        <x:v>Application</x:v>
      </x:c>
      <x:c r="P390" s="83" t="str">
        <x:v>Application</x:v>
      </x:c>
      <x:c r="Q390" s="83" t="n">
        <x:v>3</x:v>
      </x:c>
      <x:c r="R390" s="83" t="str">
        <x:v>B</x:v>
      </x:c>
      <x:c r="S390" s="83" t="str">
        <x:v>Approved</x:v>
      </x:c>
      <x:c r="T390" s="83" t="str">
        <x:v>Active</x:v>
      </x:c>
      <x:c r="U390" s="83" t="n">
        <x:v>1</x:v>
      </x:c>
      <x:c r="V390" s="83" t="str">
        <x:v>LCSW-ALT-007</x:v>
      </x:c>
      <x:c r="W390" s="83" t="str">
        <x:v>No additional flag</x:v>
      </x:c>
      <x:c r="X390" s="83" t="str">
        <x:v>No structural flag</x:v>
      </x:c>
      <x:c r="Y390" s="83" t="str">
        <x:v>Not Yet Reviewed</x:v>
      </x:c>
      <x:c r="Z390" s="83" t="str">
        <x:v>CTA LCSW WB3–WB7; ASWB 2026 Clinical Content Area II</x:v>
      </x:c>
      <x:c r="AA390" s="83" t="str">
        <x:v>CTA_LCSW_2026_Comprehensive_Simulation_Form_B_Answer_Key_and_Detailed_Rationales_v1.0.docx</x:v>
      </x:c>
      <x:c r="AB390" s="83" t="str">
        <x:v>1.0</x:v>
      </x:c>
      <x:c r="AC390" s="102"/>
      <x:c r="AD390" s="102" t="n">
        <x:v>46228</x:v>
      </x:c>
      <x:c r="AE390" s="83" t="str">
        <x:v>Approved for Form B</x:v>
      </x:c>
      <x:c r="AF390" s="89" t="str">
        <x:v>Form B only; paired alternate retained on the other comprehensive form</x:v>
      </x:c>
    </x:row>
    <x:row r="391">
      <x:c r="A391" s="88" t="str">
        <x:v>CTA-LCSW-MQB-0390</x:v>
      </x:c>
      <x:c r="B391" s="83" t="str">
        <x:v>LCSW-MQB-FB-VE-028</x:v>
      </x:c>
      <x:c r="C391" s="83" t="str">
        <x:v>LCSW</x:v>
      </x:c>
      <x:c r="D391" s="83" t="str">
        <x:v>Comprehensive Simulation</x:v>
      </x:c>
      <x:c r="E391" s="83"/>
      <x:c r="F391" s="83"/>
      <x:c r="G391" s="83" t="str">
        <x:v>Form B</x:v>
      </x:c>
      <x:c r="H391" s="83" t="n">
        <x:v>64</x:v>
      </x:c>
      <x:c r="I391" s="83" t="str">
        <x:v>Scored-Style</x:v>
      </x:c>
      <x:c r="J391" s="83" t="str">
        <x:v>I. Values and Ethics</x:v>
      </x:c>
      <x:c r="K391" s="83" t="str">
        <x:v>Client access and third-party information</x:v>
      </x:c>
      <x:c r="L391" s="83" t="str"/>
      <x:c r="M391" s="83" t="str">
        <x:v>Moderate</x:v>
      </x:c>
      <x:c r="N391" s="83" t="str">
        <x:v>Moderate</x:v>
      </x:c>
      <x:c r="O391" s="83" t="str">
        <x:v>Scenario-based reasoning</x:v>
      </x:c>
      <x:c r="P391" s="83" t="str">
        <x:v>Scenario-Based</x:v>
      </x:c>
      <x:c r="Q391" s="83" t="n">
        <x:v>4</x:v>
      </x:c>
      <x:c r="R391" s="83" t="str">
        <x:v>B</x:v>
      </x:c>
      <x:c r="S391" s="83" t="str">
        <x:v>Approved</x:v>
      </x:c>
      <x:c r="T391" s="83" t="str">
        <x:v>Active</x:v>
      </x:c>
      <x:c r="U391" s="83" t="n">
        <x:v>1</x:v>
      </x:c>
      <x:c r="V391" s="83" t="str">
        <x:v>LCSW-ALT-106</x:v>
      </x:c>
      <x:c r="W391" s="83" t="str">
        <x:v>No additional flag</x:v>
      </x:c>
      <x:c r="X391" s="83" t="str">
        <x:v>No structural flag</x:v>
      </x:c>
      <x:c r="Y391" s="83" t="str">
        <x:v>Not Yet Reviewed</x:v>
      </x:c>
      <x:c r="Z391" s="83" t="str">
        <x:v>CTA LCSW WB2; CTA LCSW WB12; ASWB 2026 Clinical Content Area I</x:v>
      </x:c>
      <x:c r="AA391" s="83" t="str">
        <x:v>CTA_LCSW_2026_Comprehensive_Simulation_Form_B_Answer_Key_and_Detailed_Rationales_v1.0.docx</x:v>
      </x:c>
      <x:c r="AB391" s="83" t="str">
        <x:v>1.0</x:v>
      </x:c>
      <x:c r="AC391" s="102"/>
      <x:c r="AD391" s="102" t="n">
        <x:v>46228</x:v>
      </x:c>
      <x:c r="AE391" s="83" t="str">
        <x:v>Approved for Form B</x:v>
      </x:c>
      <x:c r="AF391" s="89" t="str">
        <x:v>Form B only; paired alternate retained on the other comprehensive form</x:v>
      </x:c>
    </x:row>
    <x:row r="392">
      <x:c r="A392" s="88" t="str">
        <x:v>CTA-LCSW-MQB-0391</x:v>
      </x:c>
      <x:c r="B392" s="83" t="str">
        <x:v>LCSW-MQB-FB-IP-025</x:v>
      </x:c>
      <x:c r="C392" s="83" t="str">
        <x:v>LCSW</x:v>
      </x:c>
      <x:c r="D392" s="83" t="str">
        <x:v>Comprehensive Simulation</x:v>
      </x:c>
      <x:c r="E392" s="83"/>
      <x:c r="F392" s="83"/>
      <x:c r="G392" s="83" t="str">
        <x:v>Form B</x:v>
      </x:c>
      <x:c r="H392" s="83" t="n">
        <x:v>65</x:v>
      </x:c>
      <x:c r="I392" s="83" t="str">
        <x:v>Scored-Style</x:v>
      </x:c>
      <x:c r="J392" s="83" t="str">
        <x:v>III. Intervention and Practice</x:v>
      </x:c>
      <x:c r="K392" s="83" t="str">
        <x:v>Family conflict and safety</x:v>
      </x:c>
      <x:c r="L392" s="83" t="str"/>
      <x:c r="M392" s="83" t="str">
        <x:v>Moderate</x:v>
      </x:c>
      <x:c r="N392" s="83" t="str">
        <x:v>Moderate</x:v>
      </x:c>
      <x:c r="O392" s="83" t="str">
        <x:v>Scenario-based reasoning</x:v>
      </x:c>
      <x:c r="P392" s="83" t="str">
        <x:v>Scenario-Based</x:v>
      </x:c>
      <x:c r="Q392" s="83" t="n">
        <x:v>4</x:v>
      </x:c>
      <x:c r="R392" s="83" t="str">
        <x:v>A</x:v>
      </x:c>
      <x:c r="S392" s="83" t="str">
        <x:v>Approved</x:v>
      </x:c>
      <x:c r="T392" s="83" t="str">
        <x:v>Active</x:v>
      </x:c>
      <x:c r="U392" s="83" t="n">
        <x:v>1</x:v>
      </x:c>
      <x:c r="V392" s="83" t="str">
        <x:v>LCSW-ALT-064</x:v>
      </x:c>
      <x:c r="W392" s="83" t="str">
        <x:v>No additional flag</x:v>
      </x:c>
      <x:c r="X392" s="83" t="str">
        <x:v>No structural flag</x:v>
      </x:c>
      <x:c r="Y392" s="83" t="str">
        <x:v>Not Yet Reviewed</x:v>
      </x:c>
      <x:c r="Z392" s="83" t="str">
        <x:v>CTA LCSW WB8–WB11; ASWB 2026 Clinical Content Area III</x:v>
      </x:c>
      <x:c r="AA392" s="83" t="str">
        <x:v>CTA_LCSW_2026_Comprehensive_Simulation_Form_B_Answer_Key_and_Detailed_Rationales_v1.0.docx</x:v>
      </x:c>
      <x:c r="AB392" s="83" t="str">
        <x:v>1.0</x:v>
      </x:c>
      <x:c r="AC392" s="102"/>
      <x:c r="AD392" s="102" t="n">
        <x:v>46228</x:v>
      </x:c>
      <x:c r="AE392" s="83" t="str">
        <x:v>Approved for Form B</x:v>
      </x:c>
      <x:c r="AF392" s="89" t="str">
        <x:v>Form B only; paired alternate retained on the other comprehensive form</x:v>
      </x:c>
    </x:row>
    <x:row r="393">
      <x:c r="A393" s="88" t="str">
        <x:v>CTA-LCSW-MQB-0392</x:v>
      </x:c>
      <x:c r="B393" s="83" t="str">
        <x:v>LCSW-MQB-FB-VE-033</x:v>
      </x:c>
      <x:c r="C393" s="83" t="str">
        <x:v>LCSW</x:v>
      </x:c>
      <x:c r="D393" s="83" t="str">
        <x:v>Comprehensive Simulation</x:v>
      </x:c>
      <x:c r="E393" s="83"/>
      <x:c r="F393" s="83"/>
      <x:c r="G393" s="83" t="str">
        <x:v>Form B</x:v>
      </x:c>
      <x:c r="H393" s="83" t="n">
        <x:v>66</x:v>
      </x:c>
      <x:c r="I393" s="83" t="str">
        <x:v>Scored-Style</x:v>
      </x:c>
      <x:c r="J393" s="83" t="str">
        <x:v>I. Values and Ethics</x:v>
      </x:c>
      <x:c r="K393" s="83" t="str">
        <x:v>Dual-role pressure</x:v>
      </x:c>
      <x:c r="L393" s="83" t="str"/>
      <x:c r="M393" s="83" t="str">
        <x:v>Moderate</x:v>
      </x:c>
      <x:c r="N393" s="83" t="str">
        <x:v>Moderate</x:v>
      </x:c>
      <x:c r="O393" s="83" t="str">
        <x:v>Scenario-based reasoning</x:v>
      </x:c>
      <x:c r="P393" s="83" t="str">
        <x:v>Scenario-Based</x:v>
      </x:c>
      <x:c r="Q393" s="83" t="n">
        <x:v>4</x:v>
      </x:c>
      <x:c r="R393" s="83" t="str">
        <x:v>D</x:v>
      </x:c>
      <x:c r="S393" s="83" t="str">
        <x:v>Approved</x:v>
      </x:c>
      <x:c r="T393" s="83" t="str">
        <x:v>Active</x:v>
      </x:c>
      <x:c r="U393" s="83" t="n">
        <x:v>1</x:v>
      </x:c>
      <x:c r="V393" s="83" t="str">
        <x:v>LCSW-ALT-111</x:v>
      </x:c>
      <x:c r="W393" s="83" t="str">
        <x:v>No additional flag</x:v>
      </x:c>
      <x:c r="X393" s="83" t="str">
        <x:v>No structural flag</x:v>
      </x:c>
      <x:c r="Y393" s="83" t="str">
        <x:v>Not Yet Reviewed</x:v>
      </x:c>
      <x:c r="Z393" s="83" t="str">
        <x:v>CTA LCSW WB2; CTA LCSW WB12; ASWB 2026 Clinical Content Area I</x:v>
      </x:c>
      <x:c r="AA393" s="83" t="str">
        <x:v>CTA_LCSW_2026_Comprehensive_Simulation_Form_B_Answer_Key_and_Detailed_Rationales_v1.0.docx</x:v>
      </x:c>
      <x:c r="AB393" s="83" t="str">
        <x:v>1.0</x:v>
      </x:c>
      <x:c r="AC393" s="102"/>
      <x:c r="AD393" s="102" t="n">
        <x:v>46228</x:v>
      </x:c>
      <x:c r="AE393" s="83" t="str">
        <x:v>Approved for Form B</x:v>
      </x:c>
      <x:c r="AF393" s="89" t="str">
        <x:v>Form B only; paired alternate retained on the other comprehensive form</x:v>
      </x:c>
    </x:row>
    <x:row r="394">
      <x:c r="A394" s="88" t="str">
        <x:v>CTA-LCSW-MQB-0393</x:v>
      </x:c>
      <x:c r="B394" s="83" t="str">
        <x:v>LCSW-MQB-FB-IP-015</x:v>
      </x:c>
      <x:c r="C394" s="83" t="str">
        <x:v>LCSW</x:v>
      </x:c>
      <x:c r="D394" s="83" t="str">
        <x:v>Comprehensive Simulation</x:v>
      </x:c>
      <x:c r="E394" s="83"/>
      <x:c r="F394" s="83"/>
      <x:c r="G394" s="83" t="str">
        <x:v>Form B</x:v>
      </x:c>
      <x:c r="H394" s="83" t="n">
        <x:v>67</x:v>
      </x:c>
      <x:c r="I394" s="83" t="str">
        <x:v>Scored-Style</x:v>
      </x:c>
      <x:c r="J394" s="83" t="str">
        <x:v>III. Intervention and Practice</x:v>
      </x:c>
      <x:c r="K394" s="83" t="str">
        <x:v>Measurement-based care</x:v>
      </x:c>
      <x:c r="L394" s="83" t="str"/>
      <x:c r="M394" s="83" t="str">
        <x:v>Moderate</x:v>
      </x:c>
      <x:c r="N394" s="83" t="str">
        <x:v>Moderate</x:v>
      </x:c>
      <x:c r="O394" s="83" t="str">
        <x:v>Application</x:v>
      </x:c>
      <x:c r="P394" s="83" t="str">
        <x:v>Application</x:v>
      </x:c>
      <x:c r="Q394" s="83" t="n">
        <x:v>3</x:v>
      </x:c>
      <x:c r="R394" s="83" t="str">
        <x:v>A</x:v>
      </x:c>
      <x:c r="S394" s="83" t="str">
        <x:v>Approved</x:v>
      </x:c>
      <x:c r="T394" s="83" t="str">
        <x:v>Active</x:v>
      </x:c>
      <x:c r="U394" s="83" t="n">
        <x:v>1</x:v>
      </x:c>
      <x:c r="V394" s="83" t="str">
        <x:v>LCSW-ALT-054</x:v>
      </x:c>
      <x:c r="W394" s="83" t="str">
        <x:v>No additional flag</x:v>
      </x:c>
      <x:c r="X394" s="83" t="str">
        <x:v>No structural flag</x:v>
      </x:c>
      <x:c r="Y394" s="83" t="str">
        <x:v>Not Yet Reviewed</x:v>
      </x:c>
      <x:c r="Z394" s="83" t="str">
        <x:v>CTA LCSW WB10; CTA LCSW WB11; ASWB 2026 Clinical Content Area III</x:v>
      </x:c>
      <x:c r="AA394" s="83" t="str">
        <x:v>CTA_LCSW_2026_Comprehensive_Simulation_Form_B_Answer_Key_and_Detailed_Rationales_v1.0.docx</x:v>
      </x:c>
      <x:c r="AB394" s="83" t="str">
        <x:v>1.0</x:v>
      </x:c>
      <x:c r="AC394" s="102"/>
      <x:c r="AD394" s="102" t="n">
        <x:v>46228</x:v>
      </x:c>
      <x:c r="AE394" s="83" t="str">
        <x:v>Approved for Form B</x:v>
      </x:c>
      <x:c r="AF394" s="89" t="str">
        <x:v>Form B only; paired alternate retained on the other comprehensive form</x:v>
      </x:c>
    </x:row>
    <x:row r="395">
      <x:c r="A395" s="88" t="str">
        <x:v>CTA-LCSW-MQB-0394</x:v>
      </x:c>
      <x:c r="B395" s="83" t="str">
        <x:v>LCSW-MQB-FB-VE-023</x:v>
      </x:c>
      <x:c r="C395" s="83" t="str">
        <x:v>LCSW</x:v>
      </x:c>
      <x:c r="D395" s="83" t="str">
        <x:v>Comprehensive Simulation</x:v>
      </x:c>
      <x:c r="E395" s="83"/>
      <x:c r="F395" s="83"/>
      <x:c r="G395" s="83" t="str">
        <x:v>Form B</x:v>
      </x:c>
      <x:c r="H395" s="83" t="n">
        <x:v>68</x:v>
      </x:c>
      <x:c r="I395" s="83" t="str">
        <x:v>Pretest-Style</x:v>
      </x:c>
      <x:c r="J395" s="83" t="str">
        <x:v>I. Values and Ethics</x:v>
      </x:c>
      <x:c r="K395" s="83" t="str">
        <x:v>Policy conflict</x:v>
      </x:c>
      <x:c r="L395" s="83" t="str"/>
      <x:c r="M395" s="83" t="str">
        <x:v>Moderate</x:v>
      </x:c>
      <x:c r="N395" s="83" t="str">
        <x:v>Moderate</x:v>
      </x:c>
      <x:c r="O395" s="83" t="str">
        <x:v>Application</x:v>
      </x:c>
      <x:c r="P395" s="83" t="str">
        <x:v>Application</x:v>
      </x:c>
      <x:c r="Q395" s="83" t="n">
        <x:v>3</x:v>
      </x:c>
      <x:c r="R395" s="83" t="str">
        <x:v>C</x:v>
      </x:c>
      <x:c r="S395" s="83" t="str">
        <x:v>Approved</x:v>
      </x:c>
      <x:c r="T395" s="83" t="str">
        <x:v>Active</x:v>
      </x:c>
      <x:c r="U395" s="83" t="n">
        <x:v>1</x:v>
      </x:c>
      <x:c r="V395" s="83" t="str">
        <x:v>LCSW-ALT-101</x:v>
      </x:c>
      <x:c r="W395" s="83" t="str">
        <x:v>No additional flag</x:v>
      </x:c>
      <x:c r="X395" s="83" t="str">
        <x:v>No structural flag</x:v>
      </x:c>
      <x:c r="Y395" s="83" t="str">
        <x:v>Not Yet Reviewed</x:v>
      </x:c>
      <x:c r="Z395" s="83" t="str">
        <x:v>CTA LCSW WB2; CTA LCSW WB12; ASWB 2026 Clinical Content Area I</x:v>
      </x:c>
      <x:c r="AA395" s="83" t="str">
        <x:v>CTA_LCSW_2026_Comprehensive_Simulation_Form_B_Answer_Key_and_Detailed_Rationales_v1.0.docx</x:v>
      </x:c>
      <x:c r="AB395" s="83" t="str">
        <x:v>1.0</x:v>
      </x:c>
      <x:c r="AC395" s="102"/>
      <x:c r="AD395" s="102" t="n">
        <x:v>46228</x:v>
      </x:c>
      <x:c r="AE395" s="83" t="str">
        <x:v>Approved for Form B</x:v>
      </x:c>
      <x:c r="AF395" s="89" t="str">
        <x:v>Form B only; paired alternate retained on the other comprehensive form</x:v>
      </x:c>
    </x:row>
    <x:row r="396">
      <x:c r="A396" s="88" t="str">
        <x:v>CTA-LCSW-MQB-0395</x:v>
      </x:c>
      <x:c r="B396" s="83" t="str">
        <x:v>LCSW-MQB-FB-VE-034</x:v>
      </x:c>
      <x:c r="C396" s="83" t="str">
        <x:v>LCSW</x:v>
      </x:c>
      <x:c r="D396" s="83" t="str">
        <x:v>Comprehensive Simulation</x:v>
      </x:c>
      <x:c r="E396" s="83"/>
      <x:c r="F396" s="83"/>
      <x:c r="G396" s="83" t="str">
        <x:v>Form B</x:v>
      </x:c>
      <x:c r="H396" s="83" t="n">
        <x:v>69</x:v>
      </x:c>
      <x:c r="I396" s="83" t="str">
        <x:v>Pretest-Style</x:v>
      </x:c>
      <x:c r="J396" s="83" t="str">
        <x:v>I. Values and Ethics</x:v>
      </x:c>
      <x:c r="K396" s="83" t="str">
        <x:v>Administrative falsification</x:v>
      </x:c>
      <x:c r="L396" s="83" t="str"/>
      <x:c r="M396" s="83" t="str">
        <x:v>Moderate</x:v>
      </x:c>
      <x:c r="N396" s="83" t="str">
        <x:v>Moderate</x:v>
      </x:c>
      <x:c r="O396" s="83" t="str">
        <x:v>Scenario-based reasoning</x:v>
      </x:c>
      <x:c r="P396" s="83" t="str">
        <x:v>Scenario-Based</x:v>
      </x:c>
      <x:c r="Q396" s="83" t="n">
        <x:v>4</x:v>
      </x:c>
      <x:c r="R396" s="83" t="str">
        <x:v>A</x:v>
      </x:c>
      <x:c r="S396" s="83" t="str">
        <x:v>Approved</x:v>
      </x:c>
      <x:c r="T396" s="83" t="str">
        <x:v>Active</x:v>
      </x:c>
      <x:c r="U396" s="83" t="n">
        <x:v>1</x:v>
      </x:c>
      <x:c r="V396" s="83" t="str">
        <x:v>LCSW-ALT-112</x:v>
      </x:c>
      <x:c r="W396" s="83" t="str">
        <x:v>No additional flag</x:v>
      </x:c>
      <x:c r="X396" s="83" t="str">
        <x:v>No structural flag</x:v>
      </x:c>
      <x:c r="Y396" s="83" t="str">
        <x:v>Not Yet Reviewed</x:v>
      </x:c>
      <x:c r="Z396" s="83" t="str">
        <x:v>CTA LCSW WB2; CTA LCSW WB12; ASWB 2026 Clinical Content Area I</x:v>
      </x:c>
      <x:c r="AA396" s="83" t="str">
        <x:v>CTA_LCSW_2026_Comprehensive_Simulation_Form_B_Answer_Key_and_Detailed_Rationales_v1.0.docx</x:v>
      </x:c>
      <x:c r="AB396" s="83" t="str">
        <x:v>1.0</x:v>
      </x:c>
      <x:c r="AC396" s="102"/>
      <x:c r="AD396" s="102" t="n">
        <x:v>46228</x:v>
      </x:c>
      <x:c r="AE396" s="83" t="str">
        <x:v>Approved for Form B</x:v>
      </x:c>
      <x:c r="AF396" s="89" t="str">
        <x:v>Form B only; paired alternate retained on the other comprehensive form</x:v>
      </x:c>
    </x:row>
    <x:row r="397">
      <x:c r="A397" s="88" t="str">
        <x:v>CTA-LCSW-MQB-0396</x:v>
      </x:c>
      <x:c r="B397" s="83" t="str">
        <x:v>LCSW-MQB-FB-IP-039</x:v>
      </x:c>
      <x:c r="C397" s="83" t="str">
        <x:v>LCSW</x:v>
      </x:c>
      <x:c r="D397" s="83" t="str">
        <x:v>Comprehensive Simulation</x:v>
      </x:c>
      <x:c r="E397" s="83"/>
      <x:c r="F397" s="83"/>
      <x:c r="G397" s="83" t="str">
        <x:v>Form B</x:v>
      </x:c>
      <x:c r="H397" s="83" t="n">
        <x:v>70</x:v>
      </x:c>
      <x:c r="I397" s="83" t="str">
        <x:v>Scored-Style</x:v>
      </x:c>
      <x:c r="J397" s="83" t="str">
        <x:v>III. Intervention and Practice</x:v>
      </x:c>
      <x:c r="K397" s="83" t="str">
        <x:v>Supervision, administration, and quality improvement</x:v>
      </x:c>
      <x:c r="L397" s="83" t="str"/>
      <x:c r="M397" s="83" t="str">
        <x:v>Difficult</x:v>
      </x:c>
      <x:c r="N397" s="83" t="str">
        <x:v>Difficult</x:v>
      </x:c>
      <x:c r="O397" s="83" t="str">
        <x:v>Integrated reasoning</x:v>
      </x:c>
      <x:c r="P397" s="83" t="str">
        <x:v>Integrated Clinical Reasoning</x:v>
      </x:c>
      <x:c r="Q397" s="83" t="n">
        <x:v>4</x:v>
      </x:c>
      <x:c r="R397" s="83" t="str">
        <x:v>A</x:v>
      </x:c>
      <x:c r="S397" s="83" t="str">
        <x:v>Approved</x:v>
      </x:c>
      <x:c r="T397" s="83" t="str">
        <x:v>Active</x:v>
      </x:c>
      <x:c r="U397" s="83" t="n">
        <x:v>1</x:v>
      </x:c>
      <x:c r="V397" s="83" t="str">
        <x:v>LCSW-ALT-078</x:v>
      </x:c>
      <x:c r="W397" s="83" t="str">
        <x:v>No additional flag</x:v>
      </x:c>
      <x:c r="X397" s="83" t="str">
        <x:v>No structural flag</x:v>
      </x:c>
      <x:c r="Y397" s="83" t="str">
        <x:v>Not Yet Reviewed</x:v>
      </x:c>
      <x:c r="Z397" s="83" t="str">
        <x:v>CTA LCSW WB10; CTA LCSW WB11; ASWB 2026 Clinical Content Area III</x:v>
      </x:c>
      <x:c r="AA397" s="83" t="str">
        <x:v>CTA_LCSW_2026_Comprehensive_Simulation_Form_B_Answer_Key_and_Detailed_Rationales_v1.0.docx</x:v>
      </x:c>
      <x:c r="AB397" s="83" t="str">
        <x:v>1.0</x:v>
      </x:c>
      <x:c r="AC397" s="102"/>
      <x:c r="AD397" s="102" t="n">
        <x:v>46228</x:v>
      </x:c>
      <x:c r="AE397" s="83" t="str">
        <x:v>Approved for Form B</x:v>
      </x:c>
      <x:c r="AF397" s="89" t="str">
        <x:v>Form B only; paired alternate retained on the other comprehensive form</x:v>
      </x:c>
    </x:row>
    <x:row r="398">
      <x:c r="A398" s="88" t="str">
        <x:v>CTA-LCSW-MQB-0397</x:v>
      </x:c>
      <x:c r="B398" s="83" t="str">
        <x:v>LCSW-MQB-FB-IP-005</x:v>
      </x:c>
      <x:c r="C398" s="83" t="str">
        <x:v>LCSW</x:v>
      </x:c>
      <x:c r="D398" s="83" t="str">
        <x:v>Comprehensive Simulation</x:v>
      </x:c>
      <x:c r="E398" s="83"/>
      <x:c r="F398" s="83"/>
      <x:c r="G398" s="83" t="str">
        <x:v>Form B</x:v>
      </x:c>
      <x:c r="H398" s="83" t="n">
        <x:v>71</x:v>
      </x:c>
      <x:c r="I398" s="83" t="str">
        <x:v>Scored-Style</x:v>
      </x:c>
      <x:c r="J398" s="83" t="str">
        <x:v>III. Intervention and Practice</x:v>
      </x:c>
      <x:c r="K398" s="83" t="str">
        <x:v>Grounding</x:v>
      </x:c>
      <x:c r="L398" s="83" t="str"/>
      <x:c r="M398" s="83" t="str">
        <x:v>Easy</x:v>
      </x:c>
      <x:c r="N398" s="83" t="str">
        <x:v>Easy</x:v>
      </x:c>
      <x:c r="O398" s="83" t="str">
        <x:v>Application</x:v>
      </x:c>
      <x:c r="P398" s="83" t="str">
        <x:v>Application</x:v>
      </x:c>
      <x:c r="Q398" s="83" t="n">
        <x:v>3</x:v>
      </x:c>
      <x:c r="R398" s="83" t="str">
        <x:v>C</x:v>
      </x:c>
      <x:c r="S398" s="83" t="str">
        <x:v>Approved</x:v>
      </x:c>
      <x:c r="T398" s="83" t="str">
        <x:v>Active</x:v>
      </x:c>
      <x:c r="U398" s="83" t="n">
        <x:v>1</x:v>
      </x:c>
      <x:c r="V398" s="83" t="str">
        <x:v>LCSW-ALT-044</x:v>
      </x:c>
      <x:c r="W398" s="83" t="str">
        <x:v>No additional flag</x:v>
      </x:c>
      <x:c r="X398" s="83" t="str">
        <x:v>No structural flag</x:v>
      </x:c>
      <x:c r="Y398" s="83" t="str">
        <x:v>Not Yet Reviewed</x:v>
      </x:c>
      <x:c r="Z398" s="83" t="str">
        <x:v>CTA LCSW WB8–WB11; ASWB 2026 Clinical Content Area III</x:v>
      </x:c>
      <x:c r="AA398" s="83" t="str">
        <x:v>CTA_LCSW_2026_Comprehensive_Simulation_Form_B_Answer_Key_and_Detailed_Rationales_v1.0.docx</x:v>
      </x:c>
      <x:c r="AB398" s="83" t="str">
        <x:v>1.0</x:v>
      </x:c>
      <x:c r="AC398" s="102"/>
      <x:c r="AD398" s="102" t="n">
        <x:v>46228</x:v>
      </x:c>
      <x:c r="AE398" s="83" t="str">
        <x:v>Approved for Form B</x:v>
      </x:c>
      <x:c r="AF398" s="89" t="str">
        <x:v>Form B only; paired alternate retained on the other comprehensive form</x:v>
      </x:c>
    </x:row>
    <x:row r="399">
      <x:c r="A399" s="88" t="str">
        <x:v>CTA-LCSW-MQB-0398</x:v>
      </x:c>
      <x:c r="B399" s="83" t="str">
        <x:v>LCSW-MQB-FB-AP-009</x:v>
      </x:c>
      <x:c r="C399" s="83" t="str">
        <x:v>LCSW</x:v>
      </x:c>
      <x:c r="D399" s="83" t="str">
        <x:v>Comprehensive Simulation</x:v>
      </x:c>
      <x:c r="E399" s="83"/>
      <x:c r="F399" s="83"/>
      <x:c r="G399" s="83" t="str">
        <x:v>Form B</x:v>
      </x:c>
      <x:c r="H399" s="83" t="n">
        <x:v>72</x:v>
      </x:c>
      <x:c r="I399" s="83" t="str">
        <x:v>Scored-Style</x:v>
      </x:c>
      <x:c r="J399" s="83" t="str">
        <x:v>II. Assessment and Planning</x:v>
      </x:c>
      <x:c r="K399" s="83" t="str">
        <x:v>Developmental context</x:v>
      </x:c>
      <x:c r="L399" s="83" t="str"/>
      <x:c r="M399" s="83" t="str">
        <x:v>Easy</x:v>
      </x:c>
      <x:c r="N399" s="83" t="str">
        <x:v>Easy</x:v>
      </x:c>
      <x:c r="O399" s="83" t="str">
        <x:v>Application</x:v>
      </x:c>
      <x:c r="P399" s="83" t="str">
        <x:v>Application</x:v>
      </x:c>
      <x:c r="Q399" s="83" t="n">
        <x:v>3</x:v>
      </x:c>
      <x:c r="R399" s="83" t="str">
        <x:v>A</x:v>
      </x:c>
      <x:c r="S399" s="83" t="str">
        <x:v>Approved</x:v>
      </x:c>
      <x:c r="T399" s="83" t="str">
        <x:v>Active</x:v>
      </x:c>
      <x:c r="U399" s="83" t="n">
        <x:v>1</x:v>
      </x:c>
      <x:c r="V399" s="83" t="str">
        <x:v>LCSW-ALT-009</x:v>
      </x:c>
      <x:c r="W399" s="83" t="str">
        <x:v>No additional flag</x:v>
      </x:c>
      <x:c r="X399" s="83" t="str">
        <x:v>No structural flag</x:v>
      </x:c>
      <x:c r="Y399" s="83" t="str">
        <x:v>Not Yet Reviewed</x:v>
      </x:c>
      <x:c r="Z399" s="83" t="str">
        <x:v>CTA LCSW WB3–WB7; ASWB 2026 Clinical Content Area II</x:v>
      </x:c>
      <x:c r="AA399" s="83" t="str">
        <x:v>CTA_LCSW_2026_Comprehensive_Simulation_Form_B_Answer_Key_and_Detailed_Rationales_v1.0.docx</x:v>
      </x:c>
      <x:c r="AB399" s="83" t="str">
        <x:v>1.0</x:v>
      </x:c>
      <x:c r="AC399" s="102"/>
      <x:c r="AD399" s="102" t="n">
        <x:v>46228</x:v>
      </x:c>
      <x:c r="AE399" s="83" t="str">
        <x:v>Approved for Form B</x:v>
      </x:c>
      <x:c r="AF399" s="89" t="str">
        <x:v>Form B only; paired alternate retained on the other comprehensive form</x:v>
      </x:c>
    </x:row>
    <x:row r="400">
      <x:c r="A400" s="88" t="str">
        <x:v>CTA-LCSW-MQB-0399</x:v>
      </x:c>
      <x:c r="B400" s="83" t="str">
        <x:v>LCSW-MQB-FB-VE-017</x:v>
      </x:c>
      <x:c r="C400" s="83" t="str">
        <x:v>LCSW</x:v>
      </x:c>
      <x:c r="D400" s="83" t="str">
        <x:v>Comprehensive Simulation</x:v>
      </x:c>
      <x:c r="E400" s="83"/>
      <x:c r="F400" s="83"/>
      <x:c r="G400" s="83" t="str">
        <x:v>Form B</x:v>
      </x:c>
      <x:c r="H400" s="83" t="n">
        <x:v>73</x:v>
      </x:c>
      <x:c r="I400" s="83" t="str">
        <x:v>Scored-Style</x:v>
      </x:c>
      <x:c r="J400" s="83" t="str">
        <x:v>I. Values and Ethics</x:v>
      </x:c>
      <x:c r="K400" s="83" t="str">
        <x:v>Technology competence</x:v>
      </x:c>
      <x:c r="L400" s="83" t="str"/>
      <x:c r="M400" s="83" t="str">
        <x:v>Moderate</x:v>
      </x:c>
      <x:c r="N400" s="83" t="str">
        <x:v>Moderate</x:v>
      </x:c>
      <x:c r="O400" s="83" t="str">
        <x:v>Application</x:v>
      </x:c>
      <x:c r="P400" s="83" t="str">
        <x:v>Application</x:v>
      </x:c>
      <x:c r="Q400" s="83" t="n">
        <x:v>3</x:v>
      </x:c>
      <x:c r="R400" s="83" t="str">
        <x:v>C</x:v>
      </x:c>
      <x:c r="S400" s="83" t="str">
        <x:v>Approved</x:v>
      </x:c>
      <x:c r="T400" s="83" t="str">
        <x:v>Active</x:v>
      </x:c>
      <x:c r="U400" s="83" t="n">
        <x:v>1</x:v>
      </x:c>
      <x:c r="V400" s="83" t="str">
        <x:v>LCSW-ALT-095</x:v>
      </x:c>
      <x:c r="W400" s="83" t="str">
        <x:v>No additional flag</x:v>
      </x:c>
      <x:c r="X400" s="83" t="str">
        <x:v>No structural flag</x:v>
      </x:c>
      <x:c r="Y400" s="83" t="str">
        <x:v>Not Yet Reviewed</x:v>
      </x:c>
      <x:c r="Z400" s="83" t="str">
        <x:v>CTA LCSW WB2; CTA LCSW WB12; ASWB 2026 Clinical Content Area I</x:v>
      </x:c>
      <x:c r="AA400" s="83" t="str">
        <x:v>CTA_LCSW_2026_Comprehensive_Simulation_Form_B_Answer_Key_and_Detailed_Rationales_v1.0.docx</x:v>
      </x:c>
      <x:c r="AB400" s="83" t="str">
        <x:v>1.0</x:v>
      </x:c>
      <x:c r="AC400" s="102"/>
      <x:c r="AD400" s="102" t="n">
        <x:v>46228</x:v>
      </x:c>
      <x:c r="AE400" s="83" t="str">
        <x:v>Approved for Form B</x:v>
      </x:c>
      <x:c r="AF400" s="89" t="str">
        <x:v>Form B only; paired alternate retained on the other comprehensive form</x:v>
      </x:c>
    </x:row>
    <x:row r="401">
      <x:c r="A401" s="88" t="str">
        <x:v>CTA-LCSW-MQB-0400</x:v>
      </x:c>
      <x:c r="B401" s="83" t="str">
        <x:v>LCSW-MQB-FB-AP-025</x:v>
      </x:c>
      <x:c r="C401" s="83" t="str">
        <x:v>LCSW</x:v>
      </x:c>
      <x:c r="D401" s="83" t="str">
        <x:v>Comprehensive Simulation</x:v>
      </x:c>
      <x:c r="E401" s="83"/>
      <x:c r="F401" s="83"/>
      <x:c r="G401" s="83" t="str">
        <x:v>Form B</x:v>
      </x:c>
      <x:c r="H401" s="83" t="n">
        <x:v>74</x:v>
      </x:c>
      <x:c r="I401" s="83" t="str">
        <x:v>Scored-Style</x:v>
      </x:c>
      <x:c r="J401" s="83" t="str">
        <x:v>II. Assessment and Planning</x:v>
      </x:c>
      <x:c r="K401" s="83" t="str">
        <x:v>Mania differential</x:v>
      </x:c>
      <x:c r="L401" s="83" t="str"/>
      <x:c r="M401" s="83" t="str">
        <x:v>Moderate</x:v>
      </x:c>
      <x:c r="N401" s="83" t="str">
        <x:v>Moderate</x:v>
      </x:c>
      <x:c r="O401" s="83" t="str">
        <x:v>Scenario-based reasoning</x:v>
      </x:c>
      <x:c r="P401" s="83" t="str">
        <x:v>Scenario-Based</x:v>
      </x:c>
      <x:c r="Q401" s="83" t="n">
        <x:v>4</x:v>
      </x:c>
      <x:c r="R401" s="83" t="str">
        <x:v>A</x:v>
      </x:c>
      <x:c r="S401" s="83" t="str">
        <x:v>Approved</x:v>
      </x:c>
      <x:c r="T401" s="83" t="str">
        <x:v>Active</x:v>
      </x:c>
      <x:c r="U401" s="83" t="n">
        <x:v>1</x:v>
      </x:c>
      <x:c r="V401" s="83" t="str">
        <x:v>LCSW-ALT-025</x:v>
      </x:c>
      <x:c r="W401" s="83" t="str">
        <x:v>No additional flag</x:v>
      </x:c>
      <x:c r="X401" s="83" t="str">
        <x:v>No structural flag</x:v>
      </x:c>
      <x:c r="Y401" s="83" t="str">
        <x:v>Not Yet Reviewed</x:v>
      </x:c>
      <x:c r="Z401" s="83" t="str">
        <x:v>CTA LCSW WB5; ASWB 2026 Clinical Content Area II</x:v>
      </x:c>
      <x:c r="AA401" s="83" t="str">
        <x:v>CTA_LCSW_2026_Comprehensive_Simulation_Form_B_Answer_Key_and_Detailed_Rationales_v1.0.docx</x:v>
      </x:c>
      <x:c r="AB401" s="83" t="str">
        <x:v>1.0</x:v>
      </x:c>
      <x:c r="AC401" s="102"/>
      <x:c r="AD401" s="102" t="n">
        <x:v>46228</x:v>
      </x:c>
      <x:c r="AE401" s="83" t="str">
        <x:v>Approved for Form B</x:v>
      </x:c>
      <x:c r="AF401" s="89" t="str">
        <x:v>Form B only; paired alternate retained on the other comprehensive form</x:v>
      </x:c>
    </x:row>
    <x:row r="402">
      <x:c r="A402" s="88" t="str">
        <x:v>CTA-LCSW-MQB-0401</x:v>
      </x:c>
      <x:c r="B402" s="83" t="str">
        <x:v>LCSW-MQB-FB-VE-042</x:v>
      </x:c>
      <x:c r="C402" s="83" t="str">
        <x:v>LCSW</x:v>
      </x:c>
      <x:c r="D402" s="83" t="str">
        <x:v>Comprehensive Simulation</x:v>
      </x:c>
      <x:c r="E402" s="83"/>
      <x:c r="F402" s="83"/>
      <x:c r="G402" s="83" t="str">
        <x:v>Form B</x:v>
      </x:c>
      <x:c r="H402" s="83" t="n">
        <x:v>75</x:v>
      </x:c>
      <x:c r="I402" s="83" t="str">
        <x:v>Scored-Style</x:v>
      </x:c>
      <x:c r="J402" s="83" t="str">
        <x:v>I. Values and Ethics</x:v>
      </x:c>
      <x:c r="K402" s="83" t="str">
        <x:v>Organizational ethics and scarce resources</x:v>
      </x:c>
      <x:c r="L402" s="83" t="str"/>
      <x:c r="M402" s="83" t="str">
        <x:v>Difficult</x:v>
      </x:c>
      <x:c r="N402" s="83" t="str">
        <x:v>Difficult</x:v>
      </x:c>
      <x:c r="O402" s="83" t="str">
        <x:v>Integrated reasoning</x:v>
      </x:c>
      <x:c r="P402" s="83" t="str">
        <x:v>Integrated Clinical Reasoning</x:v>
      </x:c>
      <x:c r="Q402" s="83" t="n">
        <x:v>4</x:v>
      </x:c>
      <x:c r="R402" s="83" t="str">
        <x:v>D</x:v>
      </x:c>
      <x:c r="S402" s="83" t="str">
        <x:v>Approved</x:v>
      </x:c>
      <x:c r="T402" s="83" t="str">
        <x:v>Active</x:v>
      </x:c>
      <x:c r="U402" s="83" t="n">
        <x:v>1</x:v>
      </x:c>
      <x:c r="V402" s="83" t="str">
        <x:v>LCSW-ALT-120</x:v>
      </x:c>
      <x:c r="W402" s="83" t="str">
        <x:v>No additional flag</x:v>
      </x:c>
      <x:c r="X402" s="83" t="str">
        <x:v>No structural flag</x:v>
      </x:c>
      <x:c r="Y402" s="83" t="str">
        <x:v>Not Yet Reviewed</x:v>
      </x:c>
      <x:c r="Z402" s="83" t="str">
        <x:v>CTA LCSW WB2; ASWB 2026 Clinical Content Area I</x:v>
      </x:c>
      <x:c r="AA402" s="83" t="str">
        <x:v>CTA_LCSW_2026_Comprehensive_Simulation_Form_B_Answer_Key_and_Detailed_Rationales_v1.0.docx</x:v>
      </x:c>
      <x:c r="AB402" s="83" t="str">
        <x:v>1.0</x:v>
      </x:c>
      <x:c r="AC402" s="102"/>
      <x:c r="AD402" s="102" t="n">
        <x:v>46228</x:v>
      </x:c>
      <x:c r="AE402" s="83" t="str">
        <x:v>Approved for Form B</x:v>
      </x:c>
      <x:c r="AF402" s="89" t="str">
        <x:v>Form B only; paired alternate retained on the other comprehensive form</x:v>
      </x:c>
    </x:row>
    <x:row r="403">
      <x:c r="A403" s="88" t="str">
        <x:v>CTA-LCSW-MQB-0402</x:v>
      </x:c>
      <x:c r="B403" s="83" t="str">
        <x:v>LCSW-MQB-FB-VE-035</x:v>
      </x:c>
      <x:c r="C403" s="83" t="str">
        <x:v>LCSW</x:v>
      </x:c>
      <x:c r="D403" s="83" t="str">
        <x:v>Comprehensive Simulation</x:v>
      </x:c>
      <x:c r="E403" s="83"/>
      <x:c r="F403" s="83"/>
      <x:c r="G403" s="83" t="str">
        <x:v>Form B</x:v>
      </x:c>
      <x:c r="H403" s="83" t="n">
        <x:v>76</x:v>
      </x:c>
      <x:c r="I403" s="83" t="str">
        <x:v>Scored-Style</x:v>
      </x:c>
      <x:c r="J403" s="83" t="str">
        <x:v>I. Values and Ethics</x:v>
      </x:c>
      <x:c r="K403" s="83" t="str">
        <x:v>Termination and continuity</x:v>
      </x:c>
      <x:c r="L403" s="83" t="str"/>
      <x:c r="M403" s="83" t="str">
        <x:v>Difficult</x:v>
      </x:c>
      <x:c r="N403" s="83" t="str">
        <x:v>Difficult</x:v>
      </x:c>
      <x:c r="O403" s="83" t="str">
        <x:v>Scenario-based reasoning</x:v>
      </x:c>
      <x:c r="P403" s="83" t="str">
        <x:v>Scenario-Based</x:v>
      </x:c>
      <x:c r="Q403" s="83" t="n">
        <x:v>4</x:v>
      </x:c>
      <x:c r="R403" s="83" t="str">
        <x:v>A</x:v>
      </x:c>
      <x:c r="S403" s="83" t="str">
        <x:v>Approved</x:v>
      </x:c>
      <x:c r="T403" s="83" t="str">
        <x:v>Active</x:v>
      </x:c>
      <x:c r="U403" s="83" t="n">
        <x:v>1</x:v>
      </x:c>
      <x:c r="V403" s="83" t="str">
        <x:v>LCSW-ALT-113</x:v>
      </x:c>
      <x:c r="W403" s="83" t="str">
        <x:v>No additional flag</x:v>
      </x:c>
      <x:c r="X403" s="83" t="str">
        <x:v>No structural flag</x:v>
      </x:c>
      <x:c r="Y403" s="83" t="str">
        <x:v>Not Yet Reviewed</x:v>
      </x:c>
      <x:c r="Z403" s="83" t="str">
        <x:v>CTA LCSW WB2; CTA LCSW WB12; ASWB 2026 Clinical Content Area I</x:v>
      </x:c>
      <x:c r="AA403" s="83" t="str">
        <x:v>CTA_LCSW_2026_Comprehensive_Simulation_Form_B_Answer_Key_and_Detailed_Rationales_v1.0.docx</x:v>
      </x:c>
      <x:c r="AB403" s="83" t="str">
        <x:v>1.0</x:v>
      </x:c>
      <x:c r="AC403" s="102"/>
      <x:c r="AD403" s="102" t="n">
        <x:v>46228</x:v>
      </x:c>
      <x:c r="AE403" s="83" t="str">
        <x:v>Approved for Form B</x:v>
      </x:c>
      <x:c r="AF403" s="89" t="str">
        <x:v>Form B only; paired alternate retained on the other comprehensive form</x:v>
      </x:c>
    </x:row>
    <x:row r="404">
      <x:c r="A404" s="88" t="str">
        <x:v>CTA-LCSW-MQB-0403</x:v>
      </x:c>
      <x:c r="B404" s="83" t="str">
        <x:v>LCSW-MQB-FB-IP-001</x:v>
      </x:c>
      <x:c r="C404" s="83" t="str">
        <x:v>LCSW</x:v>
      </x:c>
      <x:c r="D404" s="83" t="str">
        <x:v>Comprehensive Simulation</x:v>
      </x:c>
      <x:c r="E404" s="83"/>
      <x:c r="F404" s="83"/>
      <x:c r="G404" s="83" t="str">
        <x:v>Form B</x:v>
      </x:c>
      <x:c r="H404" s="83" t="n">
        <x:v>77</x:v>
      </x:c>
      <x:c r="I404" s="83" t="str">
        <x:v>Scored-Style</x:v>
      </x:c>
      <x:c r="J404" s="83" t="str">
        <x:v>III. Intervention and Practice</x:v>
      </x:c>
      <x:c r="K404" s="83" t="str">
        <x:v>Motivational interviewing</x:v>
      </x:c>
      <x:c r="L404" s="83" t="str"/>
      <x:c r="M404" s="83" t="str">
        <x:v>Easy</x:v>
      </x:c>
      <x:c r="N404" s="83" t="str">
        <x:v>Easy</x:v>
      </x:c>
      <x:c r="O404" s="83" t="str">
        <x:v>Direct recognition</x:v>
      </x:c>
      <x:c r="P404" s="83" t="str">
        <x:v>Knowledge &amp; Recall</x:v>
      </x:c>
      <x:c r="Q404" s="83" t="n">
        <x:v>3</x:v>
      </x:c>
      <x:c r="R404" s="83" t="str">
        <x:v>B</x:v>
      </x:c>
      <x:c r="S404" s="83" t="str">
        <x:v>Approved</x:v>
      </x:c>
      <x:c r="T404" s="83" t="str">
        <x:v>Active</x:v>
      </x:c>
      <x:c r="U404" s="83" t="n">
        <x:v>1</x:v>
      </x:c>
      <x:c r="V404" s="83" t="str">
        <x:v>LCSW-ALT-040</x:v>
      </x:c>
      <x:c r="W404" s="83" t="str">
        <x:v>No additional flag</x:v>
      </x:c>
      <x:c r="X404" s="83" t="str">
        <x:v>No structural flag</x:v>
      </x:c>
      <x:c r="Y404" s="83" t="str">
        <x:v>Not Yet Reviewed</x:v>
      </x:c>
      <x:c r="Z404" s="83" t="str">
        <x:v>CTA LCSW WB8–WB11; ASWB 2026 Clinical Content Area III</x:v>
      </x:c>
      <x:c r="AA404" s="83" t="str">
        <x:v>CTA_LCSW_2026_Comprehensive_Simulation_Form_B_Answer_Key_and_Detailed_Rationales_v1.0.docx</x:v>
      </x:c>
      <x:c r="AB404" s="83" t="str">
        <x:v>1.0</x:v>
      </x:c>
      <x:c r="AC404" s="102"/>
      <x:c r="AD404" s="102" t="n">
        <x:v>46228</x:v>
      </x:c>
      <x:c r="AE404" s="83" t="str">
        <x:v>Approved for Form B</x:v>
      </x:c>
      <x:c r="AF404" s="89" t="str">
        <x:v>Form B only; paired alternate retained on the other comprehensive form</x:v>
      </x:c>
    </x:row>
    <x:row r="405">
      <x:c r="A405" s="88" t="str">
        <x:v>CTA-LCSW-MQB-0404</x:v>
      </x:c>
      <x:c r="B405" s="83" t="str">
        <x:v>LCSW-MQB-FB-AP-020</x:v>
      </x:c>
      <x:c r="C405" s="83" t="str">
        <x:v>LCSW</x:v>
      </x:c>
      <x:c r="D405" s="83" t="str">
        <x:v>Comprehensive Simulation</x:v>
      </x:c>
      <x:c r="E405" s="83"/>
      <x:c r="F405" s="83"/>
      <x:c r="G405" s="83" t="str">
        <x:v>Form B</x:v>
      </x:c>
      <x:c r="H405" s="83" t="n">
        <x:v>78</x:v>
      </x:c>
      <x:c r="I405" s="83" t="str">
        <x:v>Pretest-Style</x:v>
      </x:c>
      <x:c r="J405" s="83" t="str">
        <x:v>II. Assessment and Planning</x:v>
      </x:c>
      <x:c r="K405" s="83" t="str">
        <x:v>Collaborative goals</x:v>
      </x:c>
      <x:c r="L405" s="83" t="str"/>
      <x:c r="M405" s="83" t="str">
        <x:v>Moderate</x:v>
      </x:c>
      <x:c r="N405" s="83" t="str">
        <x:v>Moderate</x:v>
      </x:c>
      <x:c r="O405" s="83" t="str">
        <x:v>Application</x:v>
      </x:c>
      <x:c r="P405" s="83" t="str">
        <x:v>Application</x:v>
      </x:c>
      <x:c r="Q405" s="83" t="n">
        <x:v>3</x:v>
      </x:c>
      <x:c r="R405" s="83" t="str">
        <x:v>A</x:v>
      </x:c>
      <x:c r="S405" s="83" t="str">
        <x:v>Approved</x:v>
      </x:c>
      <x:c r="T405" s="83" t="str">
        <x:v>Active</x:v>
      </x:c>
      <x:c r="U405" s="83" t="n">
        <x:v>1</x:v>
      </x:c>
      <x:c r="V405" s="83" t="str">
        <x:v>LCSW-ALT-020</x:v>
      </x:c>
      <x:c r="W405" s="83" t="str">
        <x:v>No additional flag</x:v>
      </x:c>
      <x:c r="X405" s="83" t="str">
        <x:v>No structural flag</x:v>
      </x:c>
      <x:c r="Y405" s="83" t="str">
        <x:v>Not Yet Reviewed</x:v>
      </x:c>
      <x:c r="Z405" s="83" t="str">
        <x:v>CTA LCSW WB3–WB7; ASWB 2026 Clinical Content Area II</x:v>
      </x:c>
      <x:c r="AA405" s="83" t="str">
        <x:v>CTA_LCSW_2026_Comprehensive_Simulation_Form_B_Answer_Key_and_Detailed_Rationales_v1.0.docx</x:v>
      </x:c>
      <x:c r="AB405" s="83" t="str">
        <x:v>1.0</x:v>
      </x:c>
      <x:c r="AC405" s="102"/>
      <x:c r="AD405" s="102" t="n">
        <x:v>46228</x:v>
      </x:c>
      <x:c r="AE405" s="83" t="str">
        <x:v>Approved for Form B</x:v>
      </x:c>
      <x:c r="AF405" s="89" t="str">
        <x:v>Form B only; paired alternate retained on the other comprehensive form</x:v>
      </x:c>
    </x:row>
    <x:row r="406">
      <x:c r="A406" s="88" t="str">
        <x:v>CTA-LCSW-MQB-0405</x:v>
      </x:c>
      <x:c r="B406" s="83" t="str">
        <x:v>LCSW-MQB-FB-AP-012</x:v>
      </x:c>
      <x:c r="C406" s="83" t="str">
        <x:v>LCSW</x:v>
      </x:c>
      <x:c r="D406" s="83" t="str">
        <x:v>Comprehensive Simulation</x:v>
      </x:c>
      <x:c r="E406" s="83"/>
      <x:c r="F406" s="83"/>
      <x:c r="G406" s="83" t="str">
        <x:v>Form B</x:v>
      </x:c>
      <x:c r="H406" s="83" t="n">
        <x:v>79</x:v>
      </x:c>
      <x:c r="I406" s="83" t="str">
        <x:v>Scored-Style</x:v>
      </x:c>
      <x:c r="J406" s="83" t="str">
        <x:v>II. Assessment and Planning</x:v>
      </x:c>
      <x:c r="K406" s="83" t="str">
        <x:v>Cultural formulation</x:v>
      </x:c>
      <x:c r="L406" s="83" t="str"/>
      <x:c r="M406" s="83" t="str">
        <x:v>Moderate</x:v>
      </x:c>
      <x:c r="N406" s="83" t="str">
        <x:v>Moderate</x:v>
      </x:c>
      <x:c r="O406" s="83" t="str">
        <x:v>Application</x:v>
      </x:c>
      <x:c r="P406" s="83" t="str">
        <x:v>Application</x:v>
      </x:c>
      <x:c r="Q406" s="83" t="n">
        <x:v>3</x:v>
      </x:c>
      <x:c r="R406" s="83" t="str">
        <x:v>A</x:v>
      </x:c>
      <x:c r="S406" s="83" t="str">
        <x:v>Approved</x:v>
      </x:c>
      <x:c r="T406" s="83" t="str">
        <x:v>Active</x:v>
      </x:c>
      <x:c r="U406" s="83" t="n">
        <x:v>1</x:v>
      </x:c>
      <x:c r="V406" s="83" t="str">
        <x:v>LCSW-ALT-012</x:v>
      </x:c>
      <x:c r="W406" s="83" t="str">
        <x:v>No additional flag</x:v>
      </x:c>
      <x:c r="X406" s="83" t="str">
        <x:v>No structural flag</x:v>
      </x:c>
      <x:c r="Y406" s="83" t="str">
        <x:v>Not Yet Reviewed</x:v>
      </x:c>
      <x:c r="Z406" s="83" t="str">
        <x:v>CTA LCSW WB3–WB7; ASWB 2026 Clinical Content Area II</x:v>
      </x:c>
      <x:c r="AA406" s="83" t="str">
        <x:v>CTA_LCSW_2026_Comprehensive_Simulation_Form_B_Answer_Key_and_Detailed_Rationales_v1.0.docx</x:v>
      </x:c>
      <x:c r="AB406" s="83" t="str">
        <x:v>1.0</x:v>
      </x:c>
      <x:c r="AC406" s="102"/>
      <x:c r="AD406" s="102" t="n">
        <x:v>46228</x:v>
      </x:c>
      <x:c r="AE406" s="83" t="str">
        <x:v>Approved for Form B</x:v>
      </x:c>
      <x:c r="AF406" s="89" t="str">
        <x:v>Form B only; paired alternate retained on the other comprehensive form</x:v>
      </x:c>
    </x:row>
    <x:row r="407">
      <x:c r="A407" s="88" t="str">
        <x:v>CTA-LCSW-MQB-0406</x:v>
      </x:c>
      <x:c r="B407" s="83" t="str">
        <x:v>LCSW-MQB-FB-VE-041</x:v>
      </x:c>
      <x:c r="C407" s="83" t="str">
        <x:v>LCSW</x:v>
      </x:c>
      <x:c r="D407" s="83" t="str">
        <x:v>Comprehensive Simulation</x:v>
      </x:c>
      <x:c r="E407" s="83"/>
      <x:c r="F407" s="83"/>
      <x:c r="G407" s="83" t="str">
        <x:v>Form B</x:v>
      </x:c>
      <x:c r="H407" s="83" t="n">
        <x:v>80</x:v>
      </x:c>
      <x:c r="I407" s="83" t="str">
        <x:v>Scored-Style</x:v>
      </x:c>
      <x:c r="J407" s="83" t="str">
        <x:v>I. Values and Ethics</x:v>
      </x:c>
      <x:c r="K407" s="83" t="str">
        <x:v>Supervision and documentation</x:v>
      </x:c>
      <x:c r="L407" s="83" t="str"/>
      <x:c r="M407" s="83" t="str">
        <x:v>Difficult</x:v>
      </x:c>
      <x:c r="N407" s="83" t="str">
        <x:v>Difficult</x:v>
      </x:c>
      <x:c r="O407" s="83" t="str">
        <x:v>Integrated reasoning</x:v>
      </x:c>
      <x:c r="P407" s="83" t="str">
        <x:v>Integrated Clinical Reasoning</x:v>
      </x:c>
      <x:c r="Q407" s="83" t="n">
        <x:v>4</x:v>
      </x:c>
      <x:c r="R407" s="83" t="str">
        <x:v>C</x:v>
      </x:c>
      <x:c r="S407" s="83" t="str">
        <x:v>Approved</x:v>
      </x:c>
      <x:c r="T407" s="83" t="str">
        <x:v>Active</x:v>
      </x:c>
      <x:c r="U407" s="83" t="n">
        <x:v>1</x:v>
      </x:c>
      <x:c r="V407" s="83" t="str">
        <x:v>LCSW-ALT-119</x:v>
      </x:c>
      <x:c r="W407" s="83" t="str">
        <x:v>Review Candidate</x:v>
      </x:c>
      <x:c r="X407" s="83" t="str">
        <x:v>No structural flag</x:v>
      </x:c>
      <x:c r="Y407" s="83" t="str">
        <x:v>Not Yet Reviewed</x:v>
      </x:c>
      <x:c r="Z407" s="83" t="str">
        <x:v>CTA LCSW WB2; CTA LCSW WB12; ASWB 2026 Clinical Content Area I</x:v>
      </x:c>
      <x:c r="AA407" s="83" t="str">
        <x:v>CTA_LCSW_2026_Comprehensive_Simulation_Form_B_Answer_Key_and_Detailed_Rationales_v1.0.docx</x:v>
      </x:c>
      <x:c r="AB407" s="83" t="str">
        <x:v>1.0</x:v>
      </x:c>
      <x:c r="AC407" s="102"/>
      <x:c r="AD407" s="102" t="n">
        <x:v>46228</x:v>
      </x:c>
      <x:c r="AE407" s="83" t="str">
        <x:v>Approved for Form B</x:v>
      </x:c>
      <x:c r="AF407" s="89" t="str">
        <x:v>Form B only; paired alternate retained on the other comprehensive form</x:v>
      </x:c>
    </x:row>
    <x:row r="408">
      <x:c r="A408" s="88" t="str">
        <x:v>CTA-LCSW-MQB-0407</x:v>
      </x:c>
      <x:c r="B408" s="83" t="str">
        <x:v>LCSW-MQB-FB-AP-036</x:v>
      </x:c>
      <x:c r="C408" s="83" t="str">
        <x:v>LCSW</x:v>
      </x:c>
      <x:c r="D408" s="83" t="str">
        <x:v>Comprehensive Simulation</x:v>
      </x:c>
      <x:c r="E408" s="83"/>
      <x:c r="F408" s="83"/>
      <x:c r="G408" s="83" t="str">
        <x:v>Form B</x:v>
      </x:c>
      <x:c r="H408" s="83" t="n">
        <x:v>81</x:v>
      </x:c>
      <x:c r="I408" s="83" t="str">
        <x:v>Scored-Style</x:v>
      </x:c>
      <x:c r="J408" s="83" t="str">
        <x:v>II. Assessment and Planning</x:v>
      </x:c>
      <x:c r="K408" s="83" t="str">
        <x:v>Child development and family stress</x:v>
      </x:c>
      <x:c r="L408" s="83" t="str"/>
      <x:c r="M408" s="83" t="str">
        <x:v>Difficult</x:v>
      </x:c>
      <x:c r="N408" s="83" t="str">
        <x:v>Difficult</x:v>
      </x:c>
      <x:c r="O408" s="83" t="str">
        <x:v>Integrated reasoning</x:v>
      </x:c>
      <x:c r="P408" s="83" t="str">
        <x:v>Integrated Clinical Reasoning</x:v>
      </x:c>
      <x:c r="Q408" s="83" t="n">
        <x:v>4</x:v>
      </x:c>
      <x:c r="R408" s="83" t="str">
        <x:v>C</x:v>
      </x:c>
      <x:c r="S408" s="83" t="str">
        <x:v>Approved</x:v>
      </x:c>
      <x:c r="T408" s="83" t="str">
        <x:v>Active</x:v>
      </x:c>
      <x:c r="U408" s="83" t="n">
        <x:v>1</x:v>
      </x:c>
      <x:c r="V408" s="83" t="str">
        <x:v>LCSW-ALT-036</x:v>
      </x:c>
      <x:c r="W408" s="83" t="str">
        <x:v>No additional flag</x:v>
      </x:c>
      <x:c r="X408" s="83" t="str">
        <x:v>No structural flag</x:v>
      </x:c>
      <x:c r="Y408" s="83" t="str">
        <x:v>Not Yet Reviewed</x:v>
      </x:c>
      <x:c r="Z408" s="83" t="str">
        <x:v>CTA LCSW WB3–WB7; ASWB 2026 Clinical Content Area II</x:v>
      </x:c>
      <x:c r="AA408" s="83" t="str">
        <x:v>CTA_LCSW_2026_Comprehensive_Simulation_Form_B_Answer_Key_and_Detailed_Rationales_v1.0.docx</x:v>
      </x:c>
      <x:c r="AB408" s="83" t="str">
        <x:v>1.0</x:v>
      </x:c>
      <x:c r="AC408" s="102"/>
      <x:c r="AD408" s="102" t="n">
        <x:v>46228</x:v>
      </x:c>
      <x:c r="AE408" s="83" t="str">
        <x:v>Approved for Form B</x:v>
      </x:c>
      <x:c r="AF408" s="89" t="str">
        <x:v>Form B only; paired alternate retained on the other comprehensive form</x:v>
      </x:c>
    </x:row>
    <x:row r="409">
      <x:c r="A409" s="88" t="str">
        <x:v>CTA-LCSW-MQB-0408</x:v>
      </x:c>
      <x:c r="B409" s="83" t="str">
        <x:v>LCSW-MQB-FB-VE-003</x:v>
      </x:c>
      <x:c r="C409" s="83" t="str">
        <x:v>LCSW</x:v>
      </x:c>
      <x:c r="D409" s="83" t="str">
        <x:v>Comprehensive Simulation</x:v>
      </x:c>
      <x:c r="E409" s="83"/>
      <x:c r="F409" s="83"/>
      <x:c r="G409" s="83" t="str">
        <x:v>Form B</x:v>
      </x:c>
      <x:c r="H409" s="83" t="n">
        <x:v>82</x:v>
      </x:c>
      <x:c r="I409" s="83" t="str">
        <x:v>Scored-Style</x:v>
      </x:c>
      <x:c r="J409" s="83" t="str">
        <x:v>I. Values and Ethics</x:v>
      </x:c>
      <x:c r="K409" s="83" t="str">
        <x:v>Confidentiality and privilege</x:v>
      </x:c>
      <x:c r="L409" s="83" t="str"/>
      <x:c r="M409" s="83" t="str">
        <x:v>Easy</x:v>
      </x:c>
      <x:c r="N409" s="83" t="str">
        <x:v>Easy</x:v>
      </x:c>
      <x:c r="O409" s="83" t="str">
        <x:v>Direct recognition</x:v>
      </x:c>
      <x:c r="P409" s="83" t="str">
        <x:v>Knowledge &amp; Recall</x:v>
      </x:c>
      <x:c r="Q409" s="83" t="n">
        <x:v>3</x:v>
      </x:c>
      <x:c r="R409" s="83" t="str">
        <x:v>B</x:v>
      </x:c>
      <x:c r="S409" s="83" t="str">
        <x:v>Approved</x:v>
      </x:c>
      <x:c r="T409" s="83" t="str">
        <x:v>Active</x:v>
      </x:c>
      <x:c r="U409" s="83" t="n">
        <x:v>1</x:v>
      </x:c>
      <x:c r="V409" s="83" t="str">
        <x:v>LCSW-ALT-081</x:v>
      </x:c>
      <x:c r="W409" s="83" t="str">
        <x:v>No additional flag</x:v>
      </x:c>
      <x:c r="X409" s="83" t="str">
        <x:v>No structural flag</x:v>
      </x:c>
      <x:c r="Y409" s="83" t="str">
        <x:v>Not Yet Reviewed</x:v>
      </x:c>
      <x:c r="Z409" s="83" t="str">
        <x:v>CTA LCSW WB2; CTA LCSW WB12; ASWB 2026 Clinical Content Area I</x:v>
      </x:c>
      <x:c r="AA409" s="83" t="str">
        <x:v>CTA_LCSW_2026_Comprehensive_Simulation_Form_B_Answer_Key_and_Detailed_Rationales_v1.0.docx</x:v>
      </x:c>
      <x:c r="AB409" s="83" t="str">
        <x:v>1.0</x:v>
      </x:c>
      <x:c r="AC409" s="102"/>
      <x:c r="AD409" s="102" t="n">
        <x:v>46228</x:v>
      </x:c>
      <x:c r="AE409" s="83" t="str">
        <x:v>Approved for Form B</x:v>
      </x:c>
      <x:c r="AF409" s="89" t="str">
        <x:v>Form B only; paired alternate retained on the other comprehensive form</x:v>
      </x:c>
    </x:row>
    <x:row r="410">
      <x:c r="A410" s="88" t="str">
        <x:v>CTA-LCSW-MQB-0409</x:v>
      </x:c>
      <x:c r="B410" s="83" t="str">
        <x:v>LCSW-MQB-FB-VE-026</x:v>
      </x:c>
      <x:c r="C410" s="83" t="str">
        <x:v>LCSW</x:v>
      </x:c>
      <x:c r="D410" s="83" t="str">
        <x:v>Comprehensive Simulation</x:v>
      </x:c>
      <x:c r="E410" s="83"/>
      <x:c r="F410" s="83"/>
      <x:c r="G410" s="83" t="str">
        <x:v>Form B</x:v>
      </x:c>
      <x:c r="H410" s="83" t="n">
        <x:v>83</x:v>
      </x:c>
      <x:c r="I410" s="83" t="str">
        <x:v>Scored-Style</x:v>
      </x:c>
      <x:c r="J410" s="83" t="str">
        <x:v>I. Values and Ethics</x:v>
      </x:c>
      <x:c r="K410" s="83" t="str">
        <x:v>Confidential message</x:v>
      </x:c>
      <x:c r="L410" s="83" t="str"/>
      <x:c r="M410" s="83" t="str">
        <x:v>Moderate</x:v>
      </x:c>
      <x:c r="N410" s="83" t="str">
        <x:v>Moderate</x:v>
      </x:c>
      <x:c r="O410" s="83" t="str">
        <x:v>Scenario-based reasoning</x:v>
      </x:c>
      <x:c r="P410" s="83" t="str">
        <x:v>Scenario-Based</x:v>
      </x:c>
      <x:c r="Q410" s="83" t="n">
        <x:v>3</x:v>
      </x:c>
      <x:c r="R410" s="83" t="str">
        <x:v>A</x:v>
      </x:c>
      <x:c r="S410" s="83" t="str">
        <x:v>Approved</x:v>
      </x:c>
      <x:c r="T410" s="83" t="str">
        <x:v>Active</x:v>
      </x:c>
      <x:c r="U410" s="83" t="n">
        <x:v>1</x:v>
      </x:c>
      <x:c r="V410" s="83" t="str">
        <x:v>LCSW-ALT-104</x:v>
      </x:c>
      <x:c r="W410" s="83" t="str">
        <x:v>No additional flag</x:v>
      </x:c>
      <x:c r="X410" s="83" t="str">
        <x:v>No structural flag</x:v>
      </x:c>
      <x:c r="Y410" s="83" t="str">
        <x:v>Not Yet Reviewed</x:v>
      </x:c>
      <x:c r="Z410" s="83" t="str">
        <x:v>CTA LCSW WB2; CTA LCSW WB12; ASWB 2026 Clinical Content Area I</x:v>
      </x:c>
      <x:c r="AA410" s="83" t="str">
        <x:v>CTA_LCSW_2026_Comprehensive_Simulation_Form_B_Answer_Key_and_Detailed_Rationales_v1.0.docx</x:v>
      </x:c>
      <x:c r="AB410" s="83" t="str">
        <x:v>1.0</x:v>
      </x:c>
      <x:c r="AC410" s="102"/>
      <x:c r="AD410" s="102" t="n">
        <x:v>46228</x:v>
      </x:c>
      <x:c r="AE410" s="83" t="str">
        <x:v>Approved for Form B</x:v>
      </x:c>
      <x:c r="AF410" s="89" t="str">
        <x:v>Form B only; paired alternate retained on the other comprehensive form</x:v>
      </x:c>
    </x:row>
    <x:row r="411">
      <x:c r="A411" s="88" t="str">
        <x:v>CTA-LCSW-MQB-0410</x:v>
      </x:c>
      <x:c r="B411" s="83" t="str">
        <x:v>LCSW-MQB-FB-AP-028</x:v>
      </x:c>
      <x:c r="C411" s="83" t="str">
        <x:v>LCSW</x:v>
      </x:c>
      <x:c r="D411" s="83" t="str">
        <x:v>Comprehensive Simulation</x:v>
      </x:c>
      <x:c r="E411" s="83"/>
      <x:c r="F411" s="83"/>
      <x:c r="G411" s="83" t="str">
        <x:v>Form B</x:v>
      </x:c>
      <x:c r="H411" s="83" t="n">
        <x:v>84</x:v>
      </x:c>
      <x:c r="I411" s="83" t="str">
        <x:v>Scored-Style</x:v>
      </x:c>
      <x:c r="J411" s="83" t="str">
        <x:v>II. Assessment and Planning</x:v>
      </x:c>
      <x:c r="K411" s="83" t="str">
        <x:v>Eating-disorder medical risk</x:v>
      </x:c>
      <x:c r="L411" s="83" t="str"/>
      <x:c r="M411" s="83" t="str">
        <x:v>Moderate</x:v>
      </x:c>
      <x:c r="N411" s="83" t="str">
        <x:v>Moderate</x:v>
      </x:c>
      <x:c r="O411" s="83" t="str">
        <x:v>Scenario-based reasoning</x:v>
      </x:c>
      <x:c r="P411" s="83" t="str">
        <x:v>Scenario-Based</x:v>
      </x:c>
      <x:c r="Q411" s="83" t="n">
        <x:v>4</x:v>
      </x:c>
      <x:c r="R411" s="83" t="str">
        <x:v>D</x:v>
      </x:c>
      <x:c r="S411" s="83" t="str">
        <x:v>Approved</x:v>
      </x:c>
      <x:c r="T411" s="83" t="str">
        <x:v>Active</x:v>
      </x:c>
      <x:c r="U411" s="83" t="n">
        <x:v>1</x:v>
      </x:c>
      <x:c r="V411" s="83" t="str">
        <x:v>LCSW-ALT-028</x:v>
      </x:c>
      <x:c r="W411" s="83" t="str">
        <x:v>No additional flag</x:v>
      </x:c>
      <x:c r="X411" s="83" t="str">
        <x:v>No structural flag</x:v>
      </x:c>
      <x:c r="Y411" s="83" t="str">
        <x:v>Not Yet Reviewed</x:v>
      </x:c>
      <x:c r="Z411" s="83" t="str">
        <x:v>CTA LCSW WB5; ASWB 2026 Clinical Content Area II</x:v>
      </x:c>
      <x:c r="AA411" s="83" t="str">
        <x:v>CTA_LCSW_2026_Comprehensive_Simulation_Form_B_Answer_Key_and_Detailed_Rationales_v1.0.docx</x:v>
      </x:c>
      <x:c r="AB411" s="83" t="str">
        <x:v>1.0</x:v>
      </x:c>
      <x:c r="AC411" s="102"/>
      <x:c r="AD411" s="102" t="n">
        <x:v>46228</x:v>
      </x:c>
      <x:c r="AE411" s="83" t="str">
        <x:v>Approved for Form B</x:v>
      </x:c>
      <x:c r="AF411" s="89" t="str">
        <x:v>Form B only; paired alternate retained on the other comprehensive form</x:v>
      </x:c>
    </x:row>
    <x:row r="412">
      <x:c r="A412" s="88" t="str">
        <x:v>CTA-LCSW-MQB-0411</x:v>
      </x:c>
      <x:c r="B412" s="83" t="str">
        <x:v>LCSW-MQB-FB-IP-013</x:v>
      </x:c>
      <x:c r="C412" s="83" t="str">
        <x:v>LCSW</x:v>
      </x:c>
      <x:c r="D412" s="83" t="str">
        <x:v>Comprehensive Simulation</x:v>
      </x:c>
      <x:c r="E412" s="83"/>
      <x:c r="F412" s="83"/>
      <x:c r="G412" s="83" t="str">
        <x:v>Form B</x:v>
      </x:c>
      <x:c r="H412" s="83" t="n">
        <x:v>85</x:v>
      </x:c>
      <x:c r="I412" s="83" t="str">
        <x:v>Scored-Style</x:v>
      </x:c>
      <x:c r="J412" s="83" t="str">
        <x:v>III. Intervention and Practice</x:v>
      </x:c>
      <x:c r="K412" s="83" t="str">
        <x:v>Parenting intervention</x:v>
      </x:c>
      <x:c r="L412" s="83" t="str"/>
      <x:c r="M412" s="83" t="str">
        <x:v>Moderate</x:v>
      </x:c>
      <x:c r="N412" s="83" t="str">
        <x:v>Moderate</x:v>
      </x:c>
      <x:c r="O412" s="83" t="str">
        <x:v>Application</x:v>
      </x:c>
      <x:c r="P412" s="83" t="str">
        <x:v>Application</x:v>
      </x:c>
      <x:c r="Q412" s="83" t="n">
        <x:v>3</x:v>
      </x:c>
      <x:c r="R412" s="83" t="str">
        <x:v>B</x:v>
      </x:c>
      <x:c r="S412" s="83" t="str">
        <x:v>Approved</x:v>
      </x:c>
      <x:c r="T412" s="83" t="str">
        <x:v>Active</x:v>
      </x:c>
      <x:c r="U412" s="83" t="n">
        <x:v>1</x:v>
      </x:c>
      <x:c r="V412" s="83" t="str">
        <x:v>LCSW-ALT-052</x:v>
      </x:c>
      <x:c r="W412" s="83" t="str">
        <x:v>No additional flag</x:v>
      </x:c>
      <x:c r="X412" s="83" t="str">
        <x:v>No structural flag</x:v>
      </x:c>
      <x:c r="Y412" s="83" t="str">
        <x:v>Not Yet Reviewed</x:v>
      </x:c>
      <x:c r="Z412" s="83" t="str">
        <x:v>CTA LCSW WB8–WB11; ASWB 2026 Clinical Content Area III</x:v>
      </x:c>
      <x:c r="AA412" s="83" t="str">
        <x:v>CTA_LCSW_2026_Comprehensive_Simulation_Form_B_Answer_Key_and_Detailed_Rationales_v1.0.docx</x:v>
      </x:c>
      <x:c r="AB412" s="83" t="str">
        <x:v>1.0</x:v>
      </x:c>
      <x:c r="AC412" s="102"/>
      <x:c r="AD412" s="102" t="n">
        <x:v>46228</x:v>
      </x:c>
      <x:c r="AE412" s="83" t="str">
        <x:v>Approved for Form B</x:v>
      </x:c>
      <x:c r="AF412" s="89" t="str">
        <x:v>Form B only; paired alternate retained on the other comprehensive form</x:v>
      </x:c>
    </x:row>
    <x:row r="413">
      <x:c r="A413" s="88" t="str">
        <x:v>CTA-LCSW-MQB-0412</x:v>
      </x:c>
      <x:c r="B413" s="83" t="str">
        <x:v>LCSW-MQB-FB-IP-036</x:v>
      </x:c>
      <x:c r="C413" s="83" t="str">
        <x:v>LCSW</x:v>
      </x:c>
      <x:c r="D413" s="83" t="str">
        <x:v>Comprehensive Simulation</x:v>
      </x:c>
      <x:c r="E413" s="83"/>
      <x:c r="F413" s="83"/>
      <x:c r="G413" s="83" t="str">
        <x:v>Form B</x:v>
      </x:c>
      <x:c r="H413" s="83" t="n">
        <x:v>86</x:v>
      </x:c>
      <x:c r="I413" s="83" t="str">
        <x:v>Scored-Style</x:v>
      </x:c>
      <x:c r="J413" s="83" t="str">
        <x:v>III. Intervention and Practice</x:v>
      </x:c>
      <x:c r="K413" s="83" t="str">
        <x:v>Evidence, culture, and preference</x:v>
      </x:c>
      <x:c r="L413" s="83" t="str"/>
      <x:c r="M413" s="83" t="str">
        <x:v>Difficult</x:v>
      </x:c>
      <x:c r="N413" s="83" t="str">
        <x:v>Difficult</x:v>
      </x:c>
      <x:c r="O413" s="83" t="str">
        <x:v>Integrated reasoning</x:v>
      </x:c>
      <x:c r="P413" s="83" t="str">
        <x:v>Integrated Clinical Reasoning</x:v>
      </x:c>
      <x:c r="Q413" s="83" t="n">
        <x:v>4</x:v>
      </x:c>
      <x:c r="R413" s="83" t="str">
        <x:v>B</x:v>
      </x:c>
      <x:c r="S413" s="83" t="str">
        <x:v>Approved</x:v>
      </x:c>
      <x:c r="T413" s="83" t="str">
        <x:v>Active</x:v>
      </x:c>
      <x:c r="U413" s="83" t="n">
        <x:v>1</x:v>
      </x:c>
      <x:c r="V413" s="83" t="str">
        <x:v>LCSW-ALT-075</x:v>
      </x:c>
      <x:c r="W413" s="83" t="str">
        <x:v>No additional flag</x:v>
      </x:c>
      <x:c r="X413" s="83" t="str">
        <x:v>No structural flag</x:v>
      </x:c>
      <x:c r="Y413" s="83" t="str">
        <x:v>Not Yet Reviewed</x:v>
      </x:c>
      <x:c r="Z413" s="83" t="str">
        <x:v>CTA LCSW WB8–WB11; ASWB 2026 Clinical Content Area III</x:v>
      </x:c>
      <x:c r="AA413" s="83" t="str">
        <x:v>CTA_LCSW_2026_Comprehensive_Simulation_Form_B_Answer_Key_and_Detailed_Rationales_v1.0.docx</x:v>
      </x:c>
      <x:c r="AB413" s="83" t="str">
        <x:v>1.0</x:v>
      </x:c>
      <x:c r="AC413" s="102"/>
      <x:c r="AD413" s="102" t="n">
        <x:v>46228</x:v>
      </x:c>
      <x:c r="AE413" s="83" t="str">
        <x:v>Approved for Form B</x:v>
      </x:c>
      <x:c r="AF413" s="89" t="str">
        <x:v>Form B only; paired alternate retained on the other comprehensive form</x:v>
      </x:c>
    </x:row>
    <x:row r="414">
      <x:c r="A414" s="88" t="str">
        <x:v>CTA-LCSW-MQB-0413</x:v>
      </x:c>
      <x:c r="B414" s="83" t="str">
        <x:v>LCSW-MQB-FB-AP-035</x:v>
      </x:c>
      <x:c r="C414" s="83" t="str">
        <x:v>LCSW</x:v>
      </x:c>
      <x:c r="D414" s="83" t="str">
        <x:v>Comprehensive Simulation</x:v>
      </x:c>
      <x:c r="E414" s="83"/>
      <x:c r="F414" s="83"/>
      <x:c r="G414" s="83" t="str">
        <x:v>Form B</x:v>
      </x:c>
      <x:c r="H414" s="83" t="n">
        <x:v>87</x:v>
      </x:c>
      <x:c r="I414" s="83" t="str">
        <x:v>Scored-Style</x:v>
      </x:c>
      <x:c r="J414" s="83" t="str">
        <x:v>II. Assessment and Planning</x:v>
      </x:c>
      <x:c r="K414" s="83" t="str">
        <x:v>Suicide, substance use, and housing</x:v>
      </x:c>
      <x:c r="L414" s="83" t="str"/>
      <x:c r="M414" s="83" t="str">
        <x:v>Difficult</x:v>
      </x:c>
      <x:c r="N414" s="83" t="str">
        <x:v>Difficult</x:v>
      </x:c>
      <x:c r="O414" s="83" t="str">
        <x:v>Integrated reasoning</x:v>
      </x:c>
      <x:c r="P414" s="83" t="str">
        <x:v>Integrated Clinical Reasoning</x:v>
      </x:c>
      <x:c r="Q414" s="83" t="n">
        <x:v>4</x:v>
      </x:c>
      <x:c r="R414" s="83" t="str">
        <x:v>B</x:v>
      </x:c>
      <x:c r="S414" s="83" t="str">
        <x:v>Approved</x:v>
      </x:c>
      <x:c r="T414" s="83" t="str">
        <x:v>Active</x:v>
      </x:c>
      <x:c r="U414" s="83" t="n">
        <x:v>1</x:v>
      </x:c>
      <x:c r="V414" s="83" t="str">
        <x:v>LCSW-ALT-035</x:v>
      </x:c>
      <x:c r="W414" s="83" t="str">
        <x:v>No additional flag</x:v>
      </x:c>
      <x:c r="X414" s="83" t="str">
        <x:v>No structural flag</x:v>
      </x:c>
      <x:c r="Y414" s="83" t="str">
        <x:v>Not Yet Reviewed</x:v>
      </x:c>
      <x:c r="Z414" s="83" t="str">
        <x:v>CTA LCSW WB6; ASWB 2026 Clinical Content Area II</x:v>
      </x:c>
      <x:c r="AA414" s="83" t="str">
        <x:v>CTA_LCSW_2026_Comprehensive_Simulation_Form_B_Answer_Key_and_Detailed_Rationales_v1.0.docx</x:v>
      </x:c>
      <x:c r="AB414" s="83" t="str">
        <x:v>1.0</x:v>
      </x:c>
      <x:c r="AC414" s="102"/>
      <x:c r="AD414" s="102" t="n">
        <x:v>46228</x:v>
      </x:c>
      <x:c r="AE414" s="83" t="str">
        <x:v>Approved for Form B</x:v>
      </x:c>
      <x:c r="AF414" s="89" t="str">
        <x:v>Form B only; paired alternate retained on the other comprehensive form</x:v>
      </x:c>
    </x:row>
    <x:row r="415">
      <x:c r="A415" s="88" t="str">
        <x:v>CTA-LCSW-MQB-0414</x:v>
      </x:c>
      <x:c r="B415" s="83" t="str">
        <x:v>LCSW-MQB-FB-VE-011</x:v>
      </x:c>
      <x:c r="C415" s="83" t="str">
        <x:v>LCSW</x:v>
      </x:c>
      <x:c r="D415" s="83" t="str">
        <x:v>Comprehensive Simulation</x:v>
      </x:c>
      <x:c r="E415" s="83"/>
      <x:c r="F415" s="83"/>
      <x:c r="G415" s="83" t="str">
        <x:v>Form B</x:v>
      </x:c>
      <x:c r="H415" s="83" t="n">
        <x:v>88</x:v>
      </x:c>
      <x:c r="I415" s="83" t="str">
        <x:v>Scored-Style</x:v>
      </x:c>
      <x:c r="J415" s="83" t="str">
        <x:v>I. Values and Ethics</x:v>
      </x:c>
      <x:c r="K415" s="83" t="str">
        <x:v>Minimum necessary disclosure</x:v>
      </x:c>
      <x:c r="L415" s="83" t="str"/>
      <x:c r="M415" s="83" t="str">
        <x:v>Easy</x:v>
      </x:c>
      <x:c r="N415" s="83" t="str">
        <x:v>Easy</x:v>
      </x:c>
      <x:c r="O415" s="83" t="str">
        <x:v>Application</x:v>
      </x:c>
      <x:c r="P415" s="83" t="str">
        <x:v>Application</x:v>
      </x:c>
      <x:c r="Q415" s="83" t="n">
        <x:v>3</x:v>
      </x:c>
      <x:c r="R415" s="83" t="str">
        <x:v>C</x:v>
      </x:c>
      <x:c r="S415" s="83" t="str">
        <x:v>Approved</x:v>
      </x:c>
      <x:c r="T415" s="83" t="str">
        <x:v>Active</x:v>
      </x:c>
      <x:c r="U415" s="83" t="n">
        <x:v>1</x:v>
      </x:c>
      <x:c r="V415" s="83" t="str">
        <x:v>LCSW-ALT-089</x:v>
      </x:c>
      <x:c r="W415" s="83" t="str">
        <x:v>No additional flag</x:v>
      </x:c>
      <x:c r="X415" s="83" t="str">
        <x:v>No structural flag</x:v>
      </x:c>
      <x:c r="Y415" s="83" t="str">
        <x:v>Not Yet Reviewed</x:v>
      </x:c>
      <x:c r="Z415" s="83" t="str">
        <x:v>CTA LCSW WB2; CTA LCSW WB12; ASWB 2026 Clinical Content Area I</x:v>
      </x:c>
      <x:c r="AA415" s="83" t="str">
        <x:v>CTA_LCSW_2026_Comprehensive_Simulation_Form_B_Answer_Key_and_Detailed_Rationales_v1.0.docx</x:v>
      </x:c>
      <x:c r="AB415" s="83" t="str">
        <x:v>1.0</x:v>
      </x:c>
      <x:c r="AC415" s="102"/>
      <x:c r="AD415" s="102" t="n">
        <x:v>46228</x:v>
      </x:c>
      <x:c r="AE415" s="83" t="str">
        <x:v>Approved for Form B</x:v>
      </x:c>
      <x:c r="AF415" s="89" t="str">
        <x:v>Form B only; paired alternate retained on the other comprehensive form</x:v>
      </x:c>
    </x:row>
    <x:row r="416">
      <x:c r="A416" s="88" t="str">
        <x:v>CTA-LCSW-MQB-0415</x:v>
      </x:c>
      <x:c r="B416" s="83" t="str">
        <x:v>LCSW-MQB-FB-VE-014</x:v>
      </x:c>
      <x:c r="C416" s="83" t="str">
        <x:v>LCSW</x:v>
      </x:c>
      <x:c r="D416" s="83" t="str">
        <x:v>Comprehensive Simulation</x:v>
      </x:c>
      <x:c r="E416" s="83"/>
      <x:c r="F416" s="83"/>
      <x:c r="G416" s="83" t="str">
        <x:v>Form B</x:v>
      </x:c>
      <x:c r="H416" s="83" t="n">
        <x:v>89</x:v>
      </x:c>
      <x:c r="I416" s="83" t="str">
        <x:v>Scored-Style</x:v>
      </x:c>
      <x:c r="J416" s="83" t="str">
        <x:v>I. Values and Ethics</x:v>
      </x:c>
      <x:c r="K416" s="83" t="str">
        <x:v>Record correction</x:v>
      </x:c>
      <x:c r="L416" s="83" t="str"/>
      <x:c r="M416" s="83" t="str">
        <x:v>Moderate</x:v>
      </x:c>
      <x:c r="N416" s="83" t="str">
        <x:v>Moderate</x:v>
      </x:c>
      <x:c r="O416" s="83" t="str">
        <x:v>Application</x:v>
      </x:c>
      <x:c r="P416" s="83" t="str">
        <x:v>Application</x:v>
      </x:c>
      <x:c r="Q416" s="83" t="n">
        <x:v>3</x:v>
      </x:c>
      <x:c r="R416" s="83" t="str">
        <x:v>B</x:v>
      </x:c>
      <x:c r="S416" s="83" t="str">
        <x:v>Approved</x:v>
      </x:c>
      <x:c r="T416" s="83" t="str">
        <x:v>Active</x:v>
      </x:c>
      <x:c r="U416" s="83" t="n">
        <x:v>1</x:v>
      </x:c>
      <x:c r="V416" s="83" t="str">
        <x:v>LCSW-ALT-092</x:v>
      </x:c>
      <x:c r="W416" s="83" t="str">
        <x:v>No additional flag</x:v>
      </x:c>
      <x:c r="X416" s="83" t="str">
        <x:v>No structural flag</x:v>
      </x:c>
      <x:c r="Y416" s="83" t="str">
        <x:v>Not Yet Reviewed</x:v>
      </x:c>
      <x:c r="Z416" s="83" t="str">
        <x:v>CTA LCSW WB2; CTA LCSW WB12; ASWB 2026 Clinical Content Area I</x:v>
      </x:c>
      <x:c r="AA416" s="83" t="str">
        <x:v>CTA_LCSW_2026_Comprehensive_Simulation_Form_B_Answer_Key_and_Detailed_Rationales_v1.0.docx</x:v>
      </x:c>
      <x:c r="AB416" s="83" t="str">
        <x:v>1.0</x:v>
      </x:c>
      <x:c r="AC416" s="102"/>
      <x:c r="AD416" s="102" t="n">
        <x:v>46228</x:v>
      </x:c>
      <x:c r="AE416" s="83" t="str">
        <x:v>Approved for Form B</x:v>
      </x:c>
      <x:c r="AF416" s="89" t="str">
        <x:v>Form B only; paired alternate retained on the other comprehensive form</x:v>
      </x:c>
    </x:row>
    <x:row r="417">
      <x:c r="A417" s="88" t="str">
        <x:v>CTA-LCSW-MQB-0416</x:v>
      </x:c>
      <x:c r="B417" s="83" t="str">
        <x:v>LCSW-MQB-FB-IP-027</x:v>
      </x:c>
      <x:c r="C417" s="83" t="str">
        <x:v>LCSW</x:v>
      </x:c>
      <x:c r="D417" s="83" t="str">
        <x:v>Comprehensive Simulation</x:v>
      </x:c>
      <x:c r="E417" s="83"/>
      <x:c r="F417" s="83"/>
      <x:c r="G417" s="83" t="str">
        <x:v>Form B</x:v>
      </x:c>
      <x:c r="H417" s="83" t="n">
        <x:v>90</x:v>
      </x:c>
      <x:c r="I417" s="83" t="str">
        <x:v>Scored-Style</x:v>
      </x:c>
      <x:c r="J417" s="83" t="str">
        <x:v>III. Intervention and Practice</x:v>
      </x:c>
      <x:c r="K417" s="83" t="str">
        <x:v>Warm referral</x:v>
      </x:c>
      <x:c r="L417" s="83" t="str"/>
      <x:c r="M417" s="83" t="str">
        <x:v>Moderate</x:v>
      </x:c>
      <x:c r="N417" s="83" t="str">
        <x:v>Moderate</x:v>
      </x:c>
      <x:c r="O417" s="83" t="str">
        <x:v>Scenario-based reasoning</x:v>
      </x:c>
      <x:c r="P417" s="83" t="str">
        <x:v>Scenario-Based</x:v>
      </x:c>
      <x:c r="Q417" s="83" t="n">
        <x:v>4</x:v>
      </x:c>
      <x:c r="R417" s="83" t="str">
        <x:v>D</x:v>
      </x:c>
      <x:c r="S417" s="83" t="str">
        <x:v>Approved</x:v>
      </x:c>
      <x:c r="T417" s="83" t="str">
        <x:v>Active</x:v>
      </x:c>
      <x:c r="U417" s="83" t="n">
        <x:v>1</x:v>
      </x:c>
      <x:c r="V417" s="83" t="str">
        <x:v>LCSW-ALT-066</x:v>
      </x:c>
      <x:c r="W417" s="83" t="str">
        <x:v>No additional flag</x:v>
      </x:c>
      <x:c r="X417" s="83" t="str">
        <x:v>No structural flag</x:v>
      </x:c>
      <x:c r="Y417" s="83" t="str">
        <x:v>Not Yet Reviewed</x:v>
      </x:c>
      <x:c r="Z417" s="83" t="str">
        <x:v>CTA LCSW WB10; CTA LCSW WB11; ASWB 2026 Clinical Content Area III</x:v>
      </x:c>
      <x:c r="AA417" s="83" t="str">
        <x:v>CTA_LCSW_2026_Comprehensive_Simulation_Form_B_Answer_Key_and_Detailed_Rationales_v1.0.docx</x:v>
      </x:c>
      <x:c r="AB417" s="83" t="str">
        <x:v>1.0</x:v>
      </x:c>
      <x:c r="AC417" s="102"/>
      <x:c r="AD417" s="102" t="n">
        <x:v>46228</x:v>
      </x:c>
      <x:c r="AE417" s="83" t="str">
        <x:v>Approved for Form B</x:v>
      </x:c>
      <x:c r="AF417" s="89" t="str">
        <x:v>Form B only; paired alternate retained on the other comprehensive form</x:v>
      </x:c>
    </x:row>
    <x:row r="418">
      <x:c r="A418" s="88" t="str">
        <x:v>CTA-LCSW-MQB-0417</x:v>
      </x:c>
      <x:c r="B418" s="83" t="str">
        <x:v>LCSW-MQB-FB-AP-031</x:v>
      </x:c>
      <x:c r="C418" s="83" t="str">
        <x:v>LCSW</x:v>
      </x:c>
      <x:c r="D418" s="83" t="str">
        <x:v>Comprehensive Simulation</x:v>
      </x:c>
      <x:c r="E418" s="83"/>
      <x:c r="F418" s="83"/>
      <x:c r="G418" s="83" t="str">
        <x:v>Form B</x:v>
      </x:c>
      <x:c r="H418" s="83" t="n">
        <x:v>91</x:v>
      </x:c>
      <x:c r="I418" s="83" t="str">
        <x:v>Scored-Style</x:v>
      </x:c>
      <x:c r="J418" s="83" t="str">
        <x:v>II. Assessment and Planning</x:v>
      </x:c>
      <x:c r="K418" s="83" t="str">
        <x:v>Housing and psychiatric symptoms</x:v>
      </x:c>
      <x:c r="L418" s="83" t="str"/>
      <x:c r="M418" s="83" t="str">
        <x:v>Difficult</x:v>
      </x:c>
      <x:c r="N418" s="83" t="str">
        <x:v>Difficult</x:v>
      </x:c>
      <x:c r="O418" s="83" t="str">
        <x:v>Scenario-based reasoning</x:v>
      </x:c>
      <x:c r="P418" s="83" t="str">
        <x:v>Scenario-Based</x:v>
      </x:c>
      <x:c r="Q418" s="83" t="n">
        <x:v>4</x:v>
      </x:c>
      <x:c r="R418" s="83" t="str">
        <x:v>C</x:v>
      </x:c>
      <x:c r="S418" s="83" t="str">
        <x:v>Approved</x:v>
      </x:c>
      <x:c r="T418" s="83" t="str">
        <x:v>Active</x:v>
      </x:c>
      <x:c r="U418" s="83" t="n">
        <x:v>1</x:v>
      </x:c>
      <x:c r="V418" s="83" t="str">
        <x:v>LCSW-ALT-031</x:v>
      </x:c>
      <x:c r="W418" s="83" t="str">
        <x:v>No additional flag</x:v>
      </x:c>
      <x:c r="X418" s="83" t="str">
        <x:v>No structural flag</x:v>
      </x:c>
      <x:c r="Y418" s="83" t="str">
        <x:v>Not Yet Reviewed</x:v>
      </x:c>
      <x:c r="Z418" s="83" t="str">
        <x:v>CTA LCSW WB3–WB7; ASWB 2026 Clinical Content Area II</x:v>
      </x:c>
      <x:c r="AA418" s="83" t="str">
        <x:v>CTA_LCSW_2026_Comprehensive_Simulation_Form_B_Answer_Key_and_Detailed_Rationales_v1.0.docx</x:v>
      </x:c>
      <x:c r="AB418" s="83" t="str">
        <x:v>1.0</x:v>
      </x:c>
      <x:c r="AC418" s="102"/>
      <x:c r="AD418" s="102" t="n">
        <x:v>46228</x:v>
      </x:c>
      <x:c r="AE418" s="83" t="str">
        <x:v>Approved for Form B</x:v>
      </x:c>
      <x:c r="AF418" s="89" t="str">
        <x:v>Form B only; paired alternate retained on the other comprehensive form</x:v>
      </x:c>
    </x:row>
    <x:row r="419">
      <x:c r="A419" s="88" t="str">
        <x:v>CTA-LCSW-MQB-0418</x:v>
      </x:c>
      <x:c r="B419" s="83" t="str">
        <x:v>LCSW-MQB-FB-IP-020</x:v>
      </x:c>
      <x:c r="C419" s="83" t="str">
        <x:v>LCSW</x:v>
      </x:c>
      <x:c r="D419" s="83" t="str">
        <x:v>Comprehensive Simulation</x:v>
      </x:c>
      <x:c r="E419" s="83"/>
      <x:c r="F419" s="83"/>
      <x:c r="G419" s="83" t="str">
        <x:v>Form B</x:v>
      </x:c>
      <x:c r="H419" s="83" t="n">
        <x:v>92</x:v>
      </x:c>
      <x:c r="I419" s="83" t="str">
        <x:v>Scored-Style</x:v>
      </x:c>
      <x:c r="J419" s="83" t="str">
        <x:v>III. Intervention and Practice</x:v>
      </x:c>
      <x:c r="K419" s="83" t="str">
        <x:v>Suicide intervention</x:v>
      </x:c>
      <x:c r="L419" s="83" t="str"/>
      <x:c r="M419" s="83" t="str">
        <x:v>Moderate</x:v>
      </x:c>
      <x:c r="N419" s="83" t="str">
        <x:v>Moderate</x:v>
      </x:c>
      <x:c r="O419" s="83" t="str">
        <x:v>Scenario-based reasoning</x:v>
      </x:c>
      <x:c r="P419" s="83" t="str">
        <x:v>Scenario-Based</x:v>
      </x:c>
      <x:c r="Q419" s="83" t="n">
        <x:v>3</x:v>
      </x:c>
      <x:c r="R419" s="83" t="str">
        <x:v>A</x:v>
      </x:c>
      <x:c r="S419" s="83" t="str">
        <x:v>Approved</x:v>
      </x:c>
      <x:c r="T419" s="83" t="str">
        <x:v>Active</x:v>
      </x:c>
      <x:c r="U419" s="83" t="n">
        <x:v>1</x:v>
      </x:c>
      <x:c r="V419" s="83" t="str">
        <x:v>LCSW-ALT-059</x:v>
      </x:c>
      <x:c r="W419" s="83" t="str">
        <x:v>No additional flag</x:v>
      </x:c>
      <x:c r="X419" s="83" t="str">
        <x:v>No structural flag</x:v>
      </x:c>
      <x:c r="Y419" s="83" t="str">
        <x:v>Not Yet Reviewed</x:v>
      </x:c>
      <x:c r="Z419" s="83" t="str">
        <x:v>CTA LCSW WB8–WB11; ASWB 2026 Clinical Content Area III</x:v>
      </x:c>
      <x:c r="AA419" s="83" t="str">
        <x:v>CTA_LCSW_2026_Comprehensive_Simulation_Form_B_Answer_Key_and_Detailed_Rationales_v1.0.docx</x:v>
      </x:c>
      <x:c r="AB419" s="83" t="str">
        <x:v>1.0</x:v>
      </x:c>
      <x:c r="AC419" s="102"/>
      <x:c r="AD419" s="102" t="n">
        <x:v>46228</x:v>
      </x:c>
      <x:c r="AE419" s="83" t="str">
        <x:v>Approved for Form B</x:v>
      </x:c>
      <x:c r="AF419" s="89" t="str">
        <x:v>Form B only; paired alternate retained on the other comprehensive form</x:v>
      </x:c>
    </x:row>
    <x:row r="420">
      <x:c r="A420" s="88" t="str">
        <x:v>CTA-LCSW-MQB-0419</x:v>
      </x:c>
      <x:c r="B420" s="83" t="str">
        <x:v>LCSW-MQB-FB-VE-010</x:v>
      </x:c>
      <x:c r="C420" s="83" t="str">
        <x:v>LCSW</x:v>
      </x:c>
      <x:c r="D420" s="83" t="str">
        <x:v>Comprehensive Simulation</x:v>
      </x:c>
      <x:c r="E420" s="83"/>
      <x:c r="F420" s="83"/>
      <x:c r="G420" s="83" t="str">
        <x:v>Form B</x:v>
      </x:c>
      <x:c r="H420" s="83" t="n">
        <x:v>93</x:v>
      </x:c>
      <x:c r="I420" s="83" t="str">
        <x:v>Scored-Style</x:v>
      </x:c>
      <x:c r="J420" s="83" t="str">
        <x:v>I. Values and Ethics</x:v>
      </x:c>
      <x:c r="K420" s="83" t="str">
        <x:v>Accurate documentation</x:v>
      </x:c>
      <x:c r="L420" s="83" t="str"/>
      <x:c r="M420" s="83" t="str">
        <x:v>Easy</x:v>
      </x:c>
      <x:c r="N420" s="83" t="str">
        <x:v>Easy</x:v>
      </x:c>
      <x:c r="O420" s="83" t="str">
        <x:v>Application</x:v>
      </x:c>
      <x:c r="P420" s="83" t="str">
        <x:v>Application</x:v>
      </x:c>
      <x:c r="Q420" s="83" t="n">
        <x:v>3</x:v>
      </x:c>
      <x:c r="R420" s="83" t="str">
        <x:v>C</x:v>
      </x:c>
      <x:c r="S420" s="83" t="str">
        <x:v>Approved</x:v>
      </x:c>
      <x:c r="T420" s="83" t="str">
        <x:v>Active</x:v>
      </x:c>
      <x:c r="U420" s="83" t="n">
        <x:v>1</x:v>
      </x:c>
      <x:c r="V420" s="83" t="str">
        <x:v>LCSW-ALT-088</x:v>
      </x:c>
      <x:c r="W420" s="83" t="str">
        <x:v>No additional flag</x:v>
      </x:c>
      <x:c r="X420" s="83" t="str">
        <x:v>No structural flag</x:v>
      </x:c>
      <x:c r="Y420" s="83" t="str">
        <x:v>Not Yet Reviewed</x:v>
      </x:c>
      <x:c r="Z420" s="83" t="str">
        <x:v>CTA LCSW WB2; CTA LCSW WB12; ASWB 2026 Clinical Content Area I</x:v>
      </x:c>
      <x:c r="AA420" s="83" t="str">
        <x:v>CTA_LCSW_2026_Comprehensive_Simulation_Form_B_Answer_Key_and_Detailed_Rationales_v1.0.docx</x:v>
      </x:c>
      <x:c r="AB420" s="83" t="str">
        <x:v>1.0</x:v>
      </x:c>
      <x:c r="AC420" s="102"/>
      <x:c r="AD420" s="102" t="n">
        <x:v>46228</x:v>
      </x:c>
      <x:c r="AE420" s="83" t="str">
        <x:v>Approved for Form B</x:v>
      </x:c>
      <x:c r="AF420" s="89" t="str">
        <x:v>Form B only; paired alternate retained on the other comprehensive form</x:v>
      </x:c>
    </x:row>
    <x:row r="421">
      <x:c r="A421" s="88" t="str">
        <x:v>CTA-LCSW-MQB-0420</x:v>
      </x:c>
      <x:c r="B421" s="83" t="str">
        <x:v>LCSW-MQB-FB-VE-019</x:v>
      </x:c>
      <x:c r="C421" s="83" t="str">
        <x:v>LCSW</x:v>
      </x:c>
      <x:c r="D421" s="83" t="str">
        <x:v>Comprehensive Simulation</x:v>
      </x:c>
      <x:c r="E421" s="83"/>
      <x:c r="F421" s="83"/>
      <x:c r="G421" s="83" t="str">
        <x:v>Form B</x:v>
      </x:c>
      <x:c r="H421" s="83" t="n">
        <x:v>94</x:v>
      </x:c>
      <x:c r="I421" s="83" t="str">
        <x:v>Scored-Style</x:v>
      </x:c>
      <x:c r="J421" s="83" t="str">
        <x:v>I. Values and Ethics</x:v>
      </x:c>
      <x:c r="K421" s="83" t="str">
        <x:v>Supervision boundaries</x:v>
      </x:c>
      <x:c r="L421" s="83" t="str"/>
      <x:c r="M421" s="83" t="str">
        <x:v>Moderate</x:v>
      </x:c>
      <x:c r="N421" s="83" t="str">
        <x:v>Moderate</x:v>
      </x:c>
      <x:c r="O421" s="83" t="str">
        <x:v>Application</x:v>
      </x:c>
      <x:c r="P421" s="83" t="str">
        <x:v>Application</x:v>
      </x:c>
      <x:c r="Q421" s="83" t="n">
        <x:v>3</x:v>
      </x:c>
      <x:c r="R421" s="83" t="str">
        <x:v>B</x:v>
      </x:c>
      <x:c r="S421" s="83" t="str">
        <x:v>Approved</x:v>
      </x:c>
      <x:c r="T421" s="83" t="str">
        <x:v>Active</x:v>
      </x:c>
      <x:c r="U421" s="83" t="n">
        <x:v>1</x:v>
      </x:c>
      <x:c r="V421" s="83" t="str">
        <x:v>LCSW-ALT-097</x:v>
      </x:c>
      <x:c r="W421" s="83" t="str">
        <x:v>No additional flag</x:v>
      </x:c>
      <x:c r="X421" s="83" t="str">
        <x:v>No structural flag</x:v>
      </x:c>
      <x:c r="Y421" s="83" t="str">
        <x:v>Not Yet Reviewed</x:v>
      </x:c>
      <x:c r="Z421" s="83" t="str">
        <x:v>CTA LCSW WB2; CTA LCSW WB12; ASWB 2026 Clinical Content Area I</x:v>
      </x:c>
      <x:c r="AA421" s="83" t="str">
        <x:v>CTA_LCSW_2026_Comprehensive_Simulation_Form_B_Answer_Key_and_Detailed_Rationales_v1.0.docx</x:v>
      </x:c>
      <x:c r="AB421" s="83" t="str">
        <x:v>1.0</x:v>
      </x:c>
      <x:c r="AC421" s="102"/>
      <x:c r="AD421" s="102" t="n">
        <x:v>46228</x:v>
      </x:c>
      <x:c r="AE421" s="83" t="str">
        <x:v>Approved for Form B</x:v>
      </x:c>
      <x:c r="AF421" s="89" t="str">
        <x:v>Form B only; paired alternate retained on the other comprehensive form</x:v>
      </x:c>
    </x:row>
    <x:row r="422">
      <x:c r="A422" s="88" t="str">
        <x:v>CTA-LCSW-MQB-0421</x:v>
      </x:c>
      <x:c r="B422" s="83" t="str">
        <x:v>LCSW-MQB-FB-AP-021</x:v>
      </x:c>
      <x:c r="C422" s="83" t="str">
        <x:v>LCSW</x:v>
      </x:c>
      <x:c r="D422" s="83" t="str">
        <x:v>Comprehensive Simulation</x:v>
      </x:c>
      <x:c r="E422" s="83"/>
      <x:c r="F422" s="83"/>
      <x:c r="G422" s="83" t="str">
        <x:v>Form B</x:v>
      </x:c>
      <x:c r="H422" s="83" t="n">
        <x:v>95</x:v>
      </x:c>
      <x:c r="I422" s="83" t="str">
        <x:v>Scored-Style</x:v>
      </x:c>
      <x:c r="J422" s="83" t="str">
        <x:v>II. Assessment and Planning</x:v>
      </x:c>
      <x:c r="K422" s="83" t="str">
        <x:v>Suicide assessment sequence</x:v>
      </x:c>
      <x:c r="L422" s="83" t="str"/>
      <x:c r="M422" s="83" t="str">
        <x:v>Moderate</x:v>
      </x:c>
      <x:c r="N422" s="83" t="str">
        <x:v>Moderate</x:v>
      </x:c>
      <x:c r="O422" s="83" t="str">
        <x:v>Scenario-based reasoning</x:v>
      </x:c>
      <x:c r="P422" s="83" t="str">
        <x:v>Scenario-Based</x:v>
      </x:c>
      <x:c r="Q422" s="83" t="n">
        <x:v>3</x:v>
      </x:c>
      <x:c r="R422" s="83" t="str">
        <x:v>B</x:v>
      </x:c>
      <x:c r="S422" s="83" t="str">
        <x:v>Approved</x:v>
      </x:c>
      <x:c r="T422" s="83" t="str">
        <x:v>Active</x:v>
      </x:c>
      <x:c r="U422" s="83" t="n">
        <x:v>1</x:v>
      </x:c>
      <x:c r="V422" s="83" t="str">
        <x:v>LCSW-ALT-021</x:v>
      </x:c>
      <x:c r="W422" s="83" t="str">
        <x:v>No additional flag</x:v>
      </x:c>
      <x:c r="X422" s="83" t="str">
        <x:v>No structural flag</x:v>
      </x:c>
      <x:c r="Y422" s="83" t="str">
        <x:v>Not Yet Reviewed</x:v>
      </x:c>
      <x:c r="Z422" s="83" t="str">
        <x:v>CTA LCSW WB6; ASWB 2026 Clinical Content Area II</x:v>
      </x:c>
      <x:c r="AA422" s="83" t="str">
        <x:v>CTA_LCSW_2026_Comprehensive_Simulation_Form_B_Answer_Key_and_Detailed_Rationales_v1.0.docx</x:v>
      </x:c>
      <x:c r="AB422" s="83" t="str">
        <x:v>1.0</x:v>
      </x:c>
      <x:c r="AC422" s="102"/>
      <x:c r="AD422" s="102" t="n">
        <x:v>46228</x:v>
      </x:c>
      <x:c r="AE422" s="83" t="str">
        <x:v>Approved for Form B</x:v>
      </x:c>
      <x:c r="AF422" s="89" t="str">
        <x:v>Form B only; paired alternate retained on the other comprehensive form</x:v>
      </x:c>
    </x:row>
    <x:row r="423">
      <x:c r="A423" s="88" t="str">
        <x:v>CTA-LCSW-MQB-0422</x:v>
      </x:c>
      <x:c r="B423" s="83" t="str">
        <x:v>LCSW-MQB-FB-IP-023</x:v>
      </x:c>
      <x:c r="C423" s="83" t="str">
        <x:v>LCSW</x:v>
      </x:c>
      <x:c r="D423" s="83" t="str">
        <x:v>Comprehensive Simulation</x:v>
      </x:c>
      <x:c r="E423" s="83"/>
      <x:c r="F423" s="83"/>
      <x:c r="G423" s="83" t="str">
        <x:v>Form B</x:v>
      </x:c>
      <x:c r="H423" s="83" t="n">
        <x:v>96</x:v>
      </x:c>
      <x:c r="I423" s="83" t="str">
        <x:v>Scored-Style</x:v>
      </x:c>
      <x:c r="J423" s="83" t="str">
        <x:v>III. Intervention and Practice</x:v>
      </x:c>
      <x:c r="K423" s="83" t="str">
        <x:v>Substance harm reduction</x:v>
      </x:c>
      <x:c r="L423" s="83" t="str"/>
      <x:c r="M423" s="83" t="str">
        <x:v>Moderate</x:v>
      </x:c>
      <x:c r="N423" s="83" t="str">
        <x:v>Moderate</x:v>
      </x:c>
      <x:c r="O423" s="83" t="str">
        <x:v>Scenario-based reasoning</x:v>
      </x:c>
      <x:c r="P423" s="83" t="str">
        <x:v>Scenario-Based</x:v>
      </x:c>
      <x:c r="Q423" s="83" t="n">
        <x:v>4</x:v>
      </x:c>
      <x:c r="R423" s="83" t="str">
        <x:v>A</x:v>
      </x:c>
      <x:c r="S423" s="83" t="str">
        <x:v>Approved</x:v>
      </x:c>
      <x:c r="T423" s="83" t="str">
        <x:v>Active</x:v>
      </x:c>
      <x:c r="U423" s="83" t="n">
        <x:v>1</x:v>
      </x:c>
      <x:c r="V423" s="83" t="str">
        <x:v>LCSW-ALT-062</x:v>
      </x:c>
      <x:c r="W423" s="83" t="str">
        <x:v>No additional flag</x:v>
      </x:c>
      <x:c r="X423" s="83" t="str">
        <x:v>No structural flag</x:v>
      </x:c>
      <x:c r="Y423" s="83" t="str">
        <x:v>Not Yet Reviewed</x:v>
      </x:c>
      <x:c r="Z423" s="83" t="str">
        <x:v>CTA LCSW WB8–WB11; ASWB 2026 Clinical Content Area III</x:v>
      </x:c>
      <x:c r="AA423" s="83" t="str">
        <x:v>CTA_LCSW_2026_Comprehensive_Simulation_Form_B_Answer_Key_and_Detailed_Rationales_v1.0.docx</x:v>
      </x:c>
      <x:c r="AB423" s="83" t="str">
        <x:v>1.0</x:v>
      </x:c>
      <x:c r="AC423" s="102"/>
      <x:c r="AD423" s="102" t="n">
        <x:v>46228</x:v>
      </x:c>
      <x:c r="AE423" s="83" t="str">
        <x:v>Approved for Form B</x:v>
      </x:c>
      <x:c r="AF423" s="89" t="str">
        <x:v>Form B only; paired alternate retained on the other comprehensive form</x:v>
      </x:c>
    </x:row>
    <x:row r="424">
      <x:c r="A424" s="88" t="str">
        <x:v>CTA-LCSW-MQB-0423</x:v>
      </x:c>
      <x:c r="B424" s="83" t="str">
        <x:v>LCSW-MQB-FB-VE-006</x:v>
      </x:c>
      <x:c r="C424" s="83" t="str">
        <x:v>LCSW</x:v>
      </x:c>
      <x:c r="D424" s="83" t="str">
        <x:v>Comprehensive Simulation</x:v>
      </x:c>
      <x:c r="E424" s="83"/>
      <x:c r="F424" s="83"/>
      <x:c r="G424" s="83" t="str">
        <x:v>Form B</x:v>
      </x:c>
      <x:c r="H424" s="83" t="n">
        <x:v>97</x:v>
      </x:c>
      <x:c r="I424" s="83" t="str">
        <x:v>Scored-Style</x:v>
      </x:c>
      <x:c r="J424" s="83" t="str">
        <x:v>I. Values and Ethics</x:v>
      </x:c>
      <x:c r="K424" s="83" t="str">
        <x:v>Client-defined goals</x:v>
      </x:c>
      <x:c r="L424" s="83" t="str"/>
      <x:c r="M424" s="83" t="str">
        <x:v>Easy</x:v>
      </x:c>
      <x:c r="N424" s="83" t="str">
        <x:v>Easy</x:v>
      </x:c>
      <x:c r="O424" s="83" t="str">
        <x:v>Application</x:v>
      </x:c>
      <x:c r="P424" s="83" t="str">
        <x:v>Application</x:v>
      </x:c>
      <x:c r="Q424" s="83" t="n">
        <x:v>3</x:v>
      </x:c>
      <x:c r="R424" s="83" t="str">
        <x:v>C</x:v>
      </x:c>
      <x:c r="S424" s="83" t="str">
        <x:v>Approved</x:v>
      </x:c>
      <x:c r="T424" s="83" t="str">
        <x:v>Active</x:v>
      </x:c>
      <x:c r="U424" s="83" t="n">
        <x:v>1</x:v>
      </x:c>
      <x:c r="V424" s="83" t="str">
        <x:v>LCSW-ALT-084</x:v>
      </x:c>
      <x:c r="W424" s="83" t="str">
        <x:v>No additional flag</x:v>
      </x:c>
      <x:c r="X424" s="83" t="str">
        <x:v>No structural flag</x:v>
      </x:c>
      <x:c r="Y424" s="83" t="str">
        <x:v>Not Yet Reviewed</x:v>
      </x:c>
      <x:c r="Z424" s="83" t="str">
        <x:v>CTA LCSW WB2; ASWB 2026 Clinical Content Area I</x:v>
      </x:c>
      <x:c r="AA424" s="83" t="str">
        <x:v>CTA_LCSW_2026_Comprehensive_Simulation_Form_B_Answer_Key_and_Detailed_Rationales_v1.0.docx</x:v>
      </x:c>
      <x:c r="AB424" s="83" t="str">
        <x:v>1.0</x:v>
      </x:c>
      <x:c r="AC424" s="102"/>
      <x:c r="AD424" s="102" t="n">
        <x:v>46228</x:v>
      </x:c>
      <x:c r="AE424" s="83" t="str">
        <x:v>Approved for Form B</x:v>
      </x:c>
      <x:c r="AF424" s="89" t="str">
        <x:v>Form B only; paired alternate retained on the other comprehensive form</x:v>
      </x:c>
    </x:row>
    <x:row r="425">
      <x:c r="A425" s="88" t="str">
        <x:v>CTA-LCSW-MQB-0424</x:v>
      </x:c>
      <x:c r="B425" s="83" t="str">
        <x:v>LCSW-MQB-FB-IP-004</x:v>
      </x:c>
      <x:c r="C425" s="83" t="str">
        <x:v>LCSW</x:v>
      </x:c>
      <x:c r="D425" s="83" t="str">
        <x:v>Comprehensive Simulation</x:v>
      </x:c>
      <x:c r="E425" s="83"/>
      <x:c r="F425" s="83"/>
      <x:c r="G425" s="83" t="str">
        <x:v>Form B</x:v>
      </x:c>
      <x:c r="H425" s="83" t="n">
        <x:v>98</x:v>
      </x:c>
      <x:c r="I425" s="83" t="str">
        <x:v>Scored-Style</x:v>
      </x:c>
      <x:c r="J425" s="83" t="str">
        <x:v>III. Intervention and Practice</x:v>
      </x:c>
      <x:c r="K425" s="83" t="str">
        <x:v>Behavioral activation</x:v>
      </x:c>
      <x:c r="L425" s="83" t="str"/>
      <x:c r="M425" s="83" t="str">
        <x:v>Easy</x:v>
      </x:c>
      <x:c r="N425" s="83" t="str">
        <x:v>Easy</x:v>
      </x:c>
      <x:c r="O425" s="83" t="str">
        <x:v>Application</x:v>
      </x:c>
      <x:c r="P425" s="83" t="str">
        <x:v>Application</x:v>
      </x:c>
      <x:c r="Q425" s="83" t="n">
        <x:v>3</x:v>
      </x:c>
      <x:c r="R425" s="83" t="str">
        <x:v>C</x:v>
      </x:c>
      <x:c r="S425" s="83" t="str">
        <x:v>Approved</x:v>
      </x:c>
      <x:c r="T425" s="83" t="str">
        <x:v>Active</x:v>
      </x:c>
      <x:c r="U425" s="83" t="n">
        <x:v>1</x:v>
      </x:c>
      <x:c r="V425" s="83" t="str">
        <x:v>LCSW-ALT-043</x:v>
      </x:c>
      <x:c r="W425" s="83" t="str">
        <x:v>No additional flag</x:v>
      </x:c>
      <x:c r="X425" s="83" t="str">
        <x:v>No structural flag</x:v>
      </x:c>
      <x:c r="Y425" s="83" t="str">
        <x:v>Not Yet Reviewed</x:v>
      </x:c>
      <x:c r="Z425" s="83" t="str">
        <x:v>CTA LCSW WB8–WB11; ASWB 2026 Clinical Content Area III</x:v>
      </x:c>
      <x:c r="AA425" s="83" t="str">
        <x:v>CTA_LCSW_2026_Comprehensive_Simulation_Form_B_Answer_Key_and_Detailed_Rationales_v1.0.docx</x:v>
      </x:c>
      <x:c r="AB425" s="83" t="str">
        <x:v>1.0</x:v>
      </x:c>
      <x:c r="AC425" s="102"/>
      <x:c r="AD425" s="102" t="n">
        <x:v>46228</x:v>
      </x:c>
      <x:c r="AE425" s="83" t="str">
        <x:v>Approved for Form B</x:v>
      </x:c>
      <x:c r="AF425" s="89" t="str">
        <x:v>Form B only; paired alternate retained on the other comprehensive form</x:v>
      </x:c>
    </x:row>
    <x:row r="426">
      <x:c r="A426" s="88" t="str">
        <x:v>CTA-LCSW-MQB-0425</x:v>
      </x:c>
      <x:c r="B426" s="83" t="str">
        <x:v>LCSW-MQB-FB-VE-037</x:v>
      </x:c>
      <x:c r="C426" s="83" t="str">
        <x:v>LCSW</x:v>
      </x:c>
      <x:c r="D426" s="83" t="str">
        <x:v>Comprehensive Simulation</x:v>
      </x:c>
      <x:c r="E426" s="83"/>
      <x:c r="F426" s="83"/>
      <x:c r="G426" s="83" t="str">
        <x:v>Form B</x:v>
      </x:c>
      <x:c r="H426" s="83" t="n">
        <x:v>99</x:v>
      </x:c>
      <x:c r="I426" s="83" t="str">
        <x:v>Scored-Style</x:v>
      </x:c>
      <x:c r="J426" s="83" t="str">
        <x:v>I. Values and Ethics</x:v>
      </x:c>
      <x:c r="K426" s="83" t="str">
        <x:v>Colleague misconduct</x:v>
      </x:c>
      <x:c r="L426" s="83" t="str"/>
      <x:c r="M426" s="83" t="str">
        <x:v>Difficult</x:v>
      </x:c>
      <x:c r="N426" s="83" t="str">
        <x:v>Difficult</x:v>
      </x:c>
      <x:c r="O426" s="83" t="str">
        <x:v>Scenario-based reasoning</x:v>
      </x:c>
      <x:c r="P426" s="83" t="str">
        <x:v>Scenario-Based</x:v>
      </x:c>
      <x:c r="Q426" s="83" t="n">
        <x:v>4</x:v>
      </x:c>
      <x:c r="R426" s="83" t="str">
        <x:v>D</x:v>
      </x:c>
      <x:c r="S426" s="83" t="str">
        <x:v>Approved</x:v>
      </x:c>
      <x:c r="T426" s="83" t="str">
        <x:v>Active</x:v>
      </x:c>
      <x:c r="U426" s="83" t="n">
        <x:v>1</x:v>
      </x:c>
      <x:c r="V426" s="83" t="str">
        <x:v>LCSW-ALT-115</x:v>
      </x:c>
      <x:c r="W426" s="83" t="str">
        <x:v>No additional flag</x:v>
      </x:c>
      <x:c r="X426" s="83" t="str">
        <x:v>No structural flag</x:v>
      </x:c>
      <x:c r="Y426" s="83" t="str">
        <x:v>Not Yet Reviewed</x:v>
      </x:c>
      <x:c r="Z426" s="83" t="str">
        <x:v>CTA LCSW WB2; CTA LCSW WB12; ASWB 2026 Clinical Content Area I</x:v>
      </x:c>
      <x:c r="AA426" s="83" t="str">
        <x:v>CTA_LCSW_2026_Comprehensive_Simulation_Form_B_Answer_Key_and_Detailed_Rationales_v1.0.docx</x:v>
      </x:c>
      <x:c r="AB426" s="83" t="str">
        <x:v>1.0</x:v>
      </x:c>
      <x:c r="AC426" s="102"/>
      <x:c r="AD426" s="102" t="n">
        <x:v>46228</x:v>
      </x:c>
      <x:c r="AE426" s="83" t="str">
        <x:v>Approved for Form B</x:v>
      </x:c>
      <x:c r="AF426" s="89" t="str">
        <x:v>Form B only; paired alternate retained on the other comprehensive form</x:v>
      </x:c>
    </x:row>
    <x:row r="427">
      <x:c r="A427" s="88" t="str">
        <x:v>CTA-LCSW-MQB-0426</x:v>
      </x:c>
      <x:c r="B427" s="83" t="str">
        <x:v>LCSW-MQB-FB-IP-019</x:v>
      </x:c>
      <x:c r="C427" s="83" t="str">
        <x:v>LCSW</x:v>
      </x:c>
      <x:c r="D427" s="83" t="str">
        <x:v>Comprehensive Simulation</x:v>
      </x:c>
      <x:c r="E427" s="83"/>
      <x:c r="F427" s="83"/>
      <x:c r="G427" s="83" t="str">
        <x:v>Form B</x:v>
      </x:c>
      <x:c r="H427" s="83" t="n">
        <x:v>100</x:v>
      </x:c>
      <x:c r="I427" s="83" t="str">
        <x:v>Scored-Style</x:v>
      </x:c>
      <x:c r="J427" s="83" t="str">
        <x:v>III. Intervention and Practice</x:v>
      </x:c>
      <x:c r="K427" s="83" t="str">
        <x:v>Crisis de-escalation</x:v>
      </x:c>
      <x:c r="L427" s="83" t="str"/>
      <x:c r="M427" s="83" t="str">
        <x:v>Moderate</x:v>
      </x:c>
      <x:c r="N427" s="83" t="str">
        <x:v>Moderate</x:v>
      </x:c>
      <x:c r="O427" s="83" t="str">
        <x:v>Scenario-based reasoning</x:v>
      </x:c>
      <x:c r="P427" s="83" t="str">
        <x:v>Scenario-Based</x:v>
      </x:c>
      <x:c r="Q427" s="83" t="n">
        <x:v>3</x:v>
      </x:c>
      <x:c r="R427" s="83" t="str">
        <x:v>C</x:v>
      </x:c>
      <x:c r="S427" s="83" t="str">
        <x:v>Approved</x:v>
      </x:c>
      <x:c r="T427" s="83" t="str">
        <x:v>Active</x:v>
      </x:c>
      <x:c r="U427" s="83" t="n">
        <x:v>1</x:v>
      </x:c>
      <x:c r="V427" s="83" t="str">
        <x:v>LCSW-ALT-058</x:v>
      </x:c>
      <x:c r="W427" s="83" t="str">
        <x:v>No additional flag</x:v>
      </x:c>
      <x:c r="X427" s="83" t="str">
        <x:v>No structural flag</x:v>
      </x:c>
      <x:c r="Y427" s="83" t="str">
        <x:v>Not Yet Reviewed</x:v>
      </x:c>
      <x:c r="Z427" s="83" t="str">
        <x:v>CTA LCSW WB8–WB11; ASWB 2026 Clinical Content Area III</x:v>
      </x:c>
      <x:c r="AA427" s="83" t="str">
        <x:v>CTA_LCSW_2026_Comprehensive_Simulation_Form_B_Answer_Key_and_Detailed_Rationales_v1.0.docx</x:v>
      </x:c>
      <x:c r="AB427" s="83" t="str">
        <x:v>1.0</x:v>
      </x:c>
      <x:c r="AC427" s="102"/>
      <x:c r="AD427" s="102" t="n">
        <x:v>46228</x:v>
      </x:c>
      <x:c r="AE427" s="83" t="str">
        <x:v>Approved for Form B</x:v>
      </x:c>
      <x:c r="AF427" s="89" t="str">
        <x:v>Form B only; paired alternate retained on the other comprehensive form</x:v>
      </x:c>
    </x:row>
    <x:row r="428">
      <x:c r="A428" s="88" t="str">
        <x:v>CTA-LCSW-MQB-0427</x:v>
      </x:c>
      <x:c r="B428" s="83" t="str">
        <x:v>LCSW-MQB-FB-VE-016</x:v>
      </x:c>
      <x:c r="C428" s="83" t="str">
        <x:v>LCSW</x:v>
      </x:c>
      <x:c r="D428" s="83" t="str">
        <x:v>Comprehensive Simulation</x:v>
      </x:c>
      <x:c r="E428" s="83"/>
      <x:c r="F428" s="83"/>
      <x:c r="G428" s="83" t="str">
        <x:v>Form B</x:v>
      </x:c>
      <x:c r="H428" s="83" t="n">
        <x:v>101</x:v>
      </x:c>
      <x:c r="I428" s="83" t="str">
        <x:v>Scored-Style</x:v>
      </x:c>
      <x:c r="J428" s="83" t="str">
        <x:v>I. Values and Ethics</x:v>
      </x:c>
      <x:c r="K428" s="83" t="str">
        <x:v>Professional use of self</x:v>
      </x:c>
      <x:c r="L428" s="83" t="str"/>
      <x:c r="M428" s="83" t="str">
        <x:v>Moderate</x:v>
      </x:c>
      <x:c r="N428" s="83" t="str">
        <x:v>Moderate</x:v>
      </x:c>
      <x:c r="O428" s="83" t="str">
        <x:v>Application</x:v>
      </x:c>
      <x:c r="P428" s="83" t="str">
        <x:v>Application</x:v>
      </x:c>
      <x:c r="Q428" s="83" t="n">
        <x:v>3</x:v>
      </x:c>
      <x:c r="R428" s="83" t="str">
        <x:v>B</x:v>
      </x:c>
      <x:c r="S428" s="83" t="str">
        <x:v>Approved</x:v>
      </x:c>
      <x:c r="T428" s="83" t="str">
        <x:v>Active</x:v>
      </x:c>
      <x:c r="U428" s="83" t="n">
        <x:v>1</x:v>
      </x:c>
      <x:c r="V428" s="83" t="str">
        <x:v>LCSW-ALT-094</x:v>
      </x:c>
      <x:c r="W428" s="83" t="str">
        <x:v>No additional flag</x:v>
      </x:c>
      <x:c r="X428" s="83" t="str">
        <x:v>No structural flag</x:v>
      </x:c>
      <x:c r="Y428" s="83" t="str">
        <x:v>Not Yet Reviewed</x:v>
      </x:c>
      <x:c r="Z428" s="83" t="str">
        <x:v>CTA LCSW WB2; CTA LCSW WB12; ASWB 2026 Clinical Content Area I</x:v>
      </x:c>
      <x:c r="AA428" s="83" t="str">
        <x:v>CTA_LCSW_2026_Comprehensive_Simulation_Form_B_Answer_Key_and_Detailed_Rationales_v1.0.docx</x:v>
      </x:c>
      <x:c r="AB428" s="83" t="str">
        <x:v>1.0</x:v>
      </x:c>
      <x:c r="AC428" s="102"/>
      <x:c r="AD428" s="102" t="n">
        <x:v>46228</x:v>
      </x:c>
      <x:c r="AE428" s="83" t="str">
        <x:v>Approved for Form B</x:v>
      </x:c>
      <x:c r="AF428" s="89" t="str">
        <x:v>Form B only; paired alternate retained on the other comprehensive form</x:v>
      </x:c>
    </x:row>
    <x:row r="429">
      <x:c r="A429" s="88" t="str">
        <x:v>CTA-LCSW-MQB-0428</x:v>
      </x:c>
      <x:c r="B429" s="83" t="str">
        <x:v>LCSW-MQB-FB-AP-014</x:v>
      </x:c>
      <x:c r="C429" s="83" t="str">
        <x:v>LCSW</x:v>
      </x:c>
      <x:c r="D429" s="83" t="str">
        <x:v>Comprehensive Simulation</x:v>
      </x:c>
      <x:c r="E429" s="83"/>
      <x:c r="F429" s="83"/>
      <x:c r="G429" s="83" t="str">
        <x:v>Form B</x:v>
      </x:c>
      <x:c r="H429" s="83" t="n">
        <x:v>102</x:v>
      </x:c>
      <x:c r="I429" s="83" t="str">
        <x:v>Scored-Style</x:v>
      </x:c>
      <x:c r="J429" s="83" t="str">
        <x:v>II. Assessment and Planning</x:v>
      </x:c>
      <x:c r="K429" s="83" t="str">
        <x:v>Readiness for change</x:v>
      </x:c>
      <x:c r="L429" s="83" t="str"/>
      <x:c r="M429" s="83" t="str">
        <x:v>Moderate</x:v>
      </x:c>
      <x:c r="N429" s="83" t="str">
        <x:v>Moderate</x:v>
      </x:c>
      <x:c r="O429" s="83" t="str">
        <x:v>Application</x:v>
      </x:c>
      <x:c r="P429" s="83" t="str">
        <x:v>Application</x:v>
      </x:c>
      <x:c r="Q429" s="83" t="n">
        <x:v>3</x:v>
      </x:c>
      <x:c r="R429" s="83" t="str">
        <x:v>C</x:v>
      </x:c>
      <x:c r="S429" s="83" t="str">
        <x:v>Approved</x:v>
      </x:c>
      <x:c r="T429" s="83" t="str">
        <x:v>Active</x:v>
      </x:c>
      <x:c r="U429" s="83" t="n">
        <x:v>1</x:v>
      </x:c>
      <x:c r="V429" s="83" t="str">
        <x:v>LCSW-ALT-014</x:v>
      </x:c>
      <x:c r="W429" s="83" t="str">
        <x:v>No additional flag</x:v>
      </x:c>
      <x:c r="X429" s="83" t="str">
        <x:v>No structural flag</x:v>
      </x:c>
      <x:c r="Y429" s="83" t="str">
        <x:v>Not Yet Reviewed</x:v>
      </x:c>
      <x:c r="Z429" s="83" t="str">
        <x:v>CTA LCSW WB3–WB7; ASWB 2026 Clinical Content Area II</x:v>
      </x:c>
      <x:c r="AA429" s="83" t="str">
        <x:v>CTA_LCSW_2026_Comprehensive_Simulation_Form_B_Answer_Key_and_Detailed_Rationales_v1.0.docx</x:v>
      </x:c>
      <x:c r="AB429" s="83" t="str">
        <x:v>1.0</x:v>
      </x:c>
      <x:c r="AC429" s="102"/>
      <x:c r="AD429" s="102" t="n">
        <x:v>46228</x:v>
      </x:c>
      <x:c r="AE429" s="83" t="str">
        <x:v>Approved for Form B</x:v>
      </x:c>
      <x:c r="AF429" s="89" t="str">
        <x:v>Form B only; paired alternate retained on the other comprehensive form</x:v>
      </x:c>
    </x:row>
    <x:row r="430">
      <x:c r="A430" s="88" t="str">
        <x:v>CTA-LCSW-MQB-0429</x:v>
      </x:c>
      <x:c r="B430" s="83" t="str">
        <x:v>LCSW-MQB-FB-IP-035</x:v>
      </x:c>
      <x:c r="C430" s="83" t="str">
        <x:v>LCSW</x:v>
      </x:c>
      <x:c r="D430" s="83" t="str">
        <x:v>Comprehensive Simulation</x:v>
      </x:c>
      <x:c r="E430" s="83"/>
      <x:c r="F430" s="83"/>
      <x:c r="G430" s="83" t="str">
        <x:v>Form B</x:v>
      </x:c>
      <x:c r="H430" s="83" t="n">
        <x:v>103</x:v>
      </x:c>
      <x:c r="I430" s="83" t="str">
        <x:v>Scored-Style</x:v>
      </x:c>
      <x:c r="J430" s="83" t="str">
        <x:v>III. Intervention and Practice</x:v>
      </x:c>
      <x:c r="K430" s="83" t="str">
        <x:v>Family intervention and coercion</x:v>
      </x:c>
      <x:c r="L430" s="83" t="str"/>
      <x:c r="M430" s="83" t="str">
        <x:v>Difficult</x:v>
      </x:c>
      <x:c r="N430" s="83" t="str">
        <x:v>Difficult</x:v>
      </x:c>
      <x:c r="O430" s="83" t="str">
        <x:v>Integrated reasoning</x:v>
      </x:c>
      <x:c r="P430" s="83" t="str">
        <x:v>Integrated Clinical Reasoning</x:v>
      </x:c>
      <x:c r="Q430" s="83" t="n">
        <x:v>4</x:v>
      </x:c>
      <x:c r="R430" s="83" t="str">
        <x:v>A</x:v>
      </x:c>
      <x:c r="S430" s="83" t="str">
        <x:v>Approved</x:v>
      </x:c>
      <x:c r="T430" s="83" t="str">
        <x:v>Active</x:v>
      </x:c>
      <x:c r="U430" s="83" t="n">
        <x:v>1</x:v>
      </x:c>
      <x:c r="V430" s="83" t="str">
        <x:v>LCSW-ALT-074</x:v>
      </x:c>
      <x:c r="W430" s="83" t="str">
        <x:v>No additional flag</x:v>
      </x:c>
      <x:c r="X430" s="83" t="str">
        <x:v>No structural flag</x:v>
      </x:c>
      <x:c r="Y430" s="83" t="str">
        <x:v>Not Yet Reviewed</x:v>
      </x:c>
      <x:c r="Z430" s="83" t="str">
        <x:v>CTA LCSW WB8–WB11; ASWB 2026 Clinical Content Area III</x:v>
      </x:c>
      <x:c r="AA430" s="83" t="str">
        <x:v>CTA_LCSW_2026_Comprehensive_Simulation_Form_B_Answer_Key_and_Detailed_Rationales_v1.0.docx</x:v>
      </x:c>
      <x:c r="AB430" s="83" t="str">
        <x:v>1.0</x:v>
      </x:c>
      <x:c r="AC430" s="102"/>
      <x:c r="AD430" s="102" t="n">
        <x:v>46228</x:v>
      </x:c>
      <x:c r="AE430" s="83" t="str">
        <x:v>Approved for Form B</x:v>
      </x:c>
      <x:c r="AF430" s="89" t="str">
        <x:v>Form B only; paired alternate retained on the other comprehensive form</x:v>
      </x:c>
    </x:row>
    <x:row r="431">
      <x:c r="A431" s="88" t="str">
        <x:v>CTA-LCSW-MQB-0430</x:v>
      </x:c>
      <x:c r="B431" s="83" t="str">
        <x:v>LCSW-MQB-FB-IP-016</x:v>
      </x:c>
      <x:c r="C431" s="83" t="str">
        <x:v>LCSW</x:v>
      </x:c>
      <x:c r="D431" s="83" t="str">
        <x:v>Comprehensive Simulation</x:v>
      </x:c>
      <x:c r="E431" s="83"/>
      <x:c r="F431" s="83"/>
      <x:c r="G431" s="83" t="str">
        <x:v>Form B</x:v>
      </x:c>
      <x:c r="H431" s="83" t="n">
        <x:v>104</x:v>
      </x:c>
      <x:c r="I431" s="83" t="str">
        <x:v>Scored-Style</x:v>
      </x:c>
      <x:c r="J431" s="83" t="str">
        <x:v>III. Intervention and Practice</x:v>
      </x:c>
      <x:c r="K431" s="83" t="str">
        <x:v>Research literacy</x:v>
      </x:c>
      <x:c r="L431" s="83" t="str"/>
      <x:c r="M431" s="83" t="str">
        <x:v>Moderate</x:v>
      </x:c>
      <x:c r="N431" s="83" t="str">
        <x:v>Moderate</x:v>
      </x:c>
      <x:c r="O431" s="83" t="str">
        <x:v>Application</x:v>
      </x:c>
      <x:c r="P431" s="83" t="str">
        <x:v>Application</x:v>
      </x:c>
      <x:c r="Q431" s="83" t="n">
        <x:v>3</x:v>
      </x:c>
      <x:c r="R431" s="83" t="str">
        <x:v>A</x:v>
      </x:c>
      <x:c r="S431" s="83" t="str">
        <x:v>Approved</x:v>
      </x:c>
      <x:c r="T431" s="83" t="str">
        <x:v>Active</x:v>
      </x:c>
      <x:c r="U431" s="83" t="n">
        <x:v>1</x:v>
      </x:c>
      <x:c r="V431" s="83" t="str">
        <x:v>LCSW-ALT-055</x:v>
      </x:c>
      <x:c r="W431" s="83" t="str">
        <x:v>No additional flag</x:v>
      </x:c>
      <x:c r="X431" s="83" t="str">
        <x:v>No structural flag</x:v>
      </x:c>
      <x:c r="Y431" s="83" t="str">
        <x:v>Not Yet Reviewed</x:v>
      </x:c>
      <x:c r="Z431" s="83" t="str">
        <x:v>CTA LCSW WB10; CTA LCSW WB11; ASWB 2026 Clinical Content Area III</x:v>
      </x:c>
      <x:c r="AA431" s="83" t="str">
        <x:v>CTA_LCSW_2026_Comprehensive_Simulation_Form_B_Answer_Key_and_Detailed_Rationales_v1.0.docx</x:v>
      </x:c>
      <x:c r="AB431" s="83" t="str">
        <x:v>1.0</x:v>
      </x:c>
      <x:c r="AC431" s="102"/>
      <x:c r="AD431" s="102" t="n">
        <x:v>46228</x:v>
      </x:c>
      <x:c r="AE431" s="83" t="str">
        <x:v>Approved for Form B</x:v>
      </x:c>
      <x:c r="AF431" s="89" t="str">
        <x:v>Form B only; paired alternate retained on the other comprehensive form</x:v>
      </x:c>
    </x:row>
    <x:row r="432">
      <x:c r="A432" s="88" t="str">
        <x:v>CTA-LCSW-MQB-0431</x:v>
      </x:c>
      <x:c r="B432" s="83" t="str">
        <x:v>LCSW-MQB-FB-AP-006</x:v>
      </x:c>
      <x:c r="C432" s="83" t="str">
        <x:v>LCSW</x:v>
      </x:c>
      <x:c r="D432" s="83" t="str">
        <x:v>Comprehensive Simulation</x:v>
      </x:c>
      <x:c r="E432" s="83"/>
      <x:c r="F432" s="83"/>
      <x:c r="G432" s="83" t="str">
        <x:v>Form B</x:v>
      </x:c>
      <x:c r="H432" s="83" t="n">
        <x:v>105</x:v>
      </x:c>
      <x:c r="I432" s="83" t="str">
        <x:v>Scored-Style</x:v>
      </x:c>
      <x:c r="J432" s="83" t="str">
        <x:v>II. Assessment and Planning</x:v>
      </x:c>
      <x:c r="K432" s="83" t="str">
        <x:v>Mood and affect</x:v>
      </x:c>
      <x:c r="L432" s="83" t="str"/>
      <x:c r="M432" s="83" t="str">
        <x:v>Easy</x:v>
      </x:c>
      <x:c r="N432" s="83" t="str">
        <x:v>Easy</x:v>
      </x:c>
      <x:c r="O432" s="83" t="str">
        <x:v>Application</x:v>
      </x:c>
      <x:c r="P432" s="83" t="str">
        <x:v>Application</x:v>
      </x:c>
      <x:c r="Q432" s="83" t="n">
        <x:v>3</x:v>
      </x:c>
      <x:c r="R432" s="83" t="str">
        <x:v>C</x:v>
      </x:c>
      <x:c r="S432" s="83" t="str">
        <x:v>Approved</x:v>
      </x:c>
      <x:c r="T432" s="83" t="str">
        <x:v>Active</x:v>
      </x:c>
      <x:c r="U432" s="83" t="n">
        <x:v>1</x:v>
      </x:c>
      <x:c r="V432" s="83" t="str">
        <x:v>LCSW-ALT-006</x:v>
      </x:c>
      <x:c r="W432" s="83" t="str">
        <x:v>No additional flag</x:v>
      </x:c>
      <x:c r="X432" s="83" t="str">
        <x:v>No structural flag</x:v>
      </x:c>
      <x:c r="Y432" s="83" t="str">
        <x:v>Not Yet Reviewed</x:v>
      </x:c>
      <x:c r="Z432" s="83" t="str">
        <x:v>CTA LCSW WB3–WB7; ASWB 2026 Clinical Content Area II</x:v>
      </x:c>
      <x:c r="AA432" s="83" t="str">
        <x:v>CTA_LCSW_2026_Comprehensive_Simulation_Form_B_Answer_Key_and_Detailed_Rationales_v1.0.docx</x:v>
      </x:c>
      <x:c r="AB432" s="83" t="str">
        <x:v>1.0</x:v>
      </x:c>
      <x:c r="AC432" s="102"/>
      <x:c r="AD432" s="102" t="n">
        <x:v>46228</x:v>
      </x:c>
      <x:c r="AE432" s="83" t="str">
        <x:v>Approved for Form B</x:v>
      </x:c>
      <x:c r="AF432" s="89" t="str">
        <x:v>Form B only; paired alternate retained on the other comprehensive form</x:v>
      </x:c>
    </x:row>
    <x:row r="433">
      <x:c r="A433" s="88" t="str">
        <x:v>CTA-LCSW-MQB-0432</x:v>
      </x:c>
      <x:c r="B433" s="83" t="str">
        <x:v>LCSW-MQB-FB-IP-009</x:v>
      </x:c>
      <x:c r="C433" s="83" t="str">
        <x:v>LCSW</x:v>
      </x:c>
      <x:c r="D433" s="83" t="str">
        <x:v>Comprehensive Simulation</x:v>
      </x:c>
      <x:c r="E433" s="83"/>
      <x:c r="F433" s="83"/>
      <x:c r="G433" s="83" t="str">
        <x:v>Form B</x:v>
      </x:c>
      <x:c r="H433" s="83" t="n">
        <x:v>106</x:v>
      </x:c>
      <x:c r="I433" s="83" t="str">
        <x:v>Pretest-Style</x:v>
      </x:c>
      <x:c r="J433" s="83" t="str">
        <x:v>III. Intervention and Practice</x:v>
      </x:c>
      <x:c r="K433" s="83" t="str">
        <x:v>Advocacy</x:v>
      </x:c>
      <x:c r="L433" s="83" t="str"/>
      <x:c r="M433" s="83" t="str">
        <x:v>Easy</x:v>
      </x:c>
      <x:c r="N433" s="83" t="str">
        <x:v>Easy</x:v>
      </x:c>
      <x:c r="O433" s="83" t="str">
        <x:v>Application</x:v>
      </x:c>
      <x:c r="P433" s="83" t="str">
        <x:v>Application</x:v>
      </x:c>
      <x:c r="Q433" s="83" t="n">
        <x:v>3</x:v>
      </x:c>
      <x:c r="R433" s="83" t="str">
        <x:v>C</x:v>
      </x:c>
      <x:c r="S433" s="83" t="str">
        <x:v>Approved</x:v>
      </x:c>
      <x:c r="T433" s="83" t="str">
        <x:v>Active</x:v>
      </x:c>
      <x:c r="U433" s="83" t="n">
        <x:v>1</x:v>
      </x:c>
      <x:c r="V433" s="83" t="str">
        <x:v>LCSW-ALT-048</x:v>
      </x:c>
      <x:c r="W433" s="83" t="str">
        <x:v>No additional flag</x:v>
      </x:c>
      <x:c r="X433" s="83" t="str">
        <x:v>No structural flag</x:v>
      </x:c>
      <x:c r="Y433" s="83" t="str">
        <x:v>Not Yet Reviewed</x:v>
      </x:c>
      <x:c r="Z433" s="83" t="str">
        <x:v>CTA LCSW WB10; CTA LCSW WB11; ASWB 2026 Clinical Content Area III</x:v>
      </x:c>
      <x:c r="AA433" s="83" t="str">
        <x:v>CTA_LCSW_2026_Comprehensive_Simulation_Form_B_Answer_Key_and_Detailed_Rationales_v1.0.docx</x:v>
      </x:c>
      <x:c r="AB433" s="83" t="str">
        <x:v>1.0</x:v>
      </x:c>
      <x:c r="AC433" s="102"/>
      <x:c r="AD433" s="102" t="n">
        <x:v>46228</x:v>
      </x:c>
      <x:c r="AE433" s="83" t="str">
        <x:v>Approved for Form B</x:v>
      </x:c>
      <x:c r="AF433" s="89" t="str">
        <x:v>Form B only; paired alternate retained on the other comprehensive form</x:v>
      </x:c>
    </x:row>
    <x:row r="434">
      <x:c r="A434" s="88" t="str">
        <x:v>CTA-LCSW-MQB-0433</x:v>
      </x:c>
      <x:c r="B434" s="83" t="str">
        <x:v>LCSW-MQB-FB-AP-029</x:v>
      </x:c>
      <x:c r="C434" s="83" t="str">
        <x:v>LCSW</x:v>
      </x:c>
      <x:c r="D434" s="83" t="str">
        <x:v>Comprehensive Simulation</x:v>
      </x:c>
      <x:c r="E434" s="83"/>
      <x:c r="F434" s="83"/>
      <x:c r="G434" s="83" t="str">
        <x:v>Form B</x:v>
      </x:c>
      <x:c r="H434" s="83" t="n">
        <x:v>107</x:v>
      </x:c>
      <x:c r="I434" s="83" t="str">
        <x:v>Scored-Style</x:v>
      </x:c>
      <x:c r="J434" s="83" t="str">
        <x:v>II. Assessment and Planning</x:v>
      </x:c>
      <x:c r="K434" s="83" t="str">
        <x:v>Older-adult exploitation</x:v>
      </x:c>
      <x:c r="L434" s="83" t="str"/>
      <x:c r="M434" s="83" t="str">
        <x:v>Moderate</x:v>
      </x:c>
      <x:c r="N434" s="83" t="str">
        <x:v>Moderate</x:v>
      </x:c>
      <x:c r="O434" s="83" t="str">
        <x:v>Scenario-based reasoning</x:v>
      </x:c>
      <x:c r="P434" s="83" t="str">
        <x:v>Scenario-Based</x:v>
      </x:c>
      <x:c r="Q434" s="83" t="n">
        <x:v>4</x:v>
      </x:c>
      <x:c r="R434" s="83" t="str">
        <x:v>D</x:v>
      </x:c>
      <x:c r="S434" s="83" t="str">
        <x:v>Approved</x:v>
      </x:c>
      <x:c r="T434" s="83" t="str">
        <x:v>Active</x:v>
      </x:c>
      <x:c r="U434" s="83" t="n">
        <x:v>1</x:v>
      </x:c>
      <x:c r="V434" s="83" t="str">
        <x:v>LCSW-ALT-029</x:v>
      </x:c>
      <x:c r="W434" s="83" t="str">
        <x:v>No additional flag</x:v>
      </x:c>
      <x:c r="X434" s="83" t="str">
        <x:v>No structural flag</x:v>
      </x:c>
      <x:c r="Y434" s="83" t="str">
        <x:v>Not Yet Reviewed</x:v>
      </x:c>
      <x:c r="Z434" s="83" t="str">
        <x:v>CTA LCSW WB6; ASWB 2026 Clinical Content Area II</x:v>
      </x:c>
      <x:c r="AA434" s="83" t="str">
        <x:v>CTA_LCSW_2026_Comprehensive_Simulation_Form_B_Answer_Key_and_Detailed_Rationales_v1.0.docx</x:v>
      </x:c>
      <x:c r="AB434" s="83" t="str">
        <x:v>1.0</x:v>
      </x:c>
      <x:c r="AC434" s="102"/>
      <x:c r="AD434" s="102" t="n">
        <x:v>46228</x:v>
      </x:c>
      <x:c r="AE434" s="83" t="str">
        <x:v>Approved for Form B</x:v>
      </x:c>
      <x:c r="AF434" s="89" t="str">
        <x:v>Form B only; paired alternate retained on the other comprehensive form</x:v>
      </x:c>
    </x:row>
    <x:row r="435">
      <x:c r="A435" s="88" t="str">
        <x:v>CTA-LCSW-MQB-0434</x:v>
      </x:c>
      <x:c r="B435" s="83" t="str">
        <x:v>LCSW-MQB-FB-VE-027</x:v>
      </x:c>
      <x:c r="C435" s="83" t="str">
        <x:v>LCSW</x:v>
      </x:c>
      <x:c r="D435" s="83" t="str">
        <x:v>Comprehensive Simulation</x:v>
      </x:c>
      <x:c r="E435" s="83"/>
      <x:c r="F435" s="83"/>
      <x:c r="G435" s="83" t="str">
        <x:v>Form B</x:v>
      </x:c>
      <x:c r="H435" s="83" t="n">
        <x:v>108</x:v>
      </x:c>
      <x:c r="I435" s="83" t="str">
        <x:v>Scored-Style</x:v>
      </x:c>
      <x:c r="J435" s="83" t="str">
        <x:v>I. Values and Ethics</x:v>
      </x:c>
      <x:c r="K435" s="83" t="str">
        <x:v>Subpoena response</x:v>
      </x:c>
      <x:c r="L435" s="83" t="str"/>
      <x:c r="M435" s="83" t="str">
        <x:v>Moderate</x:v>
      </x:c>
      <x:c r="N435" s="83" t="str">
        <x:v>Moderate</x:v>
      </x:c>
      <x:c r="O435" s="83" t="str">
        <x:v>Scenario-based reasoning</x:v>
      </x:c>
      <x:c r="P435" s="83" t="str">
        <x:v>Scenario-Based</x:v>
      </x:c>
      <x:c r="Q435" s="83" t="n">
        <x:v>3</x:v>
      </x:c>
      <x:c r="R435" s="83" t="str">
        <x:v>A</x:v>
      </x:c>
      <x:c r="S435" s="83" t="str">
        <x:v>Approved</x:v>
      </x:c>
      <x:c r="T435" s="83" t="str">
        <x:v>Active</x:v>
      </x:c>
      <x:c r="U435" s="83" t="n">
        <x:v>1</x:v>
      </x:c>
      <x:c r="V435" s="83" t="str">
        <x:v>LCSW-ALT-105</x:v>
      </x:c>
      <x:c r="W435" s="83" t="str">
        <x:v>No additional flag</x:v>
      </x:c>
      <x:c r="X435" s="83" t="str">
        <x:v>No structural flag</x:v>
      </x:c>
      <x:c r="Y435" s="83" t="str">
        <x:v>Not Yet Reviewed</x:v>
      </x:c>
      <x:c r="Z435" s="83" t="str">
        <x:v>CTA LCSW WB2; CTA LCSW WB12; ASWB 2026 Clinical Content Area I</x:v>
      </x:c>
      <x:c r="AA435" s="83" t="str">
        <x:v>CTA_LCSW_2026_Comprehensive_Simulation_Form_B_Answer_Key_and_Detailed_Rationales_v1.0.docx</x:v>
      </x:c>
      <x:c r="AB435" s="83" t="str">
        <x:v>1.0</x:v>
      </x:c>
      <x:c r="AC435" s="102"/>
      <x:c r="AD435" s="102" t="n">
        <x:v>46228</x:v>
      </x:c>
      <x:c r="AE435" s="83" t="str">
        <x:v>Approved for Form B</x:v>
      </x:c>
      <x:c r="AF435" s="89" t="str">
        <x:v>Form B only; paired alternate retained on the other comprehensive form</x:v>
      </x:c>
    </x:row>
    <x:row r="436">
      <x:c r="A436" s="88" t="str">
        <x:v>CTA-LCSW-MQB-0435</x:v>
      </x:c>
      <x:c r="B436" s="83" t="str">
        <x:v>LCSW-MQB-FB-IP-030</x:v>
      </x:c>
      <x:c r="C436" s="83" t="str">
        <x:v>LCSW</x:v>
      </x:c>
      <x:c r="D436" s="83" t="str">
        <x:v>Comprehensive Simulation</x:v>
      </x:c>
      <x:c r="E436" s="83"/>
      <x:c r="F436" s="83"/>
      <x:c r="G436" s="83" t="str">
        <x:v>Form B</x:v>
      </x:c>
      <x:c r="H436" s="83" t="n">
        <x:v>109</x:v>
      </x:c>
      <x:c r="I436" s="83" t="str">
        <x:v>Scored-Style</x:v>
      </x:c>
      <x:c r="J436" s="83" t="str">
        <x:v>III. Intervention and Practice</x:v>
      </x:c>
      <x:c r="K436" s="83" t="str">
        <x:v>Caregiver support</x:v>
      </x:c>
      <x:c r="L436" s="83" t="str"/>
      <x:c r="M436" s="83" t="str">
        <x:v>Difficult</x:v>
      </x:c>
      <x:c r="N436" s="83" t="str">
        <x:v>Difficult</x:v>
      </x:c>
      <x:c r="O436" s="83" t="str">
        <x:v>Scenario-based reasoning</x:v>
      </x:c>
      <x:c r="P436" s="83" t="str">
        <x:v>Scenario-Based</x:v>
      </x:c>
      <x:c r="Q436" s="83" t="n">
        <x:v>4</x:v>
      </x:c>
      <x:c r="R436" s="83" t="str">
        <x:v>D</x:v>
      </x:c>
      <x:c r="S436" s="83" t="str">
        <x:v>Approved</x:v>
      </x:c>
      <x:c r="T436" s="83" t="str">
        <x:v>Active</x:v>
      </x:c>
      <x:c r="U436" s="83" t="n">
        <x:v>1</x:v>
      </x:c>
      <x:c r="V436" s="83" t="str">
        <x:v>LCSW-ALT-069</x:v>
      </x:c>
      <x:c r="W436" s="83" t="str">
        <x:v>No additional flag</x:v>
      </x:c>
      <x:c r="X436" s="83" t="str">
        <x:v>No structural flag</x:v>
      </x:c>
      <x:c r="Y436" s="83" t="str">
        <x:v>Not Yet Reviewed</x:v>
      </x:c>
      <x:c r="Z436" s="83" t="str">
        <x:v>CTA LCSW WB8–WB11; ASWB 2026 Clinical Content Area III</x:v>
      </x:c>
      <x:c r="AA436" s="83" t="str">
        <x:v>CTA_LCSW_2026_Comprehensive_Simulation_Form_B_Answer_Key_and_Detailed_Rationales_v1.0.docx</x:v>
      </x:c>
      <x:c r="AB436" s="83" t="str">
        <x:v>1.0</x:v>
      </x:c>
      <x:c r="AC436" s="102"/>
      <x:c r="AD436" s="102" t="n">
        <x:v>46228</x:v>
      </x:c>
      <x:c r="AE436" s="83" t="str">
        <x:v>Approved for Form B</x:v>
      </x:c>
      <x:c r="AF436" s="89" t="str">
        <x:v>Form B only; paired alternate retained on the other comprehensive form</x:v>
      </x:c>
    </x:row>
    <x:row r="437">
      <x:c r="A437" s="88" t="str">
        <x:v>CTA-LCSW-MQB-0436</x:v>
      </x:c>
      <x:c r="B437" s="83" t="str">
        <x:v>LCSW-MQB-FB-AP-003</x:v>
      </x:c>
      <x:c r="C437" s="83" t="str">
        <x:v>LCSW</x:v>
      </x:c>
      <x:c r="D437" s="83" t="str">
        <x:v>Comprehensive Simulation</x:v>
      </x:c>
      <x:c r="E437" s="83"/>
      <x:c r="F437" s="83"/>
      <x:c r="G437" s="83" t="str">
        <x:v>Form B</x:v>
      </x:c>
      <x:c r="H437" s="83" t="n">
        <x:v>110</x:v>
      </x:c>
      <x:c r="I437" s="83" t="str">
        <x:v>Scored-Style</x:v>
      </x:c>
      <x:c r="J437" s="83" t="str">
        <x:v>II. Assessment and Planning</x:v>
      </x:c>
      <x:c r="K437" s="83" t="str">
        <x:v>Protective factors</x:v>
      </x:c>
      <x:c r="L437" s="83" t="str"/>
      <x:c r="M437" s="83" t="str">
        <x:v>Easy</x:v>
      </x:c>
      <x:c r="N437" s="83" t="str">
        <x:v>Easy</x:v>
      </x:c>
      <x:c r="O437" s="83" t="str">
        <x:v>Direct recognition</x:v>
      </x:c>
      <x:c r="P437" s="83" t="str">
        <x:v>Knowledge &amp; Recall</x:v>
      </x:c>
      <x:c r="Q437" s="83" t="n">
        <x:v>3</x:v>
      </x:c>
      <x:c r="R437" s="83" t="str">
        <x:v>B</x:v>
      </x:c>
      <x:c r="S437" s="83" t="str">
        <x:v>Approved</x:v>
      </x:c>
      <x:c r="T437" s="83" t="str">
        <x:v>Active</x:v>
      </x:c>
      <x:c r="U437" s="83" t="n">
        <x:v>1</x:v>
      </x:c>
      <x:c r="V437" s="83" t="str">
        <x:v>LCSW-ALT-003</x:v>
      </x:c>
      <x:c r="W437" s="83" t="str">
        <x:v>No additional flag</x:v>
      </x:c>
      <x:c r="X437" s="83" t="str">
        <x:v>No structural flag</x:v>
      </x:c>
      <x:c r="Y437" s="83" t="str">
        <x:v>Not Yet Reviewed</x:v>
      </x:c>
      <x:c r="Z437" s="83" t="str">
        <x:v>CTA LCSW WB6; ASWB 2026 Clinical Content Area II</x:v>
      </x:c>
      <x:c r="AA437" s="83" t="str">
        <x:v>CTA_LCSW_2026_Comprehensive_Simulation_Form_B_Answer_Key_and_Detailed_Rationales_v1.0.docx</x:v>
      </x:c>
      <x:c r="AB437" s="83" t="str">
        <x:v>1.0</x:v>
      </x:c>
      <x:c r="AC437" s="102"/>
      <x:c r="AD437" s="102" t="n">
        <x:v>46228</x:v>
      </x:c>
      <x:c r="AE437" s="83" t="str">
        <x:v>Approved for Form B</x:v>
      </x:c>
      <x:c r="AF437" s="89" t="str">
        <x:v>Form B only; paired alternate retained on the other comprehensive form</x:v>
      </x:c>
    </x:row>
    <x:row r="438">
      <x:c r="A438" s="88" t="str">
        <x:v>CTA-LCSW-MQB-0437</x:v>
      </x:c>
      <x:c r="B438" s="83" t="str">
        <x:v>LCSW-MQB-FB-AP-032</x:v>
      </x:c>
      <x:c r="C438" s="83" t="str">
        <x:v>LCSW</x:v>
      </x:c>
      <x:c r="D438" s="83" t="str">
        <x:v>Comprehensive Simulation</x:v>
      </x:c>
      <x:c r="E438" s="83"/>
      <x:c r="F438" s="83"/>
      <x:c r="G438" s="83" t="str">
        <x:v>Form B</x:v>
      </x:c>
      <x:c r="H438" s="83" t="n">
        <x:v>111</x:v>
      </x:c>
      <x:c r="I438" s="83" t="str">
        <x:v>Scored-Style</x:v>
      </x:c>
      <x:c r="J438" s="83" t="str">
        <x:v>II. Assessment and Planning</x:v>
      </x:c>
      <x:c r="K438" s="83" t="str">
        <x:v>Service planning with limited resources</x:v>
      </x:c>
      <x:c r="L438" s="83" t="str"/>
      <x:c r="M438" s="83" t="str">
        <x:v>Difficult</x:v>
      </x:c>
      <x:c r="N438" s="83" t="str">
        <x:v>Difficult</x:v>
      </x:c>
      <x:c r="O438" s="83" t="str">
        <x:v>Scenario-based reasoning</x:v>
      </x:c>
      <x:c r="P438" s="83" t="str">
        <x:v>Scenario-Based</x:v>
      </x:c>
      <x:c r="Q438" s="83" t="n">
        <x:v>4</x:v>
      </x:c>
      <x:c r="R438" s="83" t="str">
        <x:v>B</x:v>
      </x:c>
      <x:c r="S438" s="83" t="str">
        <x:v>Approved</x:v>
      </x:c>
      <x:c r="T438" s="83" t="str">
        <x:v>Active</x:v>
      </x:c>
      <x:c r="U438" s="83" t="n">
        <x:v>1</x:v>
      </x:c>
      <x:c r="V438" s="83" t="str">
        <x:v>LCSW-ALT-032</x:v>
      </x:c>
      <x:c r="W438" s="83" t="str">
        <x:v>No additional flag</x:v>
      </x:c>
      <x:c r="X438" s="83" t="str">
        <x:v>No structural flag</x:v>
      </x:c>
      <x:c r="Y438" s="83" t="str">
        <x:v>Not Yet Reviewed</x:v>
      </x:c>
      <x:c r="Z438" s="83" t="str">
        <x:v>CTA LCSW WB3–WB7; ASWB 2026 Clinical Content Area II</x:v>
      </x:c>
      <x:c r="AA438" s="83" t="str">
        <x:v>CTA_LCSW_2026_Comprehensive_Simulation_Form_B_Answer_Key_and_Detailed_Rationales_v1.0.docx</x:v>
      </x:c>
      <x:c r="AB438" s="83" t="str">
        <x:v>1.0</x:v>
      </x:c>
      <x:c r="AC438" s="102"/>
      <x:c r="AD438" s="102" t="n">
        <x:v>46228</x:v>
      </x:c>
      <x:c r="AE438" s="83" t="str">
        <x:v>Approved for Form B</x:v>
      </x:c>
      <x:c r="AF438" s="89" t="str">
        <x:v>Form B only; paired alternate retained on the other comprehensive form</x:v>
      </x:c>
    </x:row>
    <x:row r="439">
      <x:c r="A439" s="88" t="str">
        <x:v>CTA-LCSW-MQB-0438</x:v>
      </x:c>
      <x:c r="B439" s="83" t="str">
        <x:v>LCSW-MQB-FB-VE-013</x:v>
      </x:c>
      <x:c r="C439" s="83" t="str">
        <x:v>LCSW</x:v>
      </x:c>
      <x:c r="D439" s="83" t="str">
        <x:v>Comprehensive Simulation</x:v>
      </x:c>
      <x:c r="E439" s="83"/>
      <x:c r="F439" s="83"/>
      <x:c r="G439" s="83" t="str">
        <x:v>Form B</x:v>
      </x:c>
      <x:c r="H439" s="83" t="n">
        <x:v>112</x:v>
      </x:c>
      <x:c r="I439" s="83" t="str">
        <x:v>Scored-Style</x:v>
      </x:c>
      <x:c r="J439" s="83" t="str">
        <x:v>I. Values and Ethics</x:v>
      </x:c>
      <x:c r="K439" s="83" t="str">
        <x:v>Mandated services</x:v>
      </x:c>
      <x:c r="L439" s="83" t="str"/>
      <x:c r="M439" s="83" t="str">
        <x:v>Moderate</x:v>
      </x:c>
      <x:c r="N439" s="83" t="str">
        <x:v>Moderate</x:v>
      </x:c>
      <x:c r="O439" s="83" t="str">
        <x:v>Application</x:v>
      </x:c>
      <x:c r="P439" s="83" t="str">
        <x:v>Application</x:v>
      </x:c>
      <x:c r="Q439" s="83" t="n">
        <x:v>3</x:v>
      </x:c>
      <x:c r="R439" s="83" t="str">
        <x:v>B</x:v>
      </x:c>
      <x:c r="S439" s="83" t="str">
        <x:v>Approved</x:v>
      </x:c>
      <x:c r="T439" s="83" t="str">
        <x:v>Active</x:v>
      </x:c>
      <x:c r="U439" s="83" t="n">
        <x:v>1</x:v>
      </x:c>
      <x:c r="V439" s="83" t="str">
        <x:v>LCSW-ALT-091</x:v>
      </x:c>
      <x:c r="W439" s="83" t="str">
        <x:v>No additional flag</x:v>
      </x:c>
      <x:c r="X439" s="83" t="str">
        <x:v>No structural flag</x:v>
      </x:c>
      <x:c r="Y439" s="83" t="str">
        <x:v>Not Yet Reviewed</x:v>
      </x:c>
      <x:c r="Z439" s="83" t="str">
        <x:v>CTA LCSW WB2; ASWB 2026 Clinical Content Area I</x:v>
      </x:c>
      <x:c r="AA439" s="83" t="str">
        <x:v>CTA_LCSW_2026_Comprehensive_Simulation_Form_B_Answer_Key_and_Detailed_Rationales_v1.0.docx</x:v>
      </x:c>
      <x:c r="AB439" s="83" t="str">
        <x:v>1.0</x:v>
      </x:c>
      <x:c r="AC439" s="102"/>
      <x:c r="AD439" s="102" t="n">
        <x:v>46228</x:v>
      </x:c>
      <x:c r="AE439" s="83" t="str">
        <x:v>Approved for Form B</x:v>
      </x:c>
      <x:c r="AF439" s="89" t="str">
        <x:v>Form B only; paired alternate retained on the other comprehensive form</x:v>
      </x:c>
    </x:row>
    <x:row r="440">
      <x:c r="A440" s="88" t="str">
        <x:v>CTA-LCSW-MQB-0439</x:v>
      </x:c>
      <x:c r="B440" s="83" t="str">
        <x:v>LCSW-MQB-FB-VE-021</x:v>
      </x:c>
      <x:c r="C440" s="83" t="str">
        <x:v>LCSW</x:v>
      </x:c>
      <x:c r="D440" s="83" t="str">
        <x:v>Comprehensive Simulation</x:v>
      </x:c>
      <x:c r="E440" s="83"/>
      <x:c r="F440" s="83"/>
      <x:c r="G440" s="83" t="str">
        <x:v>Form B</x:v>
      </x:c>
      <x:c r="H440" s="83" t="n">
        <x:v>113</x:v>
      </x:c>
      <x:c r="I440" s="83" t="str">
        <x:v>Scored-Style</x:v>
      </x:c>
      <x:c r="J440" s="83" t="str">
        <x:v>I. Values and Ethics</x:v>
      </x:c>
      <x:c r="K440" s="83" t="str">
        <x:v>Group confidentiality</x:v>
      </x:c>
      <x:c r="L440" s="83" t="str"/>
      <x:c r="M440" s="83" t="str">
        <x:v>Moderate</x:v>
      </x:c>
      <x:c r="N440" s="83" t="str">
        <x:v>Moderate</x:v>
      </x:c>
      <x:c r="O440" s="83" t="str">
        <x:v>Application</x:v>
      </x:c>
      <x:c r="P440" s="83" t="str">
        <x:v>Application</x:v>
      </x:c>
      <x:c r="Q440" s="83" t="n">
        <x:v>3</x:v>
      </x:c>
      <x:c r="R440" s="83" t="str">
        <x:v>A</x:v>
      </x:c>
      <x:c r="S440" s="83" t="str">
        <x:v>Approved</x:v>
      </x:c>
      <x:c r="T440" s="83" t="str">
        <x:v>Active</x:v>
      </x:c>
      <x:c r="U440" s="83" t="n">
        <x:v>1</x:v>
      </x:c>
      <x:c r="V440" s="83" t="str">
        <x:v>LCSW-ALT-099</x:v>
      </x:c>
      <x:c r="W440" s="83" t="str">
        <x:v>No additional flag</x:v>
      </x:c>
      <x:c r="X440" s="83" t="str">
        <x:v>No structural flag</x:v>
      </x:c>
      <x:c r="Y440" s="83" t="str">
        <x:v>Not Yet Reviewed</x:v>
      </x:c>
      <x:c r="Z440" s="83" t="str">
        <x:v>CTA LCSW WB2; ASWB 2026 Clinical Content Area I</x:v>
      </x:c>
      <x:c r="AA440" s="83" t="str">
        <x:v>CTA_LCSW_2026_Comprehensive_Simulation_Form_B_Answer_Key_and_Detailed_Rationales_v1.0.docx</x:v>
      </x:c>
      <x:c r="AB440" s="83" t="str">
        <x:v>1.0</x:v>
      </x:c>
      <x:c r="AC440" s="102"/>
      <x:c r="AD440" s="102" t="n">
        <x:v>46228</x:v>
      </x:c>
      <x:c r="AE440" s="83" t="str">
        <x:v>Approved for Form B</x:v>
      </x:c>
      <x:c r="AF440" s="89" t="str">
        <x:v>Form B only; paired alternate retained on the other comprehensive form</x:v>
      </x:c>
    </x:row>
    <x:row r="441">
      <x:c r="A441" s="88" t="str">
        <x:v>CTA-LCSW-MQB-0440</x:v>
      </x:c>
      <x:c r="B441" s="83" t="str">
        <x:v>LCSW-MQB-FB-AP-010</x:v>
      </x:c>
      <x:c r="C441" s="83" t="str">
        <x:v>LCSW</x:v>
      </x:c>
      <x:c r="D441" s="83" t="str">
        <x:v>Comprehensive Simulation</x:v>
      </x:c>
      <x:c r="E441" s="83"/>
      <x:c r="F441" s="83"/>
      <x:c r="G441" s="83" t="str">
        <x:v>Form B</x:v>
      </x:c>
      <x:c r="H441" s="83" t="n">
        <x:v>114</x:v>
      </x:c>
      <x:c r="I441" s="83" t="str">
        <x:v>Pretest-Style</x:v>
      </x:c>
      <x:c r="J441" s="83" t="str">
        <x:v>II. Assessment and Planning</x:v>
      </x:c>
      <x:c r="K441" s="83" t="str">
        <x:v>Strengths assessment</x:v>
      </x:c>
      <x:c r="L441" s="83" t="str"/>
      <x:c r="M441" s="83" t="str">
        <x:v>Easy</x:v>
      </x:c>
      <x:c r="N441" s="83" t="str">
        <x:v>Easy</x:v>
      </x:c>
      <x:c r="O441" s="83" t="str">
        <x:v>Application</x:v>
      </x:c>
      <x:c r="P441" s="83" t="str">
        <x:v>Application</x:v>
      </x:c>
      <x:c r="Q441" s="83" t="n">
        <x:v>3</x:v>
      </x:c>
      <x:c r="R441" s="83" t="str">
        <x:v>B</x:v>
      </x:c>
      <x:c r="S441" s="83" t="str">
        <x:v>Approved</x:v>
      </x:c>
      <x:c r="T441" s="83" t="str">
        <x:v>Active</x:v>
      </x:c>
      <x:c r="U441" s="83" t="n">
        <x:v>1</x:v>
      </x:c>
      <x:c r="V441" s="83" t="str">
        <x:v>LCSW-ALT-010</x:v>
      </x:c>
      <x:c r="W441" s="83" t="str">
        <x:v>No additional flag</x:v>
      </x:c>
      <x:c r="X441" s="83" t="str">
        <x:v>No structural flag</x:v>
      </x:c>
      <x:c r="Y441" s="83" t="str">
        <x:v>Not Yet Reviewed</x:v>
      </x:c>
      <x:c r="Z441" s="83" t="str">
        <x:v>CTA LCSW WB3–WB7; ASWB 2026 Clinical Content Area II</x:v>
      </x:c>
      <x:c r="AA441" s="83" t="str">
        <x:v>CTA_LCSW_2026_Comprehensive_Simulation_Form_B_Answer_Key_and_Detailed_Rationales_v1.0.docx</x:v>
      </x:c>
      <x:c r="AB441" s="83" t="str">
        <x:v>1.0</x:v>
      </x:c>
      <x:c r="AC441" s="102"/>
      <x:c r="AD441" s="102" t="n">
        <x:v>46228</x:v>
      </x:c>
      <x:c r="AE441" s="83" t="str">
        <x:v>Approved for Form B</x:v>
      </x:c>
      <x:c r="AF441" s="89" t="str">
        <x:v>Form B only; paired alternate retained on the other comprehensive form</x:v>
      </x:c>
    </x:row>
    <x:row r="442">
      <x:c r="A442" s="88" t="str">
        <x:v>CTA-LCSW-MQB-0441</x:v>
      </x:c>
      <x:c r="B442" s="83" t="str">
        <x:v>LCSW-MQB-FB-VE-012</x:v>
      </x:c>
      <x:c r="C442" s="83" t="str">
        <x:v>LCSW</x:v>
      </x:c>
      <x:c r="D442" s="83" t="str">
        <x:v>Comprehensive Simulation</x:v>
      </x:c>
      <x:c r="E442" s="83"/>
      <x:c r="F442" s="83"/>
      <x:c r="G442" s="83" t="str">
        <x:v>Form B</x:v>
      </x:c>
      <x:c r="H442" s="83" t="n">
        <x:v>115</x:v>
      </x:c>
      <x:c r="I442" s="83" t="str">
        <x:v>Scored-Style</x:v>
      </x:c>
      <x:c r="J442" s="83" t="str">
        <x:v>I. Values and Ethics</x:v>
      </x:c>
      <x:c r="K442" s="83" t="str">
        <x:v>Conflict of interest</x:v>
      </x:c>
      <x:c r="L442" s="83" t="str"/>
      <x:c r="M442" s="83" t="str">
        <x:v>Easy</x:v>
      </x:c>
      <x:c r="N442" s="83" t="str">
        <x:v>Easy</x:v>
      </x:c>
      <x:c r="O442" s="83" t="str">
        <x:v>Application</x:v>
      </x:c>
      <x:c r="P442" s="83" t="str">
        <x:v>Application</x:v>
      </x:c>
      <x:c r="Q442" s="83" t="n">
        <x:v>3</x:v>
      </x:c>
      <x:c r="R442" s="83" t="str">
        <x:v>B</x:v>
      </x:c>
      <x:c r="S442" s="83" t="str">
        <x:v>Approved</x:v>
      </x:c>
      <x:c r="T442" s="83" t="str">
        <x:v>Active</x:v>
      </x:c>
      <x:c r="U442" s="83" t="n">
        <x:v>1</x:v>
      </x:c>
      <x:c r="V442" s="83" t="str">
        <x:v>LCSW-ALT-090</x:v>
      </x:c>
      <x:c r="W442" s="83" t="str">
        <x:v>No additional flag</x:v>
      </x:c>
      <x:c r="X442" s="83" t="str">
        <x:v>No structural flag</x:v>
      </x:c>
      <x:c r="Y442" s="83" t="str">
        <x:v>Not Yet Reviewed</x:v>
      </x:c>
      <x:c r="Z442" s="83" t="str">
        <x:v>CTA LCSW WB2; CTA LCSW WB12; ASWB 2026 Clinical Content Area I</x:v>
      </x:c>
      <x:c r="AA442" s="83" t="str">
        <x:v>CTA_LCSW_2026_Comprehensive_Simulation_Form_B_Answer_Key_and_Detailed_Rationales_v1.0.docx</x:v>
      </x:c>
      <x:c r="AB442" s="83" t="str">
        <x:v>1.0</x:v>
      </x:c>
      <x:c r="AC442" s="102"/>
      <x:c r="AD442" s="102" t="n">
        <x:v>46228</x:v>
      </x:c>
      <x:c r="AE442" s="83" t="str">
        <x:v>Approved for Form B</x:v>
      </x:c>
      <x:c r="AF442" s="89" t="str">
        <x:v>Form B only; paired alternate retained on the other comprehensive form</x:v>
      </x:c>
    </x:row>
    <x:row r="443">
      <x:c r="A443" s="88" t="str">
        <x:v>CTA-LCSW-MQB-0442</x:v>
      </x:c>
      <x:c r="B443" s="83" t="str">
        <x:v>LCSW-MQB-FB-AP-037</x:v>
      </x:c>
      <x:c r="C443" s="83" t="str">
        <x:v>LCSW</x:v>
      </x:c>
      <x:c r="D443" s="83" t="str">
        <x:v>Comprehensive Simulation</x:v>
      </x:c>
      <x:c r="E443" s="83"/>
      <x:c r="F443" s="83"/>
      <x:c r="G443" s="83" t="str">
        <x:v>Form B</x:v>
      </x:c>
      <x:c r="H443" s="83" t="n">
        <x:v>116</x:v>
      </x:c>
      <x:c r="I443" s="83" t="str">
        <x:v>Scored-Style</x:v>
      </x:c>
      <x:c r="J443" s="83" t="str">
        <x:v>II. Assessment and Planning</x:v>
      </x:c>
      <x:c r="K443" s="83" t="str">
        <x:v>Medical, medication, and mood differential</x:v>
      </x:c>
      <x:c r="L443" s="83" t="str"/>
      <x:c r="M443" s="83" t="str">
        <x:v>Difficult</x:v>
      </x:c>
      <x:c r="N443" s="83" t="str">
        <x:v>Difficult</x:v>
      </x:c>
      <x:c r="O443" s="83" t="str">
        <x:v>Integrated reasoning</x:v>
      </x:c>
      <x:c r="P443" s="83" t="str">
        <x:v>Integrated Clinical Reasoning</x:v>
      </x:c>
      <x:c r="Q443" s="83" t="n">
        <x:v>4</x:v>
      </x:c>
      <x:c r="R443" s="83" t="str">
        <x:v>C</x:v>
      </x:c>
      <x:c r="S443" s="83" t="str">
        <x:v>Approved</x:v>
      </x:c>
      <x:c r="T443" s="83" t="str">
        <x:v>Active</x:v>
      </x:c>
      <x:c r="U443" s="83" t="n">
        <x:v>1</x:v>
      </x:c>
      <x:c r="V443" s="83" t="str">
        <x:v>LCSW-ALT-037</x:v>
      </x:c>
      <x:c r="W443" s="83" t="str">
        <x:v>No additional flag</x:v>
      </x:c>
      <x:c r="X443" s="83" t="str">
        <x:v>No structural flag</x:v>
      </x:c>
      <x:c r="Y443" s="83" t="str">
        <x:v>Not Yet Reviewed</x:v>
      </x:c>
      <x:c r="Z443" s="83" t="str">
        <x:v>CTA LCSW WB5; ASWB 2026 Clinical Content Area II</x:v>
      </x:c>
      <x:c r="AA443" s="83" t="str">
        <x:v>CTA_LCSW_2026_Comprehensive_Simulation_Form_B_Answer_Key_and_Detailed_Rationales_v1.0.docx</x:v>
      </x:c>
      <x:c r="AB443" s="83" t="str">
        <x:v>1.0</x:v>
      </x:c>
      <x:c r="AC443" s="102"/>
      <x:c r="AD443" s="102" t="n">
        <x:v>46228</x:v>
      </x:c>
      <x:c r="AE443" s="83" t="str">
        <x:v>Approved for Form B</x:v>
      </x:c>
      <x:c r="AF443" s="89" t="str">
        <x:v>Form B only; paired alternate retained on the other comprehensive form</x:v>
      </x:c>
    </x:row>
    <x:row r="444">
      <x:c r="A444" s="88" t="str">
        <x:v>CTA-LCSW-MQB-0443</x:v>
      </x:c>
      <x:c r="B444" s="83" t="str">
        <x:v>LCSW-MQB-FB-AP-013</x:v>
      </x:c>
      <x:c r="C444" s="83" t="str">
        <x:v>LCSW</x:v>
      </x:c>
      <x:c r="D444" s="83" t="str">
        <x:v>Comprehensive Simulation</x:v>
      </x:c>
      <x:c r="E444" s="83"/>
      <x:c r="F444" s="83"/>
      <x:c r="G444" s="83" t="str">
        <x:v>Form B</x:v>
      </x:c>
      <x:c r="H444" s="83" t="n">
        <x:v>117</x:v>
      </x:c>
      <x:c r="I444" s="83" t="str">
        <x:v>Scored-Style</x:v>
      </x:c>
      <x:c r="J444" s="83" t="str">
        <x:v>II. Assessment and Planning</x:v>
      </x:c>
      <x:c r="K444" s="83" t="str">
        <x:v>Screening measure limits</x:v>
      </x:c>
      <x:c r="L444" s="83" t="str"/>
      <x:c r="M444" s="83" t="str">
        <x:v>Moderate</x:v>
      </x:c>
      <x:c r="N444" s="83" t="str">
        <x:v>Moderate</x:v>
      </x:c>
      <x:c r="O444" s="83" t="str">
        <x:v>Application</x:v>
      </x:c>
      <x:c r="P444" s="83" t="str">
        <x:v>Application</x:v>
      </x:c>
      <x:c r="Q444" s="83" t="n">
        <x:v>3</x:v>
      </x:c>
      <x:c r="R444" s="83" t="str">
        <x:v>C</x:v>
      </x:c>
      <x:c r="S444" s="83" t="str">
        <x:v>Approved</x:v>
      </x:c>
      <x:c r="T444" s="83" t="str">
        <x:v>Active</x:v>
      </x:c>
      <x:c r="U444" s="83" t="n">
        <x:v>1</x:v>
      </x:c>
      <x:c r="V444" s="83" t="str">
        <x:v>LCSW-ALT-013</x:v>
      </x:c>
      <x:c r="W444" s="83" t="str">
        <x:v>No additional flag</x:v>
      </x:c>
      <x:c r="X444" s="83" t="str">
        <x:v>No structural flag</x:v>
      </x:c>
      <x:c r="Y444" s="83" t="str">
        <x:v>Not Yet Reviewed</x:v>
      </x:c>
      <x:c r="Z444" s="83" t="str">
        <x:v>CTA LCSW WB3–WB7; ASWB 2026 Clinical Content Area II</x:v>
      </x:c>
      <x:c r="AA444" s="83" t="str">
        <x:v>CTA_LCSW_2026_Comprehensive_Simulation_Form_B_Answer_Key_and_Detailed_Rationales_v1.0.docx</x:v>
      </x:c>
      <x:c r="AB444" s="83" t="str">
        <x:v>1.0</x:v>
      </x:c>
      <x:c r="AC444" s="102"/>
      <x:c r="AD444" s="102" t="n">
        <x:v>46228</x:v>
      </x:c>
      <x:c r="AE444" s="83" t="str">
        <x:v>Approved for Form B</x:v>
      </x:c>
      <x:c r="AF444" s="89" t="str">
        <x:v>Form B only; paired alternate retained on the other comprehensive form</x:v>
      </x:c>
    </x:row>
    <x:row r="445">
      <x:c r="A445" s="88" t="str">
        <x:v>CTA-LCSW-MQB-0444</x:v>
      </x:c>
      <x:c r="B445" s="83" t="str">
        <x:v>LCSW-MQB-FB-VE-015</x:v>
      </x:c>
      <x:c r="C445" s="83" t="str">
        <x:v>LCSW</x:v>
      </x:c>
      <x:c r="D445" s="83" t="str">
        <x:v>Comprehensive Simulation</x:v>
      </x:c>
      <x:c r="E445" s="83"/>
      <x:c r="F445" s="83"/>
      <x:c r="G445" s="83" t="str">
        <x:v>Form B</x:v>
      </x:c>
      <x:c r="H445" s="83" t="n">
        <x:v>118</x:v>
      </x:c>
      <x:c r="I445" s="83" t="str">
        <x:v>Scored-Style</x:v>
      </x:c>
      <x:c r="J445" s="83" t="str">
        <x:v>I. Values and Ethics</x:v>
      </x:c>
      <x:c r="K445" s="83" t="str">
        <x:v>Fee transparency</x:v>
      </x:c>
      <x:c r="L445" s="83" t="str"/>
      <x:c r="M445" s="83" t="str">
        <x:v>Moderate</x:v>
      </x:c>
      <x:c r="N445" s="83" t="str">
        <x:v>Moderate</x:v>
      </x:c>
      <x:c r="O445" s="83" t="str">
        <x:v>Application</x:v>
      </x:c>
      <x:c r="P445" s="83" t="str">
        <x:v>Application</x:v>
      </x:c>
      <x:c r="Q445" s="83" t="n">
        <x:v>3</x:v>
      </x:c>
      <x:c r="R445" s="83" t="str">
        <x:v>B</x:v>
      </x:c>
      <x:c r="S445" s="83" t="str">
        <x:v>Approved</x:v>
      </x:c>
      <x:c r="T445" s="83" t="str">
        <x:v>Active</x:v>
      </x:c>
      <x:c r="U445" s="83" t="n">
        <x:v>1</x:v>
      </x:c>
      <x:c r="V445" s="83" t="str">
        <x:v>LCSW-ALT-093</x:v>
      </x:c>
      <x:c r="W445" s="83" t="str">
        <x:v>No additional flag</x:v>
      </x:c>
      <x:c r="X445" s="83" t="str">
        <x:v>No structural flag</x:v>
      </x:c>
      <x:c r="Y445" s="83" t="str">
        <x:v>Not Yet Reviewed</x:v>
      </x:c>
      <x:c r="Z445" s="83" t="str">
        <x:v>CTA LCSW WB2; CTA LCSW WB12; ASWB 2026 Clinical Content Area I</x:v>
      </x:c>
      <x:c r="AA445" s="83" t="str">
        <x:v>CTA_LCSW_2026_Comprehensive_Simulation_Form_B_Answer_Key_and_Detailed_Rationales_v1.0.docx</x:v>
      </x:c>
      <x:c r="AB445" s="83" t="str">
        <x:v>1.0</x:v>
      </x:c>
      <x:c r="AC445" s="102"/>
      <x:c r="AD445" s="102" t="n">
        <x:v>46228</x:v>
      </x:c>
      <x:c r="AE445" s="83" t="str">
        <x:v>Approved for Form B</x:v>
      </x:c>
      <x:c r="AF445" s="89" t="str">
        <x:v>Form B only; paired alternate retained on the other comprehensive form</x:v>
      </x:c>
    </x:row>
    <x:row r="446">
      <x:c r="A446" s="88" t="str">
        <x:v>CTA-LCSW-MQB-0445</x:v>
      </x:c>
      <x:c r="B446" s="83" t="str">
        <x:v>LCSW-MQB-FB-IP-038</x:v>
      </x:c>
      <x:c r="C446" s="83" t="str">
        <x:v>LCSW</x:v>
      </x:c>
      <x:c r="D446" s="83" t="str">
        <x:v>Comprehensive Simulation</x:v>
      </x:c>
      <x:c r="E446" s="83"/>
      <x:c r="F446" s="83"/>
      <x:c r="G446" s="83" t="str">
        <x:v>Form B</x:v>
      </x:c>
      <x:c r="H446" s="83" t="n">
        <x:v>119</x:v>
      </x:c>
      <x:c r="I446" s="83" t="str">
        <x:v>Scored-Style</x:v>
      </x:c>
      <x:c r="J446" s="83" t="str">
        <x:v>III. Intervention and Practice</x:v>
      </x:c>
      <x:c r="K446" s="83" t="str">
        <x:v>Interdisciplinary disagreement and autonomy</x:v>
      </x:c>
      <x:c r="L446" s="83" t="str"/>
      <x:c r="M446" s="83" t="str">
        <x:v>Difficult</x:v>
      </x:c>
      <x:c r="N446" s="83" t="str">
        <x:v>Difficult</x:v>
      </x:c>
      <x:c r="O446" s="83" t="str">
        <x:v>Integrated reasoning</x:v>
      </x:c>
      <x:c r="P446" s="83" t="str">
        <x:v>Integrated Clinical Reasoning</x:v>
      </x:c>
      <x:c r="Q446" s="83" t="n">
        <x:v>4</x:v>
      </x:c>
      <x:c r="R446" s="83" t="str">
        <x:v>A</x:v>
      </x:c>
      <x:c r="S446" s="83" t="str">
        <x:v>Approved</x:v>
      </x:c>
      <x:c r="T446" s="83" t="str">
        <x:v>Active</x:v>
      </x:c>
      <x:c r="U446" s="83" t="n">
        <x:v>1</x:v>
      </x:c>
      <x:c r="V446" s="83" t="str">
        <x:v>LCSW-ALT-077</x:v>
      </x:c>
      <x:c r="W446" s="83" t="str">
        <x:v>No additional flag</x:v>
      </x:c>
      <x:c r="X446" s="83" t="str">
        <x:v>No structural flag</x:v>
      </x:c>
      <x:c r="Y446" s="83" t="str">
        <x:v>Not Yet Reviewed</x:v>
      </x:c>
      <x:c r="Z446" s="83" t="str">
        <x:v>CTA LCSW WB10; CTA LCSW WB11; ASWB 2026 Clinical Content Area III</x:v>
      </x:c>
      <x:c r="AA446" s="83" t="str">
        <x:v>CTA_LCSW_2026_Comprehensive_Simulation_Form_B_Answer_Key_and_Detailed_Rationales_v1.0.docx</x:v>
      </x:c>
      <x:c r="AB446" s="83" t="str">
        <x:v>1.0</x:v>
      </x:c>
      <x:c r="AC446" s="102"/>
      <x:c r="AD446" s="102" t="n">
        <x:v>46228</x:v>
      </x:c>
      <x:c r="AE446" s="83" t="str">
        <x:v>Approved for Form B</x:v>
      </x:c>
      <x:c r="AF446" s="89" t="str">
        <x:v>Form B only; paired alternate retained on the other comprehensive form</x:v>
      </x:c>
    </x:row>
    <x:row r="447">
      <x:c r="A447" s="88" t="str">
        <x:v>CTA-LCSW-MQB-0446</x:v>
      </x:c>
      <x:c r="B447" s="83" t="str">
        <x:v>LCSW-MQB-FB-IP-018</x:v>
      </x:c>
      <x:c r="C447" s="83" t="str">
        <x:v>LCSW</x:v>
      </x:c>
      <x:c r="D447" s="83" t="str">
        <x:v>Comprehensive Simulation</x:v>
      </x:c>
      <x:c r="E447" s="83"/>
      <x:c r="F447" s="83"/>
      <x:c r="G447" s="83" t="str">
        <x:v>Form B</x:v>
      </x:c>
      <x:c r="H447" s="83" t="n">
        <x:v>120</x:v>
      </x:c>
      <x:c r="I447" s="83" t="str">
        <x:v>Pretest-Style</x:v>
      </x:c>
      <x:c r="J447" s="83" t="str">
        <x:v>III. Intervention and Practice</x:v>
      </x:c>
      <x:c r="K447" s="83" t="str">
        <x:v>Termination review</x:v>
      </x:c>
      <x:c r="L447" s="83" t="str"/>
      <x:c r="M447" s="83" t="str">
        <x:v>Moderate</x:v>
      </x:c>
      <x:c r="N447" s="83" t="str">
        <x:v>Moderate</x:v>
      </x:c>
      <x:c r="O447" s="83" t="str">
        <x:v>Application</x:v>
      </x:c>
      <x:c r="P447" s="83" t="str">
        <x:v>Application</x:v>
      </x:c>
      <x:c r="Q447" s="83" t="n">
        <x:v>3</x:v>
      </x:c>
      <x:c r="R447" s="83" t="str">
        <x:v>A</x:v>
      </x:c>
      <x:c r="S447" s="83" t="str">
        <x:v>Approved</x:v>
      </x:c>
      <x:c r="T447" s="83" t="str">
        <x:v>Active</x:v>
      </x:c>
      <x:c r="U447" s="83" t="n">
        <x:v>1</x:v>
      </x:c>
      <x:c r="V447" s="83" t="str">
        <x:v>LCSW-ALT-057</x:v>
      </x:c>
      <x:c r="W447" s="83" t="str">
        <x:v>No additional flag</x:v>
      </x:c>
      <x:c r="X447" s="83" t="str">
        <x:v>No structural flag</x:v>
      </x:c>
      <x:c r="Y447" s="83" t="str">
        <x:v>Not Yet Reviewed</x:v>
      </x:c>
      <x:c r="Z447" s="83" t="str">
        <x:v>CTA LCSW WB8–WB11; ASWB 2026 Clinical Content Area III</x:v>
      </x:c>
      <x:c r="AA447" s="83" t="str">
        <x:v>CTA_LCSW_2026_Comprehensive_Simulation_Form_B_Answer_Key_and_Detailed_Rationales_v1.0.docx</x:v>
      </x:c>
      <x:c r="AB447" s="83" t="str">
        <x:v>1.0</x:v>
      </x:c>
      <x:c r="AC447" s="102"/>
      <x:c r="AD447" s="102" t="n">
        <x:v>46228</x:v>
      </x:c>
      <x:c r="AE447" s="83" t="str">
        <x:v>Approved for Form B</x:v>
      </x:c>
      <x:c r="AF447" s="89" t="str">
        <x:v>Form B only; paired alternate retained on the other comprehensive form</x:v>
      </x:c>
    </x:row>
    <x:row r="448">
      <x:c r="A448" s="88" t="str">
        <x:v>CTA-LCSW-MQB-0447</x:v>
      </x:c>
      <x:c r="B448" s="83" t="str">
        <x:v>LCSW-MQB-FB-AP-015</x:v>
      </x:c>
      <x:c r="C448" s="83" t="str">
        <x:v>LCSW</x:v>
      </x:c>
      <x:c r="D448" s="83" t="str">
        <x:v>Comprehensive Simulation</x:v>
      </x:c>
      <x:c r="E448" s="83"/>
      <x:c r="F448" s="83"/>
      <x:c r="G448" s="83" t="str">
        <x:v>Form B</x:v>
      </x:c>
      <x:c r="H448" s="83" t="n">
        <x:v>121</x:v>
      </x:c>
      <x:c r="I448" s="83" t="str">
        <x:v>Scored-Style</x:v>
      </x:c>
      <x:c r="J448" s="83" t="str">
        <x:v>II. Assessment and Planning</x:v>
      </x:c>
      <x:c r="K448" s="83" t="str">
        <x:v>Level of care</x:v>
      </x:c>
      <x:c r="L448" s="83" t="str"/>
      <x:c r="M448" s="83" t="str">
        <x:v>Moderate</x:v>
      </x:c>
      <x:c r="N448" s="83" t="str">
        <x:v>Moderate</x:v>
      </x:c>
      <x:c r="O448" s="83" t="str">
        <x:v>Application</x:v>
      </x:c>
      <x:c r="P448" s="83" t="str">
        <x:v>Application</x:v>
      </x:c>
      <x:c r="Q448" s="83" t="n">
        <x:v>3</x:v>
      </x:c>
      <x:c r="R448" s="83" t="str">
        <x:v>C</x:v>
      </x:c>
      <x:c r="S448" s="83" t="str">
        <x:v>Approved</x:v>
      </x:c>
      <x:c r="T448" s="83" t="str">
        <x:v>Active</x:v>
      </x:c>
      <x:c r="U448" s="83" t="n">
        <x:v>1</x:v>
      </x:c>
      <x:c r="V448" s="83" t="str">
        <x:v>LCSW-ALT-015</x:v>
      </x:c>
      <x:c r="W448" s="83" t="str">
        <x:v>No additional flag</x:v>
      </x:c>
      <x:c r="X448" s="83" t="str">
        <x:v>No structural flag</x:v>
      </x:c>
      <x:c r="Y448" s="83" t="str">
        <x:v>Not Yet Reviewed</x:v>
      </x:c>
      <x:c r="Z448" s="83" t="str">
        <x:v>CTA LCSW WB6; ASWB 2026 Clinical Content Area II</x:v>
      </x:c>
      <x:c r="AA448" s="83" t="str">
        <x:v>CTA_LCSW_2026_Comprehensive_Simulation_Form_B_Answer_Key_and_Detailed_Rationales_v1.0.docx</x:v>
      </x:c>
      <x:c r="AB448" s="83" t="str">
        <x:v>1.0</x:v>
      </x:c>
      <x:c r="AC448" s="102"/>
      <x:c r="AD448" s="102" t="n">
        <x:v>46228</x:v>
      </x:c>
      <x:c r="AE448" s="83" t="str">
        <x:v>Approved for Form B</x:v>
      </x:c>
      <x:c r="AF448" s="89" t="str">
        <x:v>Form B only; paired alternate retained on the other comprehensive form</x:v>
      </x:c>
    </x:row>
    <x:row r="449">
      <x:c r="A449" s="90" t="str">
        <x:v>CTA-LCSW-MQB-0448</x:v>
      </x:c>
      <x:c r="B449" s="91" t="str">
        <x:v>LCSW-MQB-FB-IP-029</x:v>
      </x:c>
      <x:c r="C449" s="91" t="str">
        <x:v>LCSW</x:v>
      </x:c>
      <x:c r="D449" s="91" t="str">
        <x:v>Comprehensive Simulation</x:v>
      </x:c>
      <x:c r="E449" s="91"/>
      <x:c r="F449" s="91"/>
      <x:c r="G449" s="91" t="str">
        <x:v>Form B</x:v>
      </x:c>
      <x:c r="H449" s="91" t="n">
        <x:v>122</x:v>
      </x:c>
      <x:c r="I449" s="91" t="str">
        <x:v>Scored-Style</x:v>
      </x:c>
      <x:c r="J449" s="91" t="str">
        <x:v>III. Intervention and Practice</x:v>
      </x:c>
      <x:c r="K449" s="91" t="str">
        <x:v>Child behavioral intervention</x:v>
      </x:c>
      <x:c r="L449" s="91" t="str"/>
      <x:c r="M449" s="91" t="str">
        <x:v>Difficult</x:v>
      </x:c>
      <x:c r="N449" s="91" t="str">
        <x:v>Difficult</x:v>
      </x:c>
      <x:c r="O449" s="91" t="str">
        <x:v>Scenario-based reasoning</x:v>
      </x:c>
      <x:c r="P449" s="91" t="str">
        <x:v>Scenario-Based</x:v>
      </x:c>
      <x:c r="Q449" s="91" t="n">
        <x:v>4</x:v>
      </x:c>
      <x:c r="R449" s="91" t="str">
        <x:v>A</x:v>
      </x:c>
      <x:c r="S449" s="91" t="str">
        <x:v>Approved</x:v>
      </x:c>
      <x:c r="T449" s="91" t="str">
        <x:v>Active</x:v>
      </x:c>
      <x:c r="U449" s="91" t="n">
        <x:v>1</x:v>
      </x:c>
      <x:c r="V449" s="91" t="str">
        <x:v>LCSW-ALT-068</x:v>
      </x:c>
      <x:c r="W449" s="91" t="str">
        <x:v>No additional flag</x:v>
      </x:c>
      <x:c r="X449" s="91" t="str">
        <x:v>No structural flag</x:v>
      </x:c>
      <x:c r="Y449" s="91" t="str">
        <x:v>Not Yet Reviewed</x:v>
      </x:c>
      <x:c r="Z449" s="91" t="str">
        <x:v>CTA LCSW WB8–WB11; ASWB 2026 Clinical Content Area III</x:v>
      </x:c>
      <x:c r="AA449" s="91" t="str">
        <x:v>CTA_LCSW_2026_Comprehensive_Simulation_Form_B_Answer_Key_and_Detailed_Rationales_v1.0.docx</x:v>
      </x:c>
      <x:c r="AB449" s="91" t="str">
        <x:v>1.0</x:v>
      </x:c>
      <x:c r="AC449" s="103"/>
      <x:c r="AD449" s="103" t="n">
        <x:v>46228</x:v>
      </x:c>
      <x:c r="AE449" s="91" t="str">
        <x:v>Approved for Form B</x:v>
      </x:c>
      <x:c r="AF449" s="92" t="str">
        <x:v>Form B only; paired alternate retained on the other comprehensive form</x:v>
      </x:c>
    </x:row>
  </x:sheetData>
  <x:conditionalFormatting sqref="S2:S449">
    <x:cfRule type="expression" dxfId="0" priority="1">
      <x:formula>$S2="Approved"</x:formula>
    </x:cfRule>
    <x:cfRule type="expression" dxfId="1" priority="2">
      <x:formula>OR($S2="Revise",$S2="Hold")</x:formula>
    </x:cfRule>
    <x:cfRule type="expression" dxfId="2" priority="3">
      <x:formula>$S2="Retire"</x:formula>
    </x:cfRule>
  </x:conditionalFormatting>
  <x:conditionalFormatting sqref="W2:W449">
    <x:cfRule type="expression" dxfId="3" priority="4">
      <x:formula>$W2="Review Candidate"</x:formula>
    </x:cfRule>
  </x:conditionalFormatting>
  <x:conditionalFormatting sqref="V2:V449">
    <x:cfRule type="expression" dxfId="4" priority="5">
      <x:formula>$V2&lt;&gt;""</x:formula>
    </x:cfRule>
  </x:conditionalFormatting>
  <x:conditionalFormatting sqref="X2:X449">
    <x:cfRule type="expression" dxfId="5" priority="6">
      <x:formula>$X2&lt;&gt;"No structural flag"</x:formula>
    </x:cfRule>
  </x:conditionalFormatting>
  <x:dataValidations count="7">
    <x:dataValidation type="list" sqref="N2:N449">
      <x:formula1>"Easy,Moderate,Difficult"</x:formula1>
    </x:dataValidation>
    <x:dataValidation type="list" sqref="P2:P449">
      <x:formula1>"Knowledge &amp; Recall,Application,Scenario-Based,Integrated Clinical Reasoning"</x:formula1>
    </x:dataValidation>
    <x:dataValidation type="list" sqref="Q2:Q449">
      <x:formula1>"3,4"</x:formula1>
    </x:dataValidation>
    <x:dataValidation type="list" sqref="S2:S449">
      <x:formula1>"Approved,Revise,Hold,Retire"</x:formula1>
    </x:dataValidation>
    <x:dataValidation type="list" sqref="T2:T449">
      <x:formula1>"Active,Reserve,Retired"</x:formula1>
    </x:dataValidation>
    <x:dataValidation type="list" sqref="W2:W449">
      <x:formula1>"No additional flag,Review Candidate,Reviewed"</x:formula1>
    </x:dataValidation>
    <x:dataValidation type="list" sqref="Y2:Y449">
      <x:formula1>"Not Yet Reviewed,Reviewed - No Concern,Review Needed"</x:formula1>
    </x:dataValidation>
  </x:dataValidations>
  <x:pageMargins left="0.7" right="0.7" top="0.75" bottom="0.75" header="0.3" footer="0.3"/>
  <x:tableParts count="1">
    <x:tablePart xmlns:r="http://schemas.openxmlformats.org/officeDocument/2006/relationships" r:id="Rc42404e1901a4ac4"/>
  </x:tableParts>
</x:worksheet>
</file>

<file path=xl/worksheets/sheet3.xml><?xml version="1.0" encoding="utf-8"?>
<x:worksheet xmlns:x="http://schemas.openxmlformats.org/spreadsheetml/2006/main">
  <x:sheetFormatPr defaultRowHeight="15"/>
  <x:cols>
    <x:col min="1" max="1" width="20" hidden="0" customWidth="1"/>
    <x:col min="2" max="2" width="24" hidden="0" customWidth="1"/>
    <x:col min="3" max="3" width="24" hidden="0" customWidth="1"/>
    <x:col min="4" max="4" width="16" hidden="0" customWidth="1"/>
    <x:col min="5" max="5" width="11" hidden="0" customWidth="1"/>
    <x:col min="6" max="6" width="48" hidden="0" customWidth="1"/>
    <x:col min="7" max="7" width="38" hidden="0" customWidth="1"/>
    <x:col min="8" max="8" width="38" hidden="0" customWidth="1"/>
    <x:col min="9" max="9" width="38" hidden="0" customWidth="1"/>
    <x:col min="10" max="10" width="38" hidden="0" customWidth="1"/>
    <x:col min="11" max="11" width="11" hidden="0" customWidth="1"/>
    <x:col min="12" max="12" width="42" hidden="0" customWidth="1"/>
    <x:col min="13" max="13" width="42" hidden="0" customWidth="1"/>
    <x:col min="14" max="14" width="42" hidden="0" customWidth="1"/>
    <x:col min="15" max="15" width="42" hidden="0" customWidth="1"/>
    <x:col min="16" max="16" width="58" hidden="0" customWidth="1"/>
    <x:col min="17" max="17" width="44" hidden="0" customWidth="1"/>
    <x:col min="18" max="18" width="44" hidden="0" customWidth="1"/>
  </x:cols>
  <x:sheetData>
    <x:row r="1" ht="34" customHeight="1">
      <x:c r="A1" s="34" t="str">
        <x:v>Master Question ID</x:v>
      </x:c>
      <x:c r="B1" s="34" t="str">
        <x:v>Original Question ID</x:v>
      </x:c>
      <x:c r="C1" s="34" t="str">
        <x:v>Source Type</x:v>
      </x:c>
      <x:c r="D1" s="34" t="str">
        <x:v>Workbook / Form</x:v>
      </x:c>
      <x:c r="E1" s="34" t="str">
        <x:v>Option Count</x:v>
      </x:c>
      <x:c r="F1" s="34" t="str">
        <x:v>Question Stem</x:v>
      </x:c>
      <x:c r="G1" s="34" t="str">
        <x:v>Option A</x:v>
      </x:c>
      <x:c r="H1" s="34" t="str">
        <x:v>Option B</x:v>
      </x:c>
      <x:c r="I1" s="34" t="str">
        <x:v>Option C</x:v>
      </x:c>
      <x:c r="J1" s="34" t="str">
        <x:v>Option D</x:v>
      </x:c>
      <x:c r="K1" s="34" t="str">
        <x:v>Correct Answer</x:v>
      </x:c>
      <x:c r="L1" s="34" t="str">
        <x:v>Rationale A</x:v>
      </x:c>
      <x:c r="M1" s="34" t="str">
        <x:v>Rationale B</x:v>
      </x:c>
      <x:c r="N1" s="34" t="str">
        <x:v>Rationale C</x:v>
      </x:c>
      <x:c r="O1" s="34" t="str">
        <x:v>Rationale D</x:v>
      </x:c>
      <x:c r="P1" s="34" t="str">
        <x:v>Full Rationale Block</x:v>
      </x:c>
      <x:c r="Q1" s="34" t="str">
        <x:v>CTA Exam Strategy</x:v>
      </x:c>
      <x:c r="R1" s="34" t="str">
        <x:v>Source Alignment</x:v>
      </x:c>
    </x:row>
    <x:row r="2">
      <x:c r="A2" s="85" t="str">
        <x:v>CTA-LCSW-MQB-0001</x:v>
      </x:c>
      <x:c r="B2" s="86" t="str">
        <x:v>LCSW-WB01-QB-Q001</x:v>
      </x:c>
      <x:c r="C2" s="86" t="str">
        <x:v>Workbook Question Bank</x:v>
      </x:c>
      <x:c r="D2" s="86" t="str">
        <x:v>Workbook 1</x:v>
      </x:c>
      <x:c r="E2" s="86" t="n">
        <x:v>3</x:v>
      </x:c>
      <x:c r="F2" s="86" t="str">
        <x:v>When an ASWB-style question asks for the MOST appropriate response, what should control the test-taker’s choice?</x:v>
      </x:c>
      <x:c r="G2" s="86" t="str">
        <x:v>The option that is most intensive.</x:v>
      </x:c>
      <x:c r="H2" s="86" t="str">
        <x:v>The option that best fits the exact task, facts, role, timing, ethics, and client or client-system needs.</x:v>
      </x:c>
      <x:c r="I2" s="86" t="str">
        <x:v>The option that names the greatest number of services.</x:v>
      </x:c>
      <x:c r="J2" s="86" t="str"/>
      <x:c r="K2" s="86" t="str">
        <x:v>B</x:v>
      </x:c>
      <x:c r="L2" s="86" t="str">
        <x:v>Incorrect. Greater intensity can be excessive or mistimed.</x:v>
      </x:c>
      <x:c r="M2" s="86" t="str">
        <x:v>Correct. MOST appropriate requires comparison of plausible responses and selection of the one with the strongest whole-vignette fit and fewest unsupported assumptions.</x:v>
      </x:c>
      <x:c r="N2" s="86" t="str">
        <x:v>Incorrect. A long service list may avoid the actual decision or skip engagement and assessment.</x:v>
      </x:c>
      <x:c r="O2" s="86" t="str"/>
      <x:c r="P2" s="86" t="str">
        <x:v>A. Incorrect. Greater intensity can be excessive or mistimed.
B. Correct. MOST appropriate requires comparison of plausible responses and selection of the one with the strongest whole-vignette fit and fewest unsupported assumptions.
C. Incorrect. A long service list may avoid the actual decision or skip engagement and assessment.</x:v>
      </x:c>
      <x:c r="Q2" s="86" t="str">
        <x:v>Compare each option against the exact task and stage; the best answer is not automatically the biggest action.</x:v>
      </x:c>
      <x:c r="R2" s="87" t="str">
        <x:v>CTA LCSW Workbook 1</x:v>
      </x:c>
    </x:row>
    <x:row r="3">
      <x:c r="A3" s="88" t="str">
        <x:v>CTA-LCSW-MQB-0002</x:v>
      </x:c>
      <x:c r="B3" s="83" t="str">
        <x:v>LCSW-WB01-QB-Q002</x:v>
      </x:c>
      <x:c r="C3" s="83" t="str">
        <x:v>Workbook Question Bank</x:v>
      </x:c>
      <x:c r="D3" s="83" t="str">
        <x:v>Workbook 1</x:v>
      </x:c>
      <x:c r="E3" s="83" t="n">
        <x:v>3</x:v>
      </x:c>
      <x:c r="F3" s="83" t="str">
        <x:v>What does NEXT most directly ask in a social work licensing vignette?</x:v>
      </x:c>
      <x:c r="G3" s="83" t="str">
        <x:v>What should follow the step or stage the vignette says has already occurred.</x:v>
      </x:c>
      <x:c r="H3" s="83" t="str">
        <x:v>What the social worker should have done at the beginning of the case.</x:v>
      </x:c>
      <x:c r="I3" s="83" t="str">
        <x:v>What the final outcome of services should be.</x:v>
      </x:c>
      <x:c r="J3" s="83" t="str"/>
      <x:c r="K3" s="83" t="str">
        <x:v>A</x:v>
      </x:c>
      <x:c r="L3" s="83" t="str">
        <x:v>Correct. NEXT requires attention to completed actions and the immediate subsequent professional task.</x:v>
      </x:c>
      <x:c r="M3" s="83" t="str">
        <x:v>Incorrect. NEXT is forward-looking from the current stage, not a request to restart the case.</x:v>
      </x:c>
      <x:c r="N3" s="83" t="str">
        <x:v>Incorrect. The question asks for the immediate subsequent action, not the ultimate result.</x:v>
      </x:c>
      <x:c r="O3" s="83" t="str"/>
      <x:c r="P3" s="83" t="str">
        <x:v>A. Correct. NEXT requires attention to completed actions and the immediate subsequent professional task.
B. Incorrect. NEXT is forward-looking from the current stage, not a request to restart the case.
C. Incorrect. The question asks for the immediate subsequent action, not the ultimate result.</x:v>
      </x:c>
      <x:c r="Q3" s="83" t="str">
        <x:v>Mark what has already happened; do not repeat it or skip over the next required step.</x:v>
      </x:c>
      <x:c r="R3" s="89" t="str">
        <x:v>CTA LCSW Workbook 1</x:v>
      </x:c>
    </x:row>
    <x:row r="4">
      <x:c r="A4" s="88" t="str">
        <x:v>CTA-LCSW-MQB-0003</x:v>
      </x:c>
      <x:c r="B4" s="83" t="str">
        <x:v>LCSW-WB01-QB-Q003</x:v>
      </x:c>
      <x:c r="C4" s="83" t="str">
        <x:v>Workbook Question Bank</x:v>
      </x:c>
      <x:c r="D4" s="83" t="str">
        <x:v>Workbook 1</x:v>
      </x:c>
      <x:c r="E4" s="83" t="n">
        <x:v>4</x:v>
      </x:c>
      <x:c r="F4" s="83" t="str">
        <x:v>For the 2026 ASWB Clinical examination structure used by CTA, which description is correct?</x:v>
      </x:c>
      <x:c r="G4" s="83" t="str">
        <x:v>150 scored questions plus 20 unscored questions in four hours.</x:v>
      </x:c>
      <x:c r="H4" s="83" t="str">
        <x:v>110 total questions with no unscored items in three hours.</x:v>
      </x:c>
      <x:c r="I4" s="83" t="str">
        <x:v>122 total questions, including 110 scored and 12 unscored questions, completed within four hours.</x:v>
      </x:c>
      <x:c r="J4" s="83" t="str">
        <x:v>75 questions focused only on California law and ethics.</x:v>
      </x:c>
      <x:c r="K4" s="83" t="str">
        <x:v>C</x:v>
      </x:c>
      <x:c r="L4" s="83" t="str">
        <x:v>Incorrect. That describes the prior 170-item structure, not the 2026 examination used by this program.</x:v>
      </x:c>
      <x:c r="M4" s="83" t="str">
        <x:v>Incorrect. The official structure includes 12 unscored questions and a four-hour limit.</x:v>
      </x:c>
      <x:c r="N4" s="83" t="str">
        <x:v>Correct. The 2026 structure contains 122 total items, with 110 scored and 12 unscored, under a four-hour limit.</x:v>
      </x:c>
      <x:c r="O4" s="83" t="str">
        <x:v>Incorrect. The ASWB Clinical examination is a national clinical licensing examination, not the California law-and-ethics exam.</x:v>
      </x:c>
      <x:c r="P4" s="83" t="str">
        <x:v>A. Incorrect. That describes the prior 170-item structure, not the 2026 examination used by this program.
B. Incorrect. The official structure includes 12 unscored questions and a four-hour limit.
C. Correct. The 2026 structure contains 122 total items, with 110 scored and 12 unscored, under a four-hour limit.
D. Incorrect. The ASWB Clinical examination is a national clinical licensing examination, not the California law-and-ethics exam.</x:v>
      </x:c>
      <x:c r="Q4" s="83" t="str">
        <x:v>Know the current format, but spend study time primarily on applied reasoning and content rather than memorizing logistics.</x:v>
      </x:c>
      <x:c r="R4" s="89" t="str">
        <x:v>CTA LCSW Workbook 1</x:v>
      </x:c>
    </x:row>
    <x:row r="5">
      <x:c r="A5" s="88" t="str">
        <x:v>CTA-LCSW-MQB-0004</x:v>
      </x:c>
      <x:c r="B5" s="83" t="str">
        <x:v>LCSW-WB01-QB-Q004</x:v>
      </x:c>
      <x:c r="C5" s="83" t="str">
        <x:v>Workbook Question Bank</x:v>
      </x:c>
      <x:c r="D5" s="83" t="str">
        <x:v>Workbook 1</x:v>
      </x:c>
      <x:c r="E5" s="83" t="n">
        <x:v>4</x:v>
      </x:c>
      <x:c r="F5" s="83" t="str">
        <x:v>What is the PRIMARY purpose of a person-in-environment assessment?</x:v>
      </x:c>
      <x:c r="G5" s="83" t="str">
        <x:v>To replace assessment of symptoms and safety with resource referral.</x:v>
      </x:c>
      <x:c r="H5" s="83" t="str">
        <x:v>To prove that social conditions are the sole cause of every problem.</x:v>
      </x:c>
      <x:c r="I5" s="83" t="str">
        <x:v>To determine which family member is responsible for the client’s difficulties.</x:v>
      </x:c>
      <x:c r="J5" s="83" t="str">
        <x:v>To understand how personal, relational, cultural, environmental, and system factors interact with functioning and needs.</x:v>
      </x:c>
      <x:c r="K5" s="83" t="str">
        <x:v>D</x:v>
      </x:c>
      <x:c r="L5" s="83" t="str">
        <x:v>Incorrect. Environmental assessment complements rather than replaces clinical and safety assessment.</x:v>
      </x:c>
      <x:c r="M5" s="83" t="str">
        <x:v>Incorrect. The approach is integrative and does not assume a single cause.</x:v>
      </x:c>
      <x:c r="N5" s="83" t="str">
        <x:v>Incorrect. The purpose is contextual understanding, not blame assignment.</x:v>
      </x:c>
      <x:c r="O5" s="83" t="str">
        <x:v>Correct. Person-in-environment reasoning integrates the individual with family, community, resources, barriers, institutions, and social conditions.</x:v>
      </x:c>
      <x:c r="P5" s="83" t="str">
        <x:v>A. Incorrect. Environmental assessment complements rather than replaces clinical and safety assessment.
B. Incorrect. The approach is integrative and does not assume a single cause.
C. Incorrect. The purpose is contextual understanding, not blame assignment.
D. Correct. Person-in-environment reasoning integrates the individual with family, community, resources, barriers, institutions, and social conditions.</x:v>
      </x:c>
      <x:c r="Q5" s="83" t="str">
        <x:v>Look beyond symptoms without losing the person: strengths, risks, relationships, resources, barriers, culture, and systems all matter.</x:v>
      </x:c>
      <x:c r="R5" s="89" t="str">
        <x:v>CTA LCSW Workbook 1</x:v>
      </x:c>
    </x:row>
    <x:row r="6">
      <x:c r="A6" s="88" t="str">
        <x:v>CTA-LCSW-MQB-0005</x:v>
      </x:c>
      <x:c r="B6" s="83" t="str">
        <x:v>LCSW-WB01-QB-Q005</x:v>
      </x:c>
      <x:c r="C6" s="83" t="str">
        <x:v>Workbook Question Bank</x:v>
      </x:c>
      <x:c r="D6" s="83" t="str">
        <x:v>Workbook 1</x:v>
      </x:c>
      <x:c r="E6" s="83" t="n">
        <x:v>3</x:v>
      </x:c>
      <x:c r="F6" s="83" t="str">
        <x:v>A court-referred client says, “I am only here because I have to be.” What should the social worker do FIRST?</x:v>
      </x:c>
      <x:c r="G6" s="83" t="str">
        <x:v>Acknowledge the client’s lack of choice, clarify the social worker’s role and limits, and ask what would make the contact useful to the client.</x:v>
      </x:c>
      <x:c r="H6" s="83" t="str">
        <x:v>Warn the client that resistance will be reported immediately.</x:v>
      </x:c>
      <x:c r="I6" s="83" t="str">
        <x:v>Begin a standardized treatment plan without discussing the referral.</x:v>
      </x:c>
      <x:c r="J6" s="83" t="str"/>
      <x:c r="K6" s="83" t="str">
        <x:v>A</x:v>
      </x:c>
      <x:c r="L6" s="83" t="str">
        <x:v>Correct. Transparent engagement respects the involuntary context while inviting client-defined goals and reducing unnecessary power struggles.</x:v>
      </x:c>
      <x:c r="M6" s="83" t="str">
        <x:v>Incorrect. Threatening language intensifies coercion and does not support engagement or accurate assessment.</x:v>
      </x:c>
      <x:c r="N6" s="83" t="str">
        <x:v>Incorrect. Planning before role clarification and engagement is premature.</x:v>
      </x:c>
      <x:c r="O6" s="83" t="str"/>
      <x:c r="P6" s="83" t="str">
        <x:v>A. Correct. Transparent engagement respects the involuntary context while inviting client-defined goals and reducing unnecessary power struggles.
B. Incorrect. Threatening language intensifies coercion and does not support engagement or accurate assessment.
C. Incorrect. Planning before role clarification and engagement is premature.</x:v>
      </x:c>
      <x:c r="Q6" s="83" t="str">
        <x:v>Name the mandate honestly, preserve available choices, and identify the client’s own concerns before planning.</x:v>
      </x:c>
      <x:c r="R6" s="89" t="str">
        <x:v>CTA LCSW Workbook 1</x:v>
      </x:c>
    </x:row>
    <x:row r="7">
      <x:c r="A7" s="88" t="str">
        <x:v>CTA-LCSW-MQB-0006</x:v>
      </x:c>
      <x:c r="B7" s="83" t="str">
        <x:v>LCSW-WB01-QB-Q006</x:v>
      </x:c>
      <x:c r="C7" s="83" t="str">
        <x:v>Workbook Question Bank</x:v>
      </x:c>
      <x:c r="D7" s="83" t="str">
        <x:v>Workbook 1</x:v>
      </x:c>
      <x:c r="E7" s="83" t="n">
        <x:v>3</x:v>
      </x:c>
      <x:c r="F7" s="83" t="str">
        <x:v>An adult client asks that family members receive no information about treatment. There is no immediate safety concern and no other authorization. What should the social worker do?</x:v>
      </x:c>
      <x:c r="G7" s="83" t="str">
        <x:v>Give the family general progress updates because they are concerned.</x:v>
      </x:c>
      <x:c r="H7" s="83" t="str">
        <x:v>Respect the client’s decision and explore whether the client wants any alternative support or limited involvement.</x:v>
      </x:c>
      <x:c r="I7" s="83" t="str">
        <x:v>Tell the family the client is refusing collaboration.</x:v>
      </x:c>
      <x:c r="J7" s="83" t="str"/>
      <x:c r="K7" s="83" t="str">
        <x:v>B</x:v>
      </x:c>
      <x:c r="L7" s="83" t="str">
        <x:v>Incorrect. Concern alone does not authorize disclosure.</x:v>
      </x:c>
      <x:c r="M7" s="83" t="str">
        <x:v>Correct. A competent adult controls ordinary disclosure. The social worker may explore support preferences without providing unauthorized updates.</x:v>
      </x:c>
      <x:c r="N7" s="83" t="str">
        <x:v>Incorrect. This itself discloses treatment information and frames autonomy as misconduct.</x:v>
      </x:c>
      <x:c r="O7" s="83" t="str"/>
      <x:c r="P7" s="83" t="str">
        <x:v>A. Incorrect. Concern alone does not authorize disclosure.
B. Correct. A competent adult controls ordinary disclosure. The social worker may explore support preferences without providing unauthorized updates.
C. Incorrect. This itself discloses treatment information and frames autonomy as misconduct.</x:v>
      </x:c>
      <x:c r="Q7" s="83" t="str">
        <x:v>Do not confuse family concern with permission. Follow the client’s informed preferences unless a valid exception applies.</x:v>
      </x:c>
      <x:c r="R7" s="89" t="str">
        <x:v>CTA LCSW Workbook 1</x:v>
      </x:c>
    </x:row>
    <x:row r="8">
      <x:c r="A8" s="88" t="str">
        <x:v>CTA-LCSW-MQB-0007</x:v>
      </x:c>
      <x:c r="B8" s="83" t="str">
        <x:v>LCSW-WB01-QB-Q007</x:v>
      </x:c>
      <x:c r="C8" s="83" t="str">
        <x:v>Workbook Question Bank</x:v>
      </x:c>
      <x:c r="D8" s="83" t="str">
        <x:v>Workbook 1</x:v>
      </x:c>
      <x:c r="E8" s="83" t="n">
        <x:v>4</x:v>
      </x:c>
      <x:c r="F8" s="83" t="str">
        <x:v>A client and social worker agreed on a plan to reduce panic-related avoidance. After several weeks, what should the social worker do NEXT?</x:v>
      </x:c>
      <x:c r="G8" s="83" t="str">
        <x:v>Assume the plan is effective because the client attended sessions.</x:v>
      </x:c>
      <x:c r="H8" s="83" t="str">
        <x:v>Add another intervention before asking what changed.</x:v>
      </x:c>
      <x:c r="I8" s="83" t="str">
        <x:v>Review symptom, functioning, client-experience, and goal data and revise the plan based on the response.</x:v>
      </x:c>
      <x:c r="J8" s="83" t="str">
        <x:v>End services because the planned time period has passed.</x:v>
      </x:c>
      <x:c r="K8" s="83" t="str">
        <x:v>C</x:v>
      </x:c>
      <x:c r="L8" s="83" t="str">
        <x:v>Incorrect. Attendance does not establish clinical or functional improvement.</x:v>
      </x:c>
      <x:c r="M8" s="83" t="str">
        <x:v>Incorrect. Adding methods without evaluation obscures effectiveness and fit.</x:v>
      </x:c>
      <x:c r="N8" s="83" t="str">
        <x:v>Correct. Intervention should be followed by evaluation. Outcome information determines whether to continue, adapt, consult, or change level of care.</x:v>
      </x:c>
      <x:c r="O8" s="83" t="str">
        <x:v>Incorrect. Time alone does not establish goal attainment or readiness for termination.</x:v>
      </x:c>
      <x:c r="P8" s="83" t="str">
        <x:v>A. Incorrect. Attendance does not establish clinical or functional improvement.
B. Incorrect. Adding methods without evaluation obscures effectiveness and fit.
C. Correct. Intervention should be followed by evaluation. Outcome information determines whether to continue, adapt, consult, or change level of care.
D. Incorrect. Time alone does not establish goal attainment or readiness for termination.</x:v>
      </x:c>
      <x:c r="Q8" s="83" t="str">
        <x:v>After implementing, measure. Ask what changed in symptoms, functioning, access, and client-defined goals.</x:v>
      </x:c>
      <x:c r="R8" s="89" t="str">
        <x:v>CTA LCSW Workbook 1</x:v>
      </x:c>
    </x:row>
    <x:row r="9">
      <x:c r="A9" s="88" t="str">
        <x:v>CTA-LCSW-MQB-0008</x:v>
      </x:c>
      <x:c r="B9" s="83" t="str">
        <x:v>LCSW-WB01-QB-Q008</x:v>
      </x:c>
      <x:c r="C9" s="83" t="str">
        <x:v>Workbook Question Bank</x:v>
      </x:c>
      <x:c r="D9" s="83" t="str">
        <x:v>Workbook 1</x:v>
      </x:c>
      <x:c r="E9" s="83" t="n">
        <x:v>4</x:v>
      </x:c>
      <x:c r="F9" s="83" t="str">
        <x:v>An employer refers a worker and asks the social worker for weekly reports. What should the social worker do FIRST?</x:v>
      </x:c>
      <x:c r="G9" s="83" t="str">
        <x:v>Promise the employer complete access because it pays for services.</x:v>
      </x:c>
      <x:c r="H9" s="83" t="str">
        <x:v>Refuse all employer communication under every circumstance.</x:v>
      </x:c>
      <x:c r="I9" s="83" t="str">
        <x:v>Begin treatment and decide what to report after several sessions.</x:v>
      </x:c>
      <x:c r="J9" s="83" t="str">
        <x:v>Clarify the social worker’s role, who the client is, what information is authorized, and the limits of confidentiality before services begin.</x:v>
      </x:c>
      <x:c r="K9" s="83" t="str">
        <x:v>D</x:v>
      </x:c>
      <x:c r="L9" s="83" t="str">
        <x:v>Incorrect. Payment does not create unlimited authority to receive clinical information.</x:v>
      </x:c>
      <x:c r="M9" s="83" t="str">
        <x:v>Incorrect. Limited communication may be appropriate when properly authorized and relevant.</x:v>
      </x:c>
      <x:c r="N9" s="83" t="str">
        <x:v>Incorrect. Waiting creates avoidable confusion and undermines informed participation.</x:v>
      </x:c>
      <x:c r="O9" s="83" t="str">
        <x:v>Correct. Third-party referrals require transparent role and information boundaries so the client can give informed consent and understand reporting expectations.</x:v>
      </x:c>
      <x:c r="P9" s="83" t="str">
        <x:v>A. Incorrect. Payment does not create unlimited authority to receive clinical information.
B. Incorrect. Limited communication may be appropriate when properly authorized and relevant.
C. Incorrect. Waiting creates avoidable confusion and undermines informed participation.
D. Correct. Third-party referrals require transparent role and information boundaries so the client can give informed consent and understand reporting expectations.</x:v>
      </x:c>
      <x:c r="Q9" s="83" t="str">
        <x:v>Before assessment content, establish who the client is and what information may flow to whom.</x:v>
      </x:c>
      <x:c r="R9" s="89" t="str">
        <x:v>CTA LCSW Workbook 1</x:v>
      </x:c>
    </x:row>
    <x:row r="10">
      <x:c r="A10" s="88" t="str">
        <x:v>CTA-LCSW-MQB-0009</x:v>
      </x:c>
      <x:c r="B10" s="83" t="str">
        <x:v>LCSW-WB01-QB-Q009</x:v>
      </x:c>
      <x:c r="C10" s="83" t="str">
        <x:v>Workbook Question Bank</x:v>
      </x:c>
      <x:c r="D10" s="83" t="str">
        <x:v>Workbook 1</x:v>
      </x:c>
      <x:c r="E10" s="83" t="n">
        <x:v>3</x:v>
      </x:c>
      <x:c r="F10" s="83" t="str">
        <x:v>An older adult with decision-making capacity chooses to remain at home despite fall risk. Which response is MOST appropriate?</x:v>
      </x:c>
      <x:c r="G10" s="83" t="str">
        <x:v>Explore the person’s goals, provide understandable risk information, and collaborate on the least restrictive safety supports the person will accept.</x:v>
      </x:c>
      <x:c r="H10" s="83" t="str">
        <x:v>Arrange placement over the client’s objection because falls are possible.</x:v>
      </x:c>
      <x:c r="I10" s="83" t="str">
        <x:v>Withdraw services because the client declined the safest recommendation.</x:v>
      </x:c>
      <x:c r="J10" s="83" t="str"/>
      <x:c r="K10" s="83" t="str">
        <x:v>A</x:v>
      </x:c>
      <x:c r="L10" s="83" t="str">
        <x:v>Correct. Capacity allows the client to make a risky choice. The social worker should support informed decision-making and harm reduction rather than impose placement.</x:v>
      </x:c>
      <x:c r="M10" s="83" t="str">
        <x:v>Incorrect. Risk alone does not eliminate autonomy when capacity is intact and no legal basis for override exists.</x:v>
      </x:c>
      <x:c r="N10" s="83" t="str">
        <x:v>Incorrect. The social worker can continue working on acceptable supports.</x:v>
      </x:c>
      <x:c r="O10" s="83" t="str"/>
      <x:c r="P10" s="83" t="str">
        <x:v>A. Correct. Capacity allows the client to make a risky choice. The social worker should support informed decision-making and harm reduction rather than impose placement.
B. Incorrect. Risk alone does not eliminate autonomy when capacity is intact and no legal basis for override exists.
C. Incorrect. The social worker can continue working on acceptable supports.</x:v>
      </x:c>
      <x:c r="Q10" s="83" t="str">
        <x:v>Capacity changes the response: inform, collaborate, reduce harm, and preserve the client’s decision.</x:v>
      </x:c>
      <x:c r="R10" s="89" t="str">
        <x:v>CTA LCSW Workbook 1</x:v>
      </x:c>
    </x:row>
    <x:row r="11">
      <x:c r="A11" s="88" t="str">
        <x:v>CTA-LCSW-MQB-0010</x:v>
      </x:c>
      <x:c r="B11" s="83" t="str">
        <x:v>LCSW-WB01-QB-Q010</x:v>
      </x:c>
      <x:c r="C11" s="83" t="str">
        <x:v>Workbook Question Bank</x:v>
      </x:c>
      <x:c r="D11" s="83" t="str">
        <x:v>Workbook 1</x:v>
      </x:c>
      <x:c r="E11" s="83" t="n">
        <x:v>3</x:v>
      </x:c>
      <x:c r="F11" s="83" t="str">
        <x:v>A test-taker flags an item because two answers appear plausible. What should the test-taker do during review?</x:v>
      </x:c>
      <x:c r="G11" s="83" t="str">
        <x:v>Choose the longer answer because it is more complete.</x:v>
      </x:c>
      <x:c r="H11" s="83" t="str">
        <x:v>Re-read the qualifier and identify which option fits the stage, role, and stated facts with fewer assumptions.</x:v>
      </x:c>
      <x:c r="I11" s="83" t="str">
        <x:v>Change to the answer letter used least often.</x:v>
      </x:c>
      <x:c r="J11" s="83" t="str"/>
      <x:c r="K11" s="83" t="str">
        <x:v>B</x:v>
      </x:c>
      <x:c r="L11" s="83" t="str">
        <x:v>Incorrect. Length does not establish relevance or sequence.</x:v>
      </x:c>
      <x:c r="M11" s="83" t="str">
        <x:v>Correct. Focused review compares timing and support rather than choosing by tone, length, or answer-letter pattern.</x:v>
      </x:c>
      <x:c r="N11" s="83" t="str">
        <x:v>Incorrect. Answer-position patterns are not a valid content strategy.</x:v>
      </x:c>
      <x:c r="O11" s="83" t="str"/>
      <x:c r="P11" s="83" t="str">
        <x:v>A. Incorrect. Length does not establish relevance or sequence.
B. Correct. Focused review compares timing and support rather than choosing by tone, length, or answer-letter pattern.
C. Incorrect. Answer-position patterns are not a valid content strategy.</x:v>
      </x:c>
      <x:c r="Q11" s="83" t="str">
        <x:v>When two answers could eventually help, choose the one that is supported now and answers the exact question.</x:v>
      </x:c>
      <x:c r="R11" s="89" t="str">
        <x:v>CTA LCSW Workbook 1</x:v>
      </x:c>
    </x:row>
    <x:row r="12">
      <x:c r="A12" s="88" t="str">
        <x:v>CTA-LCSW-MQB-0011</x:v>
      </x:c>
      <x:c r="B12" s="83" t="str">
        <x:v>LCSW-WB01-QB-Q011</x:v>
      </x:c>
      <x:c r="C12" s="83" t="str">
        <x:v>Workbook Question Bank</x:v>
      </x:c>
      <x:c r="D12" s="83" t="str">
        <x:v>Workbook 1</x:v>
      </x:c>
      <x:c r="E12" s="83" t="n">
        <x:v>3</x:v>
      </x:c>
      <x:c r="F12" s="83" t="str">
        <x:v>A refugee client says previous agencies shared information without permission and refuses to complete intake paperwork. What should the social worker do FIRST?</x:v>
      </x:c>
      <x:c r="G12" s="83" t="str">
        <x:v>Insist that every form be completed before any conversation.</x:v>
      </x:c>
      <x:c r="H12" s="83" t="str">
        <x:v>Promise that no information will ever be shared under any circumstance.</x:v>
      </x:c>
      <x:c r="I12" s="83" t="str">
        <x:v>Acknowledge the prior harm, explain the current role and confidentiality limits clearly, identify available choices, and ask about the client’s most immediate concern.</x:v>
      </x:c>
      <x:c r="J12" s="83" t="str"/>
      <x:c r="K12" s="83" t="str">
        <x:v>C</x:v>
      </x:c>
      <x:c r="L12" s="83" t="str">
        <x:v>Incorrect. Rigid form completion can repeat the client’s experience of lost control and reduce accurate engagement.</x:v>
      </x:c>
      <x:c r="M12" s="83" t="str">
        <x:v>Incorrect. An absolute promise may be inaccurate because legal or safety exceptions can apply.</x:v>
      </x:c>
      <x:c r="N12" s="83" t="str">
        <x:v>Correct. Transparent engagement addresses mistrust and power without demanding disclosure before safety and informed participation are established.</x:v>
      </x:c>
      <x:c r="O12" s="83" t="str"/>
      <x:c r="P12" s="83" t="str">
        <x:v>A. Incorrect. Rigid form completion can repeat the client’s experience of lost control and reduce accurate engagement.
B. Incorrect. An absolute promise may be inaccurate because legal or safety exceptions can apply.
C. Correct. Transparent engagement addresses mistrust and power without demanding disclosure before safety and informed participation are established.</x:v>
      </x:c>
      <x:c r="Q12" s="83" t="str">
        <x:v>Repair trust with accuracy and choice; do not overpromise or force disclosure.</x:v>
      </x:c>
      <x:c r="R12" s="89" t="str">
        <x:v>CTA LCSW Workbook 1</x:v>
      </x:c>
    </x:row>
    <x:row r="13">
      <x:c r="A13" s="88" t="str">
        <x:v>CTA-LCSW-MQB-0012</x:v>
      </x:c>
      <x:c r="B13" s="83" t="str">
        <x:v>LCSW-WB01-QB-Q012</x:v>
      </x:c>
      <x:c r="C13" s="83" t="str">
        <x:v>Workbook Question Bank</x:v>
      </x:c>
      <x:c r="D13" s="83" t="str">
        <x:v>Workbook 1</x:v>
      </x:c>
      <x:c r="E13" s="83" t="n">
        <x:v>4</x:v>
      </x:c>
      <x:c r="F13" s="83" t="str">
        <x:v>A client with limited English proficiency reports that food-assistance offices have no interpreter and online forms are unreadable. What should the social worker do NEXT?</x:v>
      </x:c>
      <x:c r="G13" s="83" t="str">
        <x:v>Ask the client’s young child to interpret the benefits application.</x:v>
      </x:c>
      <x:c r="H13" s="83" t="str">
        <x:v>Give the client the same online link again.</x:v>
      </x:c>
      <x:c r="I13" s="83" t="str">
        <x:v>Complete and submit every form without involving the client.</x:v>
      </x:c>
      <x:c r="J13" s="83" t="str">
        <x:v>Arrange qualified language access, verify accessible application options, and collaborate on a warm handoff while preserving the client’s choices.</x:v>
      </x:c>
      <x:c r="K13" s="83" t="str">
        <x:v>D</x:v>
      </x:c>
      <x:c r="L13" s="83" t="str">
        <x:v>Incorrect. Using a child for complex confidential interpretation can create accuracy, burden, and privacy problems.</x:v>
      </x:c>
      <x:c r="M13" s="83" t="str">
        <x:v>Incorrect. Repeating an inaccessible referral does not address the barrier.</x:v>
      </x:c>
      <x:c r="N13" s="83" t="str">
        <x:v>Incorrect. This undermines informed participation and may introduce errors or unwanted choices.</x:v>
      </x:c>
      <x:c r="O13" s="83" t="str">
        <x:v>Correct. The barrier is not lack of motivation; it is inaccessible service delivery. The social worker should reduce language and literacy barriers and confirm connection.</x:v>
      </x:c>
      <x:c r="P13" s="83" t="str">
        <x:v>A. Incorrect. Using a child for complex confidential interpretation can create accuracy, burden, and privacy problems.
B. Incorrect. Repeating an inaccessible referral does not address the barrier.
C. Incorrect. This undermines informed participation and may introduce errors or unwanted choices.
D. Correct. The barrier is not lack of motivation; it is inaccessible service delivery. The social worker should reduce language and literacy barriers and confirm connection.</x:v>
      </x:c>
      <x:c r="Q13" s="83" t="str">
        <x:v>When the pathway is inaccessible, adapt the pathway—not the client’s motivation.</x:v>
      </x:c>
      <x:c r="R13" s="89" t="str">
        <x:v>CTA LCSW Workbook 1</x:v>
      </x:c>
    </x:row>
    <x:row r="14">
      <x:c r="A14" s="88" t="str">
        <x:v>CTA-LCSW-MQB-0013</x:v>
      </x:c>
      <x:c r="B14" s="83" t="str">
        <x:v>LCSW-WB01-QB-Q013</x:v>
      </x:c>
      <x:c r="C14" s="83" t="str">
        <x:v>Workbook Question Bank</x:v>
      </x:c>
      <x:c r="D14" s="83" t="str">
        <x:v>Workbook 1</x:v>
      </x:c>
      <x:c r="E14" s="83" t="n">
        <x:v>3</x:v>
      </x:c>
      <x:c r="F14" s="83" t="str">
        <x:v>Residents ask a community social worker for help responding to escalating neighborhood violence. What should the social worker do FIRST?</x:v>
      </x:c>
      <x:c r="G14" s="83" t="str">
        <x:v>Engage residents and relevant stakeholders to assess safety priorities, community strengths, affected groups, existing efforts, and desired participation.</x:v>
      </x:c>
      <x:c r="H14" s="83" t="str">
        <x:v>Select a police-led strategy without resident input.</x:v>
      </x:c>
      <x:c r="I14" s="83" t="str">
        <x:v>Create a media campaign before identifying the problem and goals.</x:v>
      </x:c>
      <x:c r="J14" s="83" t="str"/>
      <x:c r="K14" s="83" t="str">
        <x:v>A</x:v>
      </x:c>
      <x:c r="L14" s="83" t="str">
        <x:v>Correct. Community practice begins with participatory assessment rather than imposing a professionally selected solution.</x:v>
      </x:c>
      <x:c r="M14" s="83" t="str">
        <x:v>Incorrect. This bypasses community knowledge, trust, and self-determination.</x:v>
      </x:c>
      <x:c r="N14" s="83" t="str">
        <x:v>Incorrect. A tactic should follow assessment of priorities, power, risks, and resources.</x:v>
      </x:c>
      <x:c r="O14" s="83" t="str"/>
      <x:c r="P14" s="83" t="str">
        <x:v>A. Correct. Community practice begins with participatory assessment rather than imposing a professionally selected solution.
B. Incorrect. This bypasses community knowledge, trust, and self-determination.
C. Incorrect. A tactic should follow assessment of priorities, power, risks, and resources.</x:v>
      </x:c>
      <x:c r="Q14" s="83" t="str">
        <x:v>At the community level, assess with residents—not for them—before choosing a strategy.</x:v>
      </x:c>
      <x:c r="R14" s="89" t="str">
        <x:v>CTA LCSW Workbook 1</x:v>
      </x:c>
    </x:row>
    <x:row r="15">
      <x:c r="A15" s="88" t="str">
        <x:v>CTA-LCSW-MQB-0014</x:v>
      </x:c>
      <x:c r="B15" s="83" t="str">
        <x:v>LCSW-WB01-QB-Q014</x:v>
      </x:c>
      <x:c r="C15" s="83" t="str">
        <x:v>Workbook Question Bank</x:v>
      </x:c>
      <x:c r="D15" s="83" t="str">
        <x:v>Workbook 1</x:v>
      </x:c>
      <x:c r="E15" s="83" t="n">
        <x:v>3</x:v>
      </x:c>
      <x:c r="F15" s="83" t="str">
        <x:v>A social worker notices avoiding a client whose history resembles the social worker’s own trauma. What should the social worker do FIRST?</x:v>
      </x:c>
      <x:c r="G15" s="83" t="str">
        <x:v>Tell the client detailed personal trauma history to explain the avoidance.</x:v>
      </x:c>
      <x:c r="H15" s="83" t="str">
        <x:v>Seek supervision or consultation, assess the effect on care, and adjust practice as needed to protect the client.</x:v>
      </x:c>
      <x:c r="I15" s="83" t="str">
        <x:v>Continue unchanged and rely on willpower.</x:v>
      </x:c>
      <x:c r="J15" s="83" t="str"/>
      <x:c r="K15" s="83" t="str">
        <x:v>B</x:v>
      </x:c>
      <x:c r="L15" s="83" t="str">
        <x:v>Incorrect. This shifts the burden to the client and may not serve the client’s needs.</x:v>
      </x:c>
      <x:c r="M15" s="83" t="str">
        <x:v>Correct. Early recognition and consultation can prevent countertransference from distorting assessment, boundaries, attendance, or intervention.</x:v>
      </x:c>
      <x:c r="N15" s="83" t="str">
        <x:v>Incorrect. Unexamined avoidance can impair care and should be addressed proactively.</x:v>
      </x:c>
      <x:c r="O15" s="83" t="str"/>
      <x:c r="P15" s="83" t="str">
        <x:v>A. Incorrect. This shifts the burden to the client and may not serve the client’s needs.
B. Correct. Early recognition and consultation can prevent countertransference from distorting assessment, boundaries, attendance, or intervention.
C. Incorrect. Unexamined avoidance can impair care and should be addressed proactively.</x:v>
      </x:c>
      <x:c r="Q15" s="83" t="str">
        <x:v>Recognize the reaction, bring it to supervision, and change practice before the client bears the cost.</x:v>
      </x:c>
      <x:c r="R15" s="89" t="str">
        <x:v>CTA LCSW Workbook 1</x:v>
      </x:c>
    </x:row>
    <x:row r="16">
      <x:c r="A16" s="88" t="str">
        <x:v>CTA-LCSW-MQB-0015</x:v>
      </x:c>
      <x:c r="B16" s="83" t="str">
        <x:v>LCSW-WB01-QB-Q015</x:v>
      </x:c>
      <x:c r="C16" s="83" t="str">
        <x:v>Workbook Question Bank</x:v>
      </x:c>
      <x:c r="D16" s="83" t="str">
        <x:v>Workbook 1</x:v>
      </x:c>
      <x:c r="E16" s="83" t="n">
        <x:v>4</x:v>
      </x:c>
      <x:c r="F16" s="83" t="str">
        <x:v>An older adult with limited English proficiency has utilities scheduled for shutoff, appears confused about medications, and refuses a facility placement proposed by family. What should the social worker do FIRST?</x:v>
      </x:c>
      <x:c r="G16" s="83" t="str">
        <x:v>Accept the family’s placement decision because they know the client best.</x:v>
      </x:c>
      <x:c r="H16" s="83" t="str">
        <x:v>Focus only on the utility shutoff because it has a clear deadline.</x:v>
      </x:c>
      <x:c r="I16" s="83" t="str">
        <x:v>Use qualified language access to assess immediate safety, health and medication concerns, decision-making capacity, the client’s preferences, supports, and least restrictive options.</x:v>
      </x:c>
      <x:c r="J16" s="83" t="str">
        <x:v>Ask a family member to interpret and decide whether the client understands.</x:v>
      </x:c>
      <x:c r="K16" s="83" t="str">
        <x:v>C</x:v>
      </x:c>
      <x:c r="L16" s="83" t="str">
        <x:v>Incorrect. Family concern does not replace the client’s rights, capacity assessment, or informed preferences.</x:v>
      </x:c>
      <x:c r="M16" s="83" t="str">
        <x:v>Incorrect. The case also contains possible medication and cognitive risk that may be more urgent.</x:v>
      </x:c>
      <x:c r="N16" s="83" t="str">
        <x:v>Correct. The social worker must obtain accurate communication before evaluating capacity, medical risk, autonomy, resources, and the family’s proposed placement.</x:v>
      </x:c>
      <x:c r="O16" s="83" t="str">
        <x:v>Incorrect. Family interpretation can distort sensitive information and cannot substitute for qualified language access in a high-stakes capacity assessment.</x:v>
      </x:c>
      <x:c r="P16" s="83" t="str">
        <x:v>A. Incorrect. Family concern does not replace the client’s rights, capacity assessment, or informed preferences.
B. Incorrect. The case also contains possible medication and cognitive risk that may be more urgent.
C. Correct. The social worker must obtain accurate communication before evaluating capacity, medical risk, autonomy, resources, and the family’s proposed placement.
D. Incorrect. Family interpretation can distort sensitive information and cannot substitute for qualified language access in a high-stakes capacity assessment.</x:v>
      </x:c>
      <x:c r="Q16" s="83" t="str">
        <x:v>Make communication accurate first, then assess safety, capacity, preferences, and feasible supports.</x:v>
      </x:c>
      <x:c r="R16" s="89" t="str">
        <x:v>CTA LCSW Workbook 1</x:v>
      </x:c>
    </x:row>
    <x:row r="17">
      <x:c r="A17" s="88" t="str">
        <x:v>CTA-LCSW-MQB-0016</x:v>
      </x:c>
      <x:c r="B17" s="83" t="str">
        <x:v>LCSW-WB01-QB-Q016</x:v>
      </x:c>
      <x:c r="C17" s="83" t="str">
        <x:v>Workbook Question Bank</x:v>
      </x:c>
      <x:c r="D17" s="83" t="str">
        <x:v>Workbook 1</x:v>
      </x:c>
      <x:c r="E17" s="83" t="n">
        <x:v>4</x:v>
      </x:c>
      <x:c r="F17" s="83" t="str">
        <x:v>A hospitalized client remains suicidal, lacks insurance, cannot afford prescribed medication, and has no transportation to follow-up care. The team plans discharge today. What should the social worker do NEXT?</x:v>
      </x:c>
      <x:c r="G17" s="83" t="str">
        <x:v>Provide a crisis-line number and proceed with discharge.</x:v>
      </x:c>
      <x:c r="H17" s="83" t="str">
        <x:v>Tell the client to return to the emergency department if symptoms worsen.</x:v>
      </x:c>
      <x:c r="I17" s="83" t="str">
        <x:v>Focus only on obtaining insurance because financial access is the main problem.</x:v>
      </x:c>
      <x:c r="J17" s="83" t="str">
        <x:v>Communicate the current risk to the team and coordinate a safe, feasible plan addressing level of care, medication access, transportation, follow-up, and crisis supports before discharge.</x:v>
      </x:c>
      <x:c r="K17" s="83" t="str">
        <x:v>D</x:v>
      </x:c>
      <x:c r="L17" s="83" t="str">
        <x:v>Incorrect. A number alone does not resolve current risk, medication, transportation, or follow-up barriers.</x:v>
      </x:c>
      <x:c r="M17" s="83" t="str">
        <x:v>Incorrect. This shifts responsibility to the client without addressing foreseeable barriers and present risk.</x:v>
      </x:c>
      <x:c r="N17" s="83" t="str">
        <x:v>Incorrect. Insurance is important, but immediate suicide risk and safe level of care are controlling priorities.</x:v>
      </x:c>
      <x:c r="O17" s="83" t="str">
        <x:v>Correct. Current suicide risk and major access barriers make routine discharge unsafe without interdisciplinary reassessment and concrete continuity arrangements.</x:v>
      </x:c>
      <x:c r="P17" s="83" t="str">
        <x:v>A. Incorrect. A number alone does not resolve current risk, medication, transportation, or follow-up barriers.
B. Incorrect. This shifts responsibility to the client without addressing foreseeable barriers and present risk.
C. Incorrect. Insurance is important, but immediate suicide risk and safe level of care are controlling priorities.
D. Correct. Current suicide risk and major access barriers make routine discharge unsafe without interdisciplinary reassessment and concrete continuity arrangements.</x:v>
      </x:c>
      <x:c r="Q17" s="83" t="str">
        <x:v>Discharge must be both clinically safe and practically executable; address risk and access together.</x:v>
      </x:c>
      <x:c r="R17" s="89" t="str">
        <x:v>CTA LCSW Workbook 1</x:v>
      </x:c>
    </x:row>
    <x:row r="18">
      <x:c r="A18" s="88" t="str">
        <x:v>CTA-LCSW-MQB-0017</x:v>
      </x:c>
      <x:c r="B18" s="83" t="str">
        <x:v>LCSW-WB01-QB-Q017</x:v>
      </x:c>
      <x:c r="C18" s="83" t="str">
        <x:v>Workbook Question Bank</x:v>
      </x:c>
      <x:c r="D18" s="83" t="str">
        <x:v>Workbook 1</x:v>
      </x:c>
      <x:c r="E18" s="83" t="n">
        <x:v>3</x:v>
      </x:c>
      <x:c r="F18" s="83" t="str">
        <x:v>An agency pressures a social worker to close a case for low attendance. The client has intermittent suicidal ideation, transportation problems, and difficulty understanding written notices. What should the social worker do NEXT?</x:v>
      </x:c>
      <x:c r="G18" s="83" t="str">
        <x:v>Reassess suicide risk and access barriers with the client, use accessible communication, consult supervision about the closure pressure, and create a documented continuity plan.</x:v>
      </x:c>
      <x:c r="H18" s="83" t="str">
        <x:v>Close the case because uniform policy application is always equitable.</x:v>
      </x:c>
      <x:c r="I18" s="83" t="str">
        <x:v>Ignore the agency indefinitely and continue services secretly.</x:v>
      </x:c>
      <x:c r="J18" s="83" t="str"/>
      <x:c r="K18" s="83" t="str">
        <x:v>A</x:v>
      </x:c>
      <x:c r="L18" s="83" t="str">
        <x:v>Correct. The social worker must integrate safety, disability or literacy access, policy, supervision, and continuity rather than treating attendance as a simple compliance issue.</x:v>
      </x:c>
      <x:c r="M18" s="83" t="str">
        <x:v>Incorrect. Identical procedure can be inequitable when known access and comprehension barriers are not addressed.</x:v>
      </x:c>
      <x:c r="N18" s="83" t="str">
        <x:v>Incorrect. This avoids responsible consultation and can create additional organizational and continuity risks.</x:v>
      </x:c>
      <x:c r="O18" s="83" t="str"/>
      <x:c r="P18" s="83" t="str">
        <x:v>A. Correct. The social worker must integrate safety, disability or literacy access, policy, supervision, and continuity rather than treating attendance as a simple compliance issue.
B. Incorrect. Identical procedure can be inequitable when known access and comprehension barriers are not addressed.
C. Incorrect. This avoids responsible consultation and can create additional organizational and continuity risks.</x:v>
      </x:c>
      <x:c r="Q18" s="83" t="str">
        <x:v>Before closure, make the process accessible, reassess danger, address barriers, and use supervision to protect continuity.</x:v>
      </x:c>
      <x:c r="R18" s="89" t="str">
        <x:v>CTA LCSW Workbook 1</x:v>
      </x:c>
    </x:row>
    <x:row r="19">
      <x:c r="A19" s="88" t="str">
        <x:v>CTA-LCSW-MQB-0018</x:v>
      </x:c>
      <x:c r="B19" s="83" t="str">
        <x:v>LCSW-WB02-QB-Q001</x:v>
      </x:c>
      <x:c r="C19" s="83" t="str">
        <x:v>Workbook Question Bank</x:v>
      </x:c>
      <x:c r="D19" s="83" t="str">
        <x:v>Workbook 2</x:v>
      </x:c>
      <x:c r="E19" s="83" t="n">
        <x:v>3</x:v>
      </x:c>
      <x:c r="F19" s="83" t="str">
        <x:v>Which action BEST translates the social work value of dignity and worth into practice?</x:v>
      </x:c>
      <x:c r="G19" s="83" t="str">
        <x:v>Agreeing with every client request regardless of safety or scope.</x:v>
      </x:c>
      <x:c r="H19" s="83" t="str">
        <x:v>Using respectful language and involving the client in decisions that affect the client.</x:v>
      </x:c>
      <x:c r="I19" s="83" t="str">
        <x:v>Making decisions for the client to reduce stress.</x:v>
      </x:c>
      <x:c r="J19" s="83" t="str"/>
      <x:c r="K19" s="83" t="str">
        <x:v>B</x:v>
      </x:c>
      <x:c r="L19" s="83" t="str">
        <x:v>Incorrect. Respect does not eliminate professional duties or safety limits.</x:v>
      </x:c>
      <x:c r="M19" s="83" t="str">
        <x:v>Correct. Dignity and worth are demonstrated through respect, participation, and nonpunitive treatment.</x:v>
      </x:c>
      <x:c r="N19" s="83" t="str">
        <x:v>Incorrect. Paternalism can undermine participation and self-determination.</x:v>
      </x:c>
      <x:c r="O19" s="83" t="str"/>
      <x:c r="P19" s="83" t="str">
        <x:v>A. Incorrect. Respect does not eliminate professional duties or safety limits.
B. Correct. Dignity and worth are demonstrated through respect, participation, and nonpunitive treatment.
C. Incorrect. Paternalism can undermine participation and self-determination.</x:v>
      </x:c>
      <x:c r="Q19" s="83" t="str">
        <x:v>Look for the answer that preserves the client's voice without abandoning professional responsibility.</x:v>
      </x:c>
      <x:c r="R19" s="89" t="str">
        <x:v>CTA LCSW Workbook 2</x:v>
      </x:c>
    </x:row>
    <x:row r="20">
      <x:c r="A20" s="88" t="str">
        <x:v>CTA-LCSW-MQB-0019</x:v>
      </x:c>
      <x:c r="B20" s="83" t="str">
        <x:v>LCSW-WB02-QB-Q002</x:v>
      </x:c>
      <x:c r="C20" s="83" t="str">
        <x:v>Workbook Question Bank</x:v>
      </x:c>
      <x:c r="D20" s="83" t="str">
        <x:v>Workbook 2</x:v>
      </x:c>
      <x:c r="E20" s="83" t="n">
        <x:v>3</x:v>
      </x:c>
      <x:c r="F20" s="83" t="str">
        <x:v>Why is informed consent considered an ongoing process?</x:v>
      </x:c>
      <x:c r="G20" s="83" t="str">
        <x:v>Because understanding and choice must be revisited when roles, risks, participants, technology, or services change.</x:v>
      </x:c>
      <x:c r="H20" s="83" t="str">
        <x:v>Because the client must sign the same form at every contact.</x:v>
      </x:c>
      <x:c r="I20" s="83" t="str">
        <x:v>Because informed consent is needed only after a problem occurs.</x:v>
      </x:c>
      <x:c r="J20" s="83" t="str"/>
      <x:c r="K20" s="83" t="str">
        <x:v>A</x:v>
      </x:c>
      <x:c r="L20" s="83" t="str">
        <x:v>Correct. A signature cannot anticipate every material change in the service relationship.</x:v>
      </x:c>
      <x:c r="M20" s="83" t="str">
        <x:v>Incorrect. Ongoing consent is a communication process, not automatic repetitive paperwork.</x:v>
      </x:c>
      <x:c r="N20" s="83" t="str">
        <x:v>Incorrect. Consent begins before or at service initiation and continues as circumstances change.</x:v>
      </x:c>
      <x:c r="O20" s="83" t="str"/>
      <x:c r="P20" s="83" t="str">
        <x:v>A. Correct. A signature cannot anticipate every material change in the service relationship.
B. Incorrect. Ongoing consent is a communication process, not automatic repetitive paperwork.
C. Incorrect. Consent begins before or at service initiation and continues as circumstances change.</x:v>
      </x:c>
      <x:c r="Q20" s="83" t="str">
        <x:v>Ask whether the client has understandable information and a meaningful choice under the current service conditions.</x:v>
      </x:c>
      <x:c r="R20" s="89" t="str">
        <x:v>CTA LCSW Workbook 2</x:v>
      </x:c>
    </x:row>
    <x:row r="21">
      <x:c r="A21" s="88" t="str">
        <x:v>CTA-LCSW-MQB-0020</x:v>
      </x:c>
      <x:c r="B21" s="83" t="str">
        <x:v>LCSW-WB02-QB-Q003</x:v>
      </x:c>
      <x:c r="C21" s="83" t="str">
        <x:v>Workbook Question Bank</x:v>
      </x:c>
      <x:c r="D21" s="83" t="str">
        <x:v>Workbook 2</x:v>
      </x:c>
      <x:c r="E21" s="83" t="n">
        <x:v>4</x:v>
      </x:c>
      <x:c r="F21" s="83" t="str">
        <x:v>Client self-determination may be limited MOST appropriately when:</x:v>
      </x:c>
      <x:c r="G21" s="83" t="str">
        <x:v>The social worker strongly disagrees with the client's values.</x:v>
      </x:c>
      <x:c r="H21" s="83" t="str">
        <x:v>The client chooses an option with some risk.</x:v>
      </x:c>
      <x:c r="I21" s="83" t="str">
        <x:v>A specific legal duty, decision-specific incapacity, or serious safety concern justifies a proportionate response.</x:v>
      </x:c>
      <x:c r="J21" s="83" t="str">
        <x:v>Family members prefer a different decision.</x:v>
      </x:c>
      <x:c r="K21" s="83" t="str">
        <x:v>C</x:v>
      </x:c>
      <x:c r="L21" s="83" t="str">
        <x:v>Incorrect. Professional disagreement alone does not justify overriding choice.</x:v>
      </x:c>
      <x:c r="M21" s="83" t="str">
        <x:v>Incorrect. Risky choice does not automatically establish incapacity or authority to control the client.</x:v>
      </x:c>
      <x:c r="N21" s="83" t="str">
        <x:v>Correct. Limits require a supported reason and should be no broader than necessary.</x:v>
      </x:c>
      <x:c r="O21" s="83" t="str">
        <x:v>Incorrect. Family concern can inform assessment but does not automatically replace an adult client's choice.</x:v>
      </x:c>
      <x:c r="P21" s="83" t="str">
        <x:v>A. Incorrect. Professional disagreement alone does not justify overriding choice.
B. Incorrect. Risky choice does not automatically establish incapacity or authority to control the client.
C. Correct. Limits require a supported reason and should be no broader than necessary.
D. Incorrect. Family concern can inform assessment but does not automatically replace an adult client's choice.</x:v>
      </x:c>
      <x:c r="Q21" s="83" t="str">
        <x:v>A limit needs a specific basis, not discomfort, disagreement, or general risk aversion.</x:v>
      </x:c>
      <x:c r="R21" s="89" t="str">
        <x:v>CTA LCSW Workbook 2</x:v>
      </x:c>
    </x:row>
    <x:row r="22">
      <x:c r="A22" s="88" t="str">
        <x:v>CTA-LCSW-MQB-0021</x:v>
      </x:c>
      <x:c r="B22" s="83" t="str">
        <x:v>LCSW-WB02-QB-Q004</x:v>
      </x:c>
      <x:c r="C22" s="83" t="str">
        <x:v>Workbook Question Bank</x:v>
      </x:c>
      <x:c r="D22" s="83" t="str">
        <x:v>Workbook 2</x:v>
      </x:c>
      <x:c r="E22" s="83" t="n">
        <x:v>4</x:v>
      </x:c>
      <x:c r="F22" s="83" t="str">
        <x:v>When a social worker lacks competence for a needed specialized service, the PRIMARY ethical responsibility is to:</x:v>
      </x:c>
      <x:c r="G22" s="83" t="str">
        <x:v>Attempt the service independently because access is limited.</x:v>
      </x:c>
      <x:c r="H22" s="83" t="str">
        <x:v>End all contact without transition.</x:v>
      </x:c>
      <x:c r="I22" s="83" t="str">
        <x:v>Ask the client to waive the competence concern.</x:v>
      </x:c>
      <x:c r="J22" s="83" t="str">
        <x:v>Protect continuity through supervision, consultation, training, referral, or coordinated alternatives.</x:v>
      </x:c>
      <x:c r="K22" s="83" t="str">
        <x:v>D</x:v>
      </x:c>
      <x:c r="L22" s="83" t="str">
        <x:v>Incorrect. Limited access does not create competence.</x:v>
      </x:c>
      <x:c r="M22" s="83" t="str">
        <x:v>Incorrect. Abrupt withdrawal can harm the client and ignores continuity.</x:v>
      </x:c>
      <x:c r="N22" s="83" t="str">
        <x:v>Incorrect. Client consent cannot create professional competence.</x:v>
      </x:c>
      <x:c r="O22" s="83" t="str">
        <x:v>Correct. Competence limits require a client-protective plan rather than concealment or abrupt abandonment.</x:v>
      </x:c>
      <x:c r="P22" s="83" t="str">
        <x:v>A. Incorrect. Limited access does not create competence.
B. Incorrect. Abrupt withdrawal can harm the client and ignores continuity.
C. Incorrect. Client consent cannot create professional competence.
D. Correct. Competence limits require a client-protective plan rather than concealment or abrupt abandonment.</x:v>
      </x:c>
      <x:c r="Q22" s="83" t="str">
        <x:v>A competence problem triggers a protection and continuity plan, not improvisation or abandonment.</x:v>
      </x:c>
      <x:c r="R22" s="89" t="str">
        <x:v>CTA LCSW Workbook 2</x:v>
      </x:c>
    </x:row>
    <x:row r="23">
      <x:c r="A23" s="88" t="str">
        <x:v>CTA-LCSW-MQB-0022</x:v>
      </x:c>
      <x:c r="B23" s="83" t="str">
        <x:v>LCSW-WB02-QB-Q005</x:v>
      </x:c>
      <x:c r="C23" s="83" t="str">
        <x:v>Workbook Question Bank</x:v>
      </x:c>
      <x:c r="D23" s="83" t="str">
        <x:v>Workbook 2</x:v>
      </x:c>
      <x:c r="E23" s="83" t="n">
        <x:v>3</x:v>
      </x:c>
      <x:c r="F23" s="83" t="str">
        <x:v>A capable adult client plans to stop a medical treatment because side effects threaten employment. What is the social worker's BEST response?</x:v>
      </x:c>
      <x:c r="G23" s="83" t="str">
        <x:v>Explore understanding, risks, alternatives, values, and access pressures, and support communication with the medical team while respecting informed choice.</x:v>
      </x:c>
      <x:c r="H23" s="83" t="str">
        <x:v>Tell the client to continue because the physician knows best.</x:v>
      </x:c>
      <x:c r="I23" s="83" t="str">
        <x:v>Avoid discussing the decision because it is medical.</x:v>
      </x:c>
      <x:c r="J23" s="83" t="str"/>
      <x:c r="K23" s="83" t="str">
        <x:v>A</x:v>
      </x:c>
      <x:c r="L23" s="83" t="str">
        <x:v>Correct. The worker supports self-determination and helps improve the quality of the decision without prescribing or coercing.</x:v>
      </x:c>
      <x:c r="M23" s="83" t="str">
        <x:v>Incorrect. This substitutes professional preference for informed client choice.</x:v>
      </x:c>
      <x:c r="N23" s="83" t="str">
        <x:v>Incorrect. The social worker can support understanding, values clarification, access, and coordination within role.</x:v>
      </x:c>
      <x:c r="O23" s="83" t="str"/>
      <x:c r="P23" s="83" t="str">
        <x:v>A. Correct. The worker supports self-determination and helps improve the quality of the decision without prescribing or coercing.
B. Incorrect. This substitutes professional preference for informed client choice.
C. Incorrect. The social worker can support understanding, values clarification, access, and coordination within role.</x:v>
      </x:c>
      <x:c r="Q23" s="83" t="str">
        <x:v>Help the client make an informed decision; do not take over the medical choice.</x:v>
      </x:c>
      <x:c r="R23" s="89" t="str">
        <x:v>CTA LCSW Workbook 2</x:v>
      </x:c>
    </x:row>
    <x:row r="24">
      <x:c r="A24" s="88" t="str">
        <x:v>CTA-LCSW-MQB-0023</x:v>
      </x:c>
      <x:c r="B24" s="83" t="str">
        <x:v>LCSW-WB02-QB-Q006</x:v>
      </x:c>
      <x:c r="C24" s="83" t="str">
        <x:v>Workbook Question Bank</x:v>
      </x:c>
      <x:c r="D24" s="83" t="str">
        <x:v>Workbook 2</x:v>
      </x:c>
      <x:c r="E24" s="83" t="n">
        <x:v>3</x:v>
      </x:c>
      <x:c r="F24" s="83" t="str">
        <x:v>A client offers a small handmade item with significant cultural meaning. What is the social worker's BEST next step?</x:v>
      </x:c>
      <x:c r="G24" s="83" t="str">
        <x:v>Accept it immediately because culture eliminates boundary concerns.</x:v>
      </x:c>
      <x:c r="H24" s="83" t="str">
        <x:v>Explore the meaning, value, policy, power dynamics, alternatives, and likely impact before deciding and explaining the response.</x:v>
      </x:c>
      <x:c r="I24" s="83" t="str">
        <x:v>Reject it without discussion because all gifts are unethical.</x:v>
      </x:c>
      <x:c r="J24" s="83" t="str"/>
      <x:c r="K24" s="83" t="str">
        <x:v>B</x:v>
      </x:c>
      <x:c r="L24" s="83" t="str">
        <x:v>Incorrect. Cultural meaning matters but does not erase power or policy considerations.</x:v>
      </x:c>
      <x:c r="M24" s="83" t="str">
        <x:v>Correct. A culturally responsive boundary decision avoids both automatic acceptance and automatic rejection.</x:v>
      </x:c>
      <x:c r="N24" s="83" t="str">
        <x:v>Incorrect. A rigid response can cause unnecessary harm and ignores context.</x:v>
      </x:c>
      <x:c r="O24" s="83" t="str"/>
      <x:c r="P24" s="83" t="str">
        <x:v>A. Incorrect. Cultural meaning matters but does not erase power or policy considerations.
B. Correct. A culturally responsive boundary decision avoids both automatic acceptance and automatic rejection.
C. Incorrect. A rigid response can cause unnecessary harm and ignores context.</x:v>
      </x:c>
      <x:c r="Q24" s="83" t="str">
        <x:v>Neither acceptance nor rejection is automatic; assess meaning, power, value, and impact.</x:v>
      </x:c>
      <x:c r="R24" s="89" t="str">
        <x:v>CTA LCSW Workbook 2</x:v>
      </x:c>
    </x:row>
    <x:row r="25">
      <x:c r="A25" s="88" t="str">
        <x:v>CTA-LCSW-MQB-0024</x:v>
      </x:c>
      <x:c r="B25" s="83" t="str">
        <x:v>LCSW-WB02-QB-Q007</x:v>
      </x:c>
      <x:c r="C25" s="83" t="str">
        <x:v>Workbook Question Bank</x:v>
      </x:c>
      <x:c r="D25" s="83" t="str">
        <x:v>Workbook 2</x:v>
      </x:c>
      <x:c r="E25" s="83" t="n">
        <x:v>4</x:v>
      </x:c>
      <x:c r="F25" s="83" t="str">
        <x:v>A social worker notices that yesterday's note lists the wrong medication and visit time. What should the worker do NEXT?</x:v>
      </x:c>
      <x:c r="G25" s="83" t="str">
        <x:v>Delete the note and recreate it as though the error never occurred.</x:v>
      </x:c>
      <x:c r="H25" s="83" t="str">
        <x:v>Leave the error because corrections increase liability.</x:v>
      </x:c>
      <x:c r="I25" s="83" t="str">
        <x:v>Correct the record through a dated, transparent amendment that preserves the original entry according to policy.</x:v>
      </x:c>
      <x:c r="J25" s="83" t="str">
        <x:v>Ask a coworker to edit the note under the coworker's login.</x:v>
      </x:c>
      <x:c r="K25" s="83" t="str">
        <x:v>C</x:v>
      </x:c>
      <x:c r="L25" s="83" t="str">
        <x:v>Incorrect. Silent deletion creates a misleading history.</x:v>
      </x:c>
      <x:c r="M25" s="83" t="str">
        <x:v>Incorrect. Known inaccuracies should be corrected appropriately.</x:v>
      </x:c>
      <x:c r="N25" s="83" t="str">
        <x:v>Correct. Record integrity requires an auditable correction rather than silent replacement or backdating.</x:v>
      </x:c>
      <x:c r="O25" s="83" t="str">
        <x:v>Incorrect. This misrepresents authorship and creates additional integrity problems.</x:v>
      </x:c>
      <x:c r="P25" s="83" t="str">
        <x:v>A. Incorrect. Silent deletion creates a misleading history.
B. Incorrect. Known inaccuracies should be corrected appropriately.
C. Correct. Record integrity requires an auditable correction rather than silent replacement or backdating.
D. Incorrect. This misrepresents authorship and creates additional integrity problems.</x:v>
      </x:c>
      <x:c r="Q25" s="83" t="str">
        <x:v>Correct errors openly; never erase history or misstate who made the change.</x:v>
      </x:c>
      <x:c r="R25" s="89" t="str">
        <x:v>CTA LCSW Workbook 2</x:v>
      </x:c>
    </x:row>
    <x:row r="26">
      <x:c r="A26" s="88" t="str">
        <x:v>CTA-LCSW-MQB-0025</x:v>
      </x:c>
      <x:c r="B26" s="83" t="str">
        <x:v>LCSW-WB02-QB-Q008</x:v>
      </x:c>
      <x:c r="C26" s="83" t="str">
        <x:v>Workbook Question Bank</x:v>
      </x:c>
      <x:c r="D26" s="83" t="str">
        <x:v>Workbook 2</x:v>
      </x:c>
      <x:c r="E26" s="83" t="n">
        <x:v>4</x:v>
      </x:c>
      <x:c r="F26" s="83" t="str">
        <x:v>An agency proposes using an automated risk score that has not been evaluated for bias in the population served. What should the social worker do FIRST?</x:v>
      </x:c>
      <x:c r="G26" s="83" t="str">
        <x:v>Use the score because automated decisions are objective.</x:v>
      </x:c>
      <x:c r="H26" s="83" t="str">
        <x:v>Reject all technology in social work.</x:v>
      </x:c>
      <x:c r="I26" s="83" t="str">
        <x:v>Hide the score from clients so it does not affect trust.</x:v>
      </x:c>
      <x:c r="J26" s="83" t="str">
        <x:v>Clarify how the tool was validated, examine potential disparities and human-review safeguards, and avoid using it as the sole decision-maker.</x:v>
      </x:c>
      <x:c r="K26" s="83" t="str">
        <x:v>D</x:v>
      </x:c>
      <x:c r="L26" s="83" t="str">
        <x:v>Incorrect. Algorithms can reproduce biased data and design assumptions.</x:v>
      </x:c>
      <x:c r="M26" s="83" t="str">
        <x:v>Incorrect. Technology can be useful when appropriately evaluated and governed.</x:v>
      </x:c>
      <x:c r="N26" s="83" t="str">
        <x:v>Incorrect. Lack of transparency does not resolve validity or fairness concerns.</x:v>
      </x:c>
      <x:c r="O26" s="83" t="str">
        <x:v>Correct. Technology must be evaluated for fairness, transparency, fit, and the consequences of error.</x:v>
      </x:c>
      <x:c r="P26" s="83" t="str">
        <x:v>A. Incorrect. Algorithms can reproduce biased data and design assumptions.
B. Incorrect. Technology can be useful when appropriately evaluated and governed.
C. Incorrect. Lack of transparency does not resolve validity or fairness concerns.
D. Correct. Technology must be evaluated for fairness, transparency, fit, and the consequences of error.</x:v>
      </x:c>
      <x:c r="Q26" s="83" t="str">
        <x:v>Do not confuse automation with neutrality; evaluate evidence, disparities, and safeguards.</x:v>
      </x:c>
      <x:c r="R26" s="89" t="str">
        <x:v>CTA LCSW Workbook 2</x:v>
      </x:c>
    </x:row>
    <x:row r="27">
      <x:c r="A27" s="88" t="str">
        <x:v>CTA-LCSW-MQB-0026</x:v>
      </x:c>
      <x:c r="B27" s="83" t="str">
        <x:v>LCSW-WB02-QB-Q009</x:v>
      </x:c>
      <x:c r="C27" s="83" t="str">
        <x:v>Workbook Question Bank</x:v>
      </x:c>
      <x:c r="D27" s="83" t="str">
        <x:v>Workbook 2</x:v>
      </x:c>
      <x:c r="E27" s="83" t="n">
        <x:v>3</x:v>
      </x:c>
      <x:c r="F27" s="83" t="str">
        <x:v>A client says the social worker's comment about "people from your culture" felt stereotyped. What should the social worker do NEXT?</x:v>
      </x:c>
      <x:c r="G27" s="83" t="str">
        <x:v>Acknowledge the impact, apologize without defensiveness, invite the client's perspective, and examine how bias and power affected the interaction.</x:v>
      </x:c>
      <x:c r="H27" s="83" t="str">
        <x:v>Explain that the comment was meant as cultural sensitivity.</x:v>
      </x:c>
      <x:c r="I27" s="83" t="str">
        <x:v>Change the subject to avoid making the client uncomfortable.</x:v>
      </x:c>
      <x:c r="J27" s="83" t="str"/>
      <x:c r="K27" s="83" t="str">
        <x:v>A</x:v>
      </x:c>
      <x:c r="L27" s="83" t="str">
        <x:v>Correct. Repair requires accountability and changed practice, not a debate about intent.</x:v>
      </x:c>
      <x:c r="M27" s="83" t="str">
        <x:v>Incorrect. Good intent does not erase impact.</x:v>
      </x:c>
      <x:c r="N27" s="83" t="str">
        <x:v>Incorrect. Avoidance leaves the harm and alliance rupture unresolved.</x:v>
      </x:c>
      <x:c r="O27" s="83" t="str"/>
      <x:c r="P27" s="83" t="str">
        <x:v>A. Correct. Repair requires accountability and changed practice, not a debate about intent.
B. Incorrect. Good intent does not erase impact.
C. Incorrect. Avoidance leaves the harm and alliance rupture unresolved.</x:v>
      </x:c>
      <x:c r="Q27" s="83" t="str">
        <x:v>Address impact first; intention is not the final ethical test.</x:v>
      </x:c>
      <x:c r="R27" s="89" t="str">
        <x:v>CTA LCSW Workbook 2</x:v>
      </x:c>
    </x:row>
    <x:row r="28">
      <x:c r="A28" s="88" t="str">
        <x:v>CTA-LCSW-MQB-0027</x:v>
      </x:c>
      <x:c r="B28" s="83" t="str">
        <x:v>LCSW-WB02-QB-Q010</x:v>
      </x:c>
      <x:c r="C28" s="83" t="str">
        <x:v>Workbook Question Bank</x:v>
      </x:c>
      <x:c r="D28" s="83" t="str">
        <x:v>Workbook 2</x:v>
      </x:c>
      <x:c r="E28" s="83" t="n">
        <x:v>3</x:v>
      </x:c>
      <x:c r="F28" s="83" t="str">
        <x:v>A hospital patient with decision-making capacity wants discharge home, while family members demand placement in a facility. What should the social worker do FIRST?</x:v>
      </x:c>
      <x:c r="G28" s="83" t="str">
        <x:v>Follow the family's demand because it appears safer.</x:v>
      </x:c>
      <x:c r="H28" s="83" t="str">
        <x:v>Clarify the patient's understanding and goals, assess practical safety needs, and support an informed discharge plan with services and alternatives.</x:v>
      </x:c>
      <x:c r="I28" s="83" t="str">
        <x:v>Refuse to discuss risks so the patient does not feel pressured.</x:v>
      </x:c>
      <x:c r="J28" s="83" t="str"/>
      <x:c r="K28" s="83" t="str">
        <x:v>B</x:v>
      </x:c>
      <x:c r="L28" s="83" t="str">
        <x:v>Incorrect. Family preference does not automatically override a capable adult.</x:v>
      </x:c>
      <x:c r="M28" s="83" t="str">
        <x:v>Correct. The capable patient's choice controls unless a specific legal or safety basis justifies a proportionate limit.</x:v>
      </x:c>
      <x:c r="N28" s="83" t="str">
        <x:v>Incorrect. Informed choice requires understandable discussion of risks and alternatives.</x:v>
      </x:c>
      <x:c r="O28" s="83" t="str"/>
      <x:c r="P28" s="83" t="str">
        <x:v>A. Incorrect. Family preference does not automatically override a capable adult.
B. Correct. The capable patient's choice controls unless a specific legal or safety basis justifies a proportionate limit.
C. Incorrect. Informed choice requires understandable discussion of risks and alternatives.</x:v>
      </x:c>
      <x:c r="Q28" s="83" t="str">
        <x:v>Assess decision-making ability and supports; do not equate disagreement with incapacity.</x:v>
      </x:c>
      <x:c r="R28" s="89" t="str">
        <x:v>CTA LCSW Workbook 2</x:v>
      </x:c>
    </x:row>
    <x:row r="29">
      <x:c r="A29" s="88" t="str">
        <x:v>CTA-LCSW-MQB-0028</x:v>
      </x:c>
      <x:c r="B29" s="83" t="str">
        <x:v>LCSW-WB02-QB-Q011</x:v>
      </x:c>
      <x:c r="C29" s="83" t="str">
        <x:v>Workbook Question Bank</x:v>
      </x:c>
      <x:c r="D29" s="83" t="str">
        <x:v>Workbook 2</x:v>
      </x:c>
      <x:c r="E29" s="83" t="n">
        <x:v>3</x:v>
      </x:c>
      <x:c r="F29" s="83" t="str">
        <x:v>An agency pressures staff to reduce visits for uninsured clients while keeping the same treatment goals and documenting services as complete. What should a social worker do FIRST?</x:v>
      </x:c>
      <x:c r="G29" s="83" t="str">
        <x:v>Shorten the visits and copy prior notes.</x:v>
      </x:c>
      <x:c r="H29" s="83" t="str">
        <x:v>Tell uninsured clients they are less motivated.</x:v>
      </x:c>
      <x:c r="I29" s="83" t="str">
        <x:v>Clarify the directive and its client impact, refuse inaccurate documentation, and use supervisory, ethics, or compliance channels to address the disparity.</x:v>
      </x:c>
      <x:c r="J29" s="83" t="str"/>
      <x:c r="K29" s="83" t="str">
        <x:v>C</x:v>
      </x:c>
      <x:c r="L29" s="83" t="str">
        <x:v>Incorrect. This misrepresents service and may harm care.</x:v>
      </x:c>
      <x:c r="M29" s="83" t="str">
        <x:v>Incorrect. The disparity is organizational, not evidence of client motivation.</x:v>
      </x:c>
      <x:c r="N29" s="83" t="str">
        <x:v>Correct. The issue combines record integrity, unequal access, and organizational accountability.</x:v>
      </x:c>
      <x:c r="O29" s="83" t="str"/>
      <x:c r="P29" s="83" t="str">
        <x:v>A. Incorrect. This misrepresents service and may harm care.
B. Incorrect. The disparity is organizational, not evidence of client motivation.
C. Correct. The issue combines record integrity, unequal access, and organizational accountability.</x:v>
      </x:c>
      <x:c r="Q29" s="83" t="str">
        <x:v>Refuse false records and address both immediate client harm and the system producing unequal care.</x:v>
      </x:c>
      <x:c r="R29" s="89" t="str">
        <x:v>CTA LCSW Workbook 2</x:v>
      </x:c>
    </x:row>
    <x:row r="30">
      <x:c r="A30" s="88" t="str">
        <x:v>CTA-LCSW-MQB-0029</x:v>
      </x:c>
      <x:c r="B30" s="83" t="str">
        <x:v>LCSW-WB02-QB-Q012</x:v>
      </x:c>
      <x:c r="C30" s="83" t="str">
        <x:v>Workbook Question Bank</x:v>
      </x:c>
      <x:c r="D30" s="83" t="str">
        <x:v>Workbook 2</x:v>
      </x:c>
      <x:c r="E30" s="83" t="n">
        <x:v>4</x:v>
      </x:c>
      <x:c r="F30" s="83" t="str">
        <x:v>A staff member repeatedly makes racist jokes in a program serving the targeted community. A client reports avoiding services because of it. What should the social worker do FIRST?</x:v>
      </x:c>
      <x:c r="G30" s="83" t="str">
        <x:v>Tell the client to ignore the jokes and focus on treatment.</x:v>
      </x:c>
      <x:c r="H30" s="83" t="str">
        <x:v>Wait until several clients complain.</x:v>
      </x:c>
      <x:c r="I30" s="83" t="str">
        <x:v>Confront the staff member publicly in front of clients without a plan.</x:v>
      </x:c>
      <x:c r="J30" s="83" t="str">
        <x:v>Address the immediate client impact and safety, document the concern, and use appropriate supervisory or organizational channels to stop the harmful conduct.</x:v>
      </x:c>
      <x:c r="K30" s="83" t="str">
        <x:v>D</x:v>
      </x:c>
      <x:c r="L30" s="83" t="str">
        <x:v>Incorrect. This minimizes harm and preserves the discriminatory environment.</x:v>
      </x:c>
      <x:c r="M30" s="83" t="str">
        <x:v>Incorrect. One credible report of harm warrants assessment and action.</x:v>
      </x:c>
      <x:c r="N30" s="83" t="str">
        <x:v>Incorrect. Action is needed, but it should protect clients and use effective accountable channels.</x:v>
      </x:c>
      <x:c r="O30" s="83" t="str">
        <x:v>Correct. The response must support the client and challenge the service barrier rather than treating it as a private interpersonal issue.</x:v>
      </x:c>
      <x:c r="P30" s="83" t="str">
        <x:v>A. Incorrect. This minimizes harm and preserves the discriminatory environment.
B. Incorrect. One credible report of harm warrants assessment and action.
C. Incorrect. Action is needed, but it should protect clients and use effective accountable channels.
D. Correct. The response must support the client and challenge the service barrier rather than treating it as a private interpersonal issue.</x:v>
      </x:c>
      <x:c r="Q30" s="83" t="str">
        <x:v>Support the harmed client and address the conduct that makes the service unsafe or inaccessible.</x:v>
      </x:c>
      <x:c r="R30" s="89" t="str">
        <x:v>CTA LCSW Workbook 2</x:v>
      </x:c>
    </x:row>
    <x:row r="31">
      <x:c r="A31" s="88" t="str">
        <x:v>CTA-LCSW-MQB-0030</x:v>
      </x:c>
      <x:c r="B31" s="83" t="str">
        <x:v>LCSW-WB02-QB-Q013</x:v>
      </x:c>
      <x:c r="C31" s="83" t="str">
        <x:v>Workbook Question Bank</x:v>
      </x:c>
      <x:c r="D31" s="83" t="str">
        <x:v>Workbook 2</x:v>
      </x:c>
      <x:c r="E31" s="83" t="n">
        <x:v>3</x:v>
      </x:c>
      <x:c r="F31" s="83" t="str">
        <x:v>A client is receiving involuntary inpatient treatment and says, "Nothing I want matters now." What is the social worker's BEST response?</x:v>
      </x:c>
      <x:c r="G31" s="83" t="str">
        <x:v>Explain the specific legal limits, identify choices that remain, involve the client in goals and daily decisions, and provide information about rights and review processes.</x:v>
      </x:c>
      <x:c r="H31" s="83" t="str">
        <x:v>Tell the client that safety rules eliminate the need for consent.</x:v>
      </x:c>
      <x:c r="I31" s="83" t="str">
        <x:v>Promise immediate discharge if the client cooperates.</x:v>
      </x:c>
      <x:c r="J31" s="83" t="str"/>
      <x:c r="K31" s="83" t="str">
        <x:v>A</x:v>
      </x:c>
      <x:c r="L31" s="83" t="str">
        <x:v>Correct. Involuntary status limits some choices but does not eliminate dignity, participation, or all self-determination.</x:v>
      </x:c>
      <x:c r="M31" s="83" t="str">
        <x:v>Incorrect. Even involuntary care requires transparency and participation where possible.</x:v>
      </x:c>
      <x:c r="N31" s="83" t="str">
        <x:v>Incorrect. The social worker should not make unsupported promises.</x:v>
      </x:c>
      <x:c r="O31" s="83" t="str"/>
      <x:c r="P31" s="83" t="str">
        <x:v>A. Correct. Involuntary status limits some choices but does not eliminate dignity, participation, or all self-determination.
B. Incorrect. Even involuntary care requires transparency and participation where possible.
C. Incorrect. The social worker should not make unsupported promises.</x:v>
      </x:c>
      <x:c r="Q31" s="83" t="str">
        <x:v>Identify exactly what is restricted and actively protect the choices that remain.</x:v>
      </x:c>
      <x:c r="R31" s="89" t="str">
        <x:v>CTA LCSW Workbook 2</x:v>
      </x:c>
    </x:row>
    <x:row r="32">
      <x:c r="A32" s="88" t="str">
        <x:v>CTA-LCSW-MQB-0031</x:v>
      </x:c>
      <x:c r="B32" s="83" t="str">
        <x:v>LCSW-WB02-QB-Q014</x:v>
      </x:c>
      <x:c r="C32" s="83" t="str">
        <x:v>Workbook Question Bank</x:v>
      </x:c>
      <x:c r="D32" s="83" t="str">
        <x:v>Workbook 2</x:v>
      </x:c>
      <x:c r="E32" s="83" t="n">
        <x:v>3</x:v>
      </x:c>
      <x:c r="F32" s="83" t="str">
        <x:v>An administrator orders social workers to record services that were never delivered so a grant will not be reduced. What should a social worker do FIRST?</x:v>
      </x:c>
      <x:c r="G32" s="83" t="str">
        <x:v>Comply because the funding supports vulnerable clients.</x:v>
      </x:c>
      <x:c r="H32" s="83" t="str">
        <x:v>Refuse to falsify records, preserve accurate documentation, and use compliance, ethics, leadership, or external channels proportionately.</x:v>
      </x:c>
      <x:c r="I32" s="83" t="str">
        <x:v>Delete all program records to prevent misuse.</x:v>
      </x:c>
      <x:c r="J32" s="83" t="str"/>
      <x:c r="K32" s="83" t="str">
        <x:v>B</x:v>
      </x:c>
      <x:c r="L32" s="83" t="str">
        <x:v>Incorrect. A beneficial goal does not justify false records.</x:v>
      </x:c>
      <x:c r="M32" s="83" t="str">
        <x:v>Correct. The directive involves fraud, record integrity, and organizational pressure; obedience does not remove individual accountability.</x:v>
      </x:c>
      <x:c r="N32" s="83" t="str">
        <x:v>Incorrect. Destruction would create further ethical and legal problems.</x:v>
      </x:c>
      <x:c r="O32" s="83" t="str"/>
      <x:c r="P32" s="83" t="str">
        <x:v>A. Incorrect. A beneficial goal does not justify false records.
B. Correct. The directive involves fraud, record integrity, and organizational pressure; obedience does not remove individual accountability.
C. Incorrect. Destruction would create further ethical and legal problems.</x:v>
      </x:c>
      <x:c r="Q32" s="83" t="str">
        <x:v>A worthy mission does not excuse falsification; protect records and use accountable channels.</x:v>
      </x:c>
      <x:c r="R32" s="89" t="str">
        <x:v>CTA LCSW Workbook 2</x:v>
      </x:c>
    </x:row>
    <x:row r="33">
      <x:c r="A33" s="88" t="str">
        <x:v>CTA-LCSW-MQB-0032</x:v>
      </x:c>
      <x:c r="B33" s="83" t="str">
        <x:v>LCSW-WB02-QB-Q015</x:v>
      </x:c>
      <x:c r="C33" s="83" t="str">
        <x:v>Workbook Question Bank</x:v>
      </x:c>
      <x:c r="D33" s="83" t="str">
        <x:v>Workbook 2</x:v>
      </x:c>
      <x:c r="E33" s="83" t="n">
        <x:v>4</x:v>
      </x:c>
      <x:c r="F33" s="83" t="str">
        <x:v>An older client with fluctuating cognition wants to give a large sum of money to a relative who controls transportation and answers all questions. What should the social worker do FIRST?</x:v>
      </x:c>
      <x:c r="G33" s="83" t="str">
        <x:v>Support the gift because generosity is the client's right.</x:v>
      </x:c>
      <x:c r="H33" s="83" t="str">
        <x:v>Ask the relative whether the client understands the decision.</x:v>
      </x:c>
      <x:c r="I33" s="83" t="str">
        <x:v>Assess decision-specific capacity, coercion, undue influence, exploitation risk, immediate safety, and the client's private perspective, and coordinate appropriate evaluation or protection.</x:v>
      </x:c>
      <x:c r="J33" s="83" t="str">
        <x:v>Tell the client that older adults may not make large gifts.</x:v>
      </x:c>
      <x:c r="K33" s="83" t="str">
        <x:v>C</x:v>
      </x:c>
      <x:c r="L33" s="83" t="str">
        <x:v>Incorrect. Self-determination depends on capacity and freedom from coercion.</x:v>
      </x:c>
      <x:c r="M33" s="83" t="str">
        <x:v>Incorrect. The potentially benefiting relative is not a neutral source and should not control the assessment.</x:v>
      </x:c>
      <x:c r="N33" s="83" t="str">
        <x:v>Correct. The combination of cognitive fluctuation, dependency, and financial pressure requires integrated capacity and exploitation assessment.</x:v>
      </x:c>
      <x:c r="O33" s="83" t="str">
        <x:v>Incorrect. Age alone does not remove decision-making rights.</x:v>
      </x:c>
      <x:c r="P33" s="83" t="str">
        <x:v>A. Incorrect. Self-determination depends on capacity and freedom from coercion.
B. Incorrect. The potentially benefiting relative is not a neutral source and should not control the assessment.
C. Correct. The combination of cognitive fluctuation, dependency, and financial pressure requires integrated capacity and exploitation assessment.
D. Incorrect. Age alone does not remove decision-making rights.</x:v>
      </x:c>
      <x:c r="Q33" s="83" t="str">
        <x:v>When power, dependency, and assets intersect, assess the client privately and evaluate capacity and coercion before supporting the transaction.</x:v>
      </x:c>
      <x:c r="R33" s="89" t="str">
        <x:v>CTA LCSW Workbook 2</x:v>
      </x:c>
    </x:row>
    <x:row r="34">
      <x:c r="A34" s="88" t="str">
        <x:v>CTA-LCSW-MQB-0033</x:v>
      </x:c>
      <x:c r="B34" s="83" t="str">
        <x:v>LCSW-WB02-QB-Q016</x:v>
      </x:c>
      <x:c r="C34" s="83" t="str">
        <x:v>Workbook Question Bank</x:v>
      </x:c>
      <x:c r="D34" s="83" t="str">
        <x:v>Workbook 2</x:v>
      </x:c>
      <x:c r="E34" s="83" t="n">
        <x:v>4</x:v>
      </x:c>
      <x:c r="F34" s="83" t="str">
        <x:v>A refugee parent reports that a landlord threatens to report the family's immigration status if they complain about severe mold that is worsening a child's asthma. The parent fears losing housing. What should the social worker do FIRST?</x:v>
      </x:c>
      <x:c r="G34" s="83" t="str">
        <x:v>Contact the landlord immediately and reveal the family's concerns.</x:v>
      </x:c>
      <x:c r="H34" s="83" t="str">
        <x:v>Tell the family to move immediately without assessing feasibility.</x:v>
      </x:c>
      <x:c r="I34" s="83" t="str">
        <x:v>Avoid the issue because immigration and housing law are outside clinical practice.</x:v>
      </x:c>
      <x:c r="J34" s="83" t="str">
        <x:v>Assess the child's immediate health and housing safety, clarify confidentiality, explore the parent's priorities and retaliation fears, and connect qualified housing and legal resources with consent.</x:v>
      </x:c>
      <x:c r="K34" s="83" t="str">
        <x:v>D</x:v>
      </x:c>
      <x:c r="L34" s="83" t="str">
        <x:v>Incorrect. Unplanned contact may increase retaliation and should follow informed safety planning.</x:v>
      </x:c>
      <x:c r="M34" s="83" t="str">
        <x:v>Incorrect. This may be impossible, coercive, and destabilizing.</x:v>
      </x:c>
      <x:c r="N34" s="83" t="str">
        <x:v>Incorrect. The social worker can assess safety, support choice, and coordinate qualified resources without giving legal advice.</x:v>
      </x:c>
      <x:c r="O34" s="83" t="str">
        <x:v>Correct. The response integrates health, coercion, immigration-related power, housing access, and client-led advocacy.</x:v>
      </x:c>
      <x:c r="P34" s="83" t="str">
        <x:v>A. Incorrect. Unplanned contact may increase retaliation and should follow informed safety planning.
B. Incorrect. This may be impossible, coercive, and destabilizing.
C. Incorrect. The social worker can assess safety, support choice, and coordinate qualified resources without giving legal advice.
D. Correct. The response integrates health, coercion, immigration-related power, housing access, and client-led advocacy.</x:v>
      </x:c>
      <x:c r="Q34" s="83" t="str">
        <x:v>Protect health and confidentiality while letting the family guide a retaliation-aware advocacy and referral plan.</x:v>
      </x:c>
      <x:c r="R34" s="89" t="str">
        <x:v>CTA LCSW Workbook 2</x:v>
      </x:c>
    </x:row>
    <x:row r="35">
      <x:c r="A35" s="88" t="str">
        <x:v>CTA-LCSW-MQB-0034</x:v>
      </x:c>
      <x:c r="B35" s="83" t="str">
        <x:v>LCSW-WB02-QB-Q017</x:v>
      </x:c>
      <x:c r="C35" s="83" t="str">
        <x:v>Workbook Question Bank</x:v>
      </x:c>
      <x:c r="D35" s="83" t="str">
        <x:v>Workbook 2</x:v>
      </x:c>
      <x:c r="E35" s="83" t="n">
        <x:v>3</x:v>
      </x:c>
      <x:c r="F35" s="83" t="str">
        <x:v>A neighborhood clinic announces closure while one current client is in crisis and residents report that the closure will leave the area without accessible services. What should the social worker do FIRST?</x:v>
      </x:c>
      <x:c r="G35" s="83" t="str">
        <x:v>Stabilize the client's immediate safety and continuity needs while also organizing transparent transition planning and client-informed advocacy about the broader access gap.</x:v>
      </x:c>
      <x:c r="H35" s="83" t="str">
        <x:v>Focus only on the community campaign and postpone the crisis response.</x:v>
      </x:c>
      <x:c r="I35" s="83" t="str">
        <x:v>Transfer all clients to a distant provider without assessing access.</x:v>
      </x:c>
      <x:c r="J35" s="83" t="str"/>
      <x:c r="K35" s="83" t="str">
        <x:v>A</x:v>
      </x:c>
      <x:c r="L35" s="83" t="str">
        <x:v>Correct. The social worker must integrate individual crisis responsibility with ethical termination and structural access concerns.</x:v>
      </x:c>
      <x:c r="M35" s="83" t="str">
        <x:v>Incorrect. Immediate client safety cannot wait.</x:v>
      </x:c>
      <x:c r="N35" s="83" t="str">
        <x:v>Incorrect. A referral is not continuity when transportation, language, or cost make it unusable.</x:v>
      </x:c>
      <x:c r="O35" s="83" t="str"/>
      <x:c r="P35" s="83" t="str">
        <x:v>A. Correct. The social worker must integrate individual crisis responsibility with ethical termination and structural access concerns.
B. Incorrect. Immediate client safety cannot wait.
C. Incorrect. A referral is not continuity when transportation, language, or cost make it unusable.</x:v>
      </x:c>
      <x:c r="Q35" s="83" t="str">
        <x:v>Protect the person in immediate danger while building a real, accessible transition for the wider client community.</x:v>
      </x:c>
      <x:c r="R35" s="89" t="str">
        <x:v>CTA LCSW Workbook 2</x:v>
      </x:c>
    </x:row>
    <x:row r="36">
      <x:c r="A36" s="88" t="str">
        <x:v>CTA-LCSW-MQB-0035</x:v>
      </x:c>
      <x:c r="B36" s="83" t="str">
        <x:v>LCSW-WB03-QB-Q001</x:v>
      </x:c>
      <x:c r="C36" s="83" t="str">
        <x:v>Workbook Question Bank</x:v>
      </x:c>
      <x:c r="D36" s="83" t="str">
        <x:v>Workbook 3</x:v>
      </x:c>
      <x:c r="E36" s="83" t="n">
        <x:v>3</x:v>
      </x:c>
      <x:c r="F36" s="83" t="str">
        <x:v>Which statement BEST describes person-in-environment assessment?</x:v>
      </x:c>
      <x:c r="G36" s="83" t="str">
        <x:v>It replaces individual clinical assessment with resource referral.</x:v>
      </x:c>
      <x:c r="H36" s="83" t="str">
        <x:v>It examines how individual functioning interacts with family, community, institutions, resources, access, and social conditions.</x:v>
      </x:c>
      <x:c r="I36" s="83" t="str">
        <x:v>It assumes structural conditions fully explain every symptom.</x:v>
      </x:c>
      <x:c r="J36" s="83" t="str"/>
      <x:c r="K36" s="83" t="str">
        <x:v>B</x:v>
      </x:c>
      <x:c r="L36" s="83" t="str">
        <x:v>Incorrect. Clinical and environmental assessment are integrated rather than substituted.</x:v>
      </x:c>
      <x:c r="M36" s="83" t="str">
        <x:v>Correct. Person-in-environment reasoning expands assessment beyond symptoms while still considering clinical functioning and safety.</x:v>
      </x:c>
      <x:c r="N36" s="83" t="str">
        <x:v>Incorrect. Multiple biological, psychological, relational, and environmental factors may interact.</x:v>
      </x:c>
      <x:c r="O36" s="83" t="str"/>
      <x:c r="P36" s="83" t="str">
        <x:v>A. Incorrect. Clinical and environmental assessment are integrated rather than substituted.
B. Correct. Person-in-environment reasoning expands assessment beyond symptoms while still considering clinical functioning and safety.
C. Incorrect. Multiple biological, psychological, relational, and environmental factors may interact.</x:v>
      </x:c>
      <x:c r="Q36" s="83" t="str">
        <x:v>Choose the option that connects the person and environment without abandoning clinical assessment.</x:v>
      </x:c>
      <x:c r="R36" s="89" t="str">
        <x:v>CTA LCSW Workbook 3</x:v>
      </x:c>
    </x:row>
    <x:row r="37">
      <x:c r="A37" s="88" t="str">
        <x:v>CTA-LCSW-MQB-0036</x:v>
      </x:c>
      <x:c r="B37" s="83" t="str">
        <x:v>LCSW-WB03-QB-Q002</x:v>
      </x:c>
      <x:c r="C37" s="83" t="str">
        <x:v>Workbook Question Bank</x:v>
      </x:c>
      <x:c r="D37" s="83" t="str">
        <x:v>Workbook 3</x:v>
      </x:c>
      <x:c r="E37" s="83" t="n">
        <x:v>3</x:v>
      </x:c>
      <x:c r="F37" s="83" t="str">
        <x:v>Intersectionality refers to:</x:v>
      </x:c>
      <x:c r="G37" s="83" t="str">
        <x:v>The way multiple identities and social positions interact to shape experience, power, risk, access, and opportunity.</x:v>
      </x:c>
      <x:c r="H37" s="83" t="str">
        <x:v>Ranking identities from most to least important.</x:v>
      </x:c>
      <x:c r="I37" s="83" t="str">
        <x:v>Selecting one primary identity for treatment.</x:v>
      </x:c>
      <x:c r="J37" s="83" t="str"/>
      <x:c r="K37" s="83" t="str">
        <x:v>A</x:v>
      </x:c>
      <x:c r="L37" s="83" t="str">
        <x:v>Correct. Intersectionality rejects the idea that one identity alone determines a person's experience.</x:v>
      </x:c>
      <x:c r="M37" s="83" t="str">
        <x:v>Incorrect. The framework examines interaction rather than hierarchy.</x:v>
      </x:c>
      <x:c r="N37" s="83" t="str">
        <x:v>Incorrect. Clients may experience several identities and positions simultaneously.</x:v>
      </x:c>
      <x:c r="O37" s="83" t="str"/>
      <x:c r="P37" s="83" t="str">
        <x:v>A. Correct. Intersectionality rejects the idea that one identity alone determines a person's experience.
B. Incorrect. The framework examines interaction rather than hierarchy.
C. Incorrect. Clients may experience several identities and positions simultaneously.</x:v>
      </x:c>
      <x:c r="Q37" s="83" t="str">
        <x:v>Look for interaction among identities, power, and systems rather than a single-category explanation.</x:v>
      </x:c>
      <x:c r="R37" s="89" t="str">
        <x:v>CTA LCSW Workbook 3</x:v>
      </x:c>
    </x:row>
    <x:row r="38">
      <x:c r="A38" s="88" t="str">
        <x:v>CTA-LCSW-MQB-0037</x:v>
      </x:c>
      <x:c r="B38" s="83" t="str">
        <x:v>LCSW-WB03-QB-Q003</x:v>
      </x:c>
      <x:c r="C38" s="83" t="str">
        <x:v>Workbook Question Bank</x:v>
      </x:c>
      <x:c r="D38" s="83" t="str">
        <x:v>Workbook 3</x:v>
      </x:c>
      <x:c r="E38" s="83" t="n">
        <x:v>4</x:v>
      </x:c>
      <x:c r="F38" s="83" t="str">
        <x:v>A social worker realizes that an assumption about a client's community may be influencing the interview. What should the social worker do?</x:v>
      </x:c>
      <x:c r="G38" s="83" t="str">
        <x:v>Use cultural facts to predict the client's values.</x:v>
      </x:c>
      <x:c r="H38" s="83" t="str">
        <x:v>Avoid discussing identity to remain neutral.</x:v>
      </x:c>
      <x:c r="I38" s="83" t="str">
        <x:v>Invite the client's meanings, reflect on professional assumptions and power, acknowledge limits, and remain open to correction.</x:v>
      </x:c>
      <x:c r="J38" s="83" t="str">
        <x:v>Assume shared identity creates identical service preferences.</x:v>
      </x:c>
      <x:c r="K38" s="83" t="str">
        <x:v>C</x:v>
      </x:c>
      <x:c r="L38" s="83" t="str">
        <x:v>Incorrect. General knowledge cannot substitute for assessment of the individual.</x:v>
      </x:c>
      <x:c r="M38" s="83" t="str">
        <x:v>Incorrect. Silence may omit relevant experiences and power dynamics.</x:v>
      </x:c>
      <x:c r="N38" s="83" t="str">
        <x:v>Correct. Cultural humility centers curiosity and accountability rather than mastery over a cultural group.</x:v>
      </x:c>
      <x:c r="O38" s="83" t="str">
        <x:v>Incorrect. People within a group vary in beliefs, resources, and goals.</x:v>
      </x:c>
      <x:c r="P38" s="83" t="str">
        <x:v>A. Incorrect. General knowledge cannot substitute for assessment of the individual.
B. Incorrect. Silence may omit relevant experiences and power dynamics.
C. Correct. Cultural humility centers curiosity and accountability rather than mastery over a cultural group.
D. Incorrect. People within a group vary in beliefs, resources, and goals.</x:v>
      </x:c>
      <x:c r="Q38" s="83" t="str">
        <x:v>Ask, reflect, and invite correction rather than assuming or avoiding.</x:v>
      </x:c>
      <x:c r="R38" s="89" t="str">
        <x:v>CTA LCSW Workbook 3</x:v>
      </x:c>
    </x:row>
    <x:row r="39">
      <x:c r="A39" s="88" t="str">
        <x:v>CTA-LCSW-MQB-0038</x:v>
      </x:c>
      <x:c r="B39" s="83" t="str">
        <x:v>LCSW-WB03-QB-Q004</x:v>
      </x:c>
      <x:c r="C39" s="83" t="str">
        <x:v>Workbook Question Bank</x:v>
      </x:c>
      <x:c r="D39" s="83" t="str">
        <x:v>Workbook 3</x:v>
      </x:c>
      <x:c r="E39" s="83" t="n">
        <x:v>4</x:v>
      </x:c>
      <x:c r="F39" s="83" t="str">
        <x:v>A client receiving dialysis misses treatment after the paratransit provider cancels twice. What should the social worker do FIRST?</x:v>
      </x:c>
      <x:c r="G39" s="83" t="str">
        <x:v>Warn the client about noncompliance.</x:v>
      </x:c>
      <x:c r="H39" s="83" t="str">
        <x:v>Close the case because health care is outside social work.</x:v>
      </x:c>
      <x:c r="I39" s="83" t="str">
        <x:v>Focus only on feelings about the missed appointments.</x:v>
      </x:c>
      <x:c r="J39" s="83" t="str">
        <x:v>Assess medical urgency, transportation alternatives, insurance or service options, disability needs, supports, and the client's preferred plan.</x:v>
      </x:c>
      <x:c r="K39" s="83" t="str">
        <x:v>D</x:v>
      </x:c>
      <x:c r="L39" s="83" t="str">
        <x:v>Incorrect. This assigns blame before addressing the documented barrier.</x:v>
      </x:c>
      <x:c r="M39" s="83" t="str">
        <x:v>Incorrect. Access and coordination are relevant social work concerns.</x:v>
      </x:c>
      <x:c r="N39" s="83" t="str">
        <x:v>Incorrect. Emotional impact matters, but the medical and transportation needs are also immediate.</x:v>
      </x:c>
      <x:c r="O39" s="83" t="str">
        <x:v>Correct. The missed care may reflect an access barrier rather than resistance or poor motivation.</x:v>
      </x:c>
      <x:c r="P39" s="83" t="str">
        <x:v>A. Incorrect. This assigns blame before addressing the documented barrier.
B. Incorrect. Access and coordination are relevant social work concerns.
C. Incorrect. Emotional impact matters, but the medical and transportation needs are also immediate.
D. Correct. The missed care may reflect an access barrier rather than resistance or poor motivation.</x:v>
      </x:c>
      <x:c r="Q39" s="83" t="str">
        <x:v>Fix or reduce the access barrier before interpreting attendance.</x:v>
      </x:c>
      <x:c r="R39" s="89" t="str">
        <x:v>CTA LCSW Workbook 3</x:v>
      </x:c>
    </x:row>
    <x:row r="40">
      <x:c r="A40" s="88" t="str">
        <x:v>CTA-LCSW-MQB-0039</x:v>
      </x:c>
      <x:c r="B40" s="83" t="str">
        <x:v>LCSW-WB03-QB-Q005</x:v>
      </x:c>
      <x:c r="C40" s="83" t="str">
        <x:v>Workbook Question Bank</x:v>
      </x:c>
      <x:c r="D40" s="83" t="str">
        <x:v>Workbook 3</x:v>
      </x:c>
      <x:c r="E40" s="83" t="n">
        <x:v>3</x:v>
      </x:c>
      <x:c r="F40" s="83" t="str">
        <x:v>A wheelchair user reports that the agency interview room is inaccessible. What should the social worker do NEXT?</x:v>
      </x:c>
      <x:c r="G40" s="83" t="str">
        <x:v>Acknowledge the barrier, ask about preferred access, arrange a reliable accessible location or format, and preserve continuity.</x:v>
      </x:c>
      <x:c r="H40" s="83" t="str">
        <x:v>Ask a relative to carry the client into the room.</x:v>
      </x:c>
      <x:c r="I40" s="83" t="str">
        <x:v>Refer the client solely because of the disability.</x:v>
      </x:c>
      <x:c r="J40" s="83" t="str"/>
      <x:c r="K40" s="83" t="str">
        <x:v>A</x:v>
      </x:c>
      <x:c r="L40" s="83" t="str">
        <x:v>Correct. The agency should address the environmental barrier rather than treating the client as the problem.</x:v>
      </x:c>
      <x:c r="M40" s="83" t="str">
        <x:v>Incorrect. This is unsafe and undignified.</x:v>
      </x:c>
      <x:c r="N40" s="83" t="str">
        <x:v>Incorrect. Referral is not automatically required when access can be provided.</x:v>
      </x:c>
      <x:c r="O40" s="83" t="str"/>
      <x:c r="P40" s="83" t="str">
        <x:v>A. Correct. The agency should address the environmental barrier rather than treating the client as the problem.
B. Incorrect. This is unsafe and undignified.
C. Incorrect. Referral is not automatically required when access can be provided.</x:v>
      </x:c>
      <x:c r="Q40" s="83" t="str">
        <x:v>Change the environment before judging engagement.</x:v>
      </x:c>
      <x:c r="R40" s="89" t="str">
        <x:v>CTA LCSW Workbook 3</x:v>
      </x:c>
    </x:row>
    <x:row r="41">
      <x:c r="A41" s="88" t="str">
        <x:v>CTA-LCSW-MQB-0040</x:v>
      </x:c>
      <x:c r="B41" s="83" t="str">
        <x:v>LCSW-WB03-QB-Q006</x:v>
      </x:c>
      <x:c r="C41" s="83" t="str">
        <x:v>Workbook Question Bank</x:v>
      </x:c>
      <x:c r="D41" s="83" t="str">
        <x:v>Workbook 3</x:v>
      </x:c>
      <x:c r="E41" s="83" t="n">
        <x:v>3</x:v>
      </x:c>
      <x:c r="F41" s="83" t="str">
        <x:v>A refugee family reports nightmares, difficulty navigating benefits, and fear of authorities. What should the social worker do FIRST?</x:v>
      </x:c>
      <x:c r="G41" s="83" t="str">
        <x:v>Begin trauma processing immediately.</x:v>
      </x:c>
      <x:c r="H41" s="83" t="str">
        <x:v>Assess current safety, trauma and health symptoms, family functioning, legal and service roles, language access, material needs, trusted supports, and the family's priorities.</x:v>
      </x:c>
      <x:c r="I41" s="83" t="str">
        <x:v>Assume the fear is irrational because services are available.</x:v>
      </x:c>
      <x:c r="J41" s="83" t="str"/>
      <x:c r="K41" s="83" t="str">
        <x:v>B</x:v>
      </x:c>
      <x:c r="L41" s="83" t="str">
        <x:v>Incorrect. Stabilization, safety, access, and readiness must first be assessed.</x:v>
      </x:c>
      <x:c r="M41" s="83" t="str">
        <x:v>Correct. The response should integrate psychosocial assessment and practical navigation without assuming a single refugee experience.</x:v>
      </x:c>
      <x:c r="N41" s="83" t="str">
        <x:v>Incorrect. Past and present experiences may make distrust understandable.</x:v>
      </x:c>
      <x:c r="O41" s="83" t="str"/>
      <x:c r="P41" s="83" t="str">
        <x:v>A. Incorrect. Stabilization, safety, access, and readiness must first be assessed.
B. Correct. The response should integrate psychosocial assessment and practical navigation without assuming a single refugee experience.
C. Incorrect. Past and present experiences may make distrust understandable.</x:v>
      </x:c>
      <x:c r="Q41" s="83" t="str">
        <x:v>Combine safety, access, and symptoms; do not reduce the case to either therapy or referral alone.</x:v>
      </x:c>
      <x:c r="R41" s="89" t="str">
        <x:v>CTA LCSW Workbook 3</x:v>
      </x:c>
    </x:row>
    <x:row r="42">
      <x:c r="A42" s="88" t="str">
        <x:v>CTA-LCSW-MQB-0041</x:v>
      </x:c>
      <x:c r="B42" s="83" t="str">
        <x:v>LCSW-WB03-QB-Q007</x:v>
      </x:c>
      <x:c r="C42" s="83" t="str">
        <x:v>Workbook Question Bank</x:v>
      </x:c>
      <x:c r="D42" s="83" t="str">
        <x:v>Workbook 3</x:v>
      </x:c>
      <x:c r="E42" s="83" t="n">
        <x:v>4</x:v>
      </x:c>
      <x:c r="F42" s="83" t="str">
        <x:v>A student is absent frequently because the family is moving among temporary housing sites. What should the school social worker do FIRST?</x:v>
      </x:c>
      <x:c r="G42" s="83" t="str">
        <x:v>Use a truancy contract before discussing housing.</x:v>
      </x:c>
      <x:c r="H42" s="83" t="str">
        <x:v>Conclude the family does not value education.</x:v>
      </x:c>
      <x:c r="I42" s="83" t="str">
        <x:v>Assess housing stability, transportation, enrollment barriers, safety, learning impact, family priorities, and available educational and community supports.</x:v>
      </x:c>
      <x:c r="J42" s="83" t="str">
        <x:v>Focus only on the student's motivation.</x:v>
      </x:c>
      <x:c r="K42" s="83" t="str">
        <x:v>C</x:v>
      </x:c>
      <x:c r="L42" s="83" t="str">
        <x:v>Incorrect. A punitive response ignores the documented barrier.</x:v>
      </x:c>
      <x:c r="M42" s="83" t="str">
        <x:v>Incorrect. This is an unsupported and stigmatizing assumption.</x:v>
      </x:c>
      <x:c r="N42" s="83" t="str">
        <x:v>Correct. Attendance cannot be understood without the family's housing and access conditions.</x:v>
      </x:c>
      <x:c r="O42" s="83" t="str">
        <x:v>Incorrect. The environmental disruption is central to attendance.</x:v>
      </x:c>
      <x:c r="P42" s="83" t="str">
        <x:v>A. Incorrect. A punitive response ignores the documented barrier.
B. Incorrect. This is an unsupported and stigmatizing assumption.
C. Correct. Attendance cannot be understood without the family's housing and access conditions.
D. Incorrect. The environmental disruption is central to attendance.</x:v>
      </x:c>
      <x:c r="Q42" s="83" t="str">
        <x:v>Do not interpret attendance apart from the conditions that make attendance possible.</x:v>
      </x:c>
      <x:c r="R42" s="89" t="str">
        <x:v>CTA LCSW Workbook 3</x:v>
      </x:c>
    </x:row>
    <x:row r="43">
      <x:c r="A43" s="88" t="str">
        <x:v>CTA-LCSW-MQB-0042</x:v>
      </x:c>
      <x:c r="B43" s="83" t="str">
        <x:v>LCSW-WB03-QB-Q008</x:v>
      </x:c>
      <x:c r="C43" s="83" t="str">
        <x:v>Workbook Question Bank</x:v>
      </x:c>
      <x:c r="D43" s="83" t="str">
        <x:v>Workbook 3</x:v>
      </x:c>
      <x:c r="E43" s="83" t="n">
        <x:v>4</x:v>
      </x:c>
      <x:c r="F43" s="83" t="str">
        <x:v>A client with diabetes reports skipping meals so children can eat. What should the social worker do FIRST?</x:v>
      </x:c>
      <x:c r="G43" s="83" t="str">
        <x:v>Provide stress-management worksheets only.</x:v>
      </x:c>
      <x:c r="H43" s="83" t="str">
        <x:v>Tell the client to prioritize personal meals over the children.</x:v>
      </x:c>
      <x:c r="I43" s="83" t="str">
        <x:v>Assume the client is not following medical advice.</x:v>
      </x:c>
      <x:c r="J43" s="83" t="str">
        <x:v>Assess immediate medical and food needs, household resources, benefits and community options, safety, stress, and the client's priorities.</x:v>
      </x:c>
      <x:c r="K43" s="83" t="str">
        <x:v>D</x:v>
      </x:c>
      <x:c r="L43" s="83" t="str">
        <x:v>Incorrect. Coping skills do not resolve the immediate nutrition and health risk.</x:v>
      </x:c>
      <x:c r="M43" s="83" t="str">
        <x:v>Incorrect. This is directive and does not address scarcity.</x:v>
      </x:c>
      <x:c r="N43" s="83" t="str">
        <x:v>Incorrect. The behavior reflects constrained resources, not necessarily lack of understanding.</x:v>
      </x:c>
      <x:c r="O43" s="83" t="str">
        <x:v>Correct. Food insecurity creates direct medical risk and requires urgent resource and clinical assessment.</x:v>
      </x:c>
      <x:c r="P43" s="83" t="str">
        <x:v>A. Incorrect. Coping skills do not resolve the immediate nutrition and health risk.
B. Incorrect. This is directive and does not address scarcity.
C. Incorrect. The behavior reflects constrained resources, not necessarily lack of understanding.
D. Correct. Food insecurity creates direct medical risk and requires urgent resource and clinical assessment.</x:v>
      </x:c>
      <x:c r="Q43" s="83" t="str">
        <x:v>When scarcity threatens health, assess immediate needs and feasible resources before education alone.</x:v>
      </x:c>
      <x:c r="R43" s="89" t="str">
        <x:v>CTA LCSW Workbook 3</x:v>
      </x:c>
    </x:row>
    <x:row r="44">
      <x:c r="A44" s="88" t="str">
        <x:v>CTA-LCSW-MQB-0043</x:v>
      </x:c>
      <x:c r="B44" s="83" t="str">
        <x:v>LCSW-WB03-QB-Q009</x:v>
      </x:c>
      <x:c r="C44" s="83" t="str">
        <x:v>Workbook Question Bank</x:v>
      </x:c>
      <x:c r="D44" s="83" t="str">
        <x:v>Workbook 3</x:v>
      </x:c>
      <x:c r="E44" s="83" t="n">
        <x:v>3</x:v>
      </x:c>
      <x:c r="F44" s="83" t="str">
        <x:v>A neurodivergent adult stops attending a noisy group program. What should the social worker do NEXT?</x:v>
      </x:c>
      <x:c r="G44" s="83" t="str">
        <x:v>Ask about sensory and communication needs, program demands, goals, strengths, and preferred adaptations or alternatives.</x:v>
      </x:c>
      <x:c r="H44" s="83" t="str">
        <x:v>Discharge the client for poor participation.</x:v>
      </x:c>
      <x:c r="I44" s="83" t="str">
        <x:v>Require continued attendance to build tolerance.</x:v>
      </x:c>
      <x:c r="J44" s="83" t="str"/>
      <x:c r="K44" s="83" t="str">
        <x:v>A</x:v>
      </x:c>
      <x:c r="L44" s="83" t="str">
        <x:v>Correct. The service may be inaccessible or mismatched rather than the client being unmotivated.</x:v>
      </x:c>
      <x:c r="M44" s="83" t="str">
        <x:v>Incorrect. This ignores possible environmental barriers.</x:v>
      </x:c>
      <x:c r="N44" s="83" t="str">
        <x:v>Incorrect. Forced participation may increase distress and is not individualized.</x:v>
      </x:c>
      <x:c r="O44" s="83" t="str"/>
      <x:c r="P44" s="83" t="str">
        <x:v>A. Correct. The service may be inaccessible or mismatched rather than the client being unmotivated.
B. Incorrect. This ignores possible environmental barriers.
C. Incorrect. Forced participation may increase distress and is not individualized.</x:v>
      </x:c>
      <x:c r="Q44" s="83" t="str">
        <x:v>Assess the mismatch before concluding the client rejected help.</x:v>
      </x:c>
      <x:c r="R44" s="89" t="str">
        <x:v>CTA LCSW Workbook 3</x:v>
      </x:c>
    </x:row>
    <x:row r="45">
      <x:c r="A45" s="88" t="str">
        <x:v>CTA-LCSW-MQB-0044</x:v>
      </x:c>
      <x:c r="B45" s="83" t="str">
        <x:v>LCSW-WB03-QB-Q010</x:v>
      </x:c>
      <x:c r="C45" s="83" t="str">
        <x:v>Workbook Question Bank</x:v>
      </x:c>
      <x:c r="D45" s="83" t="str">
        <x:v>Workbook 3</x:v>
      </x:c>
      <x:c r="E45" s="83" t="n">
        <x:v>3</x:v>
      </x:c>
      <x:c r="F45" s="83" t="str">
        <x:v>A child with asthma has repeated emergency visits, and the family reports mold in the apartment. What should the social worker do NEXT?</x:v>
      </x:c>
      <x:c r="G45" s="83" t="str">
        <x:v>Teach the child relaxation breathing as the primary response.</x:v>
      </x:c>
      <x:c r="H45" s="83" t="str">
        <x:v>Assess current medical safety, housing conditions, landlord and service history, family resources, stress, and preferred advocacy or relocation options.</x:v>
      </x:c>
      <x:c r="I45" s="83" t="str">
        <x:v>Assume the family is not following medical recommendations.</x:v>
      </x:c>
      <x:c r="J45" s="83" t="str"/>
      <x:c r="K45" s="83" t="str">
        <x:v>B</x:v>
      </x:c>
      <x:c r="L45" s="83" t="str">
        <x:v>Incorrect. Coping skills do not remove a possible environmental trigger.</x:v>
      </x:c>
      <x:c r="M45" s="83" t="str">
        <x:v>Correct. The environmental exposure may be contributing directly to the child's health and requires coordinated assessment.</x:v>
      </x:c>
      <x:c r="N45" s="83" t="str">
        <x:v>Incorrect. The housing condition may explain continued symptoms.</x:v>
      </x:c>
      <x:c r="O45" s="83" t="str"/>
      <x:c r="P45" s="83" t="str">
        <x:v>A. Incorrect. Coping skills do not remove a possible environmental trigger.
B. Correct. The environmental exposure may be contributing directly to the child's health and requires coordinated assessment.
C. Incorrect. The housing condition may explain continued symptoms.</x:v>
      </x:c>
      <x:c r="Q45" s="83" t="str">
        <x:v>Connect health outcomes with environmental conditions and client-directed action.</x:v>
      </x:c>
      <x:c r="R45" s="89" t="str">
        <x:v>CTA LCSW Workbook 3</x:v>
      </x:c>
    </x:row>
    <x:row r="46">
      <x:c r="A46" s="88" t="str">
        <x:v>CTA-LCSW-MQB-0045</x:v>
      </x:c>
      <x:c r="B46" s="83" t="str">
        <x:v>LCSW-WB03-QB-Q011</x:v>
      </x:c>
      <x:c r="C46" s="83" t="str">
        <x:v>Workbook Question Bank</x:v>
      </x:c>
      <x:c r="D46" s="83" t="str">
        <x:v>Workbook 3</x:v>
      </x:c>
      <x:c r="E46" s="83" t="n">
        <x:v>3</x:v>
      </x:c>
      <x:c r="F46" s="83" t="str">
        <x:v>An adult with an intellectual disability wants to manage personal spending, while family members insist on controlling all money. What should the social worker do FIRST?</x:v>
      </x:c>
      <x:c r="G46" s="83" t="str">
        <x:v>Accept family control because they provide support.</x:v>
      </x:c>
      <x:c r="H46" s="83" t="str">
        <x:v>Assume the client can manage every financial decision independently.</x:v>
      </x:c>
      <x:c r="I46" s="83" t="str">
        <x:v>Assess the person's decision-making abilities for the specific task, communication supports, legal authority, risks, goals, and possible supported-decision options.</x:v>
      </x:c>
      <x:c r="J46" s="83" t="str"/>
      <x:c r="K46" s="83" t="str">
        <x:v>C</x:v>
      </x:c>
      <x:c r="L46" s="83" t="str">
        <x:v>Incorrect. Support does not automatically establish legal authority or incapacity.</x:v>
      </x:c>
      <x:c r="M46" s="83" t="str">
        <x:v>Incorrect. Abilities and supports should be assessed for the specific task.</x:v>
      </x:c>
      <x:c r="N46" s="83" t="str">
        <x:v>Correct. Capacity is decision-specific, and disability does not automatically justify removal of autonomy.</x:v>
      </x:c>
      <x:c r="O46" s="83" t="str"/>
      <x:c r="P46" s="83" t="str">
        <x:v>A. Incorrect. Support does not automatically establish legal authority or incapacity.
B. Incorrect. Abilities and supports should be assessed for the specific task.
C. Correct. Capacity is decision-specific, and disability does not automatically justify removal of autonomy.</x:v>
      </x:c>
      <x:c r="Q46" s="83" t="str">
        <x:v>Do not confuse a disability label with a global incapacity determination.</x:v>
      </x:c>
      <x:c r="R46" s="89" t="str">
        <x:v>CTA LCSW Workbook 3</x:v>
      </x:c>
    </x:row>
    <x:row r="47">
      <x:c r="A47" s="88" t="str">
        <x:v>CTA-LCSW-MQB-0046</x:v>
      </x:c>
      <x:c r="B47" s="83" t="str">
        <x:v>LCSW-WB03-QB-Q012</x:v>
      </x:c>
      <x:c r="C47" s="83" t="str">
        <x:v>Workbook Question Bank</x:v>
      </x:c>
      <x:c r="D47" s="83" t="str">
        <x:v>Workbook 3</x:v>
      </x:c>
      <x:c r="E47" s="83" t="n">
        <x:v>4</x:v>
      </x:c>
      <x:c r="F47" s="83" t="str">
        <x:v>An Indigenous client says previous agencies ignored cultural practices and is reluctant to engage. What is the BEST initial response?</x:v>
      </x:c>
      <x:c r="G47" s="83" t="str">
        <x:v>Explain that the current agency is different and should be trusted.</x:v>
      </x:c>
      <x:c r="H47" s="83" t="str">
        <x:v>Avoid cultural discussion to treat everyone equally.</x:v>
      </x:c>
      <x:c r="I47" s="83" t="str">
        <x:v>Ask a cultural representative to speak for the client.</x:v>
      </x:c>
      <x:c r="J47" s="83" t="str">
        <x:v>Acknowledge the reported harm, ask what respectful and useful service would look like, explore trust, cultural and community supports, and invite correction.</x:v>
      </x:c>
      <x:c r="K47" s="83" t="str">
        <x:v>D</x:v>
      </x:c>
      <x:c r="L47" s="83" t="str">
        <x:v>Incorrect. Trust must be earned; reassurance can dismiss prior harm.</x:v>
      </x:c>
      <x:c r="M47" s="83" t="str">
        <x:v>Incorrect. Equal treatment that ignores relevant history may reproduce exclusion.</x:v>
      </x:c>
      <x:c r="N47" s="83" t="str">
        <x:v>Incorrect. Community consultation may help with consent, but the client remains the primary source of meaning.</x:v>
      </x:c>
      <x:c r="O47" s="83" t="str">
        <x:v>Correct. The response validates the client's experience without assuming all cultural preferences or demanding trust.</x:v>
      </x:c>
      <x:c r="P47" s="83" t="str">
        <x:v>A. Incorrect. Trust must be earned; reassurance can dismiss prior harm.
B. Incorrect. Equal treatment that ignores relevant history may reproduce exclusion.
C. Incorrect. Community consultation may help with consent, but the client remains the primary source of meaning.
D. Correct. The response validates the client's experience without assuming all cultural preferences or demanding trust.</x:v>
      </x:c>
      <x:c r="Q47" s="83" t="str">
        <x:v>Acknowledge impact and ask what accountability and respect require in this relationship.</x:v>
      </x:c>
      <x:c r="R47" s="89" t="str">
        <x:v>CTA LCSW Workbook 3</x:v>
      </x:c>
    </x:row>
    <x:row r="48">
      <x:c r="A48" s="88" t="str">
        <x:v>CTA-LCSW-MQB-0047</x:v>
      </x:c>
      <x:c r="B48" s="83" t="str">
        <x:v>LCSW-WB03-QB-Q013</x:v>
      </x:c>
      <x:c r="C48" s="83" t="str">
        <x:v>Workbook Question Bank</x:v>
      </x:c>
      <x:c r="D48" s="83" t="str">
        <x:v>Workbook 3</x:v>
      </x:c>
      <x:c r="E48" s="83" t="n">
        <x:v>3</x:v>
      </x:c>
      <x:c r="F48" s="83" t="str">
        <x:v>A refugee adolescent is interpreting for a parent during a trauma and benefits assessment. The parent becomes visibly distressed, and the adolescent omits parts of the conversation. What should the social worker do FIRST?</x:v>
      </x:c>
      <x:c r="G48" s="83" t="str">
        <x:v>Pause, assess immediate distress and safety, explain interpretation and confidentiality options, arrange qualified language support, and protect the adolescent from an inappropriate role.</x:v>
      </x:c>
      <x:c r="H48" s="83" t="str">
        <x:v>Continue because the family chose the adolescent.</x:v>
      </x:c>
      <x:c r="I48" s="83" t="str">
        <x:v>Ask the adolescent to translate more completely.</x:v>
      </x:c>
      <x:c r="J48" s="83" t="str"/>
      <x:c r="K48" s="83" t="str">
        <x:v>A</x:v>
      </x:c>
      <x:c r="L48" s="83" t="str">
        <x:v>Correct. The current setup compromises accuracy, privacy, and the adolescent's developmental role while the parent is distressed.</x:v>
      </x:c>
      <x:c r="M48" s="83" t="str">
        <x:v>Incorrect. Choice may be constrained and the risks should be explained.</x:v>
      </x:c>
      <x:c r="N48" s="83" t="str">
        <x:v>Incorrect. This intensifies an inappropriate and potentially harmful responsibility.</x:v>
      </x:c>
      <x:c r="O48" s="83" t="str"/>
      <x:c r="P48" s="83" t="str">
        <x:v>A. Correct. The current setup compromises accuracy, privacy, and the adolescent's developmental role while the parent is distressed.
B. Incorrect. Choice may be constrained and the risks should be explained.
C. Incorrect. This intensifies an inappropriate and potentially harmful responsibility.</x:v>
      </x:c>
      <x:c r="Q48" s="83" t="str">
        <x:v>When a minor is carrying sensitive adult information, restore qualified access and developmental boundaries.</x:v>
      </x:c>
      <x:c r="R48" s="89" t="str">
        <x:v>CTA LCSW Workbook 3</x:v>
      </x:c>
    </x:row>
    <x:row r="49">
      <x:c r="A49" s="88" t="str">
        <x:v>CTA-LCSW-MQB-0048</x:v>
      </x:c>
      <x:c r="B49" s="83" t="str">
        <x:v>LCSW-WB03-QB-Q014</x:v>
      </x:c>
      <x:c r="C49" s="83" t="str">
        <x:v>Workbook Question Bank</x:v>
      </x:c>
      <x:c r="D49" s="83" t="str">
        <x:v>Workbook 3</x:v>
      </x:c>
      <x:c r="E49" s="83" t="n">
        <x:v>3</x:v>
      </x:c>
      <x:c r="F49" s="83" t="str">
        <x:v>An older adult becomes suddenly confused while discussing an eviction notice. The family attributes the confusion to stress. What should the social worker do NEXT?</x:v>
      </x:c>
      <x:c r="G49" s="83" t="str">
        <x:v>Continue the housing interview because eviction is urgent.</x:v>
      </x:c>
      <x:c r="H49" s="83" t="str">
        <x:v>Assess immediate safety and acute change, arrange urgent medical evaluation, and preserve the housing information for follow-up once the client is medically stable.</x:v>
      </x:c>
      <x:c r="I49" s="83" t="str">
        <x:v>Diagnose a neurocognitive disorder.</x:v>
      </x:c>
      <x:c r="J49" s="83" t="str"/>
      <x:c r="K49" s="83" t="str">
        <x:v>B</x:v>
      </x:c>
      <x:c r="L49" s="83" t="str">
        <x:v>Incorrect. The medical concern is more immediate, though housing follow-up remains important.</x:v>
      </x:c>
      <x:c r="M49" s="83" t="str">
        <x:v>Correct. Sudden confusion can indicate a medical emergency even when a major stressor is present.</x:v>
      </x:c>
      <x:c r="N49" s="83" t="str">
        <x:v>Incorrect. A sudden change requires differential assessment and does not establish a chronic disorder.</x:v>
      </x:c>
      <x:c r="O49" s="83" t="str"/>
      <x:c r="P49" s="83" t="str">
        <x:v>A. Incorrect. The medical concern is more immediate, though housing follow-up remains important.
B. Correct. Sudden confusion can indicate a medical emergency even when a major stressor is present.
C. Incorrect. A sudden change requires differential assessment and does not establish a chronic disorder.</x:v>
      </x:c>
      <x:c r="Q49" s="83" t="str">
        <x:v>An urgent environmental problem does not make acute medical signs less urgent.</x:v>
      </x:c>
      <x:c r="R49" s="89" t="str">
        <x:v>CTA LCSW Workbook 3</x:v>
      </x:c>
    </x:row>
    <x:row r="50">
      <x:c r="A50" s="88" t="str">
        <x:v>CTA-LCSW-MQB-0049</x:v>
      </x:c>
      <x:c r="B50" s="83" t="str">
        <x:v>LCSW-WB03-QB-Q015</x:v>
      </x:c>
      <x:c r="C50" s="83" t="str">
        <x:v>Workbook Question Bank</x:v>
      </x:c>
      <x:c r="D50" s="83" t="str">
        <x:v>Workbook 3</x:v>
      </x:c>
      <x:c r="E50" s="83" t="n">
        <x:v>4</x:v>
      </x:c>
      <x:c r="F50" s="83" t="str">
        <x:v>A child-welfare team labels parents noncompliant after missed visits. The parents report changing shelter placements, unreliable transportation, and notices sent to an old phone. What should the social worker do FIRST?</x:v>
      </x:c>
      <x:c r="G50" s="83" t="str">
        <x:v>Support sanctions to increase motivation.</x:v>
      </x:c>
      <x:c r="H50" s="83" t="str">
        <x:v>Assume the parents are making excuses.</x:v>
      </x:c>
      <x:c r="I50" s="83" t="str">
        <x:v>Verify the facts, assess safety and case requirements, map housing, communication and transportation barriers, involve the parents, and revise the contact plan as feasible.</x:v>
      </x:c>
      <x:c r="J50" s="83" t="str">
        <x:v>Ignore missed visits because housing is unstable.</x:v>
      </x:c>
      <x:c r="K50" s="83" t="str">
        <x:v>C</x:v>
      </x:c>
      <x:c r="L50" s="83" t="str">
        <x:v>Incorrect. Punitive action is premature before verifying barriers and requirements.</x:v>
      </x:c>
      <x:c r="M50" s="83" t="str">
        <x:v>Incorrect. This is an unsupported attribution that may worsen inequity.</x:v>
      </x:c>
      <x:c r="N50" s="83" t="str">
        <x:v>Correct. The missed visits may reflect service-design and access failures rather than unwillingness.</x:v>
      </x:c>
      <x:c r="O50" s="83" t="str">
        <x:v>Incorrect. Safety and legal requirements still matter and require a feasible plan.</x:v>
      </x:c>
      <x:c r="P50" s="83" t="str">
        <x:v>A. Incorrect. Punitive action is premature before verifying barriers and requirements.
B. Incorrect. This is an unsupported attribution that may worsen inequity.
C. Correct. The missed visits may reflect service-design and access failures rather than unwillingness.
D. Incorrect. Safety and legal requirements still matter and require a feasible plan.</x:v>
      </x:c>
      <x:c r="Q50" s="83" t="str">
        <x:v>In mandated systems, distinguish unwillingness from inaccessible process while preserving required safety duties.</x:v>
      </x:c>
      <x:c r="R50" s="89" t="str">
        <x:v>CTA LCSW Workbook 3</x:v>
      </x:c>
    </x:row>
    <x:row r="51">
      <x:c r="A51" s="88" t="str">
        <x:v>CTA-LCSW-MQB-0050</x:v>
      </x:c>
      <x:c r="B51" s="83" t="str">
        <x:v>LCSW-WB03-QB-Q016</x:v>
      </x:c>
      <x:c r="C51" s="83" t="str">
        <x:v>Workbook Question Bank</x:v>
      </x:c>
      <x:c r="D51" s="83" t="str">
        <x:v>Workbook 3</x:v>
      </x:c>
      <x:c r="E51" s="83" t="n">
        <x:v>4</x:v>
      </x:c>
      <x:c r="F51" s="83" t="str">
        <x:v>A family displaced by flooding is staying in a motel. A child is missing school, a parent reports depression, medication was lost, and the family has limited English proficiency. What should the social worker do FIRST?</x:v>
      </x:c>
      <x:c r="G51" s="83" t="str">
        <x:v>Refer the parent to therapy and postpone the other issues.</x:v>
      </x:c>
      <x:c r="H51" s="83" t="str">
        <x:v>Ask the child to interpret while resources are arranged.</x:v>
      </x:c>
      <x:c r="I51" s="83" t="str">
        <x:v>Wait for permanent housing before making a plan.</x:v>
      </x:c>
      <x:c r="J51" s="83" t="str">
        <x:v>Assess immediate safety and medication needs, housing and food, school continuity, depression and suicide risk, language access, benefits, supports, and the family's priorities.</x:v>
      </x:c>
      <x:c r="K51" s="83" t="str">
        <x:v>D</x:v>
      </x:c>
      <x:c r="L51" s="83" t="str">
        <x:v>Incorrect. Therapy alone does not address medication, housing, and school urgency.</x:v>
      </x:c>
      <x:c r="M51" s="83" t="str">
        <x:v>Incorrect. This may burden the child and compromise privacy and accuracy.</x:v>
      </x:c>
      <x:c r="N51" s="83" t="str">
        <x:v>Incorrect. Urgent needs and continuity require action during displacement.</x:v>
      </x:c>
      <x:c r="O51" s="83" t="str">
        <x:v>Correct. The case requires coordinated disaster, health, education, mental-health, and language-access assessment.</x:v>
      </x:c>
      <x:c r="P51" s="83" t="str">
        <x:v>A. Incorrect. Therapy alone does not address medication, housing, and school urgency.
B. Incorrect. This may burden the child and compromise privacy and accuracy.
C. Incorrect. Urgent needs and continuity require action during displacement.
D. Correct. The case requires coordinated disaster, health, education, mental-health, and language-access assessment.</x:v>
      </x:c>
      <x:c r="Q51" s="83" t="str">
        <x:v>Triage urgent health and safety while building one coordinated family plan.</x:v>
      </x:c>
      <x:c r="R51" s="89" t="str">
        <x:v>CTA LCSW Workbook 3</x:v>
      </x:c>
    </x:row>
    <x:row r="52">
      <x:c r="A52" s="88" t="str">
        <x:v>CTA-LCSW-MQB-0051</x:v>
      </x:c>
      <x:c r="B52" s="83" t="str">
        <x:v>LCSW-WB03-QB-Q017</x:v>
      </x:c>
      <x:c r="C52" s="83" t="str">
        <x:v>Workbook Question Bank</x:v>
      </x:c>
      <x:c r="D52" s="83" t="str">
        <x:v>Workbook 3</x:v>
      </x:c>
      <x:c r="E52" s="83" t="n">
        <x:v>3</x:v>
      </x:c>
      <x:c r="F52" s="83" t="str">
        <x:v>Residents near an industrial site report asthma, job dependence on the company, distrust of officials, and different opinions about public advocacy. What should a community social worker do FIRST?</x:v>
      </x:c>
      <x:c r="G52" s="83" t="str">
        <x:v>Assess urgent health and exposure concerns, reliable data, employment and retaliation risks, affected groups, resident priorities, access barriers, and existing community leadership.</x:v>
      </x:c>
      <x:c r="H52" s="83" t="str">
        <x:v>Organize a public protest immediately.</x:v>
      </x:c>
      <x:c r="I52" s="83" t="str">
        <x:v>Avoid involvement because the issue is medical.</x:v>
      </x:c>
      <x:c r="J52" s="83" t="str"/>
      <x:c r="K52" s="83" t="str">
        <x:v>A</x:v>
      </x:c>
      <x:c r="L52" s="83" t="str">
        <x:v>Correct. The response must integrate environmental health, economic power, trust, and community self-determination before selecting an advocacy strategy.</x:v>
      </x:c>
      <x:c r="M52" s="83" t="str">
        <x:v>Incorrect. Public action may expose residents to risks and should follow informed community decision-making.</x:v>
      </x:c>
      <x:c r="N52" s="83" t="str">
        <x:v>Incorrect. Environmental conditions, access, and community organization are social work concerns.</x:v>
      </x:c>
      <x:c r="O52" s="83" t="str"/>
      <x:c r="P52" s="83" t="str">
        <x:v>A. Correct. The response must integrate environmental health, economic power, trust, and community self-determination before selecting an advocacy strategy.
B. Incorrect. Public action may expose residents to risks and should follow informed community decision-making.
C. Incorrect. Environmental conditions, access, and community organization are social work concerns.</x:v>
      </x:c>
      <x:c r="Q52" s="83" t="str">
        <x:v>Before choosing advocacy tactics, clarify health urgency, power, risk, and what residents want.</x:v>
      </x:c>
      <x:c r="R52" s="89" t="str">
        <x:v>CTA LCSW Workbook 3</x:v>
      </x:c>
    </x:row>
    <x:row r="53">
      <x:c r="A53" s="88" t="str">
        <x:v>CTA-LCSW-MQB-0052</x:v>
      </x:c>
      <x:c r="B53" s="83" t="str">
        <x:v>LCSW-WB04-QB-Q001</x:v>
      </x:c>
      <x:c r="C53" s="83" t="str">
        <x:v>Workbook Question Bank</x:v>
      </x:c>
      <x:c r="D53" s="83" t="str">
        <x:v>Workbook 4</x:v>
      </x:c>
      <x:c r="E53" s="83" t="n">
        <x:v>3</x:v>
      </x:c>
      <x:c r="F53" s="83" t="str">
        <x:v>During an interview, a client says, 'I have been sleeping three hours a night.' The social worker notes that the client repeatedly yawns and loses track of questions. Which statement BEST classifies these data?</x:v>
      </x:c>
      <x:c r="G53" s="83" t="str">
        <x:v>Both findings are collateral information.</x:v>
      </x:c>
      <x:c r="H53" s="83" t="str">
        <x:v>The sleep duration is client self-report, while yawning and losing track are direct clinical observations.</x:v>
      </x:c>
      <x:c r="I53" s="83" t="str">
        <x:v>Both findings are diagnostic conclusions.</x:v>
      </x:c>
      <x:c r="J53" s="83" t="str"/>
      <x:c r="K53" s="83" t="str">
        <x:v>B</x:v>
      </x:c>
      <x:c r="L53" s="83" t="str">
        <x:v>Incorrect. Collateral information comes from outside sources such as family, records, or other providers.</x:v>
      </x:c>
      <x:c r="M53" s="83" t="str">
        <x:v>Correct. Assessment should distinguish the source of information rather than treating all data as equally objective.</x:v>
      </x:c>
      <x:c r="N53" s="83" t="str">
        <x:v>Incorrect. They are assessment data, not diagnoses.</x:v>
      </x:c>
      <x:c r="O53" s="83" t="str"/>
      <x:c r="P53" s="83" t="str">
        <x:v>A. Incorrect. Collateral information comes from outside sources such as family, records, or other providers.
B. Correct. Assessment should distinguish the source of information rather than treating all data as equally objective.
C. Incorrect. They are assessment data, not diagnoses.</x:v>
      </x:c>
      <x:c r="Q53" s="83" t="str">
        <x:v>Track where each fact came from before deciding how much weight to give it.</x:v>
      </x:c>
      <x:c r="R53" s="89" t="str">
        <x:v>CTA LCSW Workbook 4</x:v>
      </x:c>
    </x:row>
    <x:row r="54">
      <x:c r="A54" s="88" t="str">
        <x:v>CTA-LCSW-MQB-0053</x:v>
      </x:c>
      <x:c r="B54" s="83" t="str">
        <x:v>LCSW-WB04-QB-Q002</x:v>
      </x:c>
      <x:c r="C54" s="83" t="str">
        <x:v>Workbook Question Bank</x:v>
      </x:c>
      <x:c r="D54" s="83" t="str">
        <x:v>Workbook 4</x:v>
      </x:c>
      <x:c r="E54" s="83" t="n">
        <x:v>3</x:v>
      </x:c>
      <x:c r="F54" s="83" t="str">
        <x:v>In a mental status examination, which statement BEST distinguishes mood from affect?</x:v>
      </x:c>
      <x:c r="G54" s="83" t="str">
        <x:v>Mood is the client's reported sustained emotional state; affect is the emotional expression observed by the social worker.</x:v>
      </x:c>
      <x:c r="H54" s="83" t="str">
        <x:v>Mood is observed behavior, while affect is the client's diagnosis.</x:v>
      </x:c>
      <x:c r="I54" s="83" t="str">
        <x:v>Mood and affect are interchangeable whenever they are congruent.</x:v>
      </x:c>
      <x:c r="J54" s="83" t="str"/>
      <x:c r="K54" s="83" t="str">
        <x:v>A</x:v>
      </x:c>
      <x:c r="L54" s="83" t="str">
        <x:v>Correct. The MSE separates what the client reports from what the clinician observes.</x:v>
      </x:c>
      <x:c r="M54" s="83" t="str">
        <x:v>Incorrect. Affect is observed expression, and neither term is itself a diagnosis.</x:v>
      </x:c>
      <x:c r="N54" s="83" t="str">
        <x:v>Incorrect. They remain distinct domains even when they match.</x:v>
      </x:c>
      <x:c r="O54" s="83" t="str"/>
      <x:c r="P54" s="83" t="str">
        <x:v>A. Correct. The MSE separates what the client reports from what the clinician observes.
B. Incorrect. Affect is observed expression, and neither term is itself a diagnosis.
C. Incorrect. They remain distinct domains even when they match.</x:v>
      </x:c>
      <x:c r="Q54" s="83" t="str">
        <x:v>Remember: mood is reported; affect is observed.</x:v>
      </x:c>
      <x:c r="R54" s="89" t="str">
        <x:v>CTA LCSW Workbook 4</x:v>
      </x:c>
    </x:row>
    <x:row r="55">
      <x:c r="A55" s="88" t="str">
        <x:v>CTA-LCSW-MQB-0054</x:v>
      </x:c>
      <x:c r="B55" s="83" t="str">
        <x:v>LCSW-WB04-QB-Q003</x:v>
      </x:c>
      <x:c r="C55" s="83" t="str">
        <x:v>Workbook Question Bank</x:v>
      </x:c>
      <x:c r="D55" s="83" t="str">
        <x:v>Workbook 4</x:v>
      </x:c>
      <x:c r="E55" s="83" t="n">
        <x:v>4</x:v>
      </x:c>
      <x:c r="F55" s="83" t="str">
        <x:v>Which finding is an example of THOUGHT PROCESS rather than thought content?</x:v>
      </x:c>
      <x:c r="G55" s="83" t="str">
        <x:v>The client believes neighbors are monitoring the apartment.</x:v>
      </x:c>
      <x:c r="H55" s="83" t="str">
        <x:v>The client reports persistent guilt about a past event.</x:v>
      </x:c>
      <x:c r="I55" s="83" t="str">
        <x:v>The client's ideas shift rapidly from one loosely connected topic to another.</x:v>
      </x:c>
      <x:c r="J55" s="83" t="str">
        <x:v>The client hears a voice commenting on behavior.</x:v>
      </x:c>
      <x:c r="K55" s="83" t="str">
        <x:v>C</x:v>
      </x:c>
      <x:c r="L55" s="83" t="str">
        <x:v>Incorrect. This is thought content.</x:v>
      </x:c>
      <x:c r="M55" s="83" t="str">
        <x:v>Incorrect. This is thought content.</x:v>
      </x:c>
      <x:c r="N55" s="83" t="str">
        <x:v>Correct. Thought process describes organization and flow; thought content describes themes, beliefs, or preoccupations.</x:v>
      </x:c>
      <x:c r="O55" s="83" t="str">
        <x:v>Incorrect. This is a perceptual finding.</x:v>
      </x:c>
      <x:c r="P55" s="83" t="str">
        <x:v>A. Incorrect. This is thought content.
B. Incorrect. This is thought content.
C. Correct. Thought process describes organization and flow; thought content describes themes, beliefs, or preoccupations.
D. Incorrect. This is a perceptual finding.</x:v>
      </x:c>
      <x:c r="Q55" s="83" t="str">
        <x:v>Ask whether the item describes how ideas are organized or what the client believes and experiences.</x:v>
      </x:c>
      <x:c r="R55" s="89" t="str">
        <x:v>CTA LCSW Workbook 4</x:v>
      </x:c>
    </x:row>
    <x:row r="56">
      <x:c r="A56" s="88" t="str">
        <x:v>CTA-LCSW-MQB-0055</x:v>
      </x:c>
      <x:c r="B56" s="83" t="str">
        <x:v>LCSW-WB04-QB-Q004</x:v>
      </x:c>
      <x:c r="C56" s="83" t="str">
        <x:v>Workbook Question Bank</x:v>
      </x:c>
      <x:c r="D56" s="83" t="str">
        <x:v>Workbook 4</x:v>
      </x:c>
      <x:c r="E56" s="83" t="n">
        <x:v>4</x:v>
      </x:c>
      <x:c r="F56" s="83" t="str">
        <x:v>A client says, 'No one takes me seriously,' and begins crying. Which response BEST demonstrates validation during assessment?</x:v>
      </x:c>
      <x:c r="G56" s="83" t="str">
        <x:v>'You are right; everyone around you has treated you unfairly.'</x:v>
      </x:c>
      <x:c r="H56" s="83" t="str">
        <x:v>'You need to calm down before we can continue.'</x:v>
      </x:c>
      <x:c r="I56" s="83" t="str">
        <x:v>'Let us avoid feelings and finish the history questions.'</x:v>
      </x:c>
      <x:c r="J56" s="83" t="str">
        <x:v>'Given what you have experienced, it makes sense that you feel dismissed. I want to understand more about what has been happening.'</x:v>
      </x:c>
      <x:c r="K56" s="83" t="str">
        <x:v>D</x:v>
      </x:c>
      <x:c r="L56" s="83" t="str">
        <x:v>Incorrect. This endorses a broad factual conclusion that has not been assessed.</x:v>
      </x:c>
      <x:c r="M56" s="83" t="str">
        <x:v>Incorrect. This may feel dismissive and does not acknowledge the experience.</x:v>
      </x:c>
      <x:c r="N56" s="83" t="str">
        <x:v>Incorrect. This bypasses the client's immediate experience and may weaken engagement.</x:v>
      </x:c>
      <x:c r="O56" s="83" t="str">
        <x:v>Correct. The response acknowledges the emotional experience and invites exploration without automatically endorsing every conclusion.</x:v>
      </x:c>
      <x:c r="P56" s="83" t="str">
        <x:v>A. Incorrect. This endorses a broad factual conclusion that has not been assessed.
B. Incorrect. This may feel dismissive and does not acknowledge the experience.
C. Incorrect. This bypasses the client's immediate experience and may weaken engagement.
D. Correct. The response acknowledges the emotional experience and invites exploration without automatically endorsing every conclusion.</x:v>
      </x:c>
      <x:c r="Q56" s="83" t="str">
        <x:v>Validate the experience without automatically validating every conclusion.</x:v>
      </x:c>
      <x:c r="R56" s="89" t="str">
        <x:v>CTA LCSW Workbook 4</x:v>
      </x:c>
    </x:row>
    <x:row r="57">
      <x:c r="A57" s="88" t="str">
        <x:v>CTA-LCSW-MQB-0056</x:v>
      </x:c>
      <x:c r="B57" s="83" t="str">
        <x:v>LCSW-WB04-QB-Q005</x:v>
      </x:c>
      <x:c r="C57" s="83" t="str">
        <x:v>Workbook Question Bank</x:v>
      </x:c>
      <x:c r="D57" s="83" t="str">
        <x:v>Workbook 4</x:v>
      </x:c>
      <x:c r="E57" s="83" t="n">
        <x:v>3</x:v>
      </x:c>
      <x:c r="F57" s="83" t="str">
        <x:v>Why is a change from the client's usual baseline especially important in mental-status assessment?</x:v>
      </x:c>
      <x:c r="G57" s="83" t="str">
        <x:v>A new or fluctuating change may signal an acute medical, neurological, medication, substance-related, environmental, or psychiatric problem requiring further assessment.</x:v>
      </x:c>
      <x:c r="H57" s="83" t="str">
        <x:v>A baseline change proves that the client lacks decision-making ability.</x:v>
      </x:c>
      <x:c r="I57" s="83" t="str">
        <x:v>Baseline matters only when a family member reports it.</x:v>
      </x:c>
      <x:c r="J57" s="83" t="str"/>
      <x:c r="K57" s="83" t="str">
        <x:v>A</x:v>
      </x:c>
      <x:c r="L57" s="83" t="str">
        <x:v>Correct. Baseline comparison helps distinguish longstanding patterns from potentially urgent change.</x:v>
      </x:c>
      <x:c r="M57" s="83" t="str">
        <x:v>Incorrect. Capacity requires a decision-specific assessment.</x:v>
      </x:c>
      <x:c r="N57" s="83" t="str">
        <x:v>Incorrect. The client, records, observation, and appropriate collateral sources may all inform baseline.</x:v>
      </x:c>
      <x:c r="O57" s="83" t="str"/>
      <x:c r="P57" s="83" t="str">
        <x:v>A. Correct. Baseline comparison helps distinguish longstanding patterns from potentially urgent change.
B. Incorrect. Capacity requires a decision-specific assessment.
C. Incorrect. The client, records, observation, and appropriate collateral sources may all inform baseline.</x:v>
      </x:c>
      <x:c r="Q57" s="83" t="str">
        <x:v>Newness and fluctuation often determine whether medical or urgent assessment comes before routine formulation.</x:v>
      </x:c>
      <x:c r="R57" s="89" t="str">
        <x:v>CTA LCSW Workbook 4</x:v>
      </x:c>
    </x:row>
    <x:row r="58">
      <x:c r="A58" s="88" t="str">
        <x:v>CTA-LCSW-MQB-0057</x:v>
      </x:c>
      <x:c r="B58" s="83" t="str">
        <x:v>LCSW-WB04-QB-Q006</x:v>
      </x:c>
      <x:c r="C58" s="83" t="str">
        <x:v>Workbook Question Bank</x:v>
      </x:c>
      <x:c r="D58" s="83" t="str">
        <x:v>Workbook 4</x:v>
      </x:c>
      <x:c r="E58" s="83" t="n">
        <x:v>3</x:v>
      </x:c>
      <x:c r="F58" s="83" t="str">
        <x:v>A probation-referred client says, 'I was told to show up, but nobody explained what you report.' What should the social worker do FIRST?</x:v>
      </x:c>
      <x:c r="G58" s="83" t="str">
        <x:v>Begin a full psychosocial history before discussing the mandate.</x:v>
      </x:c>
      <x:c r="H58" s="83" t="str">
        <x:v>Clarify the social worker's role, the referral requirements, reporting expectations and limits, available choices, and the client's questions and priorities.</x:v>
      </x:c>
      <x:c r="I58" s="83" t="str">
        <x:v>Promise that nothing will be shared with probation.</x:v>
      </x:c>
      <x:c r="J58" s="83" t="str"/>
      <x:c r="K58" s="83" t="str">
        <x:v>B</x:v>
      </x:c>
      <x:c r="L58" s="83" t="str">
        <x:v>Incorrect. Role ambiguity can undermine engagement and informed participation.</x:v>
      </x:c>
      <x:c r="M58" s="83" t="str">
        <x:v>Correct. Mandated involvement changes the frame but does not eliminate transparency, dignity, or participation.</x:v>
      </x:c>
      <x:c r="N58" s="83" t="str">
        <x:v>Incorrect. An absolute promise may be inaccurate.</x:v>
      </x:c>
      <x:c r="O58" s="83" t="str"/>
      <x:c r="P58" s="83" t="str">
        <x:v>A. Incorrect. Role ambiguity can undermine engagement and informed participation.
B. Correct. Mandated involvement changes the frame but does not eliminate transparency, dignity, or participation.
C. Incorrect. An absolute promise may be inaccurate.</x:v>
      </x:c>
      <x:c r="Q58" s="83" t="str">
        <x:v>Clarify the frame before expecting meaningful participation in assessment.</x:v>
      </x:c>
      <x:c r="R58" s="89" t="str">
        <x:v>CTA LCSW Workbook 4</x:v>
      </x:c>
    </x:row>
    <x:row r="59">
      <x:c r="A59" s="88" t="str">
        <x:v>CTA-LCSW-MQB-0058</x:v>
      </x:c>
      <x:c r="B59" s="83" t="str">
        <x:v>LCSW-WB04-QB-Q007</x:v>
      </x:c>
      <x:c r="C59" s="83" t="str">
        <x:v>Workbook Question Bank</x:v>
      </x:c>
      <x:c r="D59" s="83" t="str">
        <x:v>Workbook 4</x:v>
      </x:c>
      <x:c r="E59" s="83" t="n">
        <x:v>4</x:v>
      </x:c>
      <x:c r="F59" s="83" t="str">
        <x:v>A parent with limited English proficiency brings a 12-year-old child to interpret during a behavioral-health intake. What should the social worker do?</x:v>
      </x:c>
      <x:c r="G59" s="83" t="str">
        <x:v>Use the child because family members understand cultural meanings best.</x:v>
      </x:c>
      <x:c r="H59" s="83" t="str">
        <x:v>Proceed only with yes-or-no questions so interpretation is unnecessary.</x:v>
      </x:c>
      <x:c r="I59" s="83" t="str">
        <x:v>Arrange qualified language assistance, explain the child's role, and conduct the assessment in a way that protects accuracy, confidentiality, and family boundaries.</x:v>
      </x:c>
      <x:c r="J59" s="83" t="str">
        <x:v>Ask the child to interpret only the sensitive questions.</x:v>
      </x:c>
      <x:c r="K59" s="83" t="str">
        <x:v>C</x:v>
      </x:c>
      <x:c r="L59" s="83" t="str">
        <x:v>Incorrect. Cultural familiarity does not eliminate accuracy and boundary concerns.</x:v>
      </x:c>
      <x:c r="M59" s="83" t="str">
        <x:v>Incorrect. This would restrict assessment and may not solve the communication barrier.</x:v>
      </x:c>
      <x:c r="N59" s="83" t="str">
        <x:v>Correct. Using a child as interpreter can create burden, role reversal, omissions, and privacy concerns.</x:v>
      </x:c>
      <x:c r="O59" s="83" t="str">
        <x:v>Incorrect. Sensitive content increases rather than reduces the concern.</x:v>
      </x:c>
      <x:c r="P59" s="83" t="str">
        <x:v>A. Incorrect. Cultural familiarity does not eliminate accuracy and boundary concerns.
B. Incorrect. This would restrict assessment and may not solve the communication barrier.
C. Correct. Using a child as interpreter can create burden, role reversal, omissions, and privacy concerns.
D. Incorrect. Sensitive content increases rather than reduces the concern.</x:v>
      </x:c>
      <x:c r="Q59" s="83" t="str">
        <x:v>Treat language access as an assessment-validity and participation issue, not a convenience.</x:v>
      </x:c>
      <x:c r="R59" s="89" t="str">
        <x:v>CTA LCSW Workbook 4</x:v>
      </x:c>
    </x:row>
    <x:row r="60">
      <x:c r="A60" s="88" t="str">
        <x:v>CTA-LCSW-MQB-0059</x:v>
      </x:c>
      <x:c r="B60" s="83" t="str">
        <x:v>LCSW-WB04-QB-Q008</x:v>
      </x:c>
      <x:c r="C60" s="83" t="str">
        <x:v>Workbook Question Bank</x:v>
      </x:c>
      <x:c r="D60" s="83" t="str">
        <x:v>Workbook 4</x:v>
      </x:c>
      <x:c r="E60" s="83" t="n">
        <x:v>4</x:v>
      </x:c>
      <x:c r="F60" s="83" t="str">
        <x:v>A five-year-old record lists a diagnosis that does not match the client's current presentation. What should the social worker do NEXT?</x:v>
      </x:c>
      <x:c r="G60" s="83" t="str">
        <x:v>Use the prior diagnosis because written records are more objective than current client report.</x:v>
      </x:c>
      <x:c r="H60" s="83" t="str">
        <x:v>Delete the diagnosis from the record because it appears inconsistent.</x:v>
      </x:c>
      <x:c r="I60" s="83" t="str">
        <x:v>Ignore the record entirely because it is old.</x:v>
      </x:c>
      <x:c r="J60" s="83" t="str">
        <x:v>Clarify the prior record's context and basis, complete a current assessment, compare functioning and symptoms over time, and treat the old diagnosis as one source rather than a conclusion.</x:v>
      </x:c>
      <x:c r="K60" s="83" t="str">
        <x:v>D</x:v>
      </x:c>
      <x:c r="L60" s="83" t="str">
        <x:v>Incorrect. Records may be outdated, context-bound, or incomplete.</x:v>
      </x:c>
      <x:c r="M60" s="83" t="str">
        <x:v>Incorrect. The social worker should not alter historical records; the discrepancy should be assessed and documented.</x:v>
      </x:c>
      <x:c r="N60" s="83" t="str">
        <x:v>Incorrect. The record may still contain useful history when interpreted in context.</x:v>
      </x:c>
      <x:c r="O60" s="83" t="str">
        <x:v>Correct. Records supplement but do not replace current, decision-relevant assessment.</x:v>
      </x:c>
      <x:c r="P60" s="83" t="str">
        <x:v>A. Incorrect. Records may be outdated, context-bound, or incomplete.
B. Incorrect. The social worker should not alter historical records; the discrepancy should be assessed and documented.
C. Incorrect. The record may still contain useful history when interpreted in context.
D. Correct. Records supplement but do not replace current, decision-relevant assessment.</x:v>
      </x:c>
      <x:c r="Q60" s="83" t="str">
        <x:v>A prior record is data, not destiny; compare it with current presentation, baseline, and context.</x:v>
      </x:c>
      <x:c r="R60" s="89" t="str">
        <x:v>CTA LCSW Workbook 4</x:v>
      </x:c>
    </x:row>
    <x:row r="61">
      <x:c r="A61" s="88" t="str">
        <x:v>CTA-LCSW-MQB-0060</x:v>
      </x:c>
      <x:c r="B61" s="83" t="str">
        <x:v>LCSW-WB04-QB-Q009</x:v>
      </x:c>
      <x:c r="C61" s="83" t="str">
        <x:v>Workbook Question Bank</x:v>
      </x:c>
      <x:c r="D61" s="83" t="str">
        <x:v>Workbook 4</x:v>
      </x:c>
      <x:c r="E61" s="83" t="n">
        <x:v>3</x:v>
      </x:c>
      <x:c r="F61" s="83" t="str">
        <x:v>A client with no psychiatric history develops fluctuating confusion and visual misperceptions during treatment for an infection. What should the social worker do FIRST?</x:v>
      </x:c>
      <x:c r="G61" s="83" t="str">
        <x:v>Coordinate urgent medical evaluation while assessing immediate safety and communicating the observed change to the treatment team.</x:v>
      </x:c>
      <x:c r="H61" s="83" t="str">
        <x:v>Begin insight-oriented therapy to explore the symbolic meaning of the visions.</x:v>
      </x:c>
      <x:c r="I61" s="83" t="str">
        <x:v>Assume a chronic psychotic disorder and arrange long-term placement.</x:v>
      </x:c>
      <x:c r="J61" s="83" t="str"/>
      <x:c r="K61" s="83" t="str">
        <x:v>A</x:v>
      </x:c>
      <x:c r="L61" s="83" t="str">
        <x:v>Correct. Acute fluctuating cognition during medical illness raises concern for a medical condition and should not be treated first as a primary psychiatric disorder.</x:v>
      </x:c>
      <x:c r="M61" s="83" t="str">
        <x:v>Incorrect. Medical urgency and safety come first.</x:v>
      </x:c>
      <x:c r="N61" s="83" t="str">
        <x:v>Incorrect. The abrupt, fluctuating, medically associated onset argues for urgent medical assessment.</x:v>
      </x:c>
      <x:c r="O61" s="83" t="str"/>
      <x:c r="P61" s="83" t="str">
        <x:v>A. Correct. Acute fluctuating cognition during medical illness raises concern for a medical condition and should not be treated first as a primary psychiatric disorder.
B. Incorrect. Medical urgency and safety come first.
C. Incorrect. The abrupt, fluctuating, medically associated onset argues for urgent medical assessment.</x:v>
      </x:c>
      <x:c r="Q61" s="83" t="str">
        <x:v>Sudden fluctuation plus medical illness shifts the sequence toward urgent medical assessment.</x:v>
      </x:c>
      <x:c r="R61" s="89" t="str">
        <x:v>CTA LCSW Workbook 4</x:v>
      </x:c>
    </x:row>
    <x:row r="62">
      <x:c r="A62" s="88" t="str">
        <x:v>CTA-LCSW-MQB-0061</x:v>
      </x:c>
      <x:c r="B62" s="83" t="str">
        <x:v>LCSW-WB04-QB-Q010</x:v>
      </x:c>
      <x:c r="C62" s="83" t="str">
        <x:v>Workbook Question Bank</x:v>
      </x:c>
      <x:c r="D62" s="83" t="str">
        <x:v>Workbook 4</x:v>
      </x:c>
      <x:c r="E62" s="83" t="n">
        <x:v>3</x:v>
      </x:c>
      <x:c r="F62" s="83" t="str">
        <x:v>A client says a prescribed medication is taken inconsistently because the label is confusing, the pharmacy is two bus transfers away, and the medication causes dizziness. What should the social worker do FIRST?</x:v>
      </x:c>
      <x:c r="G62" s="83" t="str">
        <x:v>Tell the client to take the medication exactly as prescribed without further discussion.</x:v>
      </x:c>
      <x:c r="H62" s="83" t="str">
        <x:v>Assess current symptoms and safety, clarify understanding and preferences, and coordinate with the prescriber and service system regarding side effects, instructions, pharmacy access, and transportation.</x:v>
      </x:c>
      <x:c r="I62" s="83" t="str">
        <x:v>Advise the client to reduce the dose until dizziness stops.</x:v>
      </x:c>
      <x:c r="J62" s="83" t="str"/>
      <x:c r="K62" s="83" t="str">
        <x:v>B</x:v>
      </x:c>
      <x:c r="L62" s="83" t="str">
        <x:v>Incorrect. This does not address side effects, understanding, or access.</x:v>
      </x:c>
      <x:c r="M62" s="83" t="str">
        <x:v>Correct. The problem includes health, communication, and access barriers and requires collaborative coordination rather than a noncompliance label.</x:v>
      </x:c>
      <x:c r="N62" s="83" t="str">
        <x:v>Incorrect. Directing medication changes is outside the social worker's role and may be unsafe.</x:v>
      </x:c>
      <x:c r="O62" s="83" t="str"/>
      <x:c r="P62" s="83" t="str">
        <x:v>A. Incorrect. This does not address side effects, understanding, or access.
B. Correct. The problem includes health, communication, and access barriers and requires collaborative coordination rather than a noncompliance label.
C. Incorrect. Directing medication changes is outside the social worker's role and may be unsafe.</x:v>
      </x:c>
      <x:c r="Q62" s="83" t="str">
        <x:v>Before labeling behavior, ask whether the plan is understandable, tolerable, affordable, and possible.</x:v>
      </x:c>
      <x:c r="R62" s="89" t="str">
        <x:v>CTA LCSW Workbook 4</x:v>
      </x:c>
    </x:row>
    <x:row r="63">
      <x:c r="A63" s="88" t="str">
        <x:v>CTA-LCSW-MQB-0062</x:v>
      </x:c>
      <x:c r="B63" s="83" t="str">
        <x:v>LCSW-WB04-QB-Q011</x:v>
      </x:c>
      <x:c r="C63" s="83" t="str">
        <x:v>Workbook Question Bank</x:v>
      </x:c>
      <x:c r="D63" s="83" t="str">
        <x:v>Workbook 4</x:v>
      </x:c>
      <x:c r="E63" s="83" t="n">
        <x:v>3</x:v>
      </x:c>
      <x:c r="F63" s="83" t="str">
        <x:v>A client wants to reduce heavy alcohol use but is not ready to pursue abstinence. Which response is BEST?</x:v>
      </x:c>
      <x:c r="G63" s="83" t="str">
        <x:v>Refuse services until the client commits to abstinence.</x:v>
      </x:c>
      <x:c r="H63" s="83" t="str">
        <x:v>Accept the reduction goal without asking about withdrawal or other danger.</x:v>
      </x:c>
      <x:c r="I63" s="83" t="str">
        <x:v>Assess amount, pattern, withdrawal risk, safety, consequences, prior change attempts, supports, and goals, then collaborate on harm-reduction and treatment options consistent with readiness.</x:v>
      </x:c>
      <x:c r="J63" s="83" t="str"/>
      <x:c r="K63" s="83" t="str">
        <x:v>C</x:v>
      </x:c>
      <x:c r="L63" s="83" t="str">
        <x:v>Incorrect. This may reduce engagement and does not address current risk.</x:v>
      </x:c>
      <x:c r="M63" s="83" t="str">
        <x:v>Incorrect. Readiness does not eliminate the need for risk assessment.</x:v>
      </x:c>
      <x:c r="N63" s="83" t="str">
        <x:v>Correct. Self-determination and harm reduction can be combined with clear assessment of medical and safety risk.</x:v>
      </x:c>
      <x:c r="O63" s="83" t="str"/>
      <x:c r="P63" s="83" t="str">
        <x:v>A. Incorrect. This may reduce engagement and does not address current risk.
B. Incorrect. Readiness does not eliminate the need for risk assessment.
C. Correct. Self-determination and harm reduction can be combined with clear assessment of medical and safety risk.</x:v>
      </x:c>
      <x:c r="Q63" s="83" t="str">
        <x:v>Meet the client at the current stage while still assessing urgent risk and usable supports.</x:v>
      </x:c>
      <x:c r="R63" s="89" t="str">
        <x:v>CTA LCSW Workbook 4</x:v>
      </x:c>
    </x:row>
    <x:row r="64">
      <x:c r="A64" s="88" t="str">
        <x:v>CTA-LCSW-MQB-0063</x:v>
      </x:c>
      <x:c r="B64" s="83" t="str">
        <x:v>LCSW-WB04-QB-Q012</x:v>
      </x:c>
      <x:c r="C64" s="83" t="str">
        <x:v>Workbook Question Bank</x:v>
      </x:c>
      <x:c r="D64" s="83" t="str">
        <x:v>Workbook 4</x:v>
      </x:c>
      <x:c r="E64" s="83" t="n">
        <x:v>4</x:v>
      </x:c>
      <x:c r="F64" s="83" t="str">
        <x:v>A client repeatedly says, 'I blank out when my supervisor talks to me.' What should the social worker do NEXT?</x:v>
      </x:c>
      <x:c r="G64" s="83" t="str">
        <x:v>Interpret the phrase as resistance to authority.</x:v>
      </x:c>
      <x:c r="H64" s="83" t="str">
        <x:v>Reassure the client that the experience is normal.</x:v>
      </x:c>
      <x:c r="I64" s="83" t="str">
        <x:v>Recommend resignation from the job before assessment.</x:v>
      </x:c>
      <x:c r="J64" s="83" t="str">
        <x:v>Clarify what 'blank out' means by asking about the sequence, awareness, memory, physical sensations, triggers, duration, consequences, and safety.</x:v>
      </x:c>
      <x:c r="K64" s="83" t="str">
        <x:v>D</x:v>
      </x:c>
      <x:c r="L64" s="83" t="str">
        <x:v>Incorrect. The meaning has not been established.</x:v>
      </x:c>
      <x:c r="M64" s="83" t="str">
        <x:v>Incorrect. The experience and risk are still unclear.</x:v>
      </x:c>
      <x:c r="N64" s="83" t="str">
        <x:v>Incorrect. A major action is premature.</x:v>
      </x:c>
      <x:c r="O64" s="83" t="str">
        <x:v>Correct. The phrase could refer to anxiety, dissociation, cognitive difficulty, a medical event, or another experience; interpretation is premature.</x:v>
      </x:c>
      <x:c r="P64" s="83" t="str">
        <x:v>A. Incorrect. The meaning has not been established.
B. Incorrect. The experience and risk are still unclear.
C. Incorrect. A major action is premature.
D. Correct. The phrase could refer to anxiety, dissociation, cognitive difficulty, a medical event, or another experience; interpretation is premature.</x:v>
      </x:c>
      <x:c r="Q64" s="83" t="str">
        <x:v>Define vague language behaviorally before diagnosing, interpreting, or planning.</x:v>
      </x:c>
      <x:c r="R64" s="89" t="str">
        <x:v>CTA LCSW Workbook 4</x:v>
      </x:c>
    </x:row>
    <x:row r="65">
      <x:c r="A65" s="88" t="str">
        <x:v>CTA-LCSW-MQB-0064</x:v>
      </x:c>
      <x:c r="B65" s="83" t="str">
        <x:v>LCSW-WB04-QB-Q013</x:v>
      </x:c>
      <x:c r="C65" s="83" t="str">
        <x:v>Workbook Question Bank</x:v>
      </x:c>
      <x:c r="D65" s="83" t="str">
        <x:v>Workbook 4</x:v>
      </x:c>
      <x:c r="E65" s="83" t="n">
        <x:v>3</x:v>
      </x:c>
      <x:c r="F65" s="83" t="str">
        <x:v>A young adult with a recent spinal-cord injury wants to return to an apartment, but the building has stairs, the client has limited home support, and rehabilitation staff disagree about readiness. What should the social worker do FIRST?</x:v>
      </x:c>
      <x:c r="G65" s="83" t="str">
        <x:v>Involve the client in assessing functional abilities, home accessibility, equipment and personal-care needs, supports, benefits, transportation, risks, and feasible least restrictive alternatives with the interdisciplinary team.</x:v>
      </x:c>
      <x:c r="H65" s="83" t="str">
        <x:v>Arrange residential placement because staff disagreement proves home discharge is unsafe.</x:v>
      </x:c>
      <x:c r="I65" s="83" t="str">
        <x:v>Discharge home immediately because self-determination overrides all safety assessment.</x:v>
      </x:c>
      <x:c r="J65" s="83" t="str"/>
      <x:c r="K65" s="83" t="str">
        <x:v>A</x:v>
      </x:c>
      <x:c r="L65" s="83" t="str">
        <x:v>Correct. Discharge planning requires client participation and integration of health, environment, resources, and safety rather than a binary home-versus-placement decision.</x:v>
      </x:c>
      <x:c r="M65" s="83" t="str">
        <x:v>Incorrect. The facts require assessment rather than automatic restriction.</x:v>
      </x:c>
      <x:c r="N65" s="83" t="str">
        <x:v>Incorrect. Self-determination includes informed, collaborative evaluation of risks and supports.</x:v>
      </x:c>
      <x:c r="O65" s="83" t="str"/>
      <x:c r="P65" s="83" t="str">
        <x:v>A. Correct. Discharge planning requires client participation and integration of health, environment, resources, and safety rather than a binary home-versus-placement decision.
B. Incorrect. The facts require assessment rather than automatic restriction.
C. Incorrect. Self-determination includes informed, collaborative evaluation of risks and supports.</x:v>
      </x:c>
      <x:c r="Q65" s="83" t="str">
        <x:v>Integrate person, environment, function, resources, risk, and client choice before selecting the level of support.</x:v>
      </x:c>
      <x:c r="R65" s="89" t="str">
        <x:v>CTA LCSW Workbook 4</x:v>
      </x:c>
    </x:row>
    <x:row r="66">
      <x:c r="A66" s="88" t="str">
        <x:v>CTA-LCSW-MQB-0065</x:v>
      </x:c>
      <x:c r="B66" s="83" t="str">
        <x:v>LCSW-WB04-QB-Q014</x:v>
      </x:c>
      <x:c r="C66" s="83" t="str">
        <x:v>Workbook Question Bank</x:v>
      </x:c>
      <x:c r="D66" s="83" t="str">
        <x:v>Workbook 4</x:v>
      </x:c>
      <x:c r="E66" s="83" t="n">
        <x:v>3</x:v>
      </x:c>
      <x:c r="F66" s="83" t="str">
        <x:v>A client describes communicating with ancestors during a spiritual ceremony. Family members insist this proves psychosis, but the client is organized, functioning, and not distressed. What should the social worker do NEXT?</x:v>
      </x:c>
      <x:c r="G66" s="83" t="str">
        <x:v>Confirm psychosis because the experience involves hearing or sensing others.</x:v>
      </x:c>
      <x:c r="H66" s="83" t="str">
        <x:v>Explore the experience's cultural and spiritual meaning, context, voluntariness, frequency, functional impact, associated symptoms, and safety before drawing a diagnostic conclusion.</x:v>
      </x:c>
      <x:c r="I66" s="83" t="str">
        <x:v>Dismiss the family's concern because spiritual experiences can never be clinically significant.</x:v>
      </x:c>
      <x:c r="J66" s="83" t="str"/>
      <x:c r="K66" s="83" t="str">
        <x:v>B</x:v>
      </x:c>
      <x:c r="L66" s="83" t="str">
        <x:v>Incorrect. Perceptual language alone does not establish pathology outside cultural and functional context.</x:v>
      </x:c>
      <x:c r="M66" s="83" t="str">
        <x:v>Correct. Culturally sanctioned experiences must be assessed within context while still evaluating function, distress, and other mental-status findings.</x:v>
      </x:c>
      <x:c r="N66" s="83" t="str">
        <x:v>Incorrect. The concern should be explored without automatic pathologizing or automatic normalization.</x:v>
      </x:c>
      <x:c r="O66" s="83" t="str"/>
      <x:c r="P66" s="83" t="str">
        <x:v>A. Incorrect. Perceptual language alone does not establish pathology outside cultural and functional context.
B. Correct. Culturally sanctioned experiences must be assessed within context while still evaluating function, distress, and other mental-status findings.
C. Incorrect. The concern should be explored without automatic pathologizing or automatic normalization.</x:v>
      </x:c>
      <x:c r="Q66" s="83" t="str">
        <x:v>Assess meaning, context, control, distress, function, and associated findings before labeling a culturally framed experience.</x:v>
      </x:c>
      <x:c r="R66" s="89" t="str">
        <x:v>CTA LCSW Workbook 4</x:v>
      </x:c>
    </x:row>
    <x:row r="67">
      <x:c r="A67" s="88" t="str">
        <x:v>CTA-LCSW-MQB-0066</x:v>
      </x:c>
      <x:c r="B67" s="83" t="str">
        <x:v>LCSW-WB04-QB-Q015</x:v>
      </x:c>
      <x:c r="C67" s="83" t="str">
        <x:v>Workbook Question Bank</x:v>
      </x:c>
      <x:c r="D67" s="83" t="str">
        <x:v>Workbook 4</x:v>
      </x:c>
      <x:c r="E67" s="83" t="n">
        <x:v>4</x:v>
      </x:c>
      <x:c r="F67" s="83" t="str">
        <x:v>A school record labels a student 'defiant.' During the interview, the student frequently misses spoken questions and responds accurately when information is written. What should the social worker do FIRST?</x:v>
      </x:c>
      <x:c r="G67" s="83" t="str">
        <x:v>Confront the student about ignoring adults.</x:v>
      </x:c>
      <x:c r="H67" s="83" t="str">
        <x:v>Accept the school label because it appears in an official record.</x:v>
      </x:c>
      <x:c r="I67" s="83" t="str">
        <x:v>Assess hearing and communication access, clarify the student's baseline and school context, obtain appropriate evaluation or accommodations, and reassess the behavior after access barriers are addressed.</x:v>
      </x:c>
      <x:c r="J67" s="83" t="str">
        <x:v>Recommend disciplinary consequences to increase compliance.</x:v>
      </x:c>
      <x:c r="K67" s="83" t="str">
        <x:v>C</x:v>
      </x:c>
      <x:c r="L67" s="83" t="str">
        <x:v>Incorrect. The observed pattern suggests a possible access issue rather than established defiance.</x:v>
      </x:c>
      <x:c r="M67" s="83" t="str">
        <x:v>Incorrect. The label must be tested against current assessment and context.</x:v>
      </x:c>
      <x:c r="N67" s="83" t="str">
        <x:v>Correct. An apparent behavior problem may reflect an unrecognized sensory or communication barrier.</x:v>
      </x:c>
      <x:c r="O67" s="83" t="str">
        <x:v>Incorrect. Punitive action is premature and may worsen inequity.</x:v>
      </x:c>
      <x:c r="P67" s="83" t="str">
        <x:v>A. Incorrect. The observed pattern suggests a possible access issue rather than established defiance.
B. Incorrect. The label must be tested against current assessment and context.
C. Correct. An apparent behavior problem may reflect an unrecognized sensory or communication barrier.
D. Incorrect. Punitive action is premature and may worsen inequity.</x:v>
      </x:c>
      <x:c r="Q67" s="83" t="str">
        <x:v>When behavior changes with an accessible communication method, assess the barrier before attributing intent.</x:v>
      </x:c>
      <x:c r="R67" s="89" t="str">
        <x:v>CTA LCSW Workbook 4</x:v>
      </x:c>
    </x:row>
    <x:row r="68">
      <x:c r="A68" s="88" t="str">
        <x:v>CTA-LCSW-MQB-0067</x:v>
      </x:c>
      <x:c r="B68" s="83" t="str">
        <x:v>LCSW-WB04-QB-Q016</x:v>
      </x:c>
      <x:c r="C68" s="83" t="str">
        <x:v>Workbook Question Bank</x:v>
      </x:c>
      <x:c r="D68" s="83" t="str">
        <x:v>Workbook 4</x:v>
      </x:c>
      <x:c r="E68" s="83" t="n">
        <x:v>4</x:v>
      </x:c>
      <x:c r="F68" s="83" t="str">
        <x:v>A client who abruptly stopped daily sedative use reports tremors, sweating, agitation, and increasing confusion. What should the social worker do FIRST?</x:v>
      </x:c>
      <x:c r="G68" s="83" t="str">
        <x:v>Complete a detailed motivational interview before contacting medical services.</x:v>
      </x:c>
      <x:c r="H68" s="83" t="str">
        <x:v>Ask the client to rest in the waiting room until symptoms improve.</x:v>
      </x:c>
      <x:c r="I68" s="83" t="str">
        <x:v>Recommend resuming the prior dose without medical consultation.</x:v>
      </x:c>
      <x:c r="J68" s="83" t="str">
        <x:v>Activate urgent medical assessment or emergency procedures appropriate to the setting while gathering only the information needed for immediate safety.</x:v>
      </x:c>
      <x:c r="K68" s="83" t="str">
        <x:v>D</x:v>
      </x:c>
      <x:c r="L68" s="83" t="str">
        <x:v>Incorrect. Engagement is important but cannot delay urgent care.</x:v>
      </x:c>
      <x:c r="M68" s="83" t="str">
        <x:v>Incorrect. This may be unsafe.</x:v>
      </x:c>
      <x:c r="N68" s="83" t="str">
        <x:v>Incorrect. Directing medication or substance dosing is unsafe and outside the role.</x:v>
      </x:c>
      <x:c r="O68" s="83" t="str">
        <x:v>Correct. The symptom cluster may indicate dangerous withdrawal and routine psychosocial assessment should not delay medical care.</x:v>
      </x:c>
      <x:c r="P68" s="83" t="str">
        <x:v>A. Incorrect. Engagement is important but cannot delay urgent care.
B. Incorrect. This may be unsafe.
C. Incorrect. Directing medication or substance dosing is unsafe and outside the role.
D. Correct. The symptom cluster may indicate dangerous withdrawal and routine psychosocial assessment should not delay medical care.</x:v>
      </x:c>
      <x:c r="Q68" s="83" t="str">
        <x:v>When consciousness, confusion, autonomic signs, or severe withdrawal are present, emergency medical response precedes routine assessment.</x:v>
      </x:c>
      <x:c r="R68" s="89" t="str">
        <x:v>CTA LCSW Workbook 4</x:v>
      </x:c>
    </x:row>
    <x:row r="69">
      <x:c r="A69" s="88" t="str">
        <x:v>CTA-LCSW-MQB-0068</x:v>
      </x:c>
      <x:c r="B69" s="83" t="str">
        <x:v>LCSW-WB04-QB-Q017</x:v>
      </x:c>
      <x:c r="C69" s="83" t="str">
        <x:v>Workbook Question Bank</x:v>
      </x:c>
      <x:c r="D69" s="83" t="str">
        <x:v>Workbook 4</x:v>
      </x:c>
      <x:c r="E69" s="83" t="n">
        <x:v>3</x:v>
      </x:c>
      <x:c r="F69" s="83" t="str">
        <x:v>A veteran seeks help for panic, insomnia, missed diabetes care, escalating alcohol use, and an eviction notice. The client distrusts agencies and asks only for housing help. What is the BEST initial plan?</x:v>
      </x:c>
      <x:c r="G69" s="83" t="str">
        <x:v>Acknowledge the housing priority, assess immediate safety and medical or withdrawal urgency, clarify symptoms and functioning, identify strengths and supports, and collaborate on an accessible housing and health-care coordination plan while respecting readiness for behavioral-health treatment.</x:v>
      </x:c>
      <x:c r="H69" s="83" t="str">
        <x:v>Require trauma treatment before providing housing assistance.</x:v>
      </x:c>
      <x:c r="I69" s="83" t="str">
        <x:v>Provide a housing list and defer all health and safety assessment.</x:v>
      </x:c>
      <x:c r="J69" s="83" t="str"/>
      <x:c r="K69" s="83" t="str">
        <x:v>A</x:v>
      </x:c>
      <x:c r="L69" s="83" t="str">
        <x:v>Correct. The response integrates the client-defined priority with health, substance, mental-health, and system barriers without forcing a single-service agenda.</x:v>
      </x:c>
      <x:c r="M69" s="83" t="str">
        <x:v>Incorrect. This ignores the immediate client-defined need and may undermine engagement.</x:v>
      </x:c>
      <x:c r="N69" s="83" t="str">
        <x:v>Incorrect. A list alone may not be usable, and urgent health or substance risks cannot be ignored.</x:v>
      </x:c>
      <x:c r="O69" s="83" t="str"/>
      <x:c r="P69" s="83" t="str">
        <x:v>A. Correct. The response integrates the client-defined priority with health, substance, mental-health, and system barriers without forcing a single-service agenda.
B. Incorrect. This ignores the immediate client-defined need and may undermine engagement.
C. Incorrect. A list alone may not be usable, and urgent health or substance risks cannot be ignored.</x:v>
      </x:c>
      <x:c r="Q69" s="83" t="str">
        <x:v>Start with the client's stated priority while screening for urgent risk and building a coordinated, usable plan.</x:v>
      </x:c>
      <x:c r="R69" s="89" t="str">
        <x:v>CTA LCSW Workbook 4</x:v>
      </x:c>
    </x:row>
    <x:row r="70">
      <x:c r="A70" s="88" t="str">
        <x:v>CTA-LCSW-MQB-0069</x:v>
      </x:c>
      <x:c r="B70" s="83" t="str">
        <x:v>LCSW-WB05-QB-Q001</x:v>
      </x:c>
      <x:c r="C70" s="83" t="str">
        <x:v>Workbook Question Bank</x:v>
      </x:c>
      <x:c r="D70" s="83" t="str">
        <x:v>Workbook 5</x:v>
      </x:c>
      <x:c r="E70" s="83" t="n">
        <x:v>3</x:v>
      </x:c>
      <x:c r="F70" s="83" t="str">
        <x:v>Which statement BEST defines a differential diagnosis?</x:v>
      </x:c>
      <x:c r="G70" s="83" t="str">
        <x:v>The diagnosis listed in the oldest available record.</x:v>
      </x:c>
      <x:c r="H70" s="83" t="str">
        <x:v>A focused comparison of plausible diagnoses and the evidence needed to distinguish among them.</x:v>
      </x:c>
      <x:c r="I70" s="83" t="str">
        <x:v>A list of every disorder in the diagnostic manual.</x:v>
      </x:c>
      <x:c r="J70" s="83" t="str"/>
      <x:c r="K70" s="83" t="str">
        <x:v>B</x:v>
      </x:c>
      <x:c r="L70" s="83" t="str">
        <x:v>Incorrect. A prior record is one source and may not fit the current presentation.</x:v>
      </x:c>
      <x:c r="M70" s="83" t="str">
        <x:v>Correct. Differential diagnosis organizes uncertainty around realistic alternatives rather than listing every disorder.</x:v>
      </x:c>
      <x:c r="N70" s="83" t="str">
        <x:v>Incorrect. The differential should be clinically focused and evidence-based.</x:v>
      </x:c>
      <x:c r="O70" s="83" t="str"/>
      <x:c r="P70" s="83" t="str">
        <x:v>A. Incorrect. A prior record is one source and may not fit the current presentation.
B. Correct. Differential diagnosis organizes uncertainty around realistic alternatives rather than listing every disorder.
C. Incorrect. The differential should be clinically focused and evidence-based.</x:v>
      </x:c>
      <x:c r="Q70" s="83" t="str">
        <x:v>A differential is a short list of plausible explanations plus the facts that would separate them.</x:v>
      </x:c>
      <x:c r="R70" s="89" t="str">
        <x:v>CTA LCSW Workbook 5</x:v>
      </x:c>
    </x:row>
    <x:row r="71">
      <x:c r="A71" s="88" t="str">
        <x:v>CTA-LCSW-MQB-0070</x:v>
      </x:c>
      <x:c r="B71" s="83" t="str">
        <x:v>LCSW-WB05-QB-Q002</x:v>
      </x:c>
      <x:c r="C71" s="83" t="str">
        <x:v>Workbook Question Bank</x:v>
      </x:c>
      <x:c r="D71" s="83" t="str">
        <x:v>Workbook 5</x:v>
      </x:c>
      <x:c r="E71" s="83" t="n">
        <x:v>3</x:v>
      </x:c>
      <x:c r="F71" s="83" t="str">
        <x:v>Which action is within the clinical social worker's appropriate medication-related role?</x:v>
      </x:c>
      <x:c r="G71" s="83" t="str">
        <x:v>Obtain an accurate medication history, assess perceived benefit and side effects, explore adherence barriers, and coordinate communication with the prescriber.</x:v>
      </x:c>
      <x:c r="H71" s="83" t="str">
        <x:v>Recommend an exact dose reduction when a client reports dizziness.</x:v>
      </x:c>
      <x:c r="I71" s="83" t="str">
        <x:v>Tell the client to stop a medication abruptly when symptoms improve.</x:v>
      </x:c>
      <x:c r="J71" s="83" t="str"/>
      <x:c r="K71" s="83" t="str">
        <x:v>A</x:v>
      </x:c>
      <x:c r="L71" s="83" t="str">
        <x:v>Correct. Social workers support assessment, education, access, and care coordination without independently managing medication.</x:v>
      </x:c>
      <x:c r="M71" s="83" t="str">
        <x:v>Incorrect. Independent dose changes are outside scope and may be unsafe.</x:v>
      </x:c>
      <x:c r="N71" s="83" t="str">
        <x:v>Incorrect. Abrupt discontinuation advice is outside scope and can create medical risk.</x:v>
      </x:c>
      <x:c r="O71" s="83" t="str"/>
      <x:c r="P71" s="83" t="str">
        <x:v>A. Correct. Social workers support assessment, education, access, and care coordination without independently managing medication.
B. Incorrect. Independent dose changes are outside scope and may be unsafe.
C. Incorrect. Abrupt discontinuation advice is outside scope and can create medical risk.</x:v>
      </x:c>
      <x:c r="Q71" s="83" t="str">
        <x:v>Choose assessment and coordination—not prescribing, dose changes, or certainty beyond the evidence.</x:v>
      </x:c>
      <x:c r="R71" s="89" t="str">
        <x:v>CTA LCSW Workbook 5</x:v>
      </x:c>
    </x:row>
    <x:row r="72">
      <x:c r="A72" s="88" t="str">
        <x:v>CTA-LCSW-MQB-0071</x:v>
      </x:c>
      <x:c r="B72" s="83" t="str">
        <x:v>LCSW-WB05-QB-Q003</x:v>
      </x:c>
      <x:c r="C72" s="83" t="str">
        <x:v>Workbook Question Bank</x:v>
      </x:c>
      <x:c r="D72" s="83" t="str">
        <x:v>Workbook 5</x:v>
      </x:c>
      <x:c r="E72" s="83" t="n">
        <x:v>4</x:v>
      </x:c>
      <x:c r="F72" s="83" t="str">
        <x:v>Following outpatient surgery, an older client becomes suddenly disoriented, has rapidly shifting attention, and reports seeing insects that are not present. What should the social worker do FIRST?</x:v>
      </x:c>
      <x:c r="G72" s="83" t="str">
        <x:v>Begin insight-oriented therapy to explore the symbolic meaning of the visions.</x:v>
      </x:c>
      <x:c r="H72" s="83" t="str">
        <x:v>Assume a chronic psychotic disorder and arrange long-term placement.</x:v>
      </x:c>
      <x:c r="I72" s="83" t="str">
        <x:v>Coordinate urgent medical evaluation while assessing immediate safety and communicating the change to the treatment team.</x:v>
      </x:c>
      <x:c r="J72" s="83" t="str">
        <x:v>Wait for the next routine visit to see whether the symptoms continue.</x:v>
      </x:c>
      <x:c r="K72" s="83" t="str">
        <x:v>C</x:v>
      </x:c>
      <x:c r="L72" s="83" t="str">
        <x:v>Incorrect. Medical urgency and safety take priority.</x:v>
      </x:c>
      <x:c r="M72" s="83" t="str">
        <x:v>Incorrect. The abrupt, fluctuating, medically associated onset argues against premature chronic diagnosis.</x:v>
      </x:c>
      <x:c r="N72" s="83" t="str">
        <x:v>Correct. Acute fluctuating cognition during medical illness is a medical warning sign and should not be treated first as a primary psychiatric disorder.</x:v>
      </x:c>
      <x:c r="O72" s="83" t="str">
        <x:v>Incorrect. Delay may increase risk.</x:v>
      </x:c>
      <x:c r="P72" s="83" t="str">
        <x:v>A. Incorrect. Medical urgency and safety take priority.
B. Incorrect. The abrupt, fluctuating, medically associated onset argues against premature chronic diagnosis.
C. Correct. Acute fluctuating cognition during medical illness is a medical warning sign and should not be treated first as a primary psychiatric disorder.
D. Incorrect. Delay may increase risk.</x:v>
      </x:c>
      <x:c r="Q72" s="83" t="str">
        <x:v>Sudden fluctuating cognition is a medical-assessment clue before it is a psychotherapy question.</x:v>
      </x:c>
      <x:c r="R72" s="89" t="str">
        <x:v>CTA LCSW Workbook 5</x:v>
      </x:c>
    </x:row>
    <x:row r="73">
      <x:c r="A73" s="88" t="str">
        <x:v>CTA-LCSW-MQB-0072</x:v>
      </x:c>
      <x:c r="B73" s="83" t="str">
        <x:v>LCSW-WB05-QB-Q004</x:v>
      </x:c>
      <x:c r="C73" s="83" t="str">
        <x:v>Workbook Question Bank</x:v>
      </x:c>
      <x:c r="D73" s="83" t="str">
        <x:v>Workbook 5</x:v>
      </x:c>
      <x:c r="E73" s="83" t="n">
        <x:v>4</x:v>
      </x:c>
      <x:c r="F73" s="83" t="str">
        <x:v>A client requests help with utility shutoff, food insecurity, and conflict about shared parenting. Current assessment does not support a mental disorder. What is the MOST appropriate conclusion?</x:v>
      </x:c>
      <x:c r="G73" s="83" t="str">
        <x:v>No social work service is indicated without a mental disorder.</x:v>
      </x:c>
      <x:c r="H73" s="83" t="str">
        <x:v>Assign a personality disorder to permit treatment.</x:v>
      </x:c>
      <x:c r="I73" s="83" t="str">
        <x:v>Use adjustment disorder automatically because a stressor is present.</x:v>
      </x:c>
      <x:c r="J73" s="83" t="str">
        <x:v>The contextual and relational problems may be documented as legitimate clinical-focus conditions and addressed in the service plan.</x:v>
      </x:c>
      <x:c r="K73" s="83" t="str">
        <x:v>D</x:v>
      </x:c>
      <x:c r="L73" s="83" t="str">
        <x:v>Incorrect. Social work frequently addresses environmental, relational, and resource concerns.</x:v>
      </x:c>
      <x:c r="M73" s="83" t="str">
        <x:v>Incorrect. A diagnosis should never be selected solely to justify services.</x:v>
      </x:c>
      <x:c r="N73" s="83" t="str">
        <x:v>Incorrect. A stressor does not establish the required symptom pattern and impairment.</x:v>
      </x:c>
      <x:c r="O73" s="83" t="str">
        <x:v>Correct. Social work services may target serious environmental and relational problems without manufacturing a psychiatric diagnosis.</x:v>
      </x:c>
      <x:c r="P73" s="83" t="str">
        <x:v>A. Incorrect. Social work frequently addresses environmental, relational, and resource concerns.
B. Incorrect. A diagnosis should never be selected solely to justify services.
C. Incorrect. A stressor does not establish the required symptom pattern and impairment.
D. Correct. Social work services may target serious environmental and relational problems without manufacturing a psychiatric diagnosis.</x:v>
      </x:c>
      <x:c r="Q73" s="83" t="str">
        <x:v>Name the actual problem being addressed; do not create a disorder because services are needed.</x:v>
      </x:c>
      <x:c r="R73" s="89" t="str">
        <x:v>CTA LCSW Workbook 5</x:v>
      </x:c>
    </x:row>
    <x:row r="74">
      <x:c r="A74" s="88" t="str">
        <x:v>CTA-LCSW-MQB-0073</x:v>
      </x:c>
      <x:c r="B74" s="83" t="str">
        <x:v>LCSW-WB05-QB-Q005</x:v>
      </x:c>
      <x:c r="C74" s="83" t="str">
        <x:v>Workbook Question Bank</x:v>
      </x:c>
      <x:c r="D74" s="83" t="str">
        <x:v>Workbook 5</x:v>
      </x:c>
      <x:c r="E74" s="83" t="n">
        <x:v>3</x:v>
      </x:c>
      <x:c r="F74" s="83" t="str">
        <x:v>Which response BEST reflects person-centered reasoning about medication nonadherence?</x:v>
      </x:c>
      <x:c r="G74" s="83" t="str">
        <x:v>Clarify whether missed doses reflect cost, side effects, confusion, transportation, pharmacy access, stigma, beliefs, housing instability, cognitive difficulty, ambivalence, or deliberate choice.</x:v>
      </x:c>
      <x:c r="H74" s="83" t="str">
        <x:v>Assume the client lacks motivation.</x:v>
      </x:c>
      <x:c r="I74" s="83" t="str">
        <x:v>Warn that services will end unless every dose is taken.</x:v>
      </x:c>
      <x:c r="J74" s="83" t="str"/>
      <x:c r="K74" s="83" t="str">
        <x:v>A</x:v>
      </x:c>
      <x:c r="L74" s="83" t="str">
        <x:v>Correct. The label nonadherent describes behavior but does not explain the barrier or the client's perspective.</x:v>
      </x:c>
      <x:c r="M74" s="83" t="str">
        <x:v>Incorrect. Motivation is only one possible explanation and should not be presumed.</x:v>
      </x:c>
      <x:c r="N74" s="83" t="str">
        <x:v>Incorrect. Coercion does not address the cause and may undermine engagement.</x:v>
      </x:c>
      <x:c r="O74" s="83" t="str"/>
      <x:c r="P74" s="83" t="str">
        <x:v>A. Correct. The label nonadherent describes behavior but does not explain the barrier or the client's perspective.
B. Incorrect. Motivation is only one possible explanation and should not be presumed.
C. Incorrect. Coercion does not address the cause and may undermine engagement.</x:v>
      </x:c>
      <x:c r="Q74" s="83" t="str">
        <x:v>Replace the label with a question: what makes this treatment difficult, unsafe, unaffordable, or unwanted?</x:v>
      </x:c>
      <x:c r="R74" s="89" t="str">
        <x:v>CTA LCSW Workbook 5</x:v>
      </x:c>
    </x:row>
    <x:row r="75">
      <x:c r="A75" s="88" t="str">
        <x:v>CTA-LCSW-MQB-0074</x:v>
      </x:c>
      <x:c r="B75" s="83" t="str">
        <x:v>LCSW-WB05-QB-Q006</x:v>
      </x:c>
      <x:c r="C75" s="83" t="str">
        <x:v>Workbook Question Bank</x:v>
      </x:c>
      <x:c r="D75" s="83" t="str">
        <x:v>Workbook 5</x:v>
      </x:c>
      <x:c r="E75" s="83" t="n">
        <x:v>3</x:v>
      </x:c>
      <x:c r="F75" s="83" t="str">
        <x:v>Six weeks after the death of a sibling, a client reports waves of sadness, disrupted sleep, difficulty concentrating at work, and pressure from relatives to grieve differently. What should the social worker do FIRST?</x:v>
      </x:c>
      <x:c r="G75" s="83" t="str">
        <x:v>Diagnose major depressive disorder because the client is sad and cannot sleep.</x:v>
      </x:c>
      <x:c r="H75" s="83" t="str">
        <x:v>Assess safety, the grief pattern, functional impairment, hopelessness, guilt, prior mood episodes, supports, cultural mourning practices, medical and substance factors, and whether grief, depression, or both are present.</x:v>
      </x:c>
      <x:c r="I75" s="83" t="str">
        <x:v>Assure the client that all grief is normal and needs no further evaluation.</x:v>
      </x:c>
      <x:c r="J75" s="83" t="str"/>
      <x:c r="K75" s="83" t="str">
        <x:v>B</x:v>
      </x:c>
      <x:c r="L75" s="83" t="str">
        <x:v>Incorrect. The complete syndrome, context, duration, and alternatives require assessment.</x:v>
      </x:c>
      <x:c r="M75" s="83" t="str">
        <x:v>Correct. Bereavement does not eliminate the need for risk assessment or a careful grief-versus-depression differential.</x:v>
      </x:c>
      <x:c r="N75" s="83" t="str">
        <x:v>Incorrect. Grief varies, and severe impairment or risk can occur.</x:v>
      </x:c>
      <x:c r="O75" s="83" t="str"/>
      <x:c r="P75" s="83" t="str">
        <x:v>A. Incorrect. The complete syndrome, context, duration, and alternatives require assessment.
B. Correct. Bereavement does not eliminate the need for risk assessment or a careful grief-versus-depression differential.
C. Incorrect. Grief varies, and severe impairment or risk can occur.</x:v>
      </x:c>
      <x:c r="Q75" s="83" t="str">
        <x:v>Do not automatically pathologize or normalize grief; assess pattern, risk, function, and culture.</x:v>
      </x:c>
      <x:c r="R75" s="89" t="str">
        <x:v>CTA LCSW Workbook 5</x:v>
      </x:c>
    </x:row>
    <x:row r="76">
      <x:c r="A76" s="88" t="str">
        <x:v>CTA-LCSW-MQB-0075</x:v>
      </x:c>
      <x:c r="B76" s="83" t="str">
        <x:v>LCSW-WB05-QB-Q007</x:v>
      </x:c>
      <x:c r="C76" s="83" t="str">
        <x:v>Workbook Question Bank</x:v>
      </x:c>
      <x:c r="D76" s="83" t="str">
        <x:v>Workbook 5</x:v>
      </x:c>
      <x:c r="E76" s="83" t="n">
        <x:v>4</x:v>
      </x:c>
      <x:c r="F76" s="83" t="str">
        <x:v>A ten-year-old referred for attention problems has frequent absences, snores loudly, changed schools twice, and reads below grade level. What is the BEST next step?</x:v>
      </x:c>
      <x:c r="G76" s="83" t="str">
        <x:v>Diagnose attention-deficit/hyperactivity disorder because the teacher requested an evaluation.</x:v>
      </x:c>
      <x:c r="H76" s="83" t="str">
        <x:v>Refer immediately for medication without further assessment.</x:v>
      </x:c>
      <x:c r="I76" s="83" t="str">
        <x:v>Gather developmental and school history, compare behavior across settings, assess sleep and health, trauma and stress, learning needs, attendance barriers, strengths, and collateral data before assigning a diagnosis.</x:v>
      </x:c>
      <x:c r="J76" s="83" t="str">
        <x:v>Tell the caregiver that stricter discipline is the primary intervention.</x:v>
      </x:c>
      <x:c r="K76" s="83" t="str">
        <x:v>C</x:v>
      </x:c>
      <x:c r="L76" s="83" t="str">
        <x:v>Incorrect. A referral concern does not establish onset, cross-setting pattern, or exclusions.</x:v>
      </x:c>
      <x:c r="M76" s="83" t="str">
        <x:v>Incorrect. Medication referral does not replace a comprehensive differential and health review.</x:v>
      </x:c>
      <x:c r="N76" s="83" t="str">
        <x:v>Correct. Attention complaints can reflect developmental, educational, medical, sleep, trauma, and environmental factors.</x:v>
      </x:c>
      <x:c r="O76" s="83" t="str">
        <x:v>Incorrect. The available information points to several unassessed contributors.</x:v>
      </x:c>
      <x:c r="P76" s="83" t="str">
        <x:v>A. Incorrect. A referral concern does not establish onset, cross-setting pattern, or exclusions.
B. Incorrect. Medication referral does not replace a comprehensive differential and health review.
C. Correct. Attention complaints can reflect developmental, educational, medical, sleep, trauma, and environmental factors.
D. Incorrect. The available information points to several unassessed contributors.</x:v>
      </x:c>
      <x:c r="Q76" s="83" t="str">
        <x:v>When a child is labeled inattentive, assess school, sleep, health, development, stress, and access before diagnosing.</x:v>
      </x:c>
      <x:c r="R76" s="89" t="str">
        <x:v>CTA LCSW Workbook 5</x:v>
      </x:c>
    </x:row>
    <x:row r="77">
      <x:c r="A77" s="88" t="str">
        <x:v>CTA-LCSW-MQB-0076</x:v>
      </x:c>
      <x:c r="B77" s="83" t="str">
        <x:v>LCSW-WB05-QB-Q008</x:v>
      </x:c>
      <x:c r="C77" s="83" t="str">
        <x:v>Workbook Question Bank</x:v>
      </x:c>
      <x:c r="D77" s="83" t="str">
        <x:v>Workbook 5</x:v>
      </x:c>
      <x:c r="E77" s="83" t="n">
        <x:v>4</x:v>
      </x:c>
      <x:c r="F77" s="83" t="str">
        <x:v>A client takes a prescribed medication inconsistently because the instructions are confusing, the pharmacy requires two buses, and the medication causes dizziness. What should the social worker do FIRST?</x:v>
      </x:c>
      <x:c r="G77" s="83" t="str">
        <x:v>Tell the client to take the medication exactly as written without further discussion.</x:v>
      </x:c>
      <x:c r="H77" s="83" t="str">
        <x:v>Advise the client to take half the dose until the dizziness stops.</x:v>
      </x:c>
      <x:c r="I77" s="83" t="str">
        <x:v>Ask a family member to control the medication without the client's consent.</x:v>
      </x:c>
      <x:c r="J77" s="83" t="str">
        <x:v>Assess current symptoms and safety, clarify the client's understanding and preferences, and coordinate with the prescriber and service system about side effects, instructions, pharmacy access, and transportation.</x:v>
      </x:c>
      <x:c r="K77" s="83" t="str">
        <x:v>D</x:v>
      </x:c>
      <x:c r="L77" s="83" t="str">
        <x:v>Incorrect. This ignores side effects, understanding, and feasibility.</x:v>
      </x:c>
      <x:c r="M77" s="83" t="str">
        <x:v>Incorrect. Independent dose advice is outside scope and may be unsafe.</x:v>
      </x:c>
      <x:c r="N77" s="83" t="str">
        <x:v>Incorrect. Family involvement requires authorization, fit, and client participation.</x:v>
      </x:c>
      <x:c r="O77" s="83" t="str">
        <x:v>Correct. The behavior reflects intertwined health, communication, and access barriers rather than simple unwillingness.</x:v>
      </x:c>
      <x:c r="P77" s="83" t="str">
        <x:v>A. Incorrect. This ignores side effects, understanding, and feasibility.
B. Incorrect. Independent dose advice is outside scope and may be unsafe.
C. Incorrect. Family involvement requires authorization, fit, and client participation.
D. Correct. The behavior reflects intertwined health, communication, and access barriers rather than simple unwillingness.</x:v>
      </x:c>
      <x:c r="Q77" s="83" t="str">
        <x:v>Before calling behavior noncompliance, determine whether the plan is tolerable, understandable, affordable, and possible.</x:v>
      </x:c>
      <x:c r="R77" s="89" t="str">
        <x:v>CTA LCSW Workbook 5</x:v>
      </x:c>
    </x:row>
    <x:row r="78">
      <x:c r="A78" s="88" t="str">
        <x:v>CTA-LCSW-MQB-0077</x:v>
      </x:c>
      <x:c r="B78" s="83" t="str">
        <x:v>LCSW-WB05-QB-Q009</x:v>
      </x:c>
      <x:c r="C78" s="83" t="str">
        <x:v>Workbook Question Bank</x:v>
      </x:c>
      <x:c r="D78" s="83" t="str">
        <x:v>Workbook 5</x:v>
      </x:c>
      <x:c r="E78" s="83" t="n">
        <x:v>3</x:v>
      </x:c>
      <x:c r="F78" s="83" t="str">
        <x:v>A client presents with hallucinations after several days of stimulant use. An old record lists schizophrenia, but family reports long periods without symptoms. What should the social worker do NEXT?</x:v>
      </x:c>
      <x:c r="G78" s="83" t="str">
        <x:v>Assess safety and medical stability, clarify the timing of psychosis relative to use and abstinence, review prior episodes and records, and coordinate psychiatric evaluation before finalizing the diagnosis.</x:v>
      </x:c>
      <x:c r="H78" s="83" t="str">
        <x:v>Use schizophrenia because written records are more reliable than current information.</x:v>
      </x:c>
      <x:c r="I78" s="83" t="str">
        <x:v>Use stimulant-induced psychosis because current use is confirmed.</x:v>
      </x:c>
      <x:c r="J78" s="83" t="str"/>
      <x:c r="K78" s="83" t="str">
        <x:v>A</x:v>
      </x:c>
      <x:c r="L78" s="83" t="str">
        <x:v>Correct. The current substance exposure and prior chart diagnosis are both relevant but neither alone resolves the differential.</x:v>
      </x:c>
      <x:c r="M78" s="83" t="str">
        <x:v>Incorrect. Historical records may be incomplete, outdated, or context-specific.</x:v>
      </x:c>
      <x:c r="N78" s="83" t="str">
        <x:v>Incorrect. Independent episodes during abstinence still require clarification.</x:v>
      </x:c>
      <x:c r="O78" s="83" t="str"/>
      <x:c r="P78" s="83" t="str">
        <x:v>A. Correct. The current substance exposure and prior chart diagnosis are both relevant but neither alone resolves the differential.
B. Incorrect. Historical records may be incomplete, outdated, or context-specific.
C. Incorrect. Independent episodes during abstinence still require clarification.</x:v>
      </x:c>
      <x:c r="Q78" s="83" t="str">
        <x:v>Use chronology to test both hypotheses; do not let a chart label or current substance use decide the case alone.</x:v>
      </x:c>
      <x:c r="R78" s="89" t="str">
        <x:v>CTA LCSW Workbook 5</x:v>
      </x:c>
    </x:row>
    <x:row r="79">
      <x:c r="A79" s="88" t="str">
        <x:v>CTA-LCSW-MQB-0078</x:v>
      </x:c>
      <x:c r="B79" s="83" t="str">
        <x:v>LCSW-WB05-QB-Q010</x:v>
      </x:c>
      <x:c r="C79" s="83" t="str">
        <x:v>Workbook Question Bank</x:v>
      </x:c>
      <x:c r="D79" s="83" t="str">
        <x:v>Workbook 5</x:v>
      </x:c>
      <x:c r="E79" s="83" t="n">
        <x:v>3</x:v>
      </x:c>
      <x:c r="F79" s="83" t="str">
        <x:v>A client with chronic pain reports severe distress, repeated medical visits, and constant fear that a serious illness has been missed. What is the BEST assessment response?</x:v>
      </x:c>
      <x:c r="G79" s="83" t="str">
        <x:v>Confront the client about exaggerating symptoms.</x:v>
      </x:c>
      <x:c r="H79" s="83" t="str">
        <x:v>Continue appropriate medical coordination while assessing the client's distress, health beliefs, checking or reassurance-seeking, functional impact, mood and anxiety, trauma, substance use, and the relationship between symptoms and behavior.</x:v>
      </x:c>
      <x:c r="I79" s="83" t="str">
        <x:v>Stop all medical evaluation because psychological factors are evident.</x:v>
      </x:c>
      <x:c r="J79" s="83" t="str"/>
      <x:c r="K79" s="83" t="str">
        <x:v>B</x:v>
      </x:c>
      <x:c r="L79" s="83" t="str">
        <x:v>Incorrect. Intentional production has not been established and confrontation may damage care.</x:v>
      </x:c>
      <x:c r="M79" s="83" t="str">
        <x:v>Correct. A somatic symptom-related formulation focuses on excessive distress and behavior without assuming symptoms are fabricated or medically unexplained.</x:v>
      </x:c>
      <x:c r="N79" s="83" t="str">
        <x:v>Incorrect. Medical and psychological assessment may need to proceed together.</x:v>
      </x:c>
      <x:c r="O79" s="83" t="str"/>
      <x:c r="P79" s="83" t="str">
        <x:v>A. Incorrect. Intentional production has not been established and confrontation may damage care.
B. Correct. A somatic symptom-related formulation focuses on excessive distress and behavior without assuming symptoms are fabricated or medically unexplained.
C. Incorrect. Medical and psychological assessment may need to proceed together.</x:v>
      </x:c>
      <x:c r="Q79" s="83" t="str">
        <x:v>Do not choose between physical and psychological care prematurely; assess both the symptoms and the response to them.</x:v>
      </x:c>
      <x:c r="R79" s="89" t="str">
        <x:v>CTA LCSW Workbook 5</x:v>
      </x:c>
    </x:row>
    <x:row r="80">
      <x:c r="A80" s="88" t="str">
        <x:v>CTA-LCSW-MQB-0079</x:v>
      </x:c>
      <x:c r="B80" s="83" t="str">
        <x:v>LCSW-WB05-QB-Q011</x:v>
      </x:c>
      <x:c r="C80" s="83" t="str">
        <x:v>Workbook Question Bank</x:v>
      </x:c>
      <x:c r="D80" s="83" t="str">
        <x:v>Workbook 5</x:v>
      </x:c>
      <x:c r="E80" s="83" t="n">
        <x:v>3</x:v>
      </x:c>
      <x:c r="F80" s="83" t="str">
        <x:v>A client who drinks heavily every day wants to stop immediately and reports prior shaking and confusion when trying to quit. What should the social worker do FIRST?</x:v>
      </x:c>
      <x:c r="G80" s="83" t="str">
        <x:v>Encourage the client to stop alone at home and call if symptoms worsen.</x:v>
      </x:c>
      <x:c r="H80" s="83" t="str">
        <x:v>Begin relapse-prevention therapy before discussing medical care.</x:v>
      </x:c>
      <x:c r="I80" s="83" t="str">
        <x:v>Assess current withdrawal signs and immediate safety and arrange prompt medical evaluation for supervised withdrawal planning.</x:v>
      </x:c>
      <x:c r="J80" s="83" t="str"/>
      <x:c r="K80" s="83" t="str">
        <x:v>C</x:v>
      </x:c>
      <x:c r="L80" s="83" t="str">
        <x:v>Incorrect. Abrupt unsupervised cessation may be medically dangerous.</x:v>
      </x:c>
      <x:c r="M80" s="83" t="str">
        <x:v>Incorrect. Psychotherapy planning follows stabilization of withdrawal risk.</x:v>
      </x:c>
      <x:c r="N80" s="83" t="str">
        <x:v>Correct. A history of severe withdrawal symptoms creates potential medical danger that precedes routine outpatient counseling.</x:v>
      </x:c>
      <x:c r="O80" s="83" t="str"/>
      <x:c r="P80" s="83" t="str">
        <x:v>A. Incorrect. Abrupt unsupervised cessation may be medically dangerous.
B. Incorrect. Psychotherapy planning follows stabilization of withdrawal risk.
C. Correct. A history of severe withdrawal symptoms creates potential medical danger that precedes routine outpatient counseling.</x:v>
      </x:c>
      <x:c r="Q80" s="83" t="str">
        <x:v>When withdrawal may be dangerous, medical stabilization comes before motivational or relapse-prevention work.</x:v>
      </x:c>
      <x:c r="R80" s="89" t="str">
        <x:v>CTA LCSW Workbook 5</x:v>
      </x:c>
    </x:row>
    <x:row r="81">
      <x:c r="A81" s="88" t="str">
        <x:v>CTA-LCSW-MQB-0080</x:v>
      </x:c>
      <x:c r="B81" s="83" t="str">
        <x:v>LCSW-WB05-QB-Q012</x:v>
      </x:c>
      <x:c r="C81" s="83" t="str">
        <x:v>Workbook Question Bank</x:v>
      </x:c>
      <x:c r="D81" s="83" t="str">
        <x:v>Workbook 5</x:v>
      </x:c>
      <x:c r="E81" s="83" t="n">
        <x:v>4</x:v>
      </x:c>
      <x:c r="F81" s="83" t="str">
        <x:v>A client develops severe restlessness and an uncontrollable urge to move soon after a psychiatric medication change. What should the social worker do NEXT?</x:v>
      </x:c>
      <x:c r="G81" s="83" t="str">
        <x:v>Interpret the restlessness as resistance to treatment.</x:v>
      </x:c>
      <x:c r="H81" s="83" t="str">
        <x:v>Tell the client to discontinue the medication immediately.</x:v>
      </x:c>
      <x:c r="I81" s="83" t="str">
        <x:v>Wait until the next monthly appointment because side effects are expected.</x:v>
      </x:c>
      <x:c r="J81" s="83" t="str">
        <x:v>Assess the timing, severity, safety, adherence, other substances and medications, and promptly communicate the possible side effect to the prescriber without directing a dose change.</x:v>
      </x:c>
      <x:c r="K81" s="83" t="str">
        <x:v>D</x:v>
      </x:c>
      <x:c r="L81" s="83" t="str">
        <x:v>Incorrect. The timing suggests a possible medication effect that must be evaluated.</x:v>
      </x:c>
      <x:c r="M81" s="83" t="str">
        <x:v>Incorrect. Abrupt medication instructions are outside scope and may be unsafe.</x:v>
      </x:c>
      <x:c r="N81" s="83" t="str">
        <x:v>Incorrect. Severe new symptoms warrant timely communication and safety assessment.</x:v>
      </x:c>
      <x:c r="O81" s="83" t="str">
        <x:v>Correct. New movement or agitation symptoms after a medication change require timely assessment and prescriber coordination.</x:v>
      </x:c>
      <x:c r="P81" s="83" t="str">
        <x:v>A. Incorrect. The timing suggests a possible medication effect that must be evaluated.
B. Incorrect. Abrupt medication instructions are outside scope and may be unsafe.
C. Incorrect. Severe new symptoms warrant timely communication and safety assessment.
D. Correct. New movement or agitation symptoms after a medication change require timely assessment and prescriber coordination.</x:v>
      </x:c>
      <x:c r="Q81" s="83" t="str">
        <x:v>Notice new symptoms after medication changes, assess urgency, and coordinate—do not prescribe.</x:v>
      </x:c>
      <x:c r="R81" s="89" t="str">
        <x:v>CTA LCSW Workbook 5</x:v>
      </x:c>
    </x:row>
    <x:row r="82">
      <x:c r="A82" s="88" t="str">
        <x:v>CTA-LCSW-MQB-0081</x:v>
      </x:c>
      <x:c r="B82" s="83" t="str">
        <x:v>LCSW-WB05-QB-Q013</x:v>
      </x:c>
      <x:c r="C82" s="83" t="str">
        <x:v>Workbook Question Bank</x:v>
      </x:c>
      <x:c r="D82" s="83" t="str">
        <x:v>Workbook 5</x:v>
      </x:c>
      <x:c r="E82" s="83" t="n">
        <x:v>3</x:v>
      </x:c>
      <x:c r="F82" s="83" t="str">
        <x:v>A shelter resident reports depression, chronic pain, poor sleep, intermittent cocaine use, fear of assault, and an urgent wish to obtain safer housing. What is the BEST initial plan?</x:v>
      </x:c>
      <x:c r="G82" s="83" t="str">
        <x:v>Begin with the client's housing priority while screening suicide and immediate safety risk, assessing pain, sleep, trauma, substance chronology, medical factors, prior episodes and strengths, and coordinating accessible housing, health, and behavioral-health resources.</x:v>
      </x:c>
      <x:c r="H82" s="83" t="str">
        <x:v>Require completion of a full depression protocol before discussing housing.</x:v>
      </x:c>
      <x:c r="I82" s="83" t="str">
        <x:v>Provide a housing list and defer all health and safety assessment.</x:v>
      </x:c>
      <x:c r="J82" s="83" t="str"/>
      <x:c r="K82" s="83" t="str">
        <x:v>A</x:v>
      </x:c>
      <x:c r="L82" s="83" t="str">
        <x:v>Correct. The plan integrates person-in-environment needs with diagnostic and safety assessment rather than making the client choose between concrete and clinical help.</x:v>
      </x:c>
      <x:c r="M82" s="83" t="str">
        <x:v>Incorrect. This ignores the urgent client-defined need and may weaken engagement.</x:v>
      </x:c>
      <x:c r="N82" s="83" t="str">
        <x:v>Incorrect. A list may not be usable, and urgent clinical or medical risk cannot be ignored.</x:v>
      </x:c>
      <x:c r="O82" s="83" t="str"/>
      <x:c r="P82" s="83" t="str">
        <x:v>A. Correct. The plan integrates person-in-environment needs with diagnostic and safety assessment rather than making the client choose between concrete and clinical help.
B. Incorrect. This ignores the urgent client-defined need and may weaken engagement.
C. Incorrect. A list may not be usable, and urgent clinical or medical risk cannot be ignored.</x:v>
      </x:c>
      <x:c r="Q82" s="83" t="str">
        <x:v>Start with the client's stated priority while screening urgent risk and building one coordinated plan.</x:v>
      </x:c>
      <x:c r="R82" s="89" t="str">
        <x:v>CTA LCSW Workbook 5</x:v>
      </x:c>
    </x:row>
    <x:row r="83">
      <x:c r="A83" s="88" t="str">
        <x:v>CTA-LCSW-MQB-0082</x:v>
      </x:c>
      <x:c r="B83" s="83" t="str">
        <x:v>LCSW-WB05-QB-Q014</x:v>
      </x:c>
      <x:c r="C83" s="83" t="str">
        <x:v>Workbook Question Bank</x:v>
      </x:c>
      <x:c r="D83" s="83" t="str">
        <x:v>Workbook 5</x:v>
      </x:c>
      <x:c r="E83" s="83" t="n">
        <x:v>3</x:v>
      </x:c>
      <x:c r="F83" s="83" t="str">
        <x:v>An older adult who recently lost a spouse develops apathy, missed bills, medication confusion, and difficulty finding words. Family asks the social worker to arrange permanent placement. What should the social worker do FIRST?</x:v>
      </x:c>
      <x:c r="G83" s="83" t="str">
        <x:v>Arrange placement because missed bills prove incapacity.</x:v>
      </x:c>
      <x:c r="H83" s="83" t="str">
        <x:v>Assess immediate safety and self-care, establish baseline and chronology, review grief and depression, cognition and function, medical and medication factors, decision-making ability, supports, and coordinate medical evaluation before recommending a long-term placement.</x:v>
      </x:c>
      <x:c r="I83" s="83" t="str">
        <x:v>Diagnose depression because the changes began after bereavement.</x:v>
      </x:c>
      <x:c r="J83" s="83" t="str"/>
      <x:c r="K83" s="83" t="str">
        <x:v>B</x:v>
      </x:c>
      <x:c r="L83" s="83" t="str">
        <x:v>Incorrect. Functional difficulty warrants assessment but does not by itself establish global incapacity or placement need.</x:v>
      </x:c>
      <x:c r="M83" s="83" t="str">
        <x:v>Correct. The presentation may involve grief, depression, neurocognitive change, medication problems, or several conditions and requires least-restrictive assessment.</x:v>
      </x:c>
      <x:c r="N83" s="83" t="str">
        <x:v>Incorrect. Timing is relevant but does not exclude cognitive, medical, or medication contributors.</x:v>
      </x:c>
      <x:c r="O83" s="83" t="str"/>
      <x:c r="P83" s="83" t="str">
        <x:v>A. Incorrect. Functional difficulty warrants assessment but does not by itself establish global incapacity or placement need.
B. Correct. The presentation may involve grief, depression, neurocognitive change, medication problems, or several conditions and requires least-restrictive assessment.
C. Incorrect. Timing is relevant but does not exclude cognitive, medical, or medication contributors.</x:v>
      </x:c>
      <x:c r="Q83" s="83" t="str">
        <x:v>Do not let the family's requested disposition replace assessment of reversible causes, capacity, and the client's preferences.</x:v>
      </x:c>
      <x:c r="R83" s="89" t="str">
        <x:v>CTA LCSW Workbook 5</x:v>
      </x:c>
    </x:row>
    <x:row r="84">
      <x:c r="A84" s="88" t="str">
        <x:v>CTA-LCSW-MQB-0083</x:v>
      </x:c>
      <x:c r="B84" s="83" t="str">
        <x:v>LCSW-WB05-QB-Q015</x:v>
      </x:c>
      <x:c r="C84" s="83" t="str">
        <x:v>Workbook Question Bank</x:v>
      </x:c>
      <x:c r="D84" s="83" t="str">
        <x:v>Workbook 5</x:v>
      </x:c>
      <x:c r="E84" s="83" t="n">
        <x:v>4</x:v>
      </x:c>
      <x:c r="F84" s="83" t="str">
        <x:v>A pregnant client with a history of bipolar disorder says, 'I heard my medication could hurt the baby, so I am stopping it tonight.' The client currently denies symptoms. What should the social worker do NEXT?</x:v>
      </x:c>
      <x:c r="G84" s="83" t="str">
        <x:v>Tell the client to continue the medication because relapse is always more dangerous.</x:v>
      </x:c>
      <x:c r="H84" s="83" t="str">
        <x:v>Support immediate discontinuation because fetal safety is the only priority.</x:v>
      </x:c>
      <x:c r="I84" s="83" t="str">
        <x:v>Assess current safety, mood and sleep, understanding and concerns, past relapse severity, supports and access, and facilitate prompt informed consultation with the prescriber and prenatal provider rather than advising continuation or discontinuation.</x:v>
      </x:c>
      <x:c r="J84" s="83" t="str">
        <x:v>Avoid discussing the concern because medication is outside social work scope.</x:v>
      </x:c>
      <x:c r="K84" s="83" t="str">
        <x:v>C</x:v>
      </x:c>
      <x:c r="L84" s="83" t="str">
        <x:v>Incorrect. The social worker should not make a medical risk-benefit decision or prescribe continuation.</x:v>
      </x:c>
      <x:c r="M84" s="83" t="str">
        <x:v>Incorrect. Abrupt discontinuation may also create risk and requires medical guidance.</x:v>
      </x:c>
      <x:c r="N84" s="83" t="str">
        <x:v>Correct. Pregnancy requires coordinated risk-benefit discussion within medical scope while preserving client participation and monitoring relapse risk.</x:v>
      </x:c>
      <x:c r="O84" s="83" t="str">
        <x:v>Incorrect. Assessment, education, support, access, and care coordination are within scope.</x:v>
      </x:c>
      <x:c r="P84" s="83" t="str">
        <x:v>A. Incorrect. The social worker should not make a medical risk-benefit decision or prescribe continuation.
B. Incorrect. Abrupt discontinuation may also create risk and requires medical guidance.
C. Correct. Pregnancy requires coordinated risk-benefit discussion within medical scope while preserving client participation and monitoring relapse risk.
D. Incorrect. Assessment, education, support, access, and care coordination are within scope.</x:v>
      </x:c>
      <x:c r="Q84" s="83" t="str">
        <x:v>Do not choose the medication decision; assess risk and make timely, accessible prescriber coordination possible.</x:v>
      </x:c>
      <x:c r="R84" s="89" t="str">
        <x:v>CTA LCSW Workbook 5</x:v>
      </x:c>
    </x:row>
    <x:row r="85">
      <x:c r="A85" s="88" t="str">
        <x:v>CTA-LCSW-MQB-0084</x:v>
      </x:c>
      <x:c r="B85" s="83" t="str">
        <x:v>LCSW-WB05-QB-Q016</x:v>
      </x:c>
      <x:c r="C85" s="83" t="str">
        <x:v>Workbook Question Bank</x:v>
      </x:c>
      <x:c r="D85" s="83" t="str">
        <x:v>Workbook 5</x:v>
      </x:c>
      <x:c r="E85" s="83" t="n">
        <x:v>4</x:v>
      </x:c>
      <x:c r="F85" s="83" t="str">
        <x:v>A parent with opioid use reports a recent nonfatal overdose, unstable housing, and fear that seeking treatment will lead to losing custody. The parent wants help finding work but is unsure about substance treatment. What is the BEST initial response?</x:v>
      </x:c>
      <x:c r="G85" s="83" t="str">
        <x:v>Threaten a report unless the parent enters abstinence-based treatment immediately.</x:v>
      </x:c>
      <x:c r="H85" s="83" t="str">
        <x:v>Focus only on employment because that is the stated goal.</x:v>
      </x:c>
      <x:c r="I85" s="83" t="str">
        <x:v>Require the parent to select residential treatment before discussing housing or work.</x:v>
      </x:c>
      <x:c r="J85" s="83" t="str">
        <x:v>Assess overdose and current safety risk, withdrawal and medical needs, child safety and caregiving supports, housing and employment priorities, readiness and treatment options, and collaboratively coordinate harm-reduction, medical, and concrete resources.</x:v>
      </x:c>
      <x:c r="K85" s="83" t="str">
        <x:v>D</x:v>
      </x:c>
      <x:c r="L85" s="83" t="str">
        <x:v>Incorrect. The facts do not justify coercion, and legal duties should not be used as a threat.</x:v>
      </x:c>
      <x:c r="M85" s="83" t="str">
        <x:v>Incorrect. The recent overdose and child-care context require immediate safety assessment.</x:v>
      </x:c>
      <x:c r="N85" s="83" t="str">
        <x:v>Incorrect. Level of care should follow assessment, readiness, access, and clinical need.</x:v>
      </x:c>
      <x:c r="O85" s="83" t="str">
        <x:v>Correct. The response combines urgent risk assessment, self-determination, parenting context, and person-in-environment needs without using custody fear as leverage.</x:v>
      </x:c>
      <x:c r="P85" s="83" t="str">
        <x:v>A. Incorrect. The facts do not justify coercion, and legal duties should not be used as a threat.
B. Incorrect. The recent overdose and child-care context require immediate safety assessment.
C. Incorrect. Level of care should follow assessment, readiness, access, and clinical need.
D. Correct. The response combines urgent risk assessment, self-determination, parenting context, and person-in-environment needs without using custody fear as leverage.</x:v>
      </x:c>
      <x:c r="Q85" s="83" t="str">
        <x:v>Address the recent life-threatening risk while working with—not against—the client's concrete priorities and readiness.</x:v>
      </x:c>
      <x:c r="R85" s="89" t="str">
        <x:v>CTA LCSW Workbook 5</x:v>
      </x:c>
    </x:row>
    <x:row r="86">
      <x:c r="A86" s="88" t="str">
        <x:v>CTA-LCSW-MQB-0085</x:v>
      </x:c>
      <x:c r="B86" s="83" t="str">
        <x:v>LCSW-WB05-QB-Q017</x:v>
      </x:c>
      <x:c r="C86" s="83" t="str">
        <x:v>Workbook Question Bank</x:v>
      </x:c>
      <x:c r="D86" s="83" t="str">
        <x:v>Workbook 5</x:v>
      </x:c>
      <x:c r="E86" s="83" t="n">
        <x:v>3</x:v>
      </x:c>
      <x:c r="F86" s="83" t="str">
        <x:v>A client with diabetes and depression misses appointments, reports fatigue and poor concentration, cannot afford medication copays, and has received an eviction notice. The clinic labels the client 'unmotivated.' What is the BEST assessment and planning response?</x:v>
      </x:c>
      <x:c r="G86" s="83" t="str">
        <x:v>Reassess depression and suicide risk, medical status, medication access and side effects, cognition and daily functioning, transportation and housing barriers, strengths and priorities, and coordinate an integrated, feasible plan with the client and health team.</x:v>
      </x:c>
      <x:c r="H86" s="83" t="str">
        <x:v>Use the clinic's motivation label because repeated missed visits demonstrate resistance.</x:v>
      </x:c>
      <x:c r="I86" s="83" t="str">
        <x:v>Treat depression first and postpone medical or housing concerns.</x:v>
      </x:c>
      <x:c r="J86" s="83" t="str"/>
      <x:c r="K86" s="83" t="str">
        <x:v>A</x:v>
      </x:c>
      <x:c r="L86" s="83" t="str">
        <x:v>Correct. The presentation may reflect psychiatric, medical, cognitive, financial, and access barriers rather than a character flaw.</x:v>
      </x:c>
      <x:c r="M86" s="83" t="str">
        <x:v>Incorrect. Attendance behavior does not explain the barriers or current health and mental-health risks.</x:v>
      </x:c>
      <x:c r="N86" s="83" t="str">
        <x:v>Incorrect. The needs interact and may need simultaneous coordination.</x:v>
      </x:c>
      <x:c r="O86" s="83" t="str"/>
      <x:c r="P86" s="83" t="str">
        <x:v>A. Correct. The presentation may reflect psychiatric, medical, cognitive, financial, and access barriers rather than a character flaw.
B. Incorrect. Attendance behavior does not explain the barriers or current health and mental-health risks.
C. Incorrect. The needs interact and may need simultaneous coordination.</x:v>
      </x:c>
      <x:c r="Q86" s="83" t="str">
        <x:v>Translate judgmental labels into assessable barriers, risks, strengths, and a plan the client can actually use.</x:v>
      </x:c>
      <x:c r="R86" s="89" t="str">
        <x:v>CTA LCSW Workbook 5</x:v>
      </x:c>
    </x:row>
    <x:row r="87">
      <x:c r="A87" s="88" t="str">
        <x:v>CTA-LCSW-MQB-0086</x:v>
      </x:c>
      <x:c r="B87" s="83" t="str">
        <x:v>LCSW-WB06-QB-Q001</x:v>
      </x:c>
      <x:c r="C87" s="83" t="str">
        <x:v>Workbook Question Bank</x:v>
      </x:c>
      <x:c r="D87" s="83" t="str">
        <x:v>Workbook 6</x:v>
      </x:c>
      <x:c r="E87" s="83" t="n">
        <x:v>3</x:v>
      </x:c>
      <x:c r="F87" s="83" t="str">
        <x:v>On a national ASWB-style item, a client discloses possible abuse but the question does not identify a jurisdiction or provide a reporting rule. Which approach is MOST appropriate?</x:v>
      </x:c>
      <x:c r="G87" s="83" t="str">
        <x:v>Apply California reporting timelines because the candidate lives in California.</x:v>
      </x:c>
      <x:c r="H87" s="83" t="str">
        <x:v>Protect immediate safety, clarify the social worker’s role and applicable law, and avoid assuming a California-specific procedure.</x:v>
      </x:c>
      <x:c r="I87" s="83" t="str">
        <x:v>Ignore the disclosure because no law is supplied.</x:v>
      </x:c>
      <x:c r="J87" s="83" t="str"/>
      <x:c r="K87" s="83" t="str">
        <x:v>B</x:v>
      </x:c>
      <x:c r="L87" s="83" t="str">
        <x:v>Incorrect. A national item should not be answered by importing an unstated jurisdiction.</x:v>
      </x:c>
      <x:c r="M87" s="83" t="str">
        <x:v>Correct. The workbook directs candidates to use supplied law or jurisdiction-neutral ethical sequencing rather than importing one state’s rules.</x:v>
      </x:c>
      <x:c r="N87" s="83" t="str">
        <x:v>Incorrect. Immediate safety and role clarification remain clinically necessary.</x:v>
      </x:c>
      <x:c r="O87" s="83" t="str"/>
      <x:c r="P87" s="83" t="str">
        <x:v>A. Incorrect. A national item should not be answered by importing an unstated jurisdiction.
B. Correct. The workbook directs candidates to use supplied law or jurisdiction-neutral ethical sequencing rather than importing one state’s rules.
C. Incorrect. Immediate safety and role clarification remain clinically necessary.</x:v>
      </x:c>
      <x:c r="Q87" s="83" t="str">
        <x:v>Use the law in the item; when none is supplied, protect safety and clarify rather than inventing a state rule.</x:v>
      </x:c>
      <x:c r="R87" s="89" t="str">
        <x:v>CTA LCSW Workbook 6</x:v>
      </x:c>
    </x:row>
    <x:row r="88">
      <x:c r="A88" s="88" t="str">
        <x:v>CTA-LCSW-MQB-0087</x:v>
      </x:c>
      <x:c r="B88" s="83" t="str">
        <x:v>LCSW-WB06-QB-Q002</x:v>
      </x:c>
      <x:c r="C88" s="83" t="str">
        <x:v>Workbook Question Bank</x:v>
      </x:c>
      <x:c r="D88" s="83" t="str">
        <x:v>Workbook 6</x:v>
      </x:c>
      <x:c r="E88" s="83" t="n">
        <x:v>3</x:v>
      </x:c>
      <x:c r="F88" s="83" t="str">
        <x:v>A social worker recommends a same-day crisis clinic, but the client has no bus fare and the clinic cannot provide interpretation in the client’s language. Which conclusion is MOST accurate?</x:v>
      </x:c>
      <x:c r="G88" s="83" t="str">
        <x:v>Transportation and language access are part of the crisis formulation, so the plan must be adapted before the referral can be considered feasible and supported.</x:v>
      </x:c>
      <x:c r="H88" s="83" t="str">
        <x:v>The referral is complete because the clinical service itself is appropriate.</x:v>
      </x:c>
      <x:c r="I88" s="83" t="str">
        <x:v>The client’s diagnosis should be changed to explain the missed referral.</x:v>
      </x:c>
      <x:c r="J88" s="83" t="str"/>
      <x:c r="K88" s="83" t="str">
        <x:v>A</x:v>
      </x:c>
      <x:c r="L88" s="83" t="str">
        <x:v>Correct. Person-in-environment reasoning evaluates whether the recommended response can actually be reached, understood, and used.</x:v>
      </x:c>
      <x:c r="M88" s="83" t="str">
        <x:v>Incorrect. A clinically appropriate resource is not an adequate plan when access barriers prevent its use.</x:v>
      </x:c>
      <x:c r="N88" s="83" t="str">
        <x:v>Incorrect. Environmental barriers should not be mislabeled as symptoms or noncompliance.</x:v>
      </x:c>
      <x:c r="O88" s="83" t="str"/>
      <x:c r="P88" s="83" t="str">
        <x:v>A. Correct. Person-in-environment reasoning evaluates whether the recommended response can actually be reached, understood, and used.
B. Incorrect. A clinically appropriate resource is not an adequate plan when access barriers prevent its use.
C. Incorrect. Environmental barriers should not be mislabeled as symptoms or noncompliance.</x:v>
      </x:c>
      <x:c r="Q88" s="83" t="str">
        <x:v>A referral is not a completed intervention until the client can realistically reach, understand, and use it.</x:v>
      </x:c>
      <x:c r="R88" s="89" t="str">
        <x:v>CTA LCSW Workbook 6</x:v>
      </x:c>
    </x:row>
    <x:row r="89">
      <x:c r="A89" s="88" t="str">
        <x:v>CTA-LCSW-MQB-0088</x:v>
      </x:c>
      <x:c r="B89" s="83" t="str">
        <x:v>LCSW-WB06-QB-Q003</x:v>
      </x:c>
      <x:c r="C89" s="83" t="str">
        <x:v>Workbook Question Bank</x:v>
      </x:c>
      <x:c r="D89" s="83" t="str">
        <x:v>Workbook 6</x:v>
      </x:c>
      <x:c r="E89" s="83" t="n">
        <x:v>4</x:v>
      </x:c>
      <x:c r="F89" s="83" t="str">
        <x:v>What does the phrase least restrictive safe response mean?</x:v>
      </x:c>
      <x:c r="G89" s="83" t="str">
        <x:v>Always select outpatient care because it preserves autonomy.</x:v>
      </x:c>
      <x:c r="H89" s="83" t="str">
        <x:v>Always select hospitalization whenever suicidal thoughts are mentioned.</x:v>
      </x:c>
      <x:c r="I89" s="83" t="str">
        <x:v>Choose the lowest level of restriction that adequately addresses current danger, medical needs, capacity, supports, access, and follow-up.</x:v>
      </x:c>
      <x:c r="J89" s="83" t="str">
        <x:v>Select whichever service is easiest for the agency to provide.</x:v>
      </x:c>
      <x:c r="K89" s="83" t="str">
        <x:v>C</x:v>
      </x:c>
      <x:c r="L89" s="83" t="str">
        <x:v>Incorrect. Outpatient care is not safe when acute danger or medical instability cannot be managed.</x:v>
      </x:c>
      <x:c r="M89" s="83" t="str">
        <x:v>Incorrect. Suicidal thoughts require assessment; hospitalization depends on acuity and support.</x:v>
      </x:c>
      <x:c r="N89" s="83" t="str">
        <x:v>Correct. The level of care should match actual acuity and feasibility rather than defaulting automatically to either hospitalization or minimal intervention.</x:v>
      </x:c>
      <x:c r="O89" s="83" t="str">
        <x:v>Incorrect. Agency convenience does not determine the clinically appropriate level of care.</x:v>
      </x:c>
      <x:c r="P89" s="83" t="str">
        <x:v>A. Incorrect. Outpatient care is not safe when acute danger or medical instability cannot be managed.
B. Incorrect. Suicidal thoughts require assessment; hospitalization depends on acuity and support.
C. Correct. The level of care should match actual acuity and feasibility rather than defaulting automatically to either hospitalization or minimal intervention.
D. Incorrect. Agency convenience does not determine the clinically appropriate level of care.</x:v>
      </x:c>
      <x:c r="Q89" s="83" t="str">
        <x:v>Neither maximum restriction nor minimum effort is the rule; choose the least restrictive option that is actually safe.</x:v>
      </x:c>
      <x:c r="R89" s="89" t="str">
        <x:v>CTA LCSW Workbook 6</x:v>
      </x:c>
    </x:row>
    <x:row r="90">
      <x:c r="A90" s="88" t="str">
        <x:v>CTA-LCSW-MQB-0089</x:v>
      </x:c>
      <x:c r="B90" s="83" t="str">
        <x:v>LCSW-WB06-QB-Q004</x:v>
      </x:c>
      <x:c r="C90" s="83" t="str">
        <x:v>Workbook Question Bank</x:v>
      </x:c>
      <x:c r="D90" s="83" t="str">
        <x:v>Workbook 6</x:v>
      </x:c>
      <x:c r="E90" s="83" t="n">
        <x:v>4</x:v>
      </x:c>
      <x:c r="F90" s="83" t="str">
        <x:v>A client in a community program becomes drowsy, has slurred speech, and says, “I took a handful of pills, but I am fine.” What should the social worker do FIRST?</x:v>
      </x:c>
      <x:c r="G90" s="83" t="str">
        <x:v>Use motivational interviewing about medication adherence.</x:v>
      </x:c>
      <x:c r="H90" s="83" t="str">
        <x:v>Call the client’s employer to arrange leave.</x:v>
      </x:c>
      <x:c r="I90" s="83" t="str">
        <x:v>Schedule an outpatient substance-use evaluation for next week.</x:v>
      </x:c>
      <x:c r="J90" s="83" t="str">
        <x:v>Activate immediate medical or emergency response and continue suicide and safety assessment as care is mobilized.</x:v>
      </x:c>
      <x:c r="K90" s="83" t="str">
        <x:v>D</x:v>
      </x:c>
      <x:c r="L90" s="83" t="str">
        <x:v>Incorrect. Routine counseling is not the priority during possible overdose.</x:v>
      </x:c>
      <x:c r="M90" s="83" t="str">
        <x:v>Incorrect. Employment coordination is not the immediate need and may violate confidentiality.</x:v>
      </x:c>
      <x:c r="N90" s="83" t="str">
        <x:v>Incorrect. A future referral is inadequate for current medical instability.</x:v>
      </x:c>
      <x:c r="O90" s="83" t="str">
        <x:v>Correct. Possible overdose and altered consciousness are medical emergencies that precede routine counseling or referral.</x:v>
      </x:c>
      <x:c r="P90" s="83" t="str">
        <x:v>A. Incorrect. Routine counseling is not the priority during possible overdose.
B. Incorrect. Employment coordination is not the immediate need and may violate confidentiality.
C. Incorrect. A future referral is inadequate for current medical instability.
D. Correct. Possible overdose and altered consciousness are medical emergencies that precede routine counseling or referral.</x:v>
      </x:c>
      <x:c r="Q90" s="83" t="str">
        <x:v>Medical instability can require action before the psychosocial assessment is complete.</x:v>
      </x:c>
      <x:c r="R90" s="89" t="str">
        <x:v>CTA LCSW Workbook 6</x:v>
      </x:c>
    </x:row>
    <x:row r="91">
      <x:c r="A91" s="88" t="str">
        <x:v>CTA-LCSW-MQB-0090</x:v>
      </x:c>
      <x:c r="B91" s="83" t="str">
        <x:v>LCSW-WB06-QB-Q005</x:v>
      </x:c>
      <x:c r="C91" s="83" t="str">
        <x:v>Workbook Question Bank</x:v>
      </x:c>
      <x:c r="D91" s="83" t="str">
        <x:v>Workbook 6</x:v>
      </x:c>
      <x:c r="E91" s="83" t="n">
        <x:v>3</x:v>
      </x:c>
      <x:c r="F91" s="83" t="str">
        <x:v>Which response is NOT an adequate substitute for suicide-risk assessment and supported follow-up?</x:v>
      </x:c>
      <x:c r="G91" s="83" t="str">
        <x:v>Obtaining a promise that the client will not attempt suicide.</x:v>
      </x:c>
      <x:c r="H91" s="83" t="str">
        <x:v>Asking directly about intent, plan, means, preparations, and recent behavior.</x:v>
      </x:c>
      <x:c r="I91" s="83" t="str">
        <x:v>Developing a collaborative safety plan with concrete means-safety and follow-up steps.</x:v>
      </x:c>
      <x:c r="J91" s="83" t="str"/>
      <x:c r="K91" s="83" t="str">
        <x:v>A</x:v>
      </x:c>
      <x:c r="L91" s="83" t="str">
        <x:v>Correct. A promise does not establish acuity, reduce access to means, confirm supports, or create a usable disposition.</x:v>
      </x:c>
      <x:c r="M91" s="83" t="str">
        <x:v>Incorrect. Direct assessment is a core part of determining acuity.</x:v>
      </x:c>
      <x:c r="N91" s="83" t="str">
        <x:v>Incorrect. A realistic plan can support a least restrictive safe response when clinically appropriate.</x:v>
      </x:c>
      <x:c r="O91" s="83" t="str"/>
      <x:c r="P91" s="83" t="str">
        <x:v>A. Correct. A promise does not establish acuity, reduce access to means, confirm supports, or create a usable disposition.
B. Incorrect. Direct assessment is a core part of determining acuity.
C. Incorrect. A realistic plan can support a least restrictive safe response when clinically appropriate.</x:v>
      </x:c>
      <x:c r="Q91" s="83" t="str">
        <x:v>Eliminate answers that replace clinical assessment with a promise or form.</x:v>
      </x:c>
      <x:c r="R91" s="89" t="str">
        <x:v>CTA LCSW Workbook 6</x:v>
      </x:c>
    </x:row>
    <x:row r="92">
      <x:c r="A92" s="88" t="str">
        <x:v>CTA-LCSW-MQB-0091</x:v>
      </x:c>
      <x:c r="B92" s="83" t="str">
        <x:v>LCSW-WB06-QB-Q006</x:v>
      </x:c>
      <x:c r="C92" s="83" t="str">
        <x:v>Workbook Question Bank</x:v>
      </x:c>
      <x:c r="D92" s="83" t="str">
        <x:v>Workbook 6</x:v>
      </x:c>
      <x:c r="E92" s="83" t="n">
        <x:v>3</x:v>
      </x:c>
      <x:c r="F92" s="83" t="str">
        <x:v>A client facing eviction says, “Sometimes I wish I would not wake up,” and immediately asks for housing help. What should the social worker do FIRST?</x:v>
      </x:c>
      <x:c r="G92" s="83" t="str">
        <x:v>Complete the housing application before discussing suicide.</x:v>
      </x:c>
      <x:c r="H92" s="83" t="str">
        <x:v>Ask directly about suicidal thoughts, intent, plan, means, recent behavior, and protective factors, then integrate housing needs into the safety and service plan.</x:v>
      </x:c>
      <x:c r="I92" s="83" t="str">
        <x:v>Hospitalize the client without further assessment.</x:v>
      </x:c>
      <x:c r="J92" s="83" t="str"/>
      <x:c r="K92" s="83" t="str">
        <x:v>B</x:v>
      </x:c>
      <x:c r="L92" s="83" t="str">
        <x:v>Incorrect. Housing is urgent, but immediate safety must first be clarified.</x:v>
      </x:c>
      <x:c r="M92" s="83" t="str">
        <x:v>Correct. Possible suicide risk must be clarified first, while the eviction remains an important person-in-environment factor in the plan.</x:v>
      </x:c>
      <x:c r="N92" s="83" t="str">
        <x:v>Incorrect. The statement requires direct assessment but does not by itself establish inpatient acuity.</x:v>
      </x:c>
      <x:c r="O92" s="83" t="str"/>
      <x:c r="P92" s="83" t="str">
        <x:v>A. Incorrect. Housing is urgent, but immediate safety must first be clarified.
B. Correct. Possible suicide risk must be clarified first, while the eviction remains an important person-in-environment factor in the plan.
C. Incorrect. The statement requires direct assessment but does not by itself establish inpatient acuity.</x:v>
      </x:c>
      <x:c r="Q92" s="83" t="str">
        <x:v>Assess immediate danger first, then address the environmental stressor as part of—not apart from—the plan.</x:v>
      </x:c>
      <x:c r="R92" s="89" t="str">
        <x:v>CTA LCSW Workbook 6</x:v>
      </x:c>
    </x:row>
    <x:row r="93">
      <x:c r="A93" s="88" t="str">
        <x:v>CTA-LCSW-MQB-0092</x:v>
      </x:c>
      <x:c r="B93" s="83" t="str">
        <x:v>LCSW-WB06-QB-Q007</x:v>
      </x:c>
      <x:c r="C93" s="83" t="str">
        <x:v>Workbook Question Bank</x:v>
      </x:c>
      <x:c r="D93" s="83" t="str">
        <x:v>Workbook 6</x:v>
      </x:c>
      <x:c r="E93" s="83" t="n">
        <x:v>4</x:v>
      </x:c>
      <x:c r="F93" s="83" t="str">
        <x:v>An older adult is confused, appears dehydrated, has an empty refrigerator, and cannot explain several open medication bottles. The client refuses an ambulance and says, “I can manage.” What should the social worker do NEXT?</x:v>
      </x:c>
      <x:c r="G93" s="83" t="str">
        <x:v>Respect the refusal and return the following week.</x:v>
      </x:c>
      <x:c r="H93" s="83" t="str">
        <x:v>Begin discussing long-term assisted-living placement.</x:v>
      </x:c>
      <x:c r="I93" s="83" t="str">
        <x:v>Assess decision-making capacity and immediate medical danger while activating urgent medical or emergency evaluation through the least restrictive safe pathway available.</x:v>
      </x:c>
      <x:c r="J93" s="83" t="str">
        <x:v>Ask a neighbor to bring groceries and close the visit.</x:v>
      </x:c>
      <x:c r="K93" s="83" t="str">
        <x:v>C</x:v>
      </x:c>
      <x:c r="L93" s="83" t="str">
        <x:v>Incorrect. Self-determination requires attention to capacity and does not require ignoring an apparent emergency.</x:v>
      </x:c>
      <x:c r="M93" s="83" t="str">
        <x:v>Incorrect. Long-term placement planning follows immediate medical stabilization and assessment.</x:v>
      </x:c>
      <x:c r="N93" s="83" t="str">
        <x:v>Correct. Confusion, dehydration, lack of food, and medication uncertainty create an urgent health and capacity concern that cannot be resolved by accepting the refusal at face value.</x:v>
      </x:c>
      <x:c r="O93" s="83" t="str">
        <x:v>Incorrect. Food alone does not address confusion, dehydration, medication risk, or capacity.</x:v>
      </x:c>
      <x:c r="P93" s="83" t="str">
        <x:v>A. Incorrect. Self-determination requires attention to capacity and does not require ignoring an apparent emergency.
B. Incorrect. Long-term placement planning follows immediate medical stabilization and assessment.
C. Correct. Confusion, dehydration, lack of food, and medication uncertainty create an urgent health and capacity concern that cannot be resolved by accepting the refusal at face value.
D. Incorrect. Food alone does not address confusion, dehydration, medication risk, or capacity.</x:v>
      </x:c>
      <x:c r="Q93" s="83" t="str">
        <x:v>A refusal is not the end of analysis when the client may not be able to understand or appreciate the danger.</x:v>
      </x:c>
      <x:c r="R93" s="89" t="str">
        <x:v>CTA LCSW Workbook 6</x:v>
      </x:c>
    </x:row>
    <x:row r="94">
      <x:c r="A94" s="88" t="str">
        <x:v>CTA-LCSW-MQB-0093</x:v>
      </x:c>
      <x:c r="B94" s="83" t="str">
        <x:v>LCSW-WB06-QB-Q008</x:v>
      </x:c>
      <x:c r="C94" s="83" t="str">
        <x:v>Workbook Question Bank</x:v>
      </x:c>
      <x:c r="D94" s="83" t="str">
        <x:v>Workbook 6</x:v>
      </x:c>
      <x:c r="E94" s="83" t="n">
        <x:v>4</x:v>
      </x:c>
      <x:c r="F94" s="83" t="str">
        <x:v>An adult client experiencing intimate partner violence says the client is not ready to leave the relationship. What should the social worker do FIRST?</x:v>
      </x:c>
      <x:c r="G94" s="83" t="str">
        <x:v>Tell the client that services will continue only after the client leaves.</x:v>
      </x:c>
      <x:c r="H94" s="83" t="str">
        <x:v>Contact the partner to negotiate a no-violence agreement.</x:v>
      </x:c>
      <x:c r="I94" s="83" t="str">
        <x:v>Require immediate police reporting in every jurisdiction.</x:v>
      </x:c>
      <x:c r="J94" s="83" t="str">
        <x:v>Assess immediate danger and escalation, identify safe communication and supports, and develop a safety plan consistent with the client’s choices unless an overriding duty applies.</x:v>
      </x:c>
      <x:c r="K94" s="83" t="str">
        <x:v>D</x:v>
      </x:c>
      <x:c r="L94" s="83" t="str">
        <x:v>Incorrect. Coercing departure can end engagement and does not respect adult self-determination.</x:v>
      </x:c>
      <x:c r="M94" s="83" t="str">
        <x:v>Incorrect. Contacting the alleged perpetrator can increase danger and violate confidentiality.</x:v>
      </x:c>
      <x:c r="N94" s="83" t="str">
        <x:v>Incorrect. Adult reporting and protective duties vary, and the item supplies no universal requirement.</x:v>
      </x:c>
      <x:c r="O94" s="83" t="str">
        <x:v>Correct. The response preserves self-determination while addressing current danger and practical safety needs.</x:v>
      </x:c>
      <x:c r="P94" s="83" t="str">
        <x:v>A. Incorrect. Coercing departure can end engagement and does not respect adult self-determination.
B. Incorrect. Contacting the alleged perpetrator can increase danger and violate confidentiality.
C. Incorrect. Adult reporting and protective duties vary, and the item supplies no universal requirement.
D. Correct. The response preserves self-determination while addressing current danger and practical safety needs.</x:v>
      </x:c>
      <x:c r="Q94" s="83" t="str">
        <x:v>Do not confuse supporting safety with taking control away from an adult survivor.</x:v>
      </x:c>
      <x:c r="R94" s="89" t="str">
        <x:v>CTA LCSW Workbook 6</x:v>
      </x:c>
    </x:row>
    <x:row r="95">
      <x:c r="A95" s="88" t="str">
        <x:v>CTA-LCSW-MQB-0094</x:v>
      </x:c>
      <x:c r="B95" s="83" t="str">
        <x:v>LCSW-WB06-QB-Q009</x:v>
      </x:c>
      <x:c r="C95" s="83" t="str">
        <x:v>Workbook Question Bank</x:v>
      </x:c>
      <x:c r="D95" s="83" t="str">
        <x:v>Workbook 6</x:v>
      </x:c>
      <x:c r="E95" s="83" t="n">
        <x:v>3</x:v>
      </x:c>
      <x:c r="F95" s="83" t="str">
        <x:v>A school social worker hears facts that meet the reporting threshold under a child-abuse law explicitly supplied in the question. What should the social worker do?</x:v>
      </x:c>
      <x:c r="G95" s="83" t="str">
        <x:v>Address immediate safety and follow the mandated-reporting procedure without conducting an independent investigation for proof.</x:v>
      </x:c>
      <x:c r="H95" s="83" t="str">
        <x:v>Interview every family member before deciding whether the allegation is true.</x:v>
      </x:c>
      <x:c r="I95" s="83" t="str">
        <x:v>Ask the alleged perpetrator for permission to contact authorities.</x:v>
      </x:c>
      <x:c r="J95" s="83" t="str"/>
      <x:c r="K95" s="83" t="str">
        <x:v>A</x:v>
      </x:c>
      <x:c r="L95" s="83" t="str">
        <x:v>Correct. When the item supplies a controlling reporting rule and the threshold is met, reporting and safety take priority over verification.</x:v>
      </x:c>
      <x:c r="M95" s="83" t="str">
        <x:v>Incorrect. A mandated reporter should not delay the required report to investigate.</x:v>
      </x:c>
      <x:c r="N95" s="83" t="str">
        <x:v>Incorrect. Permission is not required for a mandated report and confrontation may increase risk.</x:v>
      </x:c>
      <x:c r="O95" s="83" t="str"/>
      <x:c r="P95" s="83" t="str">
        <x:v>A. Correct. When the item supplies a controlling reporting rule and the threshold is met, reporting and safety take priority over verification.
B. Incorrect. A mandated reporter should not delay the required report to investigate.
C. Incorrect. Permission is not required for a mandated report and confrontation may increase risk.</x:v>
      </x:c>
      <x:c r="Q95" s="83" t="str">
        <x:v>When the law and facts are given, apply them—do not add a proof requirement.</x:v>
      </x:c>
      <x:c r="R95" s="89" t="str">
        <x:v>CTA LCSW Workbook 6</x:v>
      </x:c>
    </x:row>
    <x:row r="96">
      <x:c r="A96" s="88" t="str">
        <x:v>CTA-LCSW-MQB-0095</x:v>
      </x:c>
      <x:c r="B96" s="83" t="str">
        <x:v>LCSW-WB06-QB-Q010</x:v>
      </x:c>
      <x:c r="C96" s="83" t="str">
        <x:v>Workbook Question Bank</x:v>
      </x:c>
      <x:c r="D96" s="83" t="str">
        <x:v>Workbook 6</x:v>
      </x:c>
      <x:c r="E96" s="83" t="n">
        <x:v>3</x:v>
      </x:c>
      <x:c r="F96" s="83" t="str">
        <x:v>An outreach social worker meets a client who is responding to voices, has not eaten since yesterday, sleeps beside a freeway, and refuses a shelter because of prior victimization there. The client accepts water and remains engaged. What should the social worker do NEXT?</x:v>
      </x:c>
      <x:c r="G96" s="83" t="str">
        <x:v>End the contact because the client declined the offered shelter.</x:v>
      </x:c>
      <x:c r="H96" s="83" t="str">
        <x:v>Assess current danger, medical needs, ability to care for basic needs, substance use, and willingness to accept crisis or medical evaluation while offering safer, least restrictive options.</x:v>
      </x:c>
      <x:c r="I96" s="83" t="str">
        <x:v>Tell the client that shelter placement is mandatory.</x:v>
      </x:c>
      <x:c r="J96" s="83" t="str"/>
      <x:c r="K96" s="83" t="str">
        <x:v>B</x:v>
      </x:c>
      <x:c r="L96" s="83" t="str">
        <x:v>Incorrect. Refusal of one resource is not abandonment of services or proof that no alternatives exist.</x:v>
      </x:c>
      <x:c r="M96" s="83" t="str">
        <x:v>Correct. The response integrates psychosis, basic needs, trauma history, self-determination, and continued engagement rather than treating shelter refusal as refusal of all help.</x:v>
      </x:c>
      <x:c r="N96" s="83" t="str">
        <x:v>Incorrect. The social worker should assess capacity, danger, and alternatives rather than impose a service without authority.</x:v>
      </x:c>
      <x:c r="O96" s="83" t="str"/>
      <x:c r="P96" s="83" t="str">
        <x:v>A. Incorrect. Refusal of one resource is not abandonment of services or proof that no alternatives exist.
B. Correct. The response integrates psychosis, basic needs, trauma history, self-determination, and continued engagement rather than treating shelter refusal as refusal of all help.
C. Incorrect. The social worker should assess capacity, danger, and alternatives rather than impose a service without authority.</x:v>
      </x:c>
      <x:c r="Q96" s="83" t="str">
        <x:v>A client can refuse one option and still accept help; keep assessing and expand the choices.</x:v>
      </x:c>
      <x:c r="R96" s="89" t="str">
        <x:v>CTA LCSW Workbook 6</x:v>
      </x:c>
    </x:row>
    <x:row r="97">
      <x:c r="A97" s="88" t="str">
        <x:v>CTA-LCSW-MQB-0096</x:v>
      </x:c>
      <x:c r="B97" s="83" t="str">
        <x:v>LCSW-WB06-QB-Q011</x:v>
      </x:c>
      <x:c r="C97" s="83" t="str">
        <x:v>Workbook Question Bank</x:v>
      </x:c>
      <x:c r="D97" s="83" t="str">
        <x:v>Workbook 6</x:v>
      </x:c>
      <x:c r="E97" s="83" t="n">
        <x:v>3</x:v>
      </x:c>
      <x:c r="F97" s="83" t="str">
        <x:v>A client at a community clinic says a roommate forced sexual contact and the client cannot safely return to the apartment where medication and identification remain. What should the social worker do FIRST?</x:v>
      </x:c>
      <x:c r="G97" s="83" t="str">
        <x:v>Arrange a joint meeting with the roommate to negotiate household boundaries.</x:v>
      </x:c>
      <x:c r="H97" s="83" t="str">
        <x:v>Ask the client to provide a complete trauma narrative before discussing practical needs.</x:v>
      </x:c>
      <x:c r="I97" s="83" t="str">
        <x:v>Assess immediate danger and health needs, help identify safe lodging and a way to retrieve essential belongings safely, and offer advocacy, medical, forensic, and reporting resources according to the client’s preferences.</x:v>
      </x:c>
      <x:c r="J97" s="83" t="str"/>
      <x:c r="K97" s="83" t="str">
        <x:v>C</x:v>
      </x:c>
      <x:c r="L97" s="83" t="str">
        <x:v>Incorrect. Confrontation can increase danger and is not an appropriate acute response.</x:v>
      </x:c>
      <x:c r="M97" s="83" t="str">
        <x:v>Incorrect. Detailed processing is premature while safety, medication, and housing remain unresolved.</x:v>
      </x:c>
      <x:c r="N97" s="83" t="str">
        <x:v>Correct. The response addresses safety, health, housing, essential property, and client control without requiring confrontation or a particular report.</x:v>
      </x:c>
      <x:c r="O97" s="83" t="str"/>
      <x:c r="P97" s="83" t="str">
        <x:v>A. Incorrect. Confrontation can increase danger and is not an appropriate acute response.
B. Incorrect. Detailed processing is premature while safety, medication, and housing remain unresolved.
C. Correct. The response addresses safety, health, housing, essential property, and client control without requiring confrontation or a particular report.</x:v>
      </x:c>
      <x:c r="Q97" s="83" t="str">
        <x:v>Restore safety and practical control first; do not force confrontation, detailed disclosure, or one reporting path.</x:v>
      </x:c>
      <x:c r="R97" s="89" t="str">
        <x:v>CTA LCSW Workbook 6</x:v>
      </x:c>
    </x:row>
    <x:row r="98">
      <x:c r="A98" s="88" t="str">
        <x:v>CTA-LCSW-MQB-0097</x:v>
      </x:c>
      <x:c r="B98" s="83" t="str">
        <x:v>LCSW-WB06-QB-Q012</x:v>
      </x:c>
      <x:c r="C98" s="83" t="str">
        <x:v>Workbook Question Bank</x:v>
      </x:c>
      <x:c r="D98" s="83" t="str">
        <x:v>Workbook 6</x:v>
      </x:c>
      <x:c r="E98" s="83" t="n">
        <x:v>4</x:v>
      </x:c>
      <x:c r="F98" s="83" t="str">
        <x:v>After a major flood, a family has no safe shelter, a child has run out of insulin, and the parents cannot charge their phone to contact relatives. What should the social worker do FIRST?</x:v>
      </x:c>
      <x:c r="G98" s="83" t="str">
        <x:v>Provide psychoeducation about posttraumatic stress.</x:v>
      </x:c>
      <x:c r="H98" s="83" t="str">
        <x:v>Explore the family’s communication patterns before arranging resources.</x:v>
      </x:c>
      <x:c r="I98" s="83" t="str">
        <x:v>Ask the family to complete a trauma-symptom inventory before providing assistance.</x:v>
      </x:c>
      <x:c r="J98" s="83" t="str">
        <x:v>Secure urgent medication access and safe shelter, address communication and transportation needs, and assess immediate health and safety.</x:v>
      </x:c>
      <x:c r="K98" s="83" t="str">
        <x:v>D</x:v>
      </x:c>
      <x:c r="L98" s="83" t="str">
        <x:v>Incorrect. Education may help later but does not resolve the immediate medical and shelter crisis.</x:v>
      </x:c>
      <x:c r="M98" s="83" t="str">
        <x:v>Incorrect. Family assessment is not the first priority while basic needs are unmet.</x:v>
      </x:c>
      <x:c r="N98" s="83" t="str">
        <x:v>Incorrect. A checklist should not delay urgent medication, shelter, and communication support.</x:v>
      </x:c>
      <x:c r="O98" s="83" t="str">
        <x:v>Correct. Survival, medical stability, and practical access take priority over education or long-term processing during acute displacement.</x:v>
      </x:c>
      <x:c r="P98" s="83" t="str">
        <x:v>A. Incorrect. Education may help later but does not resolve the immediate medical and shelter crisis.
B. Incorrect. Family assessment is not the first priority while basic needs are unmet.
C. Incorrect. A checklist should not delay urgent medication, shelter, and communication support.
D. Correct. Survival, medical stability, and practical access take priority over education or long-term processing during acute displacement.</x:v>
      </x:c>
      <x:c r="Q98" s="83" t="str">
        <x:v>In disaster response, treat access barriers as crisis facts and stabilize basic needs before deeper clinical work.</x:v>
      </x:c>
      <x:c r="R98" s="89" t="str">
        <x:v>CTA LCSW Workbook 6</x:v>
      </x:c>
    </x:row>
    <x:row r="99">
      <x:c r="A99" s="88" t="str">
        <x:v>CTA-LCSW-MQB-0098</x:v>
      </x:c>
      <x:c r="B99" s="83" t="str">
        <x:v>LCSW-WB06-QB-Q013</x:v>
      </x:c>
      <x:c r="C99" s="83" t="str">
        <x:v>Workbook Question Bank</x:v>
      </x:c>
      <x:c r="D99" s="83" t="str">
        <x:v>Workbook 6</x:v>
      </x:c>
      <x:c r="E99" s="83" t="n">
        <x:v>3</x:v>
      </x:c>
      <x:c r="F99" s="83" t="str">
        <x:v>A refugee client reports nightmares, recent job loss, fear related to immigration status, and thoughts of “giving up.” The client denies intent or a plan, identifies children as a reason to live, accepts help, speaks limited English, and has no transportation. What should the social worker do NEXT?</x:v>
      </x:c>
      <x:c r="G99" s="83" t="str">
        <x:v>Develop a collaborative safety plan with qualified language access, reachable crisis contacts, transportation support, relevant legal and social-service resources, confirmed follow-up, and reassessment as conditions change.</x:v>
      </x:c>
      <x:c r="H99" s="83" t="str">
        <x:v>Hospitalize the client solely because suicidal thoughts were mentioned.</x:v>
      </x:c>
      <x:c r="I99" s="83" t="str">
        <x:v>Focus only on trauma processing because the symptoms began after migration.</x:v>
      </x:c>
      <x:c r="J99" s="83" t="str"/>
      <x:c r="K99" s="83" t="str">
        <x:v>A</x:v>
      </x:c>
      <x:c r="L99" s="83" t="str">
        <x:v>Correct. The response integrates current risk, protective factors, self-determination, trauma, and concrete access barriers into a supported least restrictive plan.</x:v>
      </x:c>
      <x:c r="M99" s="83" t="str">
        <x:v>Incorrect. The facts do not automatically require inpatient care and describe willingness and protective factors.</x:v>
      </x:c>
      <x:c r="N99" s="83" t="str">
        <x:v>Incorrect. Trauma work alone ignores current safety and environmental stressors.</x:v>
      </x:c>
      <x:c r="O99" s="83" t="str"/>
      <x:c r="P99" s="83" t="str">
        <x:v>A. Correct. The response integrates current risk, protective factors, self-determination, trauma, and concrete access barriers into a supported least restrictive plan.
B. Incorrect. The facts do not automatically require inpatient care and describe willingness and protective factors.
C. Incorrect. Trauma work alone ignores current safety and environmental stressors.</x:v>
      </x:c>
      <x:c r="Q99" s="83" t="str">
        <x:v>A plan is only as strong as the client’s realistic ability to understand, reach, and use it.</x:v>
      </x:c>
      <x:c r="R99" s="89" t="str">
        <x:v>CTA LCSW Workbook 6</x:v>
      </x:c>
    </x:row>
    <x:row r="100">
      <x:c r="A100" s="88" t="str">
        <x:v>CTA-LCSW-MQB-0099</x:v>
      </x:c>
      <x:c r="B100" s="83" t="str">
        <x:v>LCSW-WB06-QB-Q014</x:v>
      </x:c>
      <x:c r="C100" s="83" t="str">
        <x:v>Workbook Question Bank</x:v>
      </x:c>
      <x:c r="D100" s="83" t="str">
        <x:v>Workbook 6</x:v>
      </x:c>
      <x:c r="E100" s="83" t="n">
        <x:v>3</x:v>
      </x:c>
      <x:c r="F100" s="83" t="str">
        <x:v>A hospital social worker sees a patient who is increasingly difficult to awaken after saying, “I took extra pain pills because I wanted everything to stop.” The patient’s partner insists the patient was only trying to sleep. What should the social worker do FIRST?</x:v>
      </x:c>
      <x:c r="G100" s="83" t="str">
        <x:v>Wait for the patient to become fully alert before notifying anyone.</x:v>
      </x:c>
      <x:c r="H100" s="83" t="str">
        <x:v>Notify the medical team or emergency responders immediately while continuing suicide-risk and collateral assessment as medically possible.</x:v>
      </x:c>
      <x:c r="I100" s="83" t="str">
        <x:v>Accept the partner’s explanation and document no suicide risk.</x:v>
      </x:c>
      <x:c r="J100" s="83" t="str"/>
      <x:c r="K100" s="83" t="str">
        <x:v>B</x:v>
      </x:c>
      <x:c r="L100" s="83" t="str">
        <x:v>Incorrect. Delaying medical response could increase harm.</x:v>
      </x:c>
      <x:c r="M100" s="83" t="str">
        <x:v>Correct. Reduced consciousness and possible overdose create a medical emergency; the partner’s interpretation does not reduce the need for immediate action.</x:v>
      </x:c>
      <x:c r="N100" s="83" t="str">
        <x:v>Incorrect. Collateral interpretation does not override objective signs and the patient’s statement.</x:v>
      </x:c>
      <x:c r="O100" s="83" t="str"/>
      <x:c r="P100" s="83" t="str">
        <x:v>A. Incorrect. Delaying medical response could increase harm.
B. Correct. Reduced consciousness and possible overdose create a medical emergency; the partner’s interpretation does not reduce the need for immediate action.
C. Incorrect. Collateral interpretation does not override objective signs and the patient’s statement.</x:v>
      </x:c>
      <x:c r="Q100" s="83" t="str">
        <x:v>Objective medical danger outranks reassuring explanations and incomplete psychosocial data.</x:v>
      </x:c>
      <x:c r="R100" s="89" t="str">
        <x:v>CTA LCSW Workbook 6</x:v>
      </x:c>
    </x:row>
    <x:row r="101">
      <x:c r="A101" s="88" t="str">
        <x:v>CTA-LCSW-MQB-0100</x:v>
      </x:c>
      <x:c r="B101" s="83" t="str">
        <x:v>LCSW-WB06-QB-Q015</x:v>
      </x:c>
      <x:c r="C101" s="83" t="str">
        <x:v>Workbook Question Bank</x:v>
      </x:c>
      <x:c r="D101" s="83" t="str">
        <x:v>Workbook 6</x:v>
      </x:c>
      <x:c r="E101" s="83" t="n">
        <x:v>4</x:v>
      </x:c>
      <x:c r="F101" s="83" t="str">
        <x:v>An older adult reports that a relative controls all bank accounts and threatens to withhold transportation to medical appointments. The client appears frightened and has difficulty explaining recent transactions. No jurisdiction is specified. What should the social worker do NEXT?</x:v>
      </x:c>
      <x:c r="G101" s="83" t="str">
        <x:v>Contact law enforcement automatically because all financial concerns require a criminal report.</x:v>
      </x:c>
      <x:c r="H101" s="83" t="str">
        <x:v>Ask the client to confront the relative during a joint meeting.</x:v>
      </x:c>
      <x:c r="I101" s="83" t="str">
        <x:v>Assess immediate safety, basic needs, decision-making capacity, access to care, and the applicable reporting and protective framework while connecting appropriate financial and social-service resources.</x:v>
      </x:c>
      <x:c r="J101" s="83" t="str">
        <x:v>Take no action until bank records conclusively prove theft.</x:v>
      </x:c>
      <x:c r="K101" s="83" t="str">
        <x:v>C</x:v>
      </x:c>
      <x:c r="L101" s="83" t="str">
        <x:v>Incorrect. The item does not supply a universal reporting rule, and the social worker must first clarify role and applicable law.</x:v>
      </x:c>
      <x:c r="M101" s="83" t="str">
        <x:v>Incorrect. Confrontation can increase danger and does not address capacity or basic needs.</x:v>
      </x:c>
      <x:c r="N101" s="83" t="str">
        <x:v>Correct. The response addresses possible exploitation and coercion without inventing a jurisdiction-specific rule or waiting for proof.</x:v>
      </x:c>
      <x:c r="O101" s="83" t="str">
        <x:v>Incorrect. Safety and capacity assessment should not be delayed while evidence is gathered.</x:v>
      </x:c>
      <x:c r="P101" s="83" t="str">
        <x:v>A. Incorrect. The item does not supply a universal reporting rule, and the social worker must first clarify role and applicable law.
B. Incorrect. Confrontation can increase danger and does not address capacity or basic needs.
C. Correct. The response addresses possible exploitation and coercion without inventing a jurisdiction-specific rule or waiting for proof.
D. Incorrect. Safety and capacity assessment should not be delayed while evidence is gathered.</x:v>
      </x:c>
      <x:c r="Q101" s="83" t="str">
        <x:v>In national items, assess and protect first, then apply the law that actually governs the case.</x:v>
      </x:c>
      <x:c r="R101" s="89" t="str">
        <x:v>CTA LCSW Workbook 6</x:v>
      </x:c>
    </x:row>
    <x:row r="102">
      <x:c r="A102" s="88" t="str">
        <x:v>CTA-LCSW-MQB-0101</x:v>
      </x:c>
      <x:c r="B102" s="83" t="str">
        <x:v>LCSW-WB06-QB-Q016</x:v>
      </x:c>
      <x:c r="C102" s="83" t="str">
        <x:v>Workbook Question Bank</x:v>
      </x:c>
      <x:c r="D102" s="83" t="str">
        <x:v>Workbook 6</x:v>
      </x:c>
      <x:c r="E102" s="83" t="n">
        <x:v>4</x:v>
      </x:c>
      <x:c r="F102" s="83" t="str">
        <x:v>A client says, “My supervisor deserves to disappear,” has a history of fights, and keeps a firearm at home, but gives no plan, time, location, or current intent. The jurisdiction is not identified. What should the social worker do FIRST?</x:v>
      </x:c>
      <x:c r="G102" s="83" t="str">
        <x:v>Immediately warn the supervisor and disclose the client’s complete record.</x:v>
      </x:c>
      <x:c r="H102" s="83" t="str">
        <x:v>Avoid asking additional questions because the client may become angry.</x:v>
      </x:c>
      <x:c r="I102" s="83" t="str">
        <x:v>Begin conflict-resolution training before discussing firearm access.</x:v>
      </x:c>
      <x:c r="J102" s="83" t="str">
        <x:v>Conduct a direct, specific threat assessment addressing the target, intent, plan, means, access, preparations, history, triggers, intoxication, and immediacy, then apply the relevant law and protective response.</x:v>
      </x:c>
      <x:c r="K102" s="83" t="str">
        <x:v>D</x:v>
      </x:c>
      <x:c r="L102" s="83" t="str">
        <x:v>Incorrect. The target, seriousness, and legal framework have not yet been sufficiently clarified, and any disclosure should be limited.</x:v>
      </x:c>
      <x:c r="M102" s="83" t="str">
        <x:v>Incorrect. Direct assessment is necessary to determine risk.</x:v>
      </x:c>
      <x:c r="N102" s="83" t="str">
        <x:v>Incorrect. Skills work is premature until threat acuity is assessed.</x:v>
      </x:c>
      <x:c r="O102" s="83" t="str">
        <x:v>Correct. The facts are concerning but still require clarification before the social worker can determine the supported protective action under the applicable jurisdiction.</x:v>
      </x:c>
      <x:c r="P102" s="83" t="str">
        <x:v>A. Incorrect. The target, seriousness, and legal framework have not yet been sufficiently clarified, and any disclosure should be limited.
B. Incorrect. Direct assessment is necessary to determine risk.
C. Incorrect. Skills work is premature until threat acuity is assessed.
D. Correct. The facts are concerning but still require clarification before the social worker can determine the supported protective action under the applicable jurisdiction.</x:v>
      </x:c>
      <x:c r="Q102" s="83" t="str">
        <x:v>Do not underreact to warning signs or overreact by inventing facts; assess specifically, then act on supported law and acuity.</x:v>
      </x:c>
      <x:c r="R102" s="89" t="str">
        <x:v>CTA LCSW Workbook 6</x:v>
      </x:c>
    </x:row>
    <x:row r="103">
      <x:c r="A103" s="88" t="str">
        <x:v>CTA-LCSW-MQB-0102</x:v>
      </x:c>
      <x:c r="B103" s="83" t="str">
        <x:v>LCSW-WB06-QB-Q017</x:v>
      </x:c>
      <x:c r="C103" s="83" t="str">
        <x:v>Workbook Question Bank</x:v>
      </x:c>
      <x:c r="D103" s="83" t="str">
        <x:v>Workbook 6</x:v>
      </x:c>
      <x:c r="E103" s="83" t="n">
        <x:v>3</x:v>
      </x:c>
      <x:c r="F103" s="83" t="str">
        <x:v>A single parent reports intermittent suicidal thoughts without intent or plan, is willing to use a safety plan, and identifies the children as a strong reason to live. The only crisis clinic is two bus transfers away, the client has no childcare, and the phone service may be disconnected. What is the BEST response?</x:v>
      </x:c>
      <x:c r="G103" s="83" t="str">
        <x:v>Create a collaborative least restrictive plan that addresses means safety, childcare, transportation, phone access, reachable supports, confirmed clinical follow-up, and reassessment if risk increases.</x:v>
      </x:c>
      <x:c r="H103" s="83" t="str">
        <x:v>Give the clinic address and tell the client to attend independently.</x:v>
      </x:c>
      <x:c r="I103" s="83" t="str">
        <x:v>Hospitalize automatically because the client has children.</x:v>
      </x:c>
      <x:c r="J103" s="83" t="str"/>
      <x:c r="K103" s="83" t="str">
        <x:v>A</x:v>
      </x:c>
      <x:c r="L103" s="83" t="str">
        <x:v>Correct. The response integrates acuity with caregiving and access barriers so that the plan is both clinically appropriate and realistically usable.</x:v>
      </x:c>
      <x:c r="M103" s="83" t="str">
        <x:v>Incorrect. A referral without addressing transportation and childcare is unlikely to be usable.</x:v>
      </x:c>
      <x:c r="N103" s="83" t="str">
        <x:v>Incorrect. Parenting responsibilities do not by themselves establish inpatient acuity, and a supported less restrictive plan may be possible.</x:v>
      </x:c>
      <x:c r="O103" s="83" t="str"/>
      <x:c r="P103" s="83" t="str">
        <x:v>A. Correct. The response integrates acuity with caregiving and access barriers so that the plan is both clinically appropriate and realistically usable.
B. Incorrect. A referral without addressing transportation and childcare is unlikely to be usable.
C. Incorrect. Parenting responsibilities do not by themselves establish inpatient acuity, and a supported less restrictive plan may be possible.</x:v>
      </x:c>
      <x:c r="Q103" s="83" t="str">
        <x:v>Person-in-environment reasoning asks not only what should happen, but whether the client can actually do it.</x:v>
      </x:c>
      <x:c r="R103" s="89" t="str">
        <x:v>CTA LCSW Workbook 6</x:v>
      </x:c>
    </x:row>
    <x:row r="104">
      <x:c r="A104" s="88" t="str">
        <x:v>CTA-LCSW-MQB-0103</x:v>
      </x:c>
      <x:c r="B104" s="83" t="str">
        <x:v>LCSW-WB07-QB-Q001</x:v>
      </x:c>
      <x:c r="C104" s="83" t="str">
        <x:v>Workbook Question Bank</x:v>
      </x:c>
      <x:c r="D104" s="83" t="str">
        <x:v>Workbook 7</x:v>
      </x:c>
      <x:c r="E104" s="83" t="n">
        <x:v>4</x:v>
      </x:c>
      <x:c r="F104" s="83" t="str">
        <x:v>In the CTA PLAN-ER sequence, which action comes before selecting an intervention or community resource?</x:v>
      </x:c>
      <x:c r="G104" s="83" t="str">
        <x:v>Identify the priority need, formulate the problem in context, and agree on a client-defined target.</x:v>
      </x:c>
      <x:c r="H104" s="83" t="str">
        <x:v>Choose the service with the shortest application form.</x:v>
      </x:c>
      <x:c r="I104" s="83" t="str">
        <x:v>Set a discharge date before discussing goals.</x:v>
      </x:c>
      <x:c r="J104" s="83" t="str">
        <x:v>Ask the agency to decide what the client should do.</x:v>
      </x:c>
      <x:c r="K104" s="83" t="str">
        <x:v>A</x:v>
      </x:c>
      <x:c r="L104" s="83" t="str">
        <x:v>Correct. Planning begins with priority, person-in-environment formulation, and a collaborative target.</x:v>
      </x:c>
      <x:c r="M104" s="83" t="str">
        <x:v>Incorrect. Administrative simplicity does not establish clinical or service fit.</x:v>
      </x:c>
      <x:c r="N104" s="83" t="str">
        <x:v>Incorrect. Discharge planning matters, but it should follow assessment and goal definition.</x:v>
      </x:c>
      <x:c r="O104" s="83" t="str">
        <x:v>Incorrect. Agency requirements do not replace client participation and professional judgment.</x:v>
      </x:c>
      <x:c r="P104" s="83" t="str">
        <x:v>A. Correct. Planning begins with priority, person-in-environment formulation, and a collaborative target.
B. Incorrect. Administrative simplicity does not establish clinical or service fit.
C. Incorrect. Discharge planning matters, but it should follow assessment and goal definition.
D. Incorrect. Agency requirements do not replace client participation and professional judgment.</x:v>
      </x:c>
      <x:c r="Q104" s="83" t="str">
        <x:v>Before referring or intervening, identify the priority need, context, client preference, and desired outcome.</x:v>
      </x:c>
      <x:c r="R104" s="89" t="str">
        <x:v>CTA LCSW Workbook 7</x:v>
      </x:c>
    </x:row>
    <x:row r="105">
      <x:c r="A105" s="88" t="str">
        <x:v>CTA-LCSW-MQB-0104</x:v>
      </x:c>
      <x:c r="B105" s="83" t="str">
        <x:v>LCSW-WB07-QB-Q002</x:v>
      </x:c>
      <x:c r="C105" s="83" t="str">
        <x:v>Workbook Question Bank</x:v>
      </x:c>
      <x:c r="D105" s="83" t="str">
        <x:v>Workbook 7</x:v>
      </x:c>
      <x:c r="E105" s="83" t="n">
        <x:v>4</x:v>
      </x:c>
      <x:c r="F105" s="83" t="str">
        <x:v>A client with depressive symptoms also receives an eviction notice requiring a response within five days. What should the social worker do FIRST?</x:v>
      </x:c>
      <x:c r="G105" s="83" t="str">
        <x:v>Begin a long-term exploration of childhood attachment.</x:v>
      </x:c>
      <x:c r="H105" s="83" t="str">
        <x:v>Assess the urgency of the housing threat and immediate safety while coordinating a feasible response with the client.</x:v>
      </x:c>
      <x:c r="I105" s="83" t="str">
        <x:v>Refer the client to a therapy group and postpone housing discussion.</x:v>
      </x:c>
      <x:c r="J105" s="83" t="str">
        <x:v>Tell the client to solve the housing problem before returning to treatment.</x:v>
      </x:c>
      <x:c r="K105" s="83" t="str">
        <x:v>B</x:v>
      </x:c>
      <x:c r="L105" s="83" t="str">
        <x:v>Incorrect. Historical exploration does not address the urgent environmental threat.</x:v>
      </x:c>
      <x:c r="M105" s="83" t="str">
        <x:v>Correct. Person-in-environment planning prioritizes immediate risk and destabilizing basic-needs threats.</x:v>
      </x:c>
      <x:c r="N105" s="83" t="str">
        <x:v>Incorrect. Group treatment may help later but does not respond first to imminent eviction.</x:v>
      </x:c>
      <x:c r="O105" s="83" t="str">
        <x:v>Incorrect. The housing crisis is part of the clinical and service context, not a reason to withhold care.</x:v>
      </x:c>
      <x:c r="P105" s="83" t="str">
        <x:v>A. Incorrect. Historical exploration does not address the urgent environmental threat.
B. Correct. Person-in-environment planning prioritizes immediate risk and destabilizing basic-needs threats.
C. Incorrect. Group treatment may help later but does not respond first to imminent eviction.
D. Incorrect. The housing crisis is part of the clinical and service context, not a reason to withhold care.</x:v>
      </x:c>
      <x:c r="Q105" s="83" t="str">
        <x:v>When basic needs threaten stability, address urgency and safety before lower-priority therapeutic work.</x:v>
      </x:c>
      <x:c r="R105" s="89" t="str">
        <x:v>CTA LCSW Workbook 7</x:v>
      </x:c>
    </x:row>
    <x:row r="106">
      <x:c r="A106" s="88" t="str">
        <x:v>CTA-LCSW-MQB-0105</x:v>
      </x:c>
      <x:c r="B106" s="83" t="str">
        <x:v>LCSW-WB07-QB-Q003</x:v>
      </x:c>
      <x:c r="C106" s="83" t="str">
        <x:v>Workbook Question Bank</x:v>
      </x:c>
      <x:c r="D106" s="83" t="str">
        <x:v>Workbook 7</x:v>
      </x:c>
      <x:c r="E106" s="83" t="n">
        <x:v>4</x:v>
      </x:c>
      <x:c r="F106" s="83" t="str">
        <x:v>Which objective is MOST useful in a treatment and service plan?</x:v>
      </x:c>
      <x:c r="G106" s="83" t="str">
        <x:v>The client will improve life functioning.</x:v>
      </x:c>
      <x:c r="H106" s="83" t="str">
        <x:v>The client will become motivated.</x:v>
      </x:c>
      <x:c r="I106" s="83" t="str">
        <x:v>Within three weeks, the client will complete two housing applications with agreed support and report whether depressive symptoms interfere with follow-through.</x:v>
      </x:c>
      <x:c r="J106" s="83" t="str">
        <x:v>The social worker will make the client accept services.</x:v>
      </x:c>
      <x:c r="K106" s="83" t="str">
        <x:v>C</x:v>
      </x:c>
      <x:c r="L106" s="83" t="str">
        <x:v>Incorrect. “Improve functioning” is too broad to monitor.</x:v>
      </x:c>
      <x:c r="M106" s="83" t="str">
        <x:v>Incorrect. Motivation should be explored and operationalized rather than treated as a vague outcome.</x:v>
      </x:c>
      <x:c r="N106" s="83" t="str">
        <x:v>Correct. The objective is specific, time-limited, collaborative, and connects service action with clinical functioning.</x:v>
      </x:c>
      <x:c r="O106" s="83" t="str">
        <x:v>Incorrect. The wording is coercive and places the goal on the worker rather than the client.</x:v>
      </x:c>
      <x:c r="P106" s="83" t="str">
        <x:v>A. Incorrect. “Improve functioning” is too broad to monitor.
B. Incorrect. Motivation should be explored and operationalized rather than treated as a vague outcome.
C. Correct. The objective is specific, time-limited, collaborative, and connects service action with clinical functioning.
D. Incorrect. The wording is coercive and places the goal on the worker rather than the client.</x:v>
      </x:c>
      <x:c r="Q106" s="83" t="str">
        <x:v>A strong objective identifies the action, time frame, support, and indicator that will be reviewed.</x:v>
      </x:c>
      <x:c r="R106" s="89" t="str">
        <x:v>CTA LCSW Workbook 7</x:v>
      </x:c>
    </x:row>
    <x:row r="107">
      <x:c r="A107" s="88" t="str">
        <x:v>CTA-LCSW-MQB-0106</x:v>
      </x:c>
      <x:c r="B107" s="83" t="str">
        <x:v>LCSW-WB07-QB-Q004</x:v>
      </x:c>
      <x:c r="C107" s="83" t="str">
        <x:v>Workbook Question Bank</x:v>
      </x:c>
      <x:c r="D107" s="83" t="str">
        <x:v>Workbook 7</x:v>
      </x:c>
      <x:c r="E107" s="83" t="n">
        <x:v>4</x:v>
      </x:c>
      <x:c r="F107" s="83" t="str">
        <x:v>A client declines the social worker’s recommendation for a relapse-prevention group but remains willing to discuss other supports. What should the social worker do NEXT?</x:v>
      </x:c>
      <x:c r="G107" s="83" t="str">
        <x:v>Terminate because the client refused the preferred service.</x:v>
      </x:c>
      <x:c r="H107" s="83" t="str">
        <x:v>Contact the client’s family to pressure participation.</x:v>
      </x:c>
      <x:c r="I107" s="83" t="str">
        <x:v>Require one group meeting before allowing another option.</x:v>
      </x:c>
      <x:c r="J107" s="83" t="str">
        <x:v>Explore the reason for declining, review risks and alternatives, and collaborate on an acceptable plan.</x:v>
      </x:c>
      <x:c r="K107" s="83" t="str">
        <x:v>D</x:v>
      </x:c>
      <x:c r="L107" s="83" t="str">
        <x:v>Incorrect. Refusal of one recommendation does not justify automatic termination.</x:v>
      </x:c>
      <x:c r="M107" s="83" t="str">
        <x:v>Incorrect. Family involvement requires an appropriate basis and may undermine self-determination.</x:v>
      </x:c>
      <x:c r="N107" s="83" t="str">
        <x:v>Incorrect. Coercion is not justified merely because the worker prefers the group.</x:v>
      </x:c>
      <x:c r="O107" s="83" t="str">
        <x:v>Correct. The social worker should understand barriers and develop an informed, feasible alternative with the client.</x:v>
      </x:c>
      <x:c r="P107" s="83" t="str">
        <x:v>A. Incorrect. Refusal of one recommendation does not justify automatic termination.
B. Incorrect. Family involvement requires an appropriate basis and may undermine self-determination.
C. Incorrect. Coercion is not justified merely because the worker prefers the group.
D. Correct. The social worker should understand barriers and develop an informed, feasible alternative with the client.</x:v>
      </x:c>
      <x:c r="Q107" s="83" t="str">
        <x:v>Client refusal is information: explore meaning and barriers before revising the plan.</x:v>
      </x:c>
      <x:c r="R107" s="89" t="str">
        <x:v>CTA LCSW Workbook 7</x:v>
      </x:c>
    </x:row>
    <x:row r="108">
      <x:c r="A108" s="88" t="str">
        <x:v>CTA-LCSW-MQB-0107</x:v>
      </x:c>
      <x:c r="B108" s="83" t="str">
        <x:v>LCSW-WB07-QB-Q005</x:v>
      </x:c>
      <x:c r="C108" s="83" t="str">
        <x:v>Workbook Question Bank</x:v>
      </x:c>
      <x:c r="D108" s="83" t="str">
        <x:v>Workbook 7</x:v>
      </x:c>
      <x:c r="E108" s="83" t="n">
        <x:v>4</x:v>
      </x:c>
      <x:c r="F108" s="83" t="str">
        <x:v>Which factor is MOST important when matching a client to a community resource?</x:v>
      </x:c>
      <x:c r="G108" s="83" t="str">
        <x:v>Whether the service is eligible, accessible, acceptable, timely, and feasible for the client to use.</x:v>
      </x:c>
      <x:c r="H108" s="83" t="str">
        <x:v>Whether the resource appears first in the agency directory.</x:v>
      </x:c>
      <x:c r="I108" s="83" t="str">
        <x:v>Whether the social worker has referred other clients there.</x:v>
      </x:c>
      <x:c r="J108" s="83" t="str">
        <x:v>Whether the program offers the largest number of services.</x:v>
      </x:c>
      <x:c r="K108" s="83" t="str">
        <x:v>A</x:v>
      </x:c>
      <x:c r="L108" s="83" t="str">
        <x:v>Correct. A resource is useful only when it fits need and can realistically be accessed and used.</x:v>
      </x:c>
      <x:c r="M108" s="83" t="str">
        <x:v>Incorrect. Directory placement does not establish quality or fit.</x:v>
      </x:c>
      <x:c r="N108" s="83" t="str">
        <x:v>Incorrect. Prior familiarity may help but does not replace individualized assessment.</x:v>
      </x:c>
      <x:c r="O108" s="83" t="str">
        <x:v>Incorrect. Breadth of services does not guarantee that the client is eligible or that the program is acceptable and accessible.</x:v>
      </x:c>
      <x:c r="P108" s="83" t="str">
        <x:v>A. Correct. A resource is useful only when it fits need and can realistically be accessed and used.
B. Incorrect. Directory placement does not establish quality or fit.
C. Incorrect. Prior familiarity may help but does not replace individualized assessment.
D. Incorrect. Breadth of services does not guarantee that the client is eligible or that the program is acceptable and accessible.</x:v>
      </x:c>
      <x:c r="Q108" s="83" t="str">
        <x:v>A referral is not a plan until eligibility, access, acceptability, timing, and follow-through are addressed.</x:v>
      </x:c>
      <x:c r="R108" s="89" t="str">
        <x:v>CTA LCSW Workbook 7</x:v>
      </x:c>
    </x:row>
    <x:row r="109">
      <x:c r="A109" s="88" t="str">
        <x:v>CTA-LCSW-MQB-0108</x:v>
      </x:c>
      <x:c r="B109" s="83" t="str">
        <x:v>LCSW-WB07-QB-Q006</x:v>
      </x:c>
      <x:c r="C109" s="83" t="str">
        <x:v>Workbook Question Bank</x:v>
      </x:c>
      <x:c r="D109" s="83" t="str">
        <x:v>Workbook 7</x:v>
      </x:c>
      <x:c r="E109" s="83" t="n">
        <x:v>4</x:v>
      </x:c>
      <x:c r="F109" s="83" t="str">
        <x:v>A client agrees to a food-assistance referral but has limited literacy and has previously missed intake calls. What should the social worker do?</x:v>
      </x:c>
      <x:c r="G109" s="83" t="str">
        <x:v>Give the client a phone number and document that a referral was made.</x:v>
      </x:c>
      <x:c r="H109" s="83" t="str">
        <x:v>Complete the application without involving the client.</x:v>
      </x:c>
      <x:c r="I109" s="83" t="str">
        <x:v>Delay the referral until literacy improves.</x:v>
      </x:c>
      <x:c r="J109" s="83" t="str">
        <x:v>With the client’s agreement, help make the connection, clarify the process, address communication barriers, and confirm the next step.</x:v>
      </x:c>
      <x:c r="K109" s="83" t="str">
        <x:v>D</x:v>
      </x:c>
      <x:c r="L109" s="83" t="str">
        <x:v>Incorrect. A passive referral may repeat the barrier that prevented access before.</x:v>
      </x:c>
      <x:c r="M109" s="83" t="str">
        <x:v>Incorrect. The worker should support participation rather than take over unnecessarily.</x:v>
      </x:c>
      <x:c r="N109" s="83" t="str">
        <x:v>Incorrect. Literacy barriers call for accommodation, not delay of a basic-needs service.</x:v>
      </x:c>
      <x:c r="O109" s="83" t="str">
        <x:v>Correct. A warm handoff supports informed participation and increases the likelihood of successful linkage.</x:v>
      </x:c>
      <x:c r="P109" s="83" t="str">
        <x:v>A. Incorrect. A passive referral may repeat the barrier that prevented access before.
B. Incorrect. The worker should support participation rather than take over unnecessarily.
C. Incorrect. Literacy barriers call for accommodation, not delay of a basic-needs service.
D. Correct. A warm handoff supports informed participation and increases the likelihood of successful linkage.</x:v>
      </x:c>
      <x:c r="Q109" s="83" t="str">
        <x:v>When prior referrals failed, strengthen the connection process rather than merely repeating contact information.</x:v>
      </x:c>
      <x:c r="R109" s="89" t="str">
        <x:v>CTA LCSW Workbook 7</x:v>
      </x:c>
    </x:row>
    <x:row r="110">
      <x:c r="A110" s="88" t="str">
        <x:v>CTA-LCSW-MQB-0109</x:v>
      </x:c>
      <x:c r="B110" s="83" t="str">
        <x:v>LCSW-WB07-QB-Q007</x:v>
      </x:c>
      <x:c r="C110" s="83" t="str">
        <x:v>Workbook Question Bank</x:v>
      </x:c>
      <x:c r="D110" s="83" t="str">
        <x:v>Workbook 7</x:v>
      </x:c>
      <x:c r="E110" s="83" t="n">
        <x:v>4</x:v>
      </x:c>
      <x:c r="F110" s="83" t="str">
        <x:v>Which monitoring plan BEST evaluates both clinical and service outcomes?</x:v>
      </x:c>
      <x:c r="G110" s="83" t="str">
        <x:v>Ask only whether the client likes the social worker.</x:v>
      </x:c>
      <x:c r="H110" s="83" t="str">
        <x:v>Review symptoms, functioning, client-defined goals, service linkage, and barriers at scheduled intervals using baseline information.</x:v>
      </x:c>
      <x:c r="I110" s="83" t="str">
        <x:v>Count how many referrals appear in the chart.</x:v>
      </x:c>
      <x:c r="J110" s="83" t="str">
        <x:v>Wait until discharge to ask whether the plan worked.</x:v>
      </x:c>
      <x:c r="K110" s="83" t="str">
        <x:v>B</x:v>
      </x:c>
      <x:c r="L110" s="83" t="str">
        <x:v>Incorrect. Alliance feedback is useful but does not cover the full plan.</x:v>
      </x:c>
      <x:c r="M110" s="83" t="str">
        <x:v>Correct. The plan combines repeated clinical, functional, and service indicators with client feedback.</x:v>
      </x:c>
      <x:c r="N110" s="83" t="str">
        <x:v>Incorrect. Referral count does not establish access or benefit.</x:v>
      </x:c>
      <x:c r="O110" s="83" t="str">
        <x:v>Incorrect. Waiting until discharge prevents timely revision.</x:v>
      </x:c>
      <x:c r="P110" s="83" t="str">
        <x:v>A. Incorrect. Alliance feedback is useful but does not cover the full plan.
B. Correct. The plan combines repeated clinical, functional, and service indicators with client feedback.
C. Incorrect. Referral count does not establish access or benefit.
D. Incorrect. Waiting until discharge prevents timely revision.</x:v>
      </x:c>
      <x:c r="Q110" s="83" t="str">
        <x:v>Monitor what changed, whether the service was reached, what barriers remain, and what the client says matters.</x:v>
      </x:c>
      <x:c r="R110" s="89" t="str">
        <x:v>CTA LCSW Workbook 7</x:v>
      </x:c>
    </x:row>
    <x:row r="111">
      <x:c r="A111" s="88" t="str">
        <x:v>CTA-LCSW-MQB-0110</x:v>
      </x:c>
      <x:c r="B111" s="83" t="str">
        <x:v>LCSW-WB07-QB-Q008</x:v>
      </x:c>
      <x:c r="C111" s="83" t="str">
        <x:v>Workbook Question Bank</x:v>
      </x:c>
      <x:c r="D111" s="83" t="str">
        <x:v>Workbook 7</x:v>
      </x:c>
      <x:c r="E111" s="83" t="n">
        <x:v>4</x:v>
      </x:c>
      <x:c r="F111" s="83" t="str">
        <x:v>A client has attended counseling consistently, but depressive symptoms and employment functioning have not improved. What should the social worker do NEXT?</x:v>
      </x:c>
      <x:c r="G111" s="83" t="str">
        <x:v>Continue the same plan because attendance proves it is effective.</x:v>
      </x:c>
      <x:c r="H111" s="83" t="str">
        <x:v>Conclude that the client lacks motivation.</x:v>
      </x:c>
      <x:c r="I111" s="83" t="str">
        <x:v>Reassess the formulation, intervention fit, medical and environmental factors, barriers, strengths, and client preferences, then revise the plan collaboratively.</x:v>
      </x:c>
      <x:c r="J111" s="83" t="str">
        <x:v>Discharge the client for failure to progress.</x:v>
      </x:c>
      <x:c r="K111" s="83" t="str">
        <x:v>C</x:v>
      </x:c>
      <x:c r="L111" s="83" t="str">
        <x:v>Incorrect. Attendance is not the same as improvement.</x:v>
      </x:c>
      <x:c r="M111" s="83" t="str">
        <x:v>Incorrect. Labeling motivation bypasses assessment of other explanations.</x:v>
      </x:c>
      <x:c r="N111" s="83" t="str">
        <x:v>Correct. No progress is new assessment data requiring collaborative review and possible modification.</x:v>
      </x:c>
      <x:c r="O111" s="83" t="str">
        <x:v>Incorrect. Discharge is premature before reassessment and consideration of alternatives.</x:v>
      </x:c>
      <x:c r="P111" s="83" t="str">
        <x:v>A. Incorrect. Attendance is not the same as improvement.
B. Incorrect. Labeling motivation bypasses assessment of other explanations.
C. Correct. No progress is new assessment data requiring collaborative review and possible modification.
D. Incorrect. Discharge is premature before reassessment and consideration of alternatives.</x:v>
      </x:c>
      <x:c r="Q111" s="83" t="str">
        <x:v>When outcomes are flat, reassess before repeating, blaming, or ending services.</x:v>
      </x:c>
      <x:c r="R111" s="89" t="str">
        <x:v>CTA LCSW Workbook 7</x:v>
      </x:c>
    </x:row>
    <x:row r="112">
      <x:c r="A112" s="88" t="str">
        <x:v>CTA-LCSW-MQB-0111</x:v>
      </x:c>
      <x:c r="B112" s="83" t="str">
        <x:v>LCSW-WB07-QB-Q009</x:v>
      </x:c>
      <x:c r="C112" s="83" t="str">
        <x:v>Workbook Question Bank</x:v>
      </x:c>
      <x:c r="D112" s="83" t="str">
        <x:v>Workbook 7</x:v>
      </x:c>
      <x:c r="E112" s="83" t="n">
        <x:v>4</x:v>
      </x:c>
      <x:c r="F112" s="83" t="str">
        <x:v>A client asks for individual therapy, while the social worker believes a skills group may also help. Which response is BEST?</x:v>
      </x:c>
      <x:c r="G112" s="83" t="str">
        <x:v>Discuss the evidence, goals, risks, preferences, access, and possible combination or sequencing of services before deciding with the client.</x:v>
      </x:c>
      <x:c r="H112" s="83" t="str">
        <x:v>Enroll the client in the group because professional judgment overrides preference.</x:v>
      </x:c>
      <x:c r="I112" s="83" t="str">
        <x:v>Avoid recommending any option so the client remains fully autonomous.</x:v>
      </x:c>
      <x:c r="J112" s="83" t="str">
        <x:v>Use whichever service has an opening first, regardless of fit.</x:v>
      </x:c>
      <x:c r="K112" s="83" t="str">
        <x:v>A</x:v>
      </x:c>
      <x:c r="L112" s="83" t="str">
        <x:v>Correct. Informed choice combines professional recommendation with client participation and practical fit.</x:v>
      </x:c>
      <x:c r="M112" s="83" t="str">
        <x:v>Incorrect. Preference cannot simply be overridden without a specific legal or safety basis.</x:v>
      </x:c>
      <x:c r="N112" s="83" t="str">
        <x:v>Incorrect. Self-determination does not eliminate the worker’s responsibility to provide informed recommendations.</x:v>
      </x:c>
      <x:c r="O112" s="83" t="str">
        <x:v>Incorrect. Availability matters, but it should not be the sole criterion.</x:v>
      </x:c>
      <x:c r="P112" s="83" t="str">
        <x:v>A. Correct. Informed choice combines professional recommendation with client participation and practical fit.
B. Incorrect. Preference cannot simply be overridden without a specific legal or safety basis.
C. Incorrect. Self-determination does not eliminate the worker’s responsibility to provide informed recommendations.
D. Incorrect. Availability matters, but it should not be the sole criterion.</x:v>
      </x:c>
      <x:c r="Q112" s="83" t="str">
        <x:v>Support self-determination by offering a clear recommendation, alternatives, and the information needed for choice.</x:v>
      </x:c>
      <x:c r="R112" s="89" t="str">
        <x:v>CTA LCSW Workbook 7</x:v>
      </x:c>
    </x:row>
    <x:row r="113">
      <x:c r="A113" s="88" t="str">
        <x:v>CTA-LCSW-MQB-0112</x:v>
      </x:c>
      <x:c r="B113" s="83" t="str">
        <x:v>LCSW-WB07-QB-Q010</x:v>
      </x:c>
      <x:c r="C113" s="83" t="str">
        <x:v>Workbook Question Bank</x:v>
      </x:c>
      <x:c r="D113" s="83" t="str">
        <x:v>Workbook 7</x:v>
      </x:c>
      <x:c r="E113" s="83" t="n">
        <x:v>4</x:v>
      </x:c>
      <x:c r="F113" s="83" t="str">
        <x:v>Which action BEST supports coordination when a client receives therapy, primary care, and housing services?</x:v>
      </x:c>
      <x:c r="G113" s="83" t="str">
        <x:v>Assume each provider will independently discover the full plan.</x:v>
      </x:c>
      <x:c r="H113" s="83" t="str">
        <x:v>Send the entire clinical record to every provider.</x:v>
      </x:c>
      <x:c r="I113" s="83" t="str">
        <x:v>With appropriate authorization, clarify roles, exchange only relevant information, identify who will follow each action, and review whether the plan is working.</x:v>
      </x:c>
      <x:c r="J113" s="83" t="str">
        <x:v>Ask the client to coordinate all providers without assistance.</x:v>
      </x:c>
      <x:c r="K113" s="83" t="str">
        <x:v>C</x:v>
      </x:c>
      <x:c r="L113" s="83" t="str">
        <x:v>Incorrect. Unstructured parallel services can create gaps and duplication.</x:v>
      </x:c>
      <x:c r="M113" s="83" t="str">
        <x:v>Incorrect. Coordination should use the minimum relevant information rather than unrestricted records.</x:v>
      </x:c>
      <x:c r="N113" s="83" t="str">
        <x:v>Correct. Effective coordination defines roles, information boundaries, responsibilities, and follow-up.</x:v>
      </x:c>
      <x:c r="O113" s="83" t="str">
        <x:v>Incorrect. Client participation is important, but the worker should not shift all coordination burden to the client.</x:v>
      </x:c>
      <x:c r="P113" s="83" t="str">
        <x:v>A. Incorrect. Unstructured parallel services can create gaps and duplication.
B. Incorrect. Coordination should use the minimum relevant information rather than unrestricted records.
C. Correct. Effective coordination defines roles, information boundaries, responsibilities, and follow-up.
D. Incorrect. Client participation is important, but the worker should not shift all coordination burden to the client.</x:v>
      </x:c>
      <x:c r="Q113" s="83" t="str">
        <x:v>Good coordination answers who is doing what, what information is needed, and how follow-through will be confirmed.</x:v>
      </x:c>
      <x:c r="R113" s="89" t="str">
        <x:v>CTA LCSW Workbook 7</x:v>
      </x:c>
    </x:row>
    <x:row r="114">
      <x:c r="A114" s="88" t="str">
        <x:v>CTA-LCSW-MQB-0113</x:v>
      </x:c>
      <x:c r="B114" s="83" t="str">
        <x:v>LCSW-WB07-QB-Q011</x:v>
      </x:c>
      <x:c r="C114" s="83" t="str">
        <x:v>Workbook Question Bank</x:v>
      </x:c>
      <x:c r="D114" s="83" t="str">
        <x:v>Workbook 7</x:v>
      </x:c>
      <x:c r="E114" s="83" t="n">
        <x:v>4</x:v>
      </x:c>
      <x:c r="F114" s="83" t="str">
        <x:v>A community program will close in six weeks. What should the social worker do with current clients?</x:v>
      </x:c>
      <x:c r="G114" s="83" t="str">
        <x:v>Wait until the final week to avoid unnecessary anxiety.</x:v>
      </x:c>
      <x:c r="H114" s="83" t="str">
        <x:v>Offer private services to every client without reviewing conflicts or capacity.</x:v>
      </x:c>
      <x:c r="I114" s="83" t="str">
        <x:v>Tell clients they must find new services on their own.</x:v>
      </x:c>
      <x:c r="J114" s="83" t="str">
        <x:v>Provide timely notice, review risk and ongoing needs, plan transfers or referrals, support linkage, and document continuity efforts.</x:v>
      </x:c>
      <x:c r="K114" s="83" t="str">
        <x:v>D</x:v>
      </x:c>
      <x:c r="L114" s="83" t="str">
        <x:v>Incorrect. Delayed notice interferes with informed planning and continuity.</x:v>
      </x:c>
      <x:c r="M114" s="83" t="str">
        <x:v>Incorrect. Private continuation may create conflicts and cannot be assumed appropriate.</x:v>
      </x:c>
      <x:c r="N114" s="83" t="str">
        <x:v>Incorrect. Ethical closure includes reasonable transition assistance.</x:v>
      </x:c>
      <x:c r="O114" s="83" t="str">
        <x:v>Correct. Transparent notice and active continuity planning reduce avoidable disruption.</x:v>
      </x:c>
      <x:c r="P114" s="83" t="str">
        <x:v>A. Incorrect. Delayed notice interferes with informed planning and continuity.
B. Incorrect. Private continuation may create conflicts and cannot be assumed appropriate.
C. Incorrect. Ethical closure includes reasonable transition assistance.
D. Correct. Transparent notice and active continuity planning reduce avoidable disruption.</x:v>
      </x:c>
      <x:c r="Q114" s="83" t="str">
        <x:v>When services end for administrative reasons, begin transition planning early and match the effort to client risk and need.</x:v>
      </x:c>
      <x:c r="R114" s="89" t="str">
        <x:v>CTA LCSW Workbook 7</x:v>
      </x:c>
    </x:row>
    <x:row r="115">
      <x:c r="A115" s="88" t="str">
        <x:v>CTA-LCSW-MQB-0114</x:v>
      </x:c>
      <x:c r="B115" s="83" t="str">
        <x:v>LCSW-WB07-QB-Q012</x:v>
      </x:c>
      <x:c r="C115" s="83" t="str">
        <x:v>Workbook Question Bank</x:v>
      </x:c>
      <x:c r="D115" s="83" t="str">
        <x:v>Workbook 7</x:v>
      </x:c>
      <x:c r="E115" s="83" t="n">
        <x:v>4</x:v>
      </x:c>
      <x:c r="F115" s="83" t="str">
        <x:v>Which statement BEST distinguishes planned clinical termination from an administrative service limit?</x:v>
      </x:c>
      <x:c r="G115" s="83" t="str">
        <x:v>They are identical because either one automatically proves that treatment goals were achieved.</x:v>
      </x:c>
      <x:c r="H115" s="83" t="str">
        <x:v>Clinical readiness is based on outcomes, functioning, risk, independent use of supports, and follow-up; an administrative limit may require a separate continuity plan.</x:v>
      </x:c>
      <x:c r="I115" s="83" t="str">
        <x:v>Clinical readiness is established when the client has never disagreed with the social worker.</x:v>
      </x:c>
      <x:c r="J115" s="83" t="str">
        <x:v>An administrative limit eliminates the need for notice, referral, or transition planning.</x:v>
      </x:c>
      <x:c r="K115" s="83" t="str">
        <x:v>B</x:v>
      </x:c>
      <x:c r="L115" s="83" t="str">
        <x:v>Incorrect. An administrative ending does not establish clinical goal attainment or readiness.</x:v>
      </x:c>
      <x:c r="M115" s="83" t="str">
        <x:v>Correct. Clinical readiness and administrative closure are different questions, and both may require continuity planning.</x:v>
      </x:c>
      <x:c r="N115" s="83" t="str">
        <x:v>Incorrect. Agreement with the worker is not a termination criterion.</x:v>
      </x:c>
      <x:c r="O115" s="83" t="str">
        <x:v>Incorrect. Administrative limits do not erase professional responsibilities for reasonable transition efforts.</x:v>
      </x:c>
      <x:c r="P115" s="83" t="str">
        <x:v>A. Incorrect. An administrative ending does not establish clinical goal attainment or readiness.
B. Correct. Clinical readiness and administrative closure are different questions, and both may require continuity planning.
C. Incorrect. Agreement with the worker is not a termination criterion.
D. Incorrect. Administrative limits do not erase professional responsibilities for reasonable transition efforts.</x:v>
      </x:c>
      <x:c r="Q115" s="83" t="str">
        <x:v>Separate the reason services are ending from the client’s clinical readiness and continuity needs.</x:v>
      </x:c>
      <x:c r="R115" s="89" t="str">
        <x:v>CTA LCSW Workbook 7</x:v>
      </x:c>
    </x:row>
    <x:row r="116">
      <x:c r="A116" s="88" t="str">
        <x:v>CTA-LCSW-MQB-0115</x:v>
      </x:c>
      <x:c r="B116" s="83" t="str">
        <x:v>LCSW-WB07-QB-Q013</x:v>
      </x:c>
      <x:c r="C116" s="83" t="str">
        <x:v>Workbook Question Bank</x:v>
      </x:c>
      <x:c r="D116" s="83" t="str">
        <x:v>Workbook 7</x:v>
      </x:c>
      <x:c r="E116" s="83" t="n">
        <x:v>4</x:v>
      </x:c>
      <x:c r="F116" s="83" t="str">
        <x:v>A client with worsening depression has received an eviction notice, has no transportation, and misses appointments because of shift work. The client denies current suicidal intent. Which plan is BEST?</x:v>
      </x:c>
      <x:c r="G116" s="83" t="str">
        <x:v>Collaboratively address the time-sensitive housing threat, reassess depression and safety, identify accessible legal and housing resources, adapt appointment options, and set specific follow-up points.</x:v>
      </x:c>
      <x:c r="H116" s="83" t="str">
        <x:v>Focus only on depressive thoughts because environmental issues are outside clinical social work.</x:v>
      </x:c>
      <x:c r="I116" s="83" t="str">
        <x:v>Require perfect attendance before offering housing assistance.</x:v>
      </x:c>
      <x:c r="J116" s="83" t="str">
        <x:v>Refer to several programs without checking eligibility, hours, transportation, or follow-through.</x:v>
      </x:c>
      <x:c r="K116" s="83" t="str">
        <x:v>A</x:v>
      </x:c>
      <x:c r="L116" s="83" t="str">
        <x:v>Correct. The plan integrates urgent environmental needs, clinical monitoring, access barriers, and measurable follow-up.</x:v>
      </x:c>
      <x:c r="M116" s="83" t="str">
        <x:v>Incorrect. Person-in-environment practice requires attention to social conditions affecting functioning.</x:v>
      </x:c>
      <x:c r="N116" s="83" t="str">
        <x:v>Incorrect. Attendance barriers should be addressed rather than used as a condition for help.</x:v>
      </x:c>
      <x:c r="O116" s="83" t="str">
        <x:v>Incorrect. Multiple passive referrals do not create a feasible service plan.</x:v>
      </x:c>
      <x:c r="P116" s="83" t="str">
        <x:v>A. Correct. The plan integrates urgent environmental needs, clinical monitoring, access barriers, and measurable follow-up.
B. Incorrect. Person-in-environment practice requires attention to social conditions affecting functioning.
C. Incorrect. Attendance barriers should be addressed rather than used as a condition for help.
D. Incorrect. Multiple passive referrals do not create a feasible service plan.</x:v>
      </x:c>
      <x:c r="Q116" s="83" t="str">
        <x:v>Integrated planning combines priority, safety, environmental barriers, client choice, and confirmed linkage.</x:v>
      </x:c>
      <x:c r="R116" s="89" t="str">
        <x:v>CTA LCSW Workbook 7</x:v>
      </x:c>
    </x:row>
    <x:row r="117">
      <x:c r="A117" s="88" t="str">
        <x:v>CTA-LCSW-MQB-0116</x:v>
      </x:c>
      <x:c r="B117" s="83" t="str">
        <x:v>LCSW-WB07-QB-Q014</x:v>
      </x:c>
      <x:c r="C117" s="83" t="str">
        <x:v>Workbook Question Bank</x:v>
      </x:c>
      <x:c r="D117" s="83" t="str">
        <x:v>Workbook 7</x:v>
      </x:c>
      <x:c r="E117" s="83" t="n">
        <x:v>4</x:v>
      </x:c>
      <x:c r="F117" s="83" t="str">
        <x:v>An older adult with mild cognitive impairment wants to remain at home. Family members demand immediate placement, but no imminent danger is identified. What should the social worker do FIRST?</x:v>
      </x:c>
      <x:c r="G117" s="83" t="str">
        <x:v>Arrange placement because the family is concerned.</x:v>
      </x:c>
      <x:c r="H117" s="83" t="str">
        <x:v>Tell the family they have no role in planning.</x:v>
      </x:c>
      <x:c r="I117" s="83" t="str">
        <x:v>Ask the physician to make every service decision.</x:v>
      </x:c>
      <x:c r="J117" s="83" t="str">
        <x:v>Assess decision-specific capacity, current safety, supports, risks, preferences, and feasible home-based options before recommending a level of care.</x:v>
      </x:c>
      <x:c r="K117" s="83" t="str">
        <x:v>D</x:v>
      </x:c>
      <x:c r="L117" s="83" t="str">
        <x:v>Incorrect. Family concern alone does not establish incapacity or the need for placement.</x:v>
      </x:c>
      <x:c r="M117" s="83" t="str">
        <x:v>Incorrect. Family input may be valuable when included appropriately and with attention to the client’s rights.</x:v>
      </x:c>
      <x:c r="N117" s="83" t="str">
        <x:v>Incorrect. Medical input may be important, but service planning remains collaborative and multidisciplinary.</x:v>
      </x:c>
      <x:c r="O117" s="83" t="str">
        <x:v>Correct. Planning should evaluate capacity, risk, preference, and the least restrictive feasible supports.</x:v>
      </x:c>
      <x:c r="P117" s="83" t="str">
        <x:v>A. Incorrect. Family concern alone does not establish incapacity or the need for placement.
B. Incorrect. Family input may be valuable when included appropriately and with attention to the client’s rights.
C. Incorrect. Medical input may be important, but service planning remains collaborative and multidisciplinary.
D. Correct. Planning should evaluate capacity, risk, preference, and the least restrictive feasible supports.</x:v>
      </x:c>
      <x:c r="Q117" s="83" t="str">
        <x:v>Do not confuse diagnosis or family disagreement with incapacity; assess the specific decision and available supports.</x:v>
      </x:c>
      <x:c r="R117" s="89" t="str">
        <x:v>CTA LCSW Workbook 7</x:v>
      </x:c>
    </x:row>
    <x:row r="118">
      <x:c r="A118" s="88" t="str">
        <x:v>CTA-LCSW-MQB-0117</x:v>
      </x:c>
      <x:c r="B118" s="83" t="str">
        <x:v>LCSW-WB07-QB-Q015</x:v>
      </x:c>
      <x:c r="C118" s="83" t="str">
        <x:v>Workbook Question Bank</x:v>
      </x:c>
      <x:c r="D118" s="83" t="str">
        <x:v>Workbook 7</x:v>
      </x:c>
      <x:c r="E118" s="83" t="n">
        <x:v>4</x:v>
      </x:c>
      <x:c r="F118" s="83" t="str">
        <x:v>A client living in a temporary shelter misses two telehealth visits after the shelter changes its internet access. Agency policy allows closure after two missed sessions, but the client leaves a message saying services are still wanted. What is the BEST response?</x:v>
      </x:c>
      <x:c r="G118" s="83" t="str">
        <x:v>Discharge immediately because policy eliminates clinical judgment.</x:v>
      </x:c>
      <x:c r="H118" s="83" t="str">
        <x:v>Respond through approved methods, assess safety and the new access barrier, explain the policy, and collaborate on a feasible continuation, transfer, or closure plan with documentation.</x:v>
      </x:c>
      <x:c r="I118" s="83" t="str">
        <x:v>Report the missed appointments to law enforcement.</x:v>
      </x:c>
      <x:c r="J118" s="83" t="str">
        <x:v>Schedule weekly visits indefinitely without discussing whether telehealth remains accessible.</x:v>
      </x:c>
      <x:c r="K118" s="83" t="str">
        <x:v>B</x:v>
      </x:c>
      <x:c r="L118" s="83" t="str">
        <x:v>Incorrect. Policy matters, but ethical application includes attention to risk, access barriers, and continuity.</x:v>
      </x:c>
      <x:c r="M118" s="83" t="str">
        <x:v>Correct. The response combines timely contact, barrier assessment, transparency, and a documented continuity decision.</x:v>
      </x:c>
      <x:c r="N118" s="83" t="str">
        <x:v>Incorrect. Missed appointments are not ordinarily reportable misconduct.</x:v>
      </x:c>
      <x:c r="O118" s="83" t="str">
        <x:v>Incorrect. Scheduling without discussing access does not resolve the barrier or confirm a workable plan.</x:v>
      </x:c>
      <x:c r="P118" s="83" t="str">
        <x:v>A. Incorrect. Policy matters, but ethical application includes attention to risk, access barriers, and continuity.
B. Correct. The response combines timely contact, barrier assessment, transparency, and a documented continuity decision.
C. Incorrect. Missed appointments are not ordinarily reportable misconduct.
D. Incorrect. Scheduling without discussing access does not resolve the barrier or confirm a workable plan.</x:v>
      </x:c>
      <x:c r="Q118" s="83" t="str">
        <x:v>Apply policy with clinical judgment: assess risk, understand barriers, communicate clearly, and protect continuity.</x:v>
      </x:c>
      <x:c r="R118" s="89" t="str">
        <x:v>CTA LCSW Workbook 7</x:v>
      </x:c>
    </x:row>
    <x:row r="119">
      <x:c r="A119" s="88" t="str">
        <x:v>CTA-LCSW-MQB-0118</x:v>
      </x:c>
      <x:c r="B119" s="83" t="str">
        <x:v>LCSW-WB07-QB-Q016</x:v>
      </x:c>
      <x:c r="C119" s="83" t="str">
        <x:v>Workbook Question Bank</x:v>
      </x:c>
      <x:c r="D119" s="83" t="str">
        <x:v>Workbook 7</x:v>
      </x:c>
      <x:c r="E119" s="83" t="n">
        <x:v>4</x:v>
      </x:c>
      <x:c r="F119" s="83" t="str">
        <x:v>A client’s mood improves after a medication change, but the client develops severe dizziness, misses work, and cannot attend the housing appointment arranged by the social worker. What should the social worker do?</x:v>
      </x:c>
      <x:c r="G119" s="83" t="str">
        <x:v>Advise the client to stop the medication immediately.</x:v>
      </x:c>
      <x:c r="H119" s="83" t="str">
        <x:v>Ignore the symptoms because medication is outside social-work practice.</x:v>
      </x:c>
      <x:c r="I119" s="83" t="str">
        <x:v>Encourage prompt contact with the prescriber, assess immediate safety and functioning, help address the missed housing linkage, and revise the service plan based on the new barrier.</x:v>
      </x:c>
      <x:c r="J119" s="83" t="str">
        <x:v>Close the case because the client missed the appointment.</x:v>
      </x:c>
      <x:c r="K119" s="83" t="str">
        <x:v>C</x:v>
      </x:c>
      <x:c r="L119" s="83" t="str">
        <x:v>Incorrect. The social worker should not independently direct medication discontinuation.</x:v>
      </x:c>
      <x:c r="M119" s="83" t="str">
        <x:v>Incorrect. Side effects can affect safety and functioning and therefore matter to assessment and planning.</x:v>
      </x:c>
      <x:c r="N119" s="83" t="str">
        <x:v>Correct. The response stays within scope while coordinating medical follow-up and repairing the service plan.</x:v>
      </x:c>
      <x:c r="O119" s="83" t="str">
        <x:v>Incorrect. The missed appointment reflects a new barrier requiring reassessment, not automatic closure.</x:v>
      </x:c>
      <x:c r="P119" s="83" t="str">
        <x:v>A. Incorrect. The social worker should not independently direct medication discontinuation.
B. Incorrect. Side effects can affect safety and functioning and therefore matter to assessment and planning.
C. Correct. The response stays within scope while coordinating medical follow-up and repairing the service plan.
D. Incorrect. The missed appointment reflects a new barrier requiring reassessment, not automatic closure.</x:v>
      </x:c>
      <x:c r="Q119" s="83" t="str">
        <x:v>Stay within scope: identify the functional impact, connect the client to the prescriber, and revise the plan.</x:v>
      </x:c>
      <x:c r="R119" s="89" t="str">
        <x:v>CTA LCSW Workbook 7</x:v>
      </x:c>
    </x:row>
    <x:row r="120">
      <x:c r="A120" s="88" t="str">
        <x:v>CTA-LCSW-MQB-0119</x:v>
      </x:c>
      <x:c r="B120" s="83" t="str">
        <x:v>LCSW-WB07-QB-Q017</x:v>
      </x:c>
      <x:c r="C120" s="83" t="str">
        <x:v>Workbook Question Bank</x:v>
      </x:c>
      <x:c r="D120" s="83" t="str">
        <x:v>Workbook 7</x:v>
      </x:c>
      <x:c r="E120" s="83" t="n">
        <x:v>4</x:v>
      </x:c>
      <x:c r="F120" s="83" t="str">
        <x:v>A client completing an intensive outpatient program has improved but still lacks stable housing and has limited family support. Which discharge plan is BEST?</x:v>
      </x:c>
      <x:c r="G120" s="83" t="str">
        <x:v>Coordinate a stepped-down clinical plan, confirm housing and benefit linkages, review relapse and crisis indicators, assign follow-up responsibilities, and schedule early reassessment.</x:v>
      </x:c>
      <x:c r="H120" s="83" t="str">
        <x:v>Discharge without follow-up because the intensive program goals were met.</x:v>
      </x:c>
      <x:c r="I120" s="83" t="str">
        <x:v>Continue the intensive level indefinitely until housing is permanent.</x:v>
      </x:c>
      <x:c r="J120" s="83" t="str">
        <x:v>Give the client a general resource list and close the case.</x:v>
      </x:c>
      <x:c r="K120" s="83" t="str">
        <x:v>A</x:v>
      </x:c>
      <x:c r="L120" s="83" t="str">
        <x:v>Correct. Transition planning integrates clinical step-down, social determinants, crisis planning, role clarity, and early monitoring.</x:v>
      </x:c>
      <x:c r="M120" s="83" t="str">
        <x:v>Incorrect. Clinical improvement does not eliminate continuity needs and environmental risks.</x:v>
      </x:c>
      <x:c r="N120" s="83" t="str">
        <x:v>Incorrect. Indefinite intensive care may be unnecessary; the level should match current need.</x:v>
      </x:c>
      <x:c r="O120" s="83" t="str">
        <x:v>Incorrect. A passive list does not establish successful linkage or follow-up.</x:v>
      </x:c>
      <x:c r="P120" s="83" t="str">
        <x:v>A. Correct. Transition planning integrates clinical step-down, social determinants, crisis planning, role clarity, and early monitoring.
B. Incorrect. Clinical improvement does not eliminate continuity needs and environmental risks.
C. Incorrect. Indefinite intensive care may be unnecessary; the level should match current need.
D. Incorrect. A passive list does not establish successful linkage or follow-up.</x:v>
      </x:c>
      <x:c r="Q120" s="83" t="str">
        <x:v>At discharge, match the next level of care to current risk and confirm the environmental supports needed to sustain gains.</x:v>
      </x:c>
      <x:c r="R120" s="89" t="str">
        <x:v>CTA LCSW Workbook 7</x:v>
      </x:c>
    </x:row>
    <x:row r="121">
      <x:c r="A121" s="88" t="str">
        <x:v>CTA-LCSW-MQB-0120</x:v>
      </x:c>
      <x:c r="B121" s="83" t="str">
        <x:v>LCSW-WB08-QB-Q001</x:v>
      </x:c>
      <x:c r="C121" s="83" t="str">
        <x:v>Workbook Question Bank</x:v>
      </x:c>
      <x:c r="D121" s="83" t="str">
        <x:v>Workbook 8</x:v>
      </x:c>
      <x:c r="E121" s="83" t="n">
        <x:v>4</x:v>
      </x:c>
      <x:c r="F121" s="83" t="str">
        <x:v>In the FITS intervention sequence, what does “Suitability” require the social worker to consider?</x:v>
      </x:c>
      <x:c r="G121" s="83" t="str">
        <x:v>Only whether the intervention is widely known.</x:v>
      </x:c>
      <x:c r="H121" s="83" t="str">
        <x:v>Readiness, development, culture, language, disability, access, preference, health literacy, and practitioner competence.</x:v>
      </x:c>
      <x:c r="I121" s="83" t="str">
        <x:v>Whether the intervention can be completed in one session.</x:v>
      </x:c>
      <x:c r="J121" s="83" t="str">
        <x:v>Whether the agency uses the intervention with most clients.</x:v>
      </x:c>
      <x:c r="K121" s="83" t="str">
        <x:v>B</x:v>
      </x:c>
      <x:c r="L121" s="83" t="str">
        <x:v>Incorrect. Recognition or popularity does not establish fit.</x:v>
      </x:c>
      <x:c r="M121" s="83" t="str">
        <x:v>Correct. Suitability integrates client and system fit, access, preferences, and professional competence.</x:v>
      </x:c>
      <x:c r="N121" s="83" t="str">
        <x:v>Incorrect. Duration alone does not determine suitability.</x:v>
      </x:c>
      <x:c r="O121" s="83" t="str">
        <x:v>Incorrect. Agency routine does not replace individualized assessment.</x:v>
      </x:c>
      <x:c r="P121" s="83" t="str">
        <x:v>A. Incorrect. Recognition or popularity does not establish fit.
B. Correct. Suitability integrates client and system fit, access, preferences, and professional competence.
C. Incorrect. Duration alone does not determine suitability.
D. Incorrect. Agency routine does not replace individualized assessment.</x:v>
      </x:c>
      <x:c r="Q121" s="83" t="str">
        <x:v>A method is suitable only when evidence, client fit, access, readiness, and competence line up.</x:v>
      </x:c>
      <x:c r="R121" s="89" t="str">
        <x:v>CTA LCSW Workbook 8</x:v>
      </x:c>
    </x:row>
    <x:row r="122">
      <x:c r="A122" s="88" t="str">
        <x:v>CTA-LCSW-MQB-0121</x:v>
      </x:c>
      <x:c r="B122" s="83" t="str">
        <x:v>LCSW-WB08-QB-Q002</x:v>
      </x:c>
      <x:c r="C122" s="83" t="str">
        <x:v>Workbook Question Bank</x:v>
      </x:c>
      <x:c r="D122" s="83" t="str">
        <x:v>Workbook 8</x:v>
      </x:c>
      <x:c r="E122" s="83" t="n">
        <x:v>4</x:v>
      </x:c>
      <x:c r="F122" s="83" t="str">
        <x:v>After explaining a relapse-prevention plan, what is the BEST way for a social worker to confirm the client’s understanding?</x:v>
      </x:c>
      <x:c r="G122" s="83" t="str">
        <x:v>Ask the client to describe in their own words what they will do and clarify any gaps without shaming.</x:v>
      </x:c>
      <x:c r="H122" s="83" t="str">
        <x:v>Ask, “Do you understand?” and accept a yes response.</x:v>
      </x:c>
      <x:c r="I122" s="83" t="str">
        <x:v>Provide a longer technical handout instead of reviewing the plan.</x:v>
      </x:c>
      <x:c r="J122" s="83" t="str">
        <x:v>Ask a family member to explain it later without the client’s participation.</x:v>
      </x:c>
      <x:c r="K122" s="83" t="str">
        <x:v>A</x:v>
      </x:c>
      <x:c r="L122" s="83" t="str">
        <x:v>Correct. Teach-back checks practical understanding and allows clarification respectfully.</x:v>
      </x:c>
      <x:c r="M122" s="83" t="str">
        <x:v>Incorrect. A yes-or-no question may not reveal misunderstanding.</x:v>
      </x:c>
      <x:c r="N122" s="83" t="str">
        <x:v>Incorrect. More technical information may increase confusion and does not verify comprehension.</x:v>
      </x:c>
      <x:c r="O122" s="83" t="str">
        <x:v>Incorrect. The client should remain central, and family involvement requires appropriate agreement and fit.</x:v>
      </x:c>
      <x:c r="P122" s="83" t="str">
        <x:v>A. Correct. Teach-back checks practical understanding and allows clarification respectfully.
B. Incorrect. A yes-or-no question may not reveal misunderstanding.
C. Incorrect. More technical information may increase confusion and does not verify comprehension.
D. Incorrect. The client should remain central, and family involvement requires appropriate agreement and fit.</x:v>
      </x:c>
      <x:c r="Q122" s="83" t="str">
        <x:v>Use teach-back: invite the client to explain the plan, then clarify rather than test or shame.</x:v>
      </x:c>
      <x:c r="R122" s="89" t="str">
        <x:v>CTA LCSW Workbook 8</x:v>
      </x:c>
    </x:row>
    <x:row r="123">
      <x:c r="A123" s="88" t="str">
        <x:v>CTA-LCSW-MQB-0122</x:v>
      </x:c>
      <x:c r="B123" s="83" t="str">
        <x:v>LCSW-WB08-QB-Q003</x:v>
      </x:c>
      <x:c r="C123" s="83" t="str">
        <x:v>Workbook Question Bank</x:v>
      </x:c>
      <x:c r="D123" s="83" t="str">
        <x:v>Workbook 8</x:v>
      </x:c>
      <x:c r="E123" s="83" t="n">
        <x:v>4</x:v>
      </x:c>
      <x:c r="F123" s="83" t="str">
        <x:v>Which intervention MOST directly targets a depression pattern maintained by withdrawal from meaningful and reinforcing activities?</x:v>
      </x:c>
      <x:c r="G123" s="83" t="str">
        <x:v>Ask the client to avoid all activity until motivation returns.</x:v>
      </x:c>
      <x:c r="H123" s="83" t="str">
        <x:v>Interpret every missed activity as resistance.</x:v>
      </x:c>
      <x:c r="I123" s="83" t="str">
        <x:v>Collaboratively schedule small, feasible, value-linked activities and review mood and functioning afterward.</x:v>
      </x:c>
      <x:c r="J123" s="83" t="str">
        <x:v>Provide information about depression without creating an action plan.</x:v>
      </x:c>
      <x:c r="K123" s="83" t="str">
        <x:v>C</x:v>
      </x:c>
      <x:c r="L123" s="83" t="str">
        <x:v>Incorrect. Waiting for motivation can reinforce inactivity and isolation.</x:v>
      </x:c>
      <x:c r="M123" s="83" t="str">
        <x:v>Incorrect. Labeling does not identify barriers or build change.</x:v>
      </x:c>
      <x:c r="N123" s="83" t="str">
        <x:v>Correct. Behavioral activation uses graded, meaningful activity to change the withdrawal-reinforcement cycle.</x:v>
      </x:c>
      <x:c r="O123" s="83" t="str">
        <x:v>Incorrect. Psychoeducation may help but does not directly alter the behavioral pattern.</x:v>
      </x:c>
      <x:c r="P123" s="83" t="str">
        <x:v>A. Incorrect. Waiting for motivation can reinforce inactivity and isolation.
B. Incorrect. Labeling does not identify barriers or build change.
C. Correct. Behavioral activation uses graded, meaningful activity to change the withdrawal-reinforcement cycle.
D. Incorrect. Psychoeducation may help but does not directly alter the behavioral pattern.</x:v>
      </x:c>
      <x:c r="Q123" s="83" t="str">
        <x:v>Match behavioral activation to a withdrawal pattern through small, feasible, value-linked actions and response review.</x:v>
      </x:c>
      <x:c r="R123" s="89" t="str">
        <x:v>CTA LCSW Workbook 8</x:v>
      </x:c>
    </x:row>
    <x:row r="124">
      <x:c r="A124" s="88" t="str">
        <x:v>CTA-LCSW-MQB-0123</x:v>
      </x:c>
      <x:c r="B124" s="83" t="str">
        <x:v>LCSW-WB08-QB-Q004</x:v>
      </x:c>
      <x:c r="C124" s="83" t="str">
        <x:v>Workbook Question Bank</x:v>
      </x:c>
      <x:c r="D124" s="83" t="str">
        <x:v>Workbook 8</x:v>
      </x:c>
      <x:c r="E124" s="83" t="n">
        <x:v>4</x:v>
      </x:c>
      <x:c r="F124" s="83" t="str">
        <x:v>A client avoids applying for jobs after thinking, “One rejection proves I will fail everywhere.” What should the social worker do NEXT?</x:v>
      </x:c>
      <x:c r="G124" s="83" t="str">
        <x:v>Assure the client that rejection will never happen again.</x:v>
      </x:c>
      <x:c r="H124" s="83" t="str">
        <x:v>Tell the client to submit many applications immediately without preparation.</x:v>
      </x:c>
      <x:c r="I124" s="83" t="str">
        <x:v>Focus only on childhood experiences and avoid current behavior.</x:v>
      </x:c>
      <x:c r="J124" s="83" t="str">
        <x:v>Examine the thought and evidence, identify the avoidance cycle, and plan a manageable application step.</x:v>
      </x:c>
      <x:c r="K124" s="83" t="str">
        <x:v>D</x:v>
      </x:c>
      <x:c r="L124" s="83" t="str">
        <x:v>Incorrect. The social worker cannot guarantee outcomes and reassurance alone does not build skill.</x:v>
      </x:c>
      <x:c r="M124" s="83" t="str">
        <x:v>Incorrect. An abrupt large task may exceed readiness and ignore the maintaining cognition.</x:v>
      </x:c>
      <x:c r="N124" s="83" t="str">
        <x:v>Incorrect. History may matter, but the vignette identifies a current thought-behavior cycle.</x:v>
      </x:c>
      <x:c r="O124" s="83" t="str">
        <x:v>Correct. The response integrates cognitive examination with a graded behavioral step.</x:v>
      </x:c>
      <x:c r="P124" s="83" t="str">
        <x:v>A. Incorrect. The social worker cannot guarantee outcomes and reassurance alone does not build skill.
B. Incorrect. An abrupt large task may exceed readiness and ignore the maintaining cognition.
C. Incorrect. History may matter, but the vignette identifies a current thought-behavior cycle.
D. Correct. The response integrates cognitive examination with a graded behavioral step.</x:v>
      </x:c>
      <x:c r="Q124" s="83" t="str">
        <x:v>When cognition and avoidance reinforce each other, address both the thought and the next feasible action.</x:v>
      </x:c>
      <x:c r="R124" s="89" t="str">
        <x:v>CTA LCSW Workbook 8</x:v>
      </x:c>
    </x:row>
    <x:row r="125">
      <x:c r="A125" s="88" t="str">
        <x:v>CTA-LCSW-MQB-0124</x:v>
      </x:c>
      <x:c r="B125" s="83" t="str">
        <x:v>LCSW-WB08-QB-Q005</x:v>
      </x:c>
      <x:c r="C125" s="83" t="str">
        <x:v>Workbook Question Bank</x:v>
      </x:c>
      <x:c r="D125" s="83" t="str">
        <x:v>Workbook 8</x:v>
      </x:c>
      <x:c r="E125" s="83" t="n">
        <x:v>4</x:v>
      </x:c>
      <x:c r="F125" s="83" t="str">
        <x:v>A client says, “I know drinking is hurting my health, but it is the only way I can sleep.” Which response is MOST consistent with motivational interviewing?</x:v>
      </x:c>
      <x:c r="G125" s="83" t="str">
        <x:v>Reflect the ambivalence and explore what the client values about sleep, health, and possible change.</x:v>
      </x:c>
      <x:c r="H125" s="83" t="str">
        <x:v>Argue that the client is making excuses.</x:v>
      </x:c>
      <x:c r="I125" s="83" t="str">
        <x:v>Insist on an abstinence commitment before continuing the session.</x:v>
      </x:c>
      <x:c r="J125" s="83" t="str">
        <x:v>Provide a long lecture about alcohol-related consequences.</x:v>
      </x:c>
      <x:c r="K125" s="83" t="str">
        <x:v>A</x:v>
      </x:c>
      <x:c r="L125" s="83" t="str">
        <x:v>Correct. Reflection and exploration of competing values support engagement and change talk.</x:v>
      </x:c>
      <x:c r="M125" s="83" t="str">
        <x:v>Incorrect. Argument increases defensiveness and weakens collaboration.</x:v>
      </x:c>
      <x:c r="N125" s="83" t="str">
        <x:v>Incorrect. A forced commitment may not match readiness and can reduce engagement.</x:v>
      </x:c>
      <x:c r="O125" s="83" t="str">
        <x:v>Incorrect. Information may be useful, but lecturing does not evoke the client’s own reasons for change.</x:v>
      </x:c>
      <x:c r="P125" s="83" t="str">
        <x:v>A. Correct. Reflection and exploration of competing values support engagement and change talk.
B. Incorrect. Argument increases defensiveness and weakens collaboration.
C. Incorrect. A forced commitment may not match readiness and can reduce engagement.
D. Incorrect. Information may be useful, but lecturing does not evoke the client’s own reasons for change.</x:v>
      </x:c>
      <x:c r="Q125" s="83" t="str">
        <x:v>For ambivalence, reflect both sides and evoke the client’s own goals, values, and reasons for change.</x:v>
      </x:c>
      <x:c r="R125" s="89" t="str">
        <x:v>CTA LCSW Workbook 8</x:v>
      </x:c>
    </x:row>
    <x:row r="126">
      <x:c r="A126" s="88" t="str">
        <x:v>CTA-LCSW-MQB-0125</x:v>
      </x:c>
      <x:c r="B126" s="83" t="str">
        <x:v>LCSW-WB08-QB-Q006</x:v>
      </x:c>
      <x:c r="C126" s="83" t="str">
        <x:v>Workbook Question Bank</x:v>
      </x:c>
      <x:c r="D126" s="83" t="str">
        <x:v>Workbook 8</x:v>
      </x:c>
      <x:c r="E126" s="83" t="n">
        <x:v>4</x:v>
      </x:c>
      <x:c r="F126" s="83" t="str">
        <x:v>While discussing a recent assault, a client becomes disoriented, stares into space, and cannot answer simple questions. What should the social worker do FIRST?</x:v>
      </x:c>
      <x:c r="G126" s="83" t="str">
        <x:v>Continue the narrative so the client does not avoid the memory.</x:v>
      </x:c>
      <x:c r="H126" s="83" t="str">
        <x:v>Ask for more detailed sensory information.</x:v>
      </x:c>
      <x:c r="I126" s="83" t="str">
        <x:v>Interpret the reaction as unwillingness to participate.</x:v>
      </x:c>
      <x:c r="J126" s="83" t="str">
        <x:v>Pause processing, orient the client to the present, support grounding and choice, and assess immediate safety and functioning.</x:v>
      </x:c>
      <x:c r="K126" s="83" t="str">
        <x:v>D</x:v>
      </x:c>
      <x:c r="L126" s="83" t="str">
        <x:v>Incorrect. Continuing intensive processing while the client is disoriented may increase distress.</x:v>
      </x:c>
      <x:c r="M126" s="83" t="str">
        <x:v>Incorrect. More sensory detail is poorly timed during acute dysregulation.</x:v>
      </x:c>
      <x:c r="N126" s="83" t="str">
        <x:v>Incorrect. The reaction may reflect dissociation or overwhelm rather than unwillingness.</x:v>
      </x:c>
      <x:c r="O126" s="83" t="str">
        <x:v>Correct. Present-moment orientation, regulation, choice, and safety come before further processing.</x:v>
      </x:c>
      <x:c r="P126" s="83" t="str">
        <x:v>A. Incorrect. Continuing intensive processing while the client is disoriented may increase distress.
B. Incorrect. More sensory detail is poorly timed during acute dysregulation.
C. Incorrect. The reaction may reflect dissociation or overwhelm rather than unwillingness.
D. Correct. Present-moment orientation, regulation, choice, and safety come before further processing.</x:v>
      </x:c>
      <x:c r="Q126" s="83" t="str">
        <x:v>When the client loses present-moment regulation, stabilize and restore choice before returning to trauma content.</x:v>
      </x:c>
      <x:c r="R126" s="89" t="str">
        <x:v>CTA LCSW Workbook 8</x:v>
      </x:c>
    </x:row>
    <x:row r="127">
      <x:c r="A127" s="88" t="str">
        <x:v>CTA-LCSW-MQB-0126</x:v>
      </x:c>
      <x:c r="B127" s="83" t="str">
        <x:v>LCSW-WB08-QB-Q007</x:v>
      </x:c>
      <x:c r="C127" s="83" t="str">
        <x:v>Workbook Question Bank</x:v>
      </x:c>
      <x:c r="D127" s="83" t="str">
        <x:v>Workbook 8</x:v>
      </x:c>
      <x:c r="E127" s="83" t="n">
        <x:v>4</x:v>
      </x:c>
      <x:c r="F127" s="83" t="str">
        <x:v>A client repeatedly sends threatening messages after feeling ignored and later regrets it. Which intervention BEST identifies where change can occur?</x:v>
      </x:c>
      <x:c r="G127" s="83" t="str">
        <x:v>Tell the client to suppress all anger.</x:v>
      </x:c>
      <x:c r="H127" s="83" t="str">
        <x:v>Focus only on the final message and ignore earlier events.</x:v>
      </x:c>
      <x:c r="I127" s="83" t="str">
        <x:v>Map vulnerabilities, prompting events, thoughts, emotions, action urges, behaviors, consequences, and alternative responses.</x:v>
      </x:c>
      <x:c r="J127" s="83" t="str">
        <x:v>Assume the behavior cannot change because it is part of the client’s personality.</x:v>
      </x:c>
      <x:c r="K127" s="83" t="str">
        <x:v>C</x:v>
      </x:c>
      <x:c r="L127" s="83" t="str">
        <x:v>Incorrect. Suppression does not teach cue recognition or safer behavior.</x:v>
      </x:c>
      <x:c r="M127" s="83" t="str">
        <x:v>Incorrect. Earlier links reveal opportunities for intervention before escalation.</x:v>
      </x:c>
      <x:c r="N127" s="83" t="str">
        <x:v>Correct. Chain analysis identifies the sequence and points for regulation and behavior change.</x:v>
      </x:c>
      <x:c r="O127" s="83" t="str">
        <x:v>Incorrect. A fixed-trait conclusion is unsupported and clinically unhelpful.</x:v>
      </x:c>
      <x:c r="P127" s="83" t="str">
        <x:v>A. Incorrect. Suppression does not teach cue recognition or safer behavior.
B. Incorrect. Earlier links reveal opportunities for intervention before escalation.
C. Correct. Chain analysis identifies the sequence and points for regulation and behavior change.
D. Incorrect. A fixed-trait conclusion is unsupported and clinically unhelpful.</x:v>
      </x:c>
      <x:c r="Q127" s="83" t="str">
        <x:v>Use chain analysis when the question asks where an escalating behavior sequence can be interrupted.</x:v>
      </x:c>
      <x:c r="R127" s="89" t="str">
        <x:v>CTA LCSW Workbook 8</x:v>
      </x:c>
    </x:row>
    <x:row r="128">
      <x:c r="A128" s="88" t="str">
        <x:v>CTA-LCSW-MQB-0127</x:v>
      </x:c>
      <x:c r="B128" s="83" t="str">
        <x:v>LCSW-WB08-QB-Q008</x:v>
      </x:c>
      <x:c r="C128" s="83" t="str">
        <x:v>Workbook Question Bank</x:v>
      </x:c>
      <x:c r="D128" s="83" t="str">
        <x:v>Workbook 8</x:v>
      </x:c>
      <x:c r="E128" s="83" t="n">
        <x:v>4</x:v>
      </x:c>
      <x:c r="F128" s="83" t="str">
        <x:v>A client who recently stopped heavy alcohol use reports shaking, confusion, and seeing things that are not present. What should the social worker do FIRST?</x:v>
      </x:c>
      <x:c r="G128" s="83" t="str">
        <x:v>Begin routine relapse-prevention counseling.</x:v>
      </x:c>
      <x:c r="H128" s="83" t="str">
        <x:v>Arrange urgent medical or emergency evaluation rather than relying on outpatient counseling alone.</x:v>
      </x:c>
      <x:c r="I128" s="83" t="str">
        <x:v>Ask the client to return after sleeping.</x:v>
      </x:c>
      <x:c r="J128" s="83" t="str">
        <x:v>Use cognitive restructuring to challenge the visual experiences.</x:v>
      </x:c>
      <x:c r="K128" s="83" t="str">
        <x:v>B</x:v>
      </x:c>
      <x:c r="L128" s="83" t="str">
        <x:v>Incorrect. Routine counseling is not the first response to possible acute medical instability.</x:v>
      </x:c>
      <x:c r="M128" s="83" t="str">
        <x:v>Correct. The presentation requires urgent medical assessment before ordinary outpatient intervention.</x:v>
      </x:c>
      <x:c r="N128" s="83" t="str">
        <x:v>Incorrect. Delay may be unsafe when confusion and perceptual disturbance are present.</x:v>
      </x:c>
      <x:c r="O128" s="83" t="str">
        <x:v>Incorrect. The symptoms should not be treated as ordinary distorted thoughts without medical evaluation.</x:v>
      </x:c>
      <x:c r="P128" s="83" t="str">
        <x:v>A. Incorrect. Routine counseling is not the first response to possible acute medical instability.
B. Correct. The presentation requires urgent medical assessment before ordinary outpatient intervention.
C. Incorrect. Delay may be unsafe when confusion and perceptual disturbance are present.
D. Incorrect. The symptoms should not be treated as ordinary distorted thoughts without medical evaluation.</x:v>
      </x:c>
      <x:c r="Q128" s="83" t="str">
        <x:v>When withdrawal or medical instability is possible, prioritize medical evaluation before routine psychotherapy.</x:v>
      </x:c>
      <x:c r="R128" s="89" t="str">
        <x:v>CTA LCSW Workbook 8</x:v>
      </x:c>
    </x:row>
    <x:row r="129">
      <x:c r="A129" s="88" t="str">
        <x:v>CTA-LCSW-MQB-0128</x:v>
      </x:c>
      <x:c r="B129" s="83" t="str">
        <x:v>LCSW-WB08-QB-Q009</x:v>
      </x:c>
      <x:c r="C129" s="83" t="str">
        <x:v>Workbook Question Bank</x:v>
      </x:c>
      <x:c r="D129" s="83" t="str">
        <x:v>Workbook 8</x:v>
      </x:c>
      <x:c r="E129" s="83" t="n">
        <x:v>4</x:v>
      </x:c>
      <x:c r="F129" s="83" t="str">
        <x:v>A client with limited English proficiency wants to request a workplace accommodation but finds written forms confusing. What should the social worker do?</x:v>
      </x:c>
      <x:c r="G129" s="83" t="str">
        <x:v>Use qualified language support as appropriate, explain the process accessibly, model and role-play the request, and use teach-back to confirm understanding.</x:v>
      </x:c>
      <x:c r="H129" s="83" t="str">
        <x:v>Tell the client to sign the forms without explanation.</x:v>
      </x:c>
      <x:c r="I129" s="83" t="str">
        <x:v>Contact the employer and disclose the diagnosis without authorization.</x:v>
      </x:c>
      <x:c r="J129" s="83" t="str">
        <x:v>Conclude that the client is not ready because the forms are difficult.</x:v>
      </x:c>
      <x:c r="K129" s="83" t="str">
        <x:v>A</x:v>
      </x:c>
      <x:c r="L129" s="83" t="str">
        <x:v>Correct. The response integrates language access, health literacy, modeling, rehearsal, and client participation.</x:v>
      </x:c>
      <x:c r="M129" s="83" t="str">
        <x:v>Incorrect. Signature without understanding does not address the access barrier.</x:v>
      </x:c>
      <x:c r="N129" s="83" t="str">
        <x:v>Incorrect. Unauthorized disclosure is not justified and removes the client from the process.</x:v>
      </x:c>
      <x:c r="O129" s="83" t="str">
        <x:v>Incorrect. A system barrier should be addressed rather than mislabeled as lack of readiness.</x:v>
      </x:c>
      <x:c r="P129" s="83" t="str">
        <x:v>A. Correct. The response integrates language access, health literacy, modeling, rehearsal, and client participation.
B. Incorrect. Signature without understanding does not address the access barrier.
C. Incorrect. Unauthorized disclosure is not justified and removes the client from the process.
D. Incorrect. A system barrier should be addressed rather than mislabeled as lack of readiness.</x:v>
      </x:c>
      <x:c r="Q129" s="83" t="str">
        <x:v>Adapt communication and practice to language and literacy needs while preserving client control and confidentiality.</x:v>
      </x:c>
      <x:c r="R129" s="89" t="str">
        <x:v>CTA LCSW Workbook 8</x:v>
      </x:c>
    </x:row>
    <x:row r="130">
      <x:c r="A130" s="88" t="str">
        <x:v>CTA-LCSW-MQB-0129</x:v>
      </x:c>
      <x:c r="B130" s="83" t="str">
        <x:v>LCSW-WB08-QB-Q010</x:v>
      </x:c>
      <x:c r="C130" s="83" t="str">
        <x:v>Workbook Question Bank</x:v>
      </x:c>
      <x:c r="D130" s="83" t="str">
        <x:v>Workbook 8</x:v>
      </x:c>
      <x:c r="E130" s="83" t="n">
        <x:v>4</x:v>
      </x:c>
      <x:c r="F130" s="83" t="str">
        <x:v>A client’s depressive symptoms worsen after utility shutoff and repeated missed work caused by unreliable transportation. What intervention plan is MOST appropriate?</x:v>
      </x:c>
      <x:c r="G130" s="83" t="str">
        <x:v>Use only cognitive restructuring because environmental problems are not clinical concerns.</x:v>
      </x:c>
      <x:c r="H130" s="83" t="str">
        <x:v>Tell the client to solve the transportation problem before therapy continues.</x:v>
      </x:c>
      <x:c r="I130" s="83" t="str">
        <x:v>Combine depression intervention with assessment of immediate needs, transportation and utility resources, advocacy options, and measurable follow-up.</x:v>
      </x:c>
      <x:c r="J130" s="83" t="str">
        <x:v>Refer the client to several agencies without checking eligibility or access.</x:v>
      </x:c>
      <x:c r="K130" s="83" t="str">
        <x:v>C</x:v>
      </x:c>
      <x:c r="L130" s="83" t="str">
        <x:v>Incorrect. Person-in-environment practice includes conditions affecting mood and functioning.</x:v>
      </x:c>
      <x:c r="M130" s="83" t="str">
        <x:v>Incorrect. Making treatment contingent on resolving barriers may worsen inequity and disengagement.</x:v>
      </x:c>
      <x:c r="N130" s="83" t="str">
        <x:v>Correct. The plan integrates clinical, functional, environmental, and system intervention.</x:v>
      </x:c>
      <x:c r="O130" s="83" t="str">
        <x:v>Incorrect. Passive referrals without fit or follow-through may not create access.</x:v>
      </x:c>
      <x:c r="P130" s="83" t="str">
        <x:v>A. Incorrect. Person-in-environment practice includes conditions affecting mood and functioning.
B. Incorrect. Making treatment contingent on resolving barriers may worsen inequity and disengagement.
C. Correct. The plan integrates clinical, functional, environmental, and system intervention.
D. Incorrect. Passive referrals without fit or follow-through may not create access.</x:v>
      </x:c>
      <x:c r="Q130" s="83" t="str">
        <x:v>When environmental barriers maintain symptoms, combine clinical work with practical resource and advocacy action.</x:v>
      </x:c>
      <x:c r="R130" s="89" t="str">
        <x:v>CTA LCSW Workbook 8</x:v>
      </x:c>
    </x:row>
    <x:row r="131">
      <x:c r="A131" s="88" t="str">
        <x:v>CTA-LCSW-MQB-0130</x:v>
      </x:c>
      <x:c r="B131" s="83" t="str">
        <x:v>LCSW-WB08-QB-Q011</x:v>
      </x:c>
      <x:c r="C131" s="83" t="str">
        <x:v>Workbook Question Bank</x:v>
      </x:c>
      <x:c r="D131" s="83" t="str">
        <x:v>Workbook 8</x:v>
      </x:c>
      <x:c r="E131" s="83" t="n">
        <x:v>4</x:v>
      </x:c>
      <x:c r="F131" s="83" t="str">
        <x:v>A client has practiced a coping skill for three weeks but reports no benefit and increasing frustration. What should the social worker do NEXT?</x:v>
      </x:c>
      <x:c r="G131" s="83" t="str">
        <x:v>Assign the same skill more often without discussion.</x:v>
      </x:c>
      <x:c r="H131" s="83" t="str">
        <x:v>Explain that lack of progress means the client is resistant.</x:v>
      </x:c>
      <x:c r="I131" s="83" t="str">
        <x:v>Add several unrelated techniques at once.</x:v>
      </x:c>
      <x:c r="J131" s="83" t="str">
        <x:v>Reassess the formulation, target, timing, understanding, practice conditions, access, readiness, and intervention fit, then revise collaboratively.</x:v>
      </x:c>
      <x:c r="K131" s="83" t="str">
        <x:v>D</x:v>
      </x:c>
      <x:c r="L131" s="83" t="str">
        <x:v>Incorrect. Repetition without reassessment may intensify a poor fit.</x:v>
      </x:c>
      <x:c r="M131" s="83" t="str">
        <x:v>Incorrect. Lack of response is data, not proof of resistance.</x:v>
      </x:c>
      <x:c r="N131" s="83" t="str">
        <x:v>Incorrect. Multiple simultaneous changes make it difficult to identify what helps.</x:v>
      </x:c>
      <x:c r="O131" s="83" t="str">
        <x:v>Correct. The FITS response check calls for reassessment and collaborative revision.</x:v>
      </x:c>
      <x:c r="P131" s="83" t="str">
        <x:v>A. Incorrect. Repetition without reassessment may intensify a poor fit.
B. Incorrect. Lack of response is data, not proof of resistance.
C. Incorrect. Multiple simultaneous changes make it difficult to identify what helps.
D. Correct. The FITS response check calls for reassessment and collaborative revision.</x:v>
      </x:c>
      <x:c r="Q131" s="83" t="str">
        <x:v>When an intervention is not working, reassess mechanism and fit before blaming or adding more techniques.</x:v>
      </x:c>
      <x:c r="R131" s="89" t="str">
        <x:v>CTA LCSW Workbook 8</x:v>
      </x:c>
    </x:row>
    <x:row r="132">
      <x:c r="A132" s="88" t="str">
        <x:v>CTA-LCSW-MQB-0131</x:v>
      </x:c>
      <x:c r="B132" s="83" t="str">
        <x:v>LCSW-WB08-QB-Q012</x:v>
      </x:c>
      <x:c r="C132" s="83" t="str">
        <x:v>Workbook Question Bank</x:v>
      </x:c>
      <x:c r="D132" s="83" t="str">
        <x:v>Workbook 8</x:v>
      </x:c>
      <x:c r="E132" s="83" t="n">
        <x:v>4</x:v>
      </x:c>
      <x:c r="F132" s="83" t="str">
        <x:v>Which statement BEST reflects a harm-reduction approach within addiction treatment?</x:v>
      </x:c>
      <x:c r="G132" s="83" t="str">
        <x:v>Risk reduction prevents a client from ever choosing abstinence or recovery.</x:v>
      </x:c>
      <x:c r="H132" s="83" t="str">
        <x:v>Immediate risk reduction can preserve life and engagement while motivational, medical, treatment, and recovery options remain available.</x:v>
      </x:c>
      <x:c r="I132" s="83" t="str">
        <x:v>Services should be withheld until the client meets the provider’s preferred goal.</x:v>
      </x:c>
      <x:c r="J132" s="83" t="str">
        <x:v>Discussing overdose prevention means approving substance use.</x:v>
      </x:c>
      <x:c r="K132" s="83" t="str">
        <x:v>B</x:v>
      </x:c>
      <x:c r="L132" s="83" t="str">
        <x:v>Incorrect. Harm reduction and recovery goals can coexist and change over time.</x:v>
      </x:c>
      <x:c r="M132" s="83" t="str">
        <x:v>Correct. Harm reduction addresses current risk while preserving engagement and broader change options.</x:v>
      </x:c>
      <x:c r="N132" s="83" t="str">
        <x:v>Incorrect. Requiring a single goal may exclude clients from beneficial care.</x:v>
      </x:c>
      <x:c r="O132" s="83" t="str">
        <x:v>Incorrect. Risk-reduction education is not endorsement of the behavior.</x:v>
      </x:c>
      <x:c r="P132" s="83" t="str">
        <x:v>A. Incorrect. Harm reduction and recovery goals can coexist and change over time.
B. Correct. Harm reduction addresses current risk while preserving engagement and broader change options.
C. Incorrect. Requiring a single goal may exclude clients from beneficial care.
D. Incorrect. Risk-reduction education is not endorsement of the behavior.</x:v>
      </x:c>
      <x:c r="Q132" s="83" t="str">
        <x:v>Harm reduction lowers current danger and keeps engagement and future treatment choices open.</x:v>
      </x:c>
      <x:c r="R132" s="89" t="str">
        <x:v>CTA LCSW Workbook 8</x:v>
      </x:c>
    </x:row>
    <x:row r="133">
      <x:c r="A133" s="88" t="str">
        <x:v>CTA-LCSW-MQB-0132</x:v>
      </x:c>
      <x:c r="B133" s="83" t="str">
        <x:v>LCSW-WB08-QB-Q013</x:v>
      </x:c>
      <x:c r="C133" s="83" t="str">
        <x:v>Workbook Question Bank</x:v>
      </x:c>
      <x:c r="D133" s="83" t="str">
        <x:v>Workbook 8</x:v>
      </x:c>
      <x:c r="E133" s="83" t="n">
        <x:v>4</x:v>
      </x:c>
      <x:c r="F133" s="83" t="str">
        <x:v>A client with trauma symptoms is sleeping in a car, has panic attacks in crowded shelters, and cannot attend weekly office visits. The client denies current suicidal intent. What is the BEST plan?</x:v>
      </x:c>
      <x:c r="G133" s="83" t="str">
        <x:v>Collaboratively address immediate housing and safety needs, teach feasible stabilization skills, adapt access, and build a stepwise trauma-treatment plan with defined follow-up.</x:v>
      </x:c>
      <x:c r="H133" s="83" t="str">
        <x:v>Begin intensive trauma processing immediately because symptoms are severe.</x:v>
      </x:c>
      <x:c r="I133" s="83" t="str">
        <x:v>Require shelter placement before any clinical support is offered.</x:v>
      </x:c>
      <x:c r="J133" s="83" t="str">
        <x:v>Provide a general resource list and close the case.</x:v>
      </x:c>
      <x:c r="K133" s="83" t="str">
        <x:v>A</x:v>
      </x:c>
      <x:c r="L133" s="83" t="str">
        <x:v>Correct. The plan integrates stabilization, environment, access, choice, and staged treatment.</x:v>
      </x:c>
      <x:c r="M133" s="83" t="str">
        <x:v>Incorrect. Intensive processing may be poorly timed without adequate safety and regulation.</x:v>
      </x:c>
      <x:c r="N133" s="83" t="str">
        <x:v>Incorrect. The client may need help with both symptoms and barriers, and one service should not be an arbitrary prerequisite for all care.</x:v>
      </x:c>
      <x:c r="O133" s="83" t="str">
        <x:v>Incorrect. Passive referral and closure do not establish linkage or continuity.</x:v>
      </x:c>
      <x:c r="P133" s="83" t="str">
        <x:v>A. Correct. The plan integrates stabilization, environment, access, choice, and staged treatment.
B. Incorrect. Intensive processing may be poorly timed without adequate safety and regulation.
C. Incorrect. The client may need help with both symptoms and barriers, and one service should not be an arbitrary prerequisite for all care.
D. Incorrect. Passive referral and closure do not establish linkage or continuity.</x:v>
      </x:c>
      <x:c r="Q133" s="83" t="str">
        <x:v>Integrated trauma items usually require present safety, regulation, environmental support, access, and phased treatment.</x:v>
      </x:c>
      <x:c r="R133" s="89" t="str">
        <x:v>CTA LCSW Workbook 8</x:v>
      </x:c>
    </x:row>
    <x:row r="134">
      <x:c r="A134" s="88" t="str">
        <x:v>CTA-LCSW-MQB-0133</x:v>
      </x:c>
      <x:c r="B134" s="83" t="str">
        <x:v>LCSW-WB08-QB-Q014</x:v>
      </x:c>
      <x:c r="C134" s="83" t="str">
        <x:v>Workbook Question Bank</x:v>
      </x:c>
      <x:c r="D134" s="83" t="str">
        <x:v>Workbook 8</x:v>
      </x:c>
      <x:c r="E134" s="83" t="n">
        <x:v>4</x:v>
      </x:c>
      <x:c r="F134" s="83" t="str">
        <x:v>A probation-referred client says cannabis use is not a problem, but also says losing a job would be devastating. Testing and attendance requirements are clearly explained. What should the social worker do NEXT?</x:v>
      </x:c>
      <x:c r="G134" s="83" t="str">
        <x:v>Argue that the court has already proved the client has a disorder.</x:v>
      </x:c>
      <x:c r="H134" s="83" t="str">
        <x:v>Threaten the maximum possible sanction to force compliance.</x:v>
      </x:c>
      <x:c r="I134" s="83" t="str">
        <x:v>End treatment because motivation is external.</x:v>
      </x:c>
      <x:c r="J134" s="83" t="str">
        <x:v>Acknowledge the mandate, explore the client’s job-related goals and ambivalence, and collaborate on a change step the client is willing to consider.</x:v>
      </x:c>
      <x:c r="K134" s="83" t="str">
        <x:v>D</x:v>
      </x:c>
      <x:c r="L134" s="83" t="str">
        <x:v>Incorrect. Argument is likely to increase defensiveness and does not build motivation.</x:v>
      </x:c>
      <x:c r="M134" s="83" t="str">
        <x:v>Incorrect. The worker should explain real consequences accurately, not use exaggerated threats as the intervention.</x:v>
      </x:c>
      <x:c r="N134" s="83" t="str">
        <x:v>Incorrect. Mandated clients can still identify meaningful personal goals and participate in change.</x:v>
      </x:c>
      <x:c r="O134" s="83" t="str">
        <x:v>Correct. The response combines transparency about the mandate with client-defined motivation and collaborative action.</x:v>
      </x:c>
      <x:c r="P134" s="83" t="str">
        <x:v>A. Incorrect. Argument is likely to increase defensiveness and does not build motivation.
B. Incorrect. The worker should explain real consequences accurately, not use exaggerated threats as the intervention.
C. Incorrect. Mandated clients can still identify meaningful personal goals and participate in change.
D. Correct. The response combines transparency about the mandate with client-defined motivation and collaborative action.</x:v>
      </x:c>
      <x:c r="Q134" s="83" t="str">
        <x:v>With mandated clients, be transparent about requirements while evoking personally meaningful reasons for change.</x:v>
      </x:c>
      <x:c r="R134" s="89" t="str">
        <x:v>CTA LCSW Workbook 8</x:v>
      </x:c>
    </x:row>
    <x:row r="135">
      <x:c r="A135" s="88" t="str">
        <x:v>CTA-LCSW-MQB-0134</x:v>
      </x:c>
      <x:c r="B135" s="83" t="str">
        <x:v>LCSW-WB08-QB-Q015</x:v>
      </x:c>
      <x:c r="C135" s="83" t="str">
        <x:v>Workbook Question Bank</x:v>
      </x:c>
      <x:c r="D135" s="83" t="str">
        <x:v>Workbook 8</x:v>
      </x:c>
      <x:c r="E135" s="83" t="n">
        <x:v>4</x:v>
      </x:c>
      <x:c r="F135" s="83" t="str">
        <x:v>An older adult grieving a spouse reports dizziness after a medication change, missed meals, and several missed medical appointments because transportation stopped. What should the social worker do?</x:v>
      </x:c>
      <x:c r="G135" s="83" t="str">
        <x:v>Advise the client to stop the medication immediately.</x:v>
      </x:c>
      <x:c r="H135" s="83" t="str">
        <x:v>Focus only on grief feelings because medical and practical needs are outside social work.</x:v>
      </x:c>
      <x:c r="I135" s="83" t="str">
        <x:v>Assess immediate safety and functioning, encourage prompt prescriber contact, support nutrition and transportation linkages, and continue grief intervention with follow-up.</x:v>
      </x:c>
      <x:c r="J135" s="83" t="str">
        <x:v>Recommend residential placement without further assessment.</x:v>
      </x:c>
      <x:c r="K135" s="83" t="str">
        <x:v>C</x:v>
      </x:c>
      <x:c r="L135" s="83" t="str">
        <x:v>Incorrect. The social worker should not independently direct medication discontinuation.</x:v>
      </x:c>
      <x:c r="M135" s="83" t="str">
        <x:v>Incorrect. Functional and environmental needs affect safety and are relevant to clinical social work.</x:v>
      </x:c>
      <x:c r="N135" s="83" t="str">
        <x:v>Correct. The response stays within scope while integrating medical coordination, practical supports, grief care, and monitoring.</x:v>
      </x:c>
      <x:c r="O135" s="83" t="str">
        <x:v>Incorrect. Placement is premature without fuller assessment and client participation.</x:v>
      </x:c>
      <x:c r="P135" s="83" t="str">
        <x:v>A. Incorrect. The social worker should not independently direct medication discontinuation.
B. Incorrect. Functional and environmental needs affect safety and are relevant to clinical social work.
C. Correct. The response stays within scope while integrating medical coordination, practical supports, grief care, and monitoring.
D. Incorrect. Placement is premature without fuller assessment and client participation.</x:v>
      </x:c>
      <x:c r="Q135" s="83" t="str">
        <x:v>Integrate grief care with safety, functioning, medication coordination, and environmental supports while staying within scope.</x:v>
      </x:c>
      <x:c r="R135" s="89" t="str">
        <x:v>CTA LCSW Workbook 8</x:v>
      </x:c>
    </x:row>
    <x:row r="136">
      <x:c r="A136" s="88" t="str">
        <x:v>CTA-LCSW-MQB-0135</x:v>
      </x:c>
      <x:c r="B136" s="83" t="str">
        <x:v>LCSW-WB08-QB-Q016</x:v>
      </x:c>
      <x:c r="C136" s="83" t="str">
        <x:v>Workbook Question Bank</x:v>
      </x:c>
      <x:c r="D136" s="83" t="str">
        <x:v>Workbook 8</x:v>
      </x:c>
      <x:c r="E136" s="83" t="n">
        <x:v>4</x:v>
      </x:c>
      <x:c r="F136" s="83" t="str">
        <x:v>A client would benefit from a specialized skills group, but no local group is available and the social worker lacks training to deliver the full model. What is the BEST response?</x:v>
      </x:c>
      <x:c r="G136" s="83" t="str">
        <x:v>Claim competence and reproduce the program from a brief manual.</x:v>
      </x:c>
      <x:c r="H136" s="83" t="str">
        <x:v>Explain the limitation, consult qualified providers, identify accessible referral or telehealth options, and offer other competent skills and continuity supports within scope.</x:v>
      </x:c>
      <x:c r="I136" s="83" t="str">
        <x:v>Provide no intervention until the ideal group becomes available.</x:v>
      </x:c>
      <x:c r="J136" s="83" t="str">
        <x:v>Tell the client that all coping-skills programs are interchangeable.</x:v>
      </x:c>
      <x:c r="K136" s="83" t="str">
        <x:v>B</x:v>
      </x:c>
      <x:c r="L136" s="83" t="str">
        <x:v>Incorrect. A brief manual does not establish competence in a specialized model.</x:v>
      </x:c>
      <x:c r="M136" s="83" t="str">
        <x:v>Correct. The response protects competence while addressing access and continuity with appropriate alternatives.</x:v>
      </x:c>
      <x:c r="N136" s="83" t="str">
        <x:v>Incorrect. The client may benefit from competent interim support and active linkage.</x:v>
      </x:c>
      <x:c r="O136" s="83" t="str">
        <x:v>Incorrect. Specialized models have distinct requirements and should not be treated as interchangeable.</x:v>
      </x:c>
      <x:c r="P136" s="83" t="str">
        <x:v>A. Incorrect. A brief manual does not establish competence in a specialized model.
B. Correct. The response protects competence while addressing access and continuity with appropriate alternatives.
C. Incorrect. The client may benefit from competent interim support and active linkage.
D. Incorrect. Specialized models have distinct requirements and should not be treated as interchangeable.</x:v>
      </x:c>
      <x:c r="Q136" s="83" t="str">
        <x:v>When the ideal service is unavailable, protect competence and build the best accessible continuum rather than improvising beyond scope.</x:v>
      </x:c>
      <x:c r="R136" s="89" t="str">
        <x:v>CTA LCSW Workbook 8</x:v>
      </x:c>
    </x:row>
    <x:row r="137">
      <x:c r="A137" s="88" t="str">
        <x:v>CTA-LCSW-MQB-0136</x:v>
      </x:c>
      <x:c r="B137" s="83" t="str">
        <x:v>LCSW-WB08-QB-Q017</x:v>
      </x:c>
      <x:c r="C137" s="83" t="str">
        <x:v>Workbook Question Bank</x:v>
      </x:c>
      <x:c r="D137" s="83" t="str">
        <x:v>Workbook 8</x:v>
      </x:c>
      <x:c r="E137" s="83" t="n">
        <x:v>4</x:v>
      </x:c>
      <x:c r="F137" s="83" t="str">
        <x:v>A recently immigrated client with limited English reports trauma symptoms, passive thoughts of death, fear of authorities, and no childcare for appointments. What should the social worker do FIRST?</x:v>
      </x:c>
      <x:c r="G137" s="83" t="str">
        <x:v>Use qualified language access, assess current suicide risk and immediate safety, explain roles and confidentiality transparently, and collaborate on feasible supports and care access.</x:v>
      </x:c>
      <x:c r="H137" s="83" t="str">
        <x:v>Require detailed trauma disclosure before assessing other needs.</x:v>
      </x:c>
      <x:c r="I137" s="83" t="str">
        <x:v>Contact immigration authorities to verify the client’s history.</x:v>
      </x:c>
      <x:c r="J137" s="83" t="str">
        <x:v>Delay services until the client arranges childcare independently.</x:v>
      </x:c>
      <x:c r="K137" s="83" t="str">
        <x:v>A</x:v>
      </x:c>
      <x:c r="L137" s="83" t="str">
        <x:v>Correct. The response integrates safety, language access, transparency, cultural context, choice, and practical access barriers.</x:v>
      </x:c>
      <x:c r="M137" s="83" t="str">
        <x:v>Incorrect. Forced trauma detail is poorly timed and may undermine safety and control.</x:v>
      </x:c>
      <x:c r="N137" s="83" t="str">
        <x:v>Incorrect. Such contact is unsupported, potentially harmful, and outside the stated purpose.</x:v>
      </x:c>
      <x:c r="O137" s="83" t="str">
        <x:v>Incorrect. Childcare is an access barrier to address, not a reason to withhold risk assessment and support.</x:v>
      </x:c>
      <x:c r="P137" s="83" t="str">
        <x:v>A. Correct. The response integrates safety, language access, transparency, cultural context, choice, and practical access barriers.
B. Incorrect. Forced trauma detail is poorly timed and may undermine safety and control.
C. Incorrect. Such contact is unsupported, potentially harmful, and outside the stated purpose.
D. Incorrect. Childcare is an access barrier to address, not a reason to withhold risk assessment and support.</x:v>
      </x:c>
      <x:c r="Q137" s="83" t="str">
        <x:v>In complex access cases, begin with understandable communication, immediate safety, transparency, client choice, and feasible linkage.</x:v>
      </x:c>
      <x:c r="R137" s="89" t="str">
        <x:v>CTA LCSW Workbook 8</x:v>
      </x:c>
    </x:row>
    <x:row r="138">
      <x:c r="A138" s="88" t="str">
        <x:v>CTA-LCSW-MQB-0137</x:v>
      </x:c>
      <x:c r="B138" s="83" t="str">
        <x:v>LCSW-WB09-QB-Q001</x:v>
      </x:c>
      <x:c r="C138" s="83" t="str">
        <x:v>Workbook Question Bank</x:v>
      </x:c>
      <x:c r="D138" s="83" t="str">
        <x:v>Workbook 9</x:v>
      </x:c>
      <x:c r="E138" s="83" t="n">
        <x:v>4</x:v>
      </x:c>
      <x:c r="F138" s="83" t="str">
        <x:v>What is the BEST rule for selecting the level of social work intervention?</x:v>
      </x:c>
      <x:c r="G138" s="83" t="str">
        <x:v>Use the smallest sufficient client-system level while adding broader systems when they maintain risk, barriers, or impairment.</x:v>
      </x:c>
      <x:c r="H138" s="83" t="str">
        <x:v>Begin with a community intervention for every client problem.</x:v>
      </x:c>
      <x:c r="I138" s="83" t="str">
        <x:v>Use individual therapy even when the primary barrier is organizational.</x:v>
      </x:c>
      <x:c r="J138" s="83" t="str">
        <x:v>Select the level preferred by the referral source without client input.</x:v>
      </x:c>
      <x:c r="K138" s="83" t="str">
        <x:v>A</x:v>
      </x:c>
      <x:c r="L138" s="83" t="str">
        <x:v>Correct. The intervention level should fit the actual target and expand only when broader systems are clinically relevant.</x:v>
      </x:c>
      <x:c r="M138" s="83" t="str">
        <x:v>Incorrect. Community intervention may be appropriate, but it is not automatically the least intrusive or most direct level.</x:v>
      </x:c>
      <x:c r="N138" s="83" t="str">
        <x:v>Incorrect. Individual work alone may not change an organizational or environmental barrier.</x:v>
      </x:c>
      <x:c r="O138" s="83" t="str">
        <x:v>Incorrect. Referral-source preference does not replace assessment and client participation.</x:v>
      </x:c>
      <x:c r="P138" s="83" t="str">
        <x:v>A. Correct. The intervention level should fit the actual target and expand only when broader systems are clinically relevant.
B. Incorrect. Community intervention may be appropriate, but it is not automatically the least intrusive or most direct level.
C. Incorrect. Individual work alone may not change an organizational or environmental barrier.
D. Incorrect. Referral-source preference does not replace assessment and client participation.</x:v>
      </x:c>
      <x:c r="Q138" s="83" t="str">
        <x:v>Identify the actual level maintaining the problem, then choose the smallest sufficient intervention system.</x:v>
      </x:c>
      <x:c r="R138" s="89" t="str">
        <x:v>CTA LCSW Workbook 9</x:v>
      </x:c>
    </x:row>
    <x:row r="139">
      <x:c r="A139" s="88" t="str">
        <x:v>CTA-LCSW-MQB-0138</x:v>
      </x:c>
      <x:c r="B139" s="83" t="str">
        <x:v>LCSW-WB09-QB-Q002</x:v>
      </x:c>
      <x:c r="C139" s="83" t="str">
        <x:v>Workbook Question Bank</x:v>
      </x:c>
      <x:c r="D139" s="83" t="str">
        <x:v>Workbook 9</x:v>
      </x:c>
      <x:c r="E139" s="83" t="n">
        <x:v>4</x:v>
      </x:c>
      <x:c r="F139" s="83" t="str">
        <x:v>A family seeks help for frequent arguments, but the intake reveals that the electricity will be disconnected tomorrow. What should the social worker do FIRST?</x:v>
      </x:c>
      <x:c r="G139" s="83" t="str">
        <x:v>Begin communication-skills homework before discussing resources.</x:v>
      </x:c>
      <x:c r="H139" s="83" t="str">
        <x:v>Assess immediate safety and utility needs, mobilize accessible assistance, and include family coping and roles in the plan.</x:v>
      </x:c>
      <x:c r="I139" s="83" t="str">
        <x:v>Explain that material needs are outside clinical social work.</x:v>
      </x:c>
      <x:c r="J139" s="83" t="str">
        <x:v>Report neglect solely because the account is overdue.</x:v>
      </x:c>
      <x:c r="K139" s="83" t="str">
        <x:v>B</x:v>
      </x:c>
      <x:c r="L139" s="83" t="str">
        <x:v>Incorrect. Communication work alone misses an urgent environmental stressor.</x:v>
      </x:c>
      <x:c r="M139" s="83" t="str">
        <x:v>Correct. The response integrates immediate person-in-environment needs with family assessment and coordinated planning.</x:v>
      </x:c>
      <x:c r="N139" s="83" t="str">
        <x:v>Incorrect. Resource and environmental barriers are central social work concerns.</x:v>
      </x:c>
      <x:c r="O139" s="83" t="str">
        <x:v>Incorrect. An overdue utility account alone does not establish neglect.</x:v>
      </x:c>
      <x:c r="P139" s="83" t="str">
        <x:v>A. Incorrect. Communication work alone misses an urgent environmental stressor.
B. Correct. The response integrates immediate person-in-environment needs with family assessment and coordinated planning.
C. Incorrect. Resource and environmental barriers are central social work concerns.
D. Incorrect. An overdue utility account alone does not establish neglect.</x:v>
      </x:c>
      <x:c r="Q139" s="83" t="str">
        <x:v>When conflict coexists with an urgent basic need, address the immediate environmental threat and the family system together.</x:v>
      </x:c>
      <x:c r="R139" s="89" t="str">
        <x:v>CTA LCSW Workbook 9</x:v>
      </x:c>
    </x:row>
    <x:row r="140">
      <x:c r="A140" s="88" t="str">
        <x:v>CTA-LCSW-MQB-0139</x:v>
      </x:c>
      <x:c r="B140" s="83" t="str">
        <x:v>LCSW-WB09-QB-Q003</x:v>
      </x:c>
      <x:c r="C140" s="83" t="str">
        <x:v>Workbook Question Bank</x:v>
      </x:c>
      <x:c r="D140" s="83" t="str">
        <x:v>Workbook 9</x:v>
      </x:c>
      <x:c r="E140" s="83" t="n">
        <x:v>4</x:v>
      </x:c>
      <x:c r="F140" s="83" t="str">
        <x:v>Which action BEST supports a capable adult client’s self-determination when relatives request involvement in treatment?</x:v>
      </x:c>
      <x:c r="G140" s="83" t="str">
        <x:v>Invite the relatives because family participation is always beneficial.</x:v>
      </x:c>
      <x:c r="H140" s="83" t="str">
        <x:v>Refuse all family involvement to protect privacy.</x:v>
      </x:c>
      <x:c r="I140" s="83" t="str">
        <x:v>Ask the client whom they consider family, what involvement would help, what may be shared, and what boundaries or risks exist.</x:v>
      </x:c>
      <x:c r="J140" s="83" t="str">
        <x:v>Let the relatives decide because they provide practical support.</x:v>
      </x:c>
      <x:c r="K140" s="83" t="str">
        <x:v>C</x:v>
      </x:c>
      <x:c r="L140" s="83" t="str">
        <x:v>Incorrect. Family involvement should not be assumed without client choice and purpose.</x:v>
      </x:c>
      <x:c r="M140" s="83" t="str">
        <x:v>Incorrect. Automatic exclusion may disregard support the client actually wants.</x:v>
      </x:c>
      <x:c r="N140" s="83" t="str">
        <x:v>Correct. The response clarifies client-defined family, purpose, consent, information limits, and safety.</x:v>
      </x:c>
      <x:c r="O140" s="83" t="str">
        <x:v>Incorrect. Practical support does not transfer decision-making authority from a capable adult.</x:v>
      </x:c>
      <x:c r="P140" s="83" t="str">
        <x:v>A. Incorrect. Family involvement should not be assumed without client choice and purpose.
B. Incorrect. Automatic exclusion may disregard support the client actually wants.
C. Correct. The response clarifies client-defined family, purpose, consent, information limits, and safety.
D. Incorrect. Practical support does not transfer decision-making authority from a capable adult.</x:v>
      </x:c>
      <x:c r="Q140" s="83" t="str">
        <x:v>For family-involvement questions, look for client choice, purpose, safety, role clarity, and limited information sharing.</x:v>
      </x:c>
      <x:c r="R140" s="89" t="str">
        <x:v>CTA LCSW Workbook 9</x:v>
      </x:c>
    </x:row>
    <x:row r="141">
      <x:c r="A141" s="88" t="str">
        <x:v>CTA-LCSW-MQB-0140</x:v>
      </x:c>
      <x:c r="B141" s="83" t="str">
        <x:v>LCSW-WB09-QB-Q004</x:v>
      </x:c>
      <x:c r="C141" s="83" t="str">
        <x:v>Workbook Question Bank</x:v>
      </x:c>
      <x:c r="D141" s="83" t="str">
        <x:v>Workbook 9</x:v>
      </x:c>
      <x:c r="E141" s="83" t="n">
        <x:v>4</x:v>
      </x:c>
      <x:c r="F141" s="83" t="str">
        <x:v>A parent says a child’s behavior plan fails because the written instructions are difficult to understand and the family cannot maintain the proposed schedule. What should the social worker do NEXT?</x:v>
      </x:c>
      <x:c r="G141" s="83" t="str">
        <x:v>Document noncompliance and close the case.</x:v>
      </x:c>
      <x:c r="H141" s="83" t="str">
        <x:v>Repeat the same plan more firmly.</x:v>
      </x:c>
      <x:c r="I141" s="83" t="str">
        <x:v>Tell the parent to find someone else to explain it.</x:v>
      </x:c>
      <x:c r="J141" s="83" t="str">
        <x:v>Reassess language, literacy, routine, disability, culture, resources, and caregiver capacity, then adapt and rehearse a feasible plan.</x:v>
      </x:c>
      <x:c r="K141" s="83" t="str">
        <x:v>D</x:v>
      </x:c>
      <x:c r="L141" s="83" t="str">
        <x:v>Incorrect. The problem appears to involve access and fit, not proven refusal.</x:v>
      </x:c>
      <x:c r="M141" s="83" t="str">
        <x:v>Incorrect. Repetition without adaptation does not address the barriers.</x:v>
      </x:c>
      <x:c r="N141" s="83" t="str">
        <x:v>Incorrect. The social worker remains responsible for understandable, accessible planning.</x:v>
      </x:c>
      <x:c r="O141" s="83" t="str">
        <x:v>Correct. The response assesses feasibility and adapts the intervention collaboratively.</x:v>
      </x:c>
      <x:c r="P141" s="83" t="str">
        <x:v>A. Incorrect. The problem appears to involve access and fit, not proven refusal.
B. Incorrect. Repetition without adaptation does not address the barriers.
C. Incorrect. The social worker remains responsible for understandable, accessible planning.
D. Correct. The response assesses feasibility and adapts the intervention collaboratively.</x:v>
      </x:c>
      <x:c r="Q141" s="83" t="str">
        <x:v>A parenting plan is not effective unless the caregiver can understand, access, and realistically implement it.</x:v>
      </x:c>
      <x:c r="R141" s="89" t="str">
        <x:v>CTA LCSW Workbook 9</x:v>
      </x:c>
    </x:row>
    <x:row r="142">
      <x:c r="A142" s="88" t="str">
        <x:v>CTA-LCSW-MQB-0141</x:v>
      </x:c>
      <x:c r="B142" s="83" t="str">
        <x:v>LCSW-WB09-QB-Q005</x:v>
      </x:c>
      <x:c r="C142" s="83" t="str">
        <x:v>Workbook Question Bank</x:v>
      </x:c>
      <x:c r="D142" s="83" t="str">
        <x:v>Workbook 9</x:v>
      </x:c>
      <x:c r="E142" s="83" t="n">
        <x:v>4</x:v>
      </x:c>
      <x:c r="F142" s="83" t="str">
        <x:v>Before asking partners to disclose sensitive information to one another in conjoint work, what should the social worker assess?</x:v>
      </x:c>
      <x:c r="G142" s="83" t="str">
        <x:v>Safety, coercion, retaliation risk, voluntariness, and whether conjoint work is an appropriate format.</x:v>
      </x:c>
      <x:c r="H142" s="83" t="str">
        <x:v>Whether both partners prefer the same communication style.</x:v>
      </x:c>
      <x:c r="I142" s="83" t="str">
        <x:v>Whether the office has enough time for a long session.</x:v>
      </x:c>
      <x:c r="J142" s="83" t="str">
        <x:v>Whether the partners share a diagnosis.</x:v>
      </x:c>
      <x:c r="K142" s="83" t="str">
        <x:v>A</x:v>
      </x:c>
      <x:c r="L142" s="83" t="str">
        <x:v>Correct. Safety and power must be assessed before confrontation, disclosure, or communication practice.</x:v>
      </x:c>
      <x:c r="M142" s="83" t="str">
        <x:v>Incorrect. Style differences may matter, but they do not replace safety assessment.</x:v>
      </x:c>
      <x:c r="N142" s="83" t="str">
        <x:v>Incorrect. Scheduling is secondary to clinical appropriateness and safety.</x:v>
      </x:c>
      <x:c r="O142" s="83" t="str">
        <x:v>Incorrect. Shared diagnosis does not determine suitability for conjoint work.</x:v>
      </x:c>
      <x:c r="P142" s="83" t="str">
        <x:v>A. Correct. Safety and power must be assessed before confrontation, disclosure, or communication practice.
B. Incorrect. Style differences may matter, but they do not replace safety assessment.
C. Incorrect. Scheduling is secondary to clinical appropriateness and safety.
D. Incorrect. Shared diagnosis does not determine suitability for conjoint work.</x:v>
      </x:c>
      <x:c r="Q142" s="83" t="str">
        <x:v>Conjoint intervention never comes before assessment of danger, coercion, and safe voluntariness.</x:v>
      </x:c>
      <x:c r="R142" s="89" t="str">
        <x:v>CTA LCSW Workbook 9</x:v>
      </x:c>
    </x:row>
    <x:row r="143">
      <x:c r="A143" s="88" t="str">
        <x:v>CTA-LCSW-MQB-0142</x:v>
      </x:c>
      <x:c r="B143" s="83" t="str">
        <x:v>LCSW-WB09-QB-Q006</x:v>
      </x:c>
      <x:c r="C143" s="83" t="str">
        <x:v>Workbook Question Bank</x:v>
      </x:c>
      <x:c r="D143" s="83" t="str">
        <x:v>Workbook 9</x:v>
      </x:c>
      <x:c r="E143" s="83" t="n">
        <x:v>4</x:v>
      </x:c>
      <x:c r="F143" s="83" t="str">
        <x:v>A client wants to join a trauma group, but currently has acute psychosis and cannot follow the group discussion. What should the social worker do NEXT?</x:v>
      </x:c>
      <x:c r="G143" s="83" t="str">
        <x:v>Enroll the client because all trauma survivors benefit from groups.</x:v>
      </x:c>
      <x:c r="H143" s="83" t="str">
        <x:v>Assess current stability and level-of-care needs, explain the mismatch, and identify a safer intervention with possible later group reconsideration.</x:v>
      </x:c>
      <x:c r="I143" s="83" t="str">
        <x:v>Ask current members to decide whether the client can participate.</x:v>
      </x:c>
      <x:c r="J143" s="83" t="str">
        <x:v>Put the client on the group roster without discussing expectations.</x:v>
      </x:c>
      <x:c r="K143" s="83" t="str">
        <x:v>B</x:v>
      </x:c>
      <x:c r="L143" s="83" t="str">
        <x:v>Incorrect. Shared experience does not override current safety, stability, or participation capacity.</x:v>
      </x:c>
      <x:c r="M143" s="83" t="str">
        <x:v>Correct. Screening requires risk, stability, expectations, participation ability, and level-of-care fit.</x:v>
      </x:c>
      <x:c r="N143" s="83" t="str">
        <x:v>Incorrect. The facilitator is responsible for screening and confidentiality should be protected.</x:v>
      </x:c>
      <x:c r="O143" s="83" t="str">
        <x:v>Incorrect. Placement without screening and informed preparation can harm the client and group.</x:v>
      </x:c>
      <x:c r="P143" s="83" t="str">
        <x:v>A. Incorrect. Shared experience does not override current safety, stability, or participation capacity.
B. Correct. Screening requires risk, stability, expectations, participation ability, and level-of-care fit.
C. Incorrect. The facilitator is responsible for screening and confidentiality should be protected.
D. Incorrect. Placement without screening and informed preparation can harm the client and group.</x:v>
      </x:c>
      <x:c r="Q143" s="83" t="str">
        <x:v>Group evidence is not enough; verify current stability, purpose, readiness, access, composition, and participation capacity.</x:v>
      </x:c>
      <x:c r="R143" s="89" t="str">
        <x:v>CTA LCSW Workbook 9</x:v>
      </x:c>
    </x:row>
    <x:row r="144">
      <x:c r="A144" s="88" t="str">
        <x:v>CTA-LCSW-MQB-0143</x:v>
      </x:c>
      <x:c r="B144" s="83" t="str">
        <x:v>LCSW-WB09-QB-Q007</x:v>
      </x:c>
      <x:c r="C144" s="83" t="str">
        <x:v>Workbook Question Bank</x:v>
      </x:c>
      <x:c r="D144" s="83" t="str">
        <x:v>Workbook 9</x:v>
      </x:c>
      <x:c r="E144" s="83" t="n">
        <x:v>4</x:v>
      </x:c>
      <x:c r="F144" s="83" t="str">
        <x:v>Two group members begin exchanging personal attacks while the rest of the group becomes silent. What should the facilitator do?</x:v>
      </x:c>
      <x:c r="G144" s="83" t="str">
        <x:v>Remain silent so the group can resolve the conflict without leadership.</x:v>
      </x:c>
      <x:c r="H144" s="83" t="str">
        <x:v>Remove both members immediately without assessment.</x:v>
      </x:c>
      <x:c r="I144" s="83" t="str">
        <x:v>Interrupt the attacks, restate safety norms, slow the process, and help members identify what is happening in the group.</x:v>
      </x:c>
      <x:c r="J144" s="83" t="str">
        <x:v>Ask silent members to choose which person is right.</x:v>
      </x:c>
      <x:c r="K144" s="83" t="str">
        <x:v>C</x:v>
      </x:c>
      <x:c r="L144" s="83" t="str">
        <x:v>Incorrect. Ignoring unsafe process can damage cohesion and psychological safety.</x:v>
      </x:c>
      <x:c r="M144" s="83" t="str">
        <x:v>Incorrect. Immediate removal may be disproportionate unless risk requires it.</x:v>
      </x:c>
      <x:c r="N144" s="83" t="str">
        <x:v>Correct. The facilitator protects safety while using the here-and-now process for learning.</x:v>
      </x:c>
      <x:c r="O144" s="83" t="str">
        <x:v>Incorrect. Taking sides intensifies polarization and does not restore group norms.</x:v>
      </x:c>
      <x:c r="P144" s="83" t="str">
        <x:v>A. Incorrect. Ignoring unsafe process can damage cohesion and psychological safety.
B. Incorrect. Immediate removal may be disproportionate unless risk requires it.
C. Correct. The facilitator protects safety while using the here-and-now process for learning.
D. Incorrect. Taking sides intensifies polarization and does not restore group norms.</x:v>
      </x:c>
      <x:c r="Q144" s="83" t="str">
        <x:v>Facilitation requires active protection of safety, norms, balanced participation, and useful here-and-now processing.</x:v>
      </x:c>
      <x:c r="R144" s="89" t="str">
        <x:v>CTA LCSW Workbook 9</x:v>
      </x:c>
    </x:row>
    <x:row r="145">
      <x:c r="A145" s="88" t="str">
        <x:v>CTA-LCSW-MQB-0144</x:v>
      </x:c>
      <x:c r="B145" s="83" t="str">
        <x:v>LCSW-WB09-QB-Q008</x:v>
      </x:c>
      <x:c r="C145" s="83" t="str">
        <x:v>Workbook Question Bank</x:v>
      </x:c>
      <x:c r="D145" s="83" t="str">
        <x:v>Workbook 9</x:v>
      </x:c>
      <x:c r="E145" s="83" t="n">
        <x:v>4</x:v>
      </x:c>
      <x:c r="F145" s="83" t="str">
        <x:v>A client agrees to a specialty referral but has no reliable internet, limited transportation, and cannot leave work during the provider’s hours. What should the social worker do NEXT?</x:v>
      </x:c>
      <x:c r="G145" s="83" t="str">
        <x:v>Give the client the provider’s number and document completion.</x:v>
      </x:c>
      <x:c r="H145" s="83" t="str">
        <x:v>Explain that motivation is required to overcome logistical barriers.</x:v>
      </x:c>
      <x:c r="I145" s="83" t="str">
        <x:v>End current services because the referral was accepted.</x:v>
      </x:c>
      <x:c r="J145" s="83" t="str">
        <x:v>Reassess access barriers, identify feasible alternatives, coordinate contact with authorization, and confirm whether entry occurs.</x:v>
      </x:c>
      <x:c r="K145" s="83" t="str">
        <x:v>D</x:v>
      </x:c>
      <x:c r="L145" s="83" t="str">
        <x:v>Incorrect. A phone number alone does not complete an inaccessible referral.</x:v>
      </x:c>
      <x:c r="M145" s="83" t="str">
        <x:v>Incorrect. The barriers are structural and practical, not evidence of low motivation.</x:v>
      </x:c>
      <x:c r="N145" s="83" t="str">
        <x:v>Incorrect. Ending continuity before successful linkage may leave the client without care.</x:v>
      </x:c>
      <x:c r="O145" s="83" t="str">
        <x:v>Correct. A warm handoff addresses fit, access, responsibility, and follow-through.</x:v>
      </x:c>
      <x:c r="P145" s="83" t="str">
        <x:v>A. Incorrect. A phone number alone does not complete an inaccessible referral.
B. Incorrect. The barriers are structural and practical, not evidence of low motivation.
C. Incorrect. Ending continuity before successful linkage may leave the client without care.
D. Correct. A warm handoff addresses fit, access, responsibility, and follow-through.</x:v>
      </x:c>
      <x:c r="Q145" s="83" t="str">
        <x:v>A referral is complete only when access, responsibility, and actual follow-through are clear.</x:v>
      </x:c>
      <x:c r="R145" s="89" t="str">
        <x:v>CTA LCSW Workbook 9</x:v>
      </x:c>
    </x:row>
    <x:row r="146">
      <x:c r="A146" s="88" t="str">
        <x:v>CTA-LCSW-MQB-0145</x:v>
      </x:c>
      <x:c r="B146" s="83" t="str">
        <x:v>LCSW-WB09-QB-Q009</x:v>
      </x:c>
      <x:c r="C146" s="83" t="str">
        <x:v>Workbook Question Bank</x:v>
      </x:c>
      <x:c r="D146" s="83" t="str">
        <x:v>Workbook 9</x:v>
      </x:c>
      <x:c r="E146" s="83" t="n">
        <x:v>4</x:v>
      </x:c>
      <x:c r="F146" s="83" t="str">
        <x:v>Three agencies are helping a client, but each assumes another agency will arrange transportation for medical appointments. What should the social worker do FIRST?</x:v>
      </x:c>
      <x:c r="G146" s="83" t="str">
        <x:v>With appropriate consent, clarify roles, assign responsibility, identify a review date, and include the client in the plan.</x:v>
      </x:c>
      <x:c r="H146" s="83" t="str">
        <x:v>Wait to see whether the client misses an appointment.</x:v>
      </x:c>
      <x:c r="I146" s="83" t="str">
        <x:v>Tell the client to coordinate the agencies alone.</x:v>
      </x:c>
      <x:c r="J146" s="83" t="str">
        <x:v>Send the entire record to all providers.</x:v>
      </x:c>
      <x:c r="K146" s="83" t="str">
        <x:v>A</x:v>
      </x:c>
      <x:c r="L146" s="83" t="str">
        <x:v>Correct. The response addresses the coordination gap, ownership, accountability, consent, and client participation.</x:v>
      </x:c>
      <x:c r="M146" s="83" t="str">
        <x:v>Incorrect. Waiting permits a predictable service failure.</x:v>
      </x:c>
      <x:c r="N146" s="83" t="str">
        <x:v>Incorrect. Client participation is important, but the client should not bear sole responsibility for professional coordination.</x:v>
      </x:c>
      <x:c r="O146" s="83" t="str">
        <x:v>Incorrect. Broad record sharing may exceed what is relevant and authorized.</x:v>
      </x:c>
      <x:c r="P146" s="83" t="str">
        <x:v>A. Correct. The response addresses the coordination gap, ownership, accountability, consent, and client participation.
B. Incorrect. Waiting permits a predictable service failure.
C. Incorrect. Client participation is important, but the client should not bear sole responsibility for professional coordination.
D. Incorrect. Broad record sharing may exceed what is relevant and authorized.</x:v>
      </x:c>
      <x:c r="Q146" s="83" t="str">
        <x:v>When no one owns the next step, clarify roles, responsibility, information limits, and a follow-up point.</x:v>
      </x:c>
      <x:c r="R146" s="89" t="str">
        <x:v>CTA LCSW Workbook 9</x:v>
      </x:c>
    </x:row>
    <x:row r="147">
      <x:c r="A147" s="88" t="str">
        <x:v>CTA-LCSW-MQB-0146</x:v>
      </x:c>
      <x:c r="B147" s="83" t="str">
        <x:v>LCSW-WB09-QB-Q010</x:v>
      </x:c>
      <x:c r="C147" s="83" t="str">
        <x:v>Workbook Question Bank</x:v>
      </x:c>
      <x:c r="D147" s="83" t="str">
        <x:v>Workbook 9</x:v>
      </x:c>
      <x:c r="E147" s="83" t="n">
        <x:v>4</x:v>
      </x:c>
      <x:c r="F147" s="83" t="str">
        <x:v>During a hospital discharge meeting, professionals use technical language and finalize a plan while the client appears confused. What should the social worker do?</x:v>
      </x:c>
      <x:c r="G147" s="83" t="str">
        <x:v>Remain silent because medical staff lead discharge planning.</x:v>
      </x:c>
      <x:c r="H147" s="83" t="str">
        <x:v>Pause the process, use understandable language, invite the client’s goals and questions, and confirm responsibilities and access barriers.</x:v>
      </x:c>
      <x:c r="I147" s="83" t="str">
        <x:v>Ask the family to approve the plan for the capable client.</x:v>
      </x:c>
      <x:c r="J147" s="83" t="str">
        <x:v>Discuss the plan with the client only after discharge.</x:v>
      </x:c>
      <x:c r="K147" s="83" t="str">
        <x:v>B</x:v>
      </x:c>
      <x:c r="L147" s="83" t="str">
        <x:v>Incorrect. Social work includes supporting meaningful participation and continuity.</x:v>
      </x:c>
      <x:c r="M147" s="83" t="str">
        <x:v>Correct. The response centers informed participation, role clarity, understanding, and feasibility.</x:v>
      </x:c>
      <x:c r="N147" s="83" t="str">
        <x:v>Incorrect. A capable client remains the primary decision-maker unless another authority applies.</x:v>
      </x:c>
      <x:c r="O147" s="83" t="str">
        <x:v>Incorrect. Clarification after discharge is too late to shape the plan safely.</x:v>
      </x:c>
      <x:c r="P147" s="83" t="str">
        <x:v>A. Incorrect. Social work includes supporting meaningful participation and continuity.
B. Correct. The response centers informed participation, role clarity, understanding, and feasibility.
C. Incorrect. A capable client remains the primary decision-maker unless another authority applies.
D. Incorrect. Clarification after discharge is too late to shape the plan safely.</x:v>
      </x:c>
      <x:c r="Q147" s="83" t="str">
        <x:v>In team questions, protect understandable client participation before the plan is finalized.</x:v>
      </x:c>
      <x:c r="R147" s="89" t="str">
        <x:v>CTA LCSW Workbook 9</x:v>
      </x:c>
    </x:row>
    <x:row r="148">
      <x:c r="A148" s="88" t="str">
        <x:v>CTA-LCSW-MQB-0147</x:v>
      </x:c>
      <x:c r="B148" s="83" t="str">
        <x:v>LCSW-WB09-QB-Q011</x:v>
      </x:c>
      <x:c r="C148" s="83" t="str">
        <x:v>Workbook Question Bank</x:v>
      </x:c>
      <x:c r="D148" s="83" t="str">
        <x:v>Workbook 9</x:v>
      </x:c>
      <x:c r="E148" s="83" t="n">
        <x:v>4</x:v>
      </x:c>
      <x:c r="F148" s="83" t="str">
        <x:v>A child in long-term foster care is safe in the current placement but fears losing contact with siblings and cultural community if the permanency plan changes. What should the social worker do NEXT?</x:v>
      </x:c>
      <x:c r="G148" s="83" t="str">
        <x:v>Dismiss the concerns because physical safety is the only relevant factor.</x:v>
      </x:c>
      <x:c r="H148" s="83" t="str">
        <x:v>Promise that all relationships will remain unchanged.</x:v>
      </x:c>
      <x:c r="I148" s="83" t="str">
        <x:v>Assess safety, stability, attachment, identity, sibling and cultural connections, the child’s voice, and sustainable supports before recommending a plan.</x:v>
      </x:c>
      <x:c r="J148" s="83" t="str">
        <x:v>Ask the adults to decide without involving the child.</x:v>
      </x:c>
      <x:c r="K148" s="83" t="str">
        <x:v>C</x:v>
      </x:c>
      <x:c r="L148" s="83" t="str">
        <x:v>Incorrect. Permanency reasoning includes attachment, identity, development, and meaningful relationships as well as safety.</x:v>
      </x:c>
      <x:c r="M148" s="83" t="str">
        <x:v>Incorrect. The social worker should not promise an outcome outside the process or authority.</x:v>
      </x:c>
      <x:c r="N148" s="83" t="str">
        <x:v>Correct. The response integrates the full permanency lens and the child’s developmentally appropriate participation.</x:v>
      </x:c>
      <x:c r="O148" s="83" t="str">
        <x:v>Incorrect. Excluding the child removes important information and participation.</x:v>
      </x:c>
      <x:c r="P148" s="83" t="str">
        <x:v>A. Incorrect. Permanency reasoning includes attachment, identity, development, and meaningful relationships as well as safety.
B. Incorrect. The social worker should not promise an outcome outside the process or authority.
C. Correct. The response integrates the full permanency lens and the child’s developmentally appropriate participation.
D. Incorrect. Excluding the child removes important information and participation.</x:v>
      </x:c>
      <x:c r="Q148" s="83" t="str">
        <x:v>Permanency questions integrate safety, stability, attachment, identity, development, voice, and sustainable support.</x:v>
      </x:c>
      <x:c r="R148" s="89" t="str">
        <x:v>CTA LCSW Workbook 9</x:v>
      </x:c>
    </x:row>
    <x:row r="149">
      <x:c r="A149" s="88" t="str">
        <x:v>CTA-LCSW-MQB-0148</x:v>
      </x:c>
      <x:c r="B149" s="83" t="str">
        <x:v>LCSW-WB09-QB-Q012</x:v>
      </x:c>
      <x:c r="C149" s="83" t="str">
        <x:v>Workbook Question Bank</x:v>
      </x:c>
      <x:c r="D149" s="83" t="str">
        <x:v>Workbook 9</x:v>
      </x:c>
      <x:c r="E149" s="83" t="n">
        <x:v>4</x:v>
      </x:c>
      <x:c r="F149" s="83" t="str">
        <x:v>Which approach BEST reflects meaningful community participation?</x:v>
      </x:c>
      <x:c r="G149" s="83" t="str">
        <x:v>Professionals design the program and ask residents to endorse it afterward.</x:v>
      </x:c>
      <x:c r="H149" s="83" t="str">
        <x:v>A single spokesperson is assumed to represent every resident.</x:v>
      </x:c>
      <x:c r="I149" s="83" t="str">
        <x:v>Success is measured only by the number of services delivered.</x:v>
      </x:c>
      <x:c r="J149" s="83" t="str">
        <x:v>Affected residents help define priorities, shape decisions, implement actions, and evaluate access, outcomes, and equity.</x:v>
      </x:c>
      <x:c r="K149" s="83" t="str">
        <x:v>D</x:v>
      </x:c>
      <x:c r="L149" s="83" t="str">
        <x:v>Incorrect. Participation after decisions are made is largely symbolic.</x:v>
      </x:c>
      <x:c r="M149" s="83" t="str">
        <x:v>Incorrect. Communities contain varied perspectives, identities, and power positions.</x:v>
      </x:c>
      <x:c r="N149" s="83" t="str">
        <x:v>Incorrect. Service volume alone does not show participation, equity, effectiveness, or unintended effects.</x:v>
      </x:c>
      <x:c r="O149" s="83" t="str">
        <x:v>Correct. Meaningful participation includes influence throughout assessment, planning, implementation, and evaluation.</x:v>
      </x:c>
      <x:c r="P149" s="83" t="str">
        <x:v>A. Incorrect. Participation after decisions are made is largely symbolic.
B. Incorrect. Communities contain varied perspectives, identities, and power positions.
C. Incorrect. Service volume alone does not show participation, equity, effectiveness, or unintended effects.
D. Correct. Meaningful participation includes influence throughout assessment, planning, implementation, and evaluation.</x:v>
      </x:c>
      <x:c r="Q149" s="83" t="str">
        <x:v>Look for real decision-making influence, not merely attendance or endorsement.</x:v>
      </x:c>
      <x:c r="R149" s="89" t="str">
        <x:v>CTA LCSW Workbook 9</x:v>
      </x:c>
    </x:row>
    <x:row r="150">
      <x:c r="A150" s="88" t="str">
        <x:v>CTA-LCSW-MQB-0149</x:v>
      </x:c>
      <x:c r="B150" s="83" t="str">
        <x:v>LCSW-WB09-QB-Q013</x:v>
      </x:c>
      <x:c r="C150" s="83" t="str">
        <x:v>Workbook Question Bank</x:v>
      </x:c>
      <x:c r="D150" s="83" t="str">
        <x:v>Workbook 9</x:v>
      </x:c>
      <x:c r="E150" s="83" t="n">
        <x:v>4</x:v>
      </x:c>
      <x:c r="F150" s="83" t="str">
        <x:v>An adult client wants a sibling involved in discharge planning but does not want a controlling parent informed. Staff insist that “the whole family” should participate. What should the social worker do FIRST?</x:v>
      </x:c>
      <x:c r="G150" s="83" t="str">
        <x:v>Clarify the client’s preferences, decision-making capacity, safety concerns, authorized information, and the distinct roles of the sibling and parent.</x:v>
      </x:c>
      <x:c r="H150" s="83" t="str">
        <x:v>Invite both relatives because family inclusion is standard practice.</x:v>
      </x:c>
      <x:c r="I150" s="83" t="str">
        <x:v>Exclude all relatives to avoid conflict.</x:v>
      </x:c>
      <x:c r="J150" s="83" t="str">
        <x:v>Ask the parent to decide who should attend.</x:v>
      </x:c>
      <x:c r="K150" s="83" t="str">
        <x:v>A</x:v>
      </x:c>
      <x:c r="L150" s="83" t="str">
        <x:v>Correct. The response centers client-defined family, self-determination, safety, role clarity, and information limits.</x:v>
      </x:c>
      <x:c r="M150" s="83" t="str">
        <x:v>Incorrect. Standard practice does not override a capable client’s choices or safety concerns.</x:v>
      </x:c>
      <x:c r="N150" s="83" t="str">
        <x:v>Incorrect. The client has requested helpful sibling involvement.</x:v>
      </x:c>
      <x:c r="O150" s="83" t="str">
        <x:v>Incorrect. The parent does not acquire authority merely by being a relative.</x:v>
      </x:c>
      <x:c r="P150" s="83" t="str">
        <x:v>A. Correct. The response centers client-defined family, self-determination, safety, role clarity, and information limits.
B. Incorrect. Standard practice does not override a capable client’s choices or safety concerns.
C. Incorrect. The client has requested helpful sibling involvement.
D. Incorrect. The parent does not acquire authority merely by being a relative.</x:v>
      </x:c>
      <x:c r="Q150" s="83" t="str">
        <x:v>Integrated family questions require client choice, safety, purpose, roles, and minimum necessary information.</x:v>
      </x:c>
      <x:c r="R150" s="89" t="str">
        <x:v>CTA LCSW Workbook 9</x:v>
      </x:c>
    </x:row>
    <x:row r="151">
      <x:c r="A151" s="88" t="str">
        <x:v>CTA-LCSW-MQB-0150</x:v>
      </x:c>
      <x:c r="B151" s="83" t="str">
        <x:v>LCSW-WB09-QB-Q014</x:v>
      </x:c>
      <x:c r="C151" s="83" t="str">
        <x:v>Workbook Question Bank</x:v>
      </x:c>
      <x:c r="D151" s="83" t="str">
        <x:v>Workbook 9</x:v>
      </x:c>
      <x:c r="E151" s="83" t="n">
        <x:v>4</x:v>
      </x:c>
      <x:c r="F151" s="83" t="str">
        <x:v>A court-referred client is assigned to a parenting group that meets upstairs in a building without an elevator. The client uses a wheelchair and the deadline is approaching. What should the social worker do NEXT?</x:v>
      </x:c>
      <x:c r="G151" s="83" t="str">
        <x:v>Document refusal because the client did not attend.</x:v>
      </x:c>
      <x:c r="H151" s="83" t="str">
        <x:v>Clarify the mandate and deadline, document the access barrier, coordinate an equivalent accessible option, and communicate appropriately with relevant parties.</x:v>
      </x:c>
      <x:c r="I151" s="83" t="str">
        <x:v>Tell the client to ask friends to carry the wheelchair upstairs.</x:v>
      </x:c>
      <x:c r="J151" s="83" t="str">
        <x:v>Advise the client to ignore the mandate.</x:v>
      </x:c>
      <x:c r="K151" s="83" t="str">
        <x:v>B</x:v>
      </x:c>
      <x:c r="L151" s="83" t="str">
        <x:v>Incorrect. Nonattendance caused by an inaccessible setting is not informed refusal.</x:v>
      </x:c>
      <x:c r="M151" s="83" t="str">
        <x:v>Correct. The response integrates mandate requirements, disability access, equivalent service, documentation, and coordination.</x:v>
      </x:c>
      <x:c r="N151" s="83" t="str">
        <x:v>Incorrect. The suggestion is unsafe and does not provide equitable access.</x:v>
      </x:c>
      <x:c r="O151" s="83" t="str">
        <x:v>Incorrect. The social worker should address the mandate rather than recommend noncompliance.</x:v>
      </x:c>
      <x:c r="P151" s="83" t="str">
        <x:v>A. Incorrect. Nonattendance caused by an inaccessible setting is not informed refusal.
B. Correct. The response integrates mandate requirements, disability access, equivalent service, documentation, and coordination.
C. Incorrect. The suggestion is unsafe and does not provide equitable access.
D. Incorrect. The social worker should address the mandate rather than recommend noncompliance.</x:v>
      </x:c>
      <x:c r="Q151" s="83" t="str">
        <x:v>For mandated services, separate willingness from access and coordinate an equivalent feasible pathway.</x:v>
      </x:c>
      <x:c r="R151" s="89" t="str">
        <x:v>CTA LCSW Workbook 9</x:v>
      </x:c>
    </x:row>
    <x:row r="152">
      <x:c r="A152" s="88" t="str">
        <x:v>CTA-LCSW-MQB-0151</x:v>
      </x:c>
      <x:c r="B152" s="83" t="str">
        <x:v>LCSW-WB09-QB-Q015</x:v>
      </x:c>
      <x:c r="C152" s="83" t="str">
        <x:v>Workbook Question Bank</x:v>
      </x:c>
      <x:c r="D152" s="83" t="str">
        <x:v>Workbook 9</x:v>
      </x:c>
      <x:c r="E152" s="83" t="n">
        <x:v>4</x:v>
      </x:c>
      <x:c r="F152" s="83" t="str">
        <x:v>A client repeatedly misses appointments across several agencies. The team labels the client “noncompliant,” while the client reports changing work shifts, childcare problems, and conflicting instructions. What should the social worker do FIRST?</x:v>
      </x:c>
      <x:c r="G152" s="83" t="str">
        <x:v>Support discharge from all services.</x:v>
      </x:c>
      <x:c r="H152" s="83" t="str">
        <x:v>Ask the client to choose one problem and ignore the rest.</x:v>
      </x:c>
      <x:c r="I152" s="83" t="str">
        <x:v>Reassess barriers with the client, clarify conflicting roles and instructions, modify access arrangements, and establish a shared follow-up plan.</x:v>
      </x:c>
      <x:c r="J152" s="83" t="str">
        <x:v>Increase the number of agencies involved.</x:v>
      </x:c>
      <x:c r="K152" s="83" t="str">
        <x:v>C</x:v>
      </x:c>
      <x:c r="L152" s="83" t="str">
        <x:v>Incorrect. Discharge does not address the identified system and access failures.</x:v>
      </x:c>
      <x:c r="M152" s="83" t="str">
        <x:v>Incorrect. The concerns are interdependent and require coordinated planning.</x:v>
      </x:c>
      <x:c r="N152" s="83" t="str">
        <x:v>Correct. The response replaces labeling with person-in-environment assessment, role clarification, access modification, and accountability.</x:v>
      </x:c>
      <x:c r="O152" s="83" t="str">
        <x:v>Incorrect. Adding providers may increase duplication and confusion.</x:v>
      </x:c>
      <x:c r="P152" s="83" t="str">
        <x:v>A. Incorrect. Discharge does not address the identified system and access failures.
B. Incorrect. The concerns are interdependent and require coordinated planning.
C. Correct. The response replaces labeling with person-in-environment assessment, role clarification, access modification, and accountability.
D. Incorrect. Adding providers may increase duplication and confusion.</x:v>
      </x:c>
      <x:c r="Q152" s="83" t="str">
        <x:v>When collaboration fails, reassess the client experience, access, role clarity, duplication, and ownership of next steps.</x:v>
      </x:c>
      <x:c r="R152" s="89" t="str">
        <x:v>CTA LCSW Workbook 9</x:v>
      </x:c>
    </x:row>
    <x:row r="153">
      <x:c r="A153" s="88" t="str">
        <x:v>CTA-LCSW-MQB-0152</x:v>
      </x:c>
      <x:c r="B153" s="83" t="str">
        <x:v>LCSW-WB09-QB-Q016</x:v>
      </x:c>
      <x:c r="C153" s="83" t="str">
        <x:v>Workbook Question Bank</x:v>
      </x:c>
      <x:c r="D153" s="83" t="str">
        <x:v>Workbook 9</x:v>
      </x:c>
      <x:c r="E153" s="83" t="n">
        <x:v>4</x:v>
      </x:c>
      <x:c r="F153" s="83" t="str">
        <x:v>A student with anxiety has an educational plan, but the family reports that supports are not occurring and they do not understand the school’s documentation. What should the social worker do NEXT?</x:v>
      </x:c>
      <x:c r="G153" s="83" t="str">
        <x:v>Tell the family that educational matters are outside social work.</x:v>
      </x:c>
      <x:c r="H153" s="83" t="str">
        <x:v>Request the entire psychotherapy record be placed in the school file.</x:v>
      </x:c>
      <x:c r="I153" s="83" t="str">
        <x:v>Advise the family to confront the teacher without preparation.</x:v>
      </x:c>
      <x:c r="J153" s="83" t="str">
        <x:v>Clarify the student’s and caregiver’s goals, review the social worker’s role and authorization, help them prepare questions, and coordinate follow-up on agreed responsibilities.</x:v>
      </x:c>
      <x:c r="K153" s="83" t="str">
        <x:v>D</x:v>
      </x:c>
      <x:c r="L153" s="83" t="str">
        <x:v>Incorrect. The social worker may appropriately support participation and psychosocial-educational coordination.</x:v>
      </x:c>
      <x:c r="M153" s="83" t="str">
        <x:v>Incorrect. Broad disclosure is unnecessary and may exceed the authorized purpose.</x:v>
      </x:c>
      <x:c r="N153" s="83" t="str">
        <x:v>Incorrect. Unstructured confrontation may worsen conflict and does not clarify the plan.</x:v>
      </x:c>
      <x:c r="O153" s="83" t="str">
        <x:v>Correct. The response supports informed participation, role clarity, relevant information sharing, advocacy, and follow-through.</x:v>
      </x:c>
      <x:c r="P153" s="83" t="str">
        <x:v>A. Incorrect. The social worker may appropriately support participation and psychosocial-educational coordination.
B. Incorrect. Broad disclosure is unnecessary and may exceed the authorized purpose.
C. Incorrect. Unstructured confrontation may worsen conflict and does not clarify the plan.
D. Correct. The response supports informed participation, role clarity, relevant information sharing, advocacy, and follow-through.</x:v>
      </x:c>
      <x:c r="Q153" s="83" t="str">
        <x:v>In school-team questions, strengthen client and caregiver participation and track who is responsible for implementing the plan.</x:v>
      </x:c>
      <x:c r="R153" s="89" t="str">
        <x:v>CTA LCSW Workbook 9</x:v>
      </x:c>
    </x:row>
    <x:row r="154">
      <x:c r="A154" s="88" t="str">
        <x:v>CTA-LCSW-MQB-0153</x:v>
      </x:c>
      <x:c r="B154" s="83" t="str">
        <x:v>LCSW-WB09-QB-Q017</x:v>
      </x:c>
      <x:c r="C154" s="83" t="str">
        <x:v>Workbook Question Bank</x:v>
      </x:c>
      <x:c r="D154" s="83" t="str">
        <x:v>Workbook 9</x:v>
      </x:c>
      <x:c r="E154" s="83" t="n">
        <x:v>4</x:v>
      </x:c>
      <x:c r="F154" s="83" t="str">
        <x:v>A neighborhood coalition proposes a violence-prevention initiative, but meetings exclude non-English-speaking residents and youth most affected by the problem. What is the BEST social work response?</x:v>
      </x:c>
      <x:c r="G154" s="83" t="str">
        <x:v>Address language and participation barriers, create meaningful roles for affected residents and youth, assess power differences, and build equity and outcome measures into the plan.</x:v>
      </x:c>
      <x:c r="H154" s="83" t="str">
        <x:v>Proceed because coalition leaders already represent the community.</x:v>
      </x:c>
      <x:c r="I154" s="83" t="str">
        <x:v>Translate the final plan after all decisions are made.</x:v>
      </x:c>
      <x:c r="J154" s="83" t="str">
        <x:v>Measure success only by the number of meetings held.</x:v>
      </x:c>
      <x:c r="K154" s="83" t="str">
        <x:v>A</x:v>
      </x:c>
      <x:c r="L154" s="83" t="str">
        <x:v>Correct. The response integrates access, power, representation, meaningful influence, and evaluation.</x:v>
      </x:c>
      <x:c r="M154" s="83" t="str">
        <x:v>Incorrect. Leadership status does not establish inclusive representation.</x:v>
      </x:c>
      <x:c r="N154" s="83" t="str">
        <x:v>Incorrect. Translation after decisions does not create meaningful participation.</x:v>
      </x:c>
      <x:c r="O154" s="83" t="str">
        <x:v>Incorrect. Meeting volume does not demonstrate safety, equity, access, or outcomes.</x:v>
      </x:c>
      <x:c r="P154" s="83" t="str">
        <x:v>A. Correct. The response integrates access, power, representation, meaningful influence, and evaluation.
B. Incorrect. Leadership status does not establish inclusive representation.
C. Incorrect. Translation after decisions does not create meaningful participation.
D. Incorrect. Meeting volume does not demonstrate safety, equity, access, or outcomes.</x:v>
      </x:c>
      <x:c r="Q154" s="83" t="str">
        <x:v>Community intervention is strongest when affected people have understandable access and real influence from planning through evaluation.</x:v>
      </x:c>
      <x:c r="R154" s="89" t="str">
        <x:v>CTA LCSW Workbook 9</x:v>
      </x:c>
    </x:row>
    <x:row r="155">
      <x:c r="A155" s="88" t="str">
        <x:v>CTA-LCSW-MQB-0154</x:v>
      </x:c>
      <x:c r="B155" s="83" t="str">
        <x:v>LCSW-WB10-QB-Q001</x:v>
      </x:c>
      <x:c r="C155" s="83" t="str">
        <x:v>Workbook Question Bank</x:v>
      </x:c>
      <x:c r="D155" s="83" t="str">
        <x:v>Workbook 10</x:v>
      </x:c>
      <x:c r="E155" s="83" t="n">
        <x:v>4</x:v>
      </x:c>
      <x:c r="F155" s="83" t="str">
        <x:v>What is the central purpose of the BRIDGE coordination sequence?</x:v>
      </x:c>
      <x:c r="G155" s="83" t="str">
        <x:v>To turn assessment into a client-centered plan with clear priorities, roles, accessible handoffs, and follow-through.</x:v>
      </x:c>
      <x:c r="H155" s="83" t="str">
        <x:v>To transfer responsibility to the first agency that accepts a referral.</x:v>
      </x:c>
      <x:c r="I155" s="83" t="str">
        <x:v>To rank agencies according to the social worker’s personal preferences.</x:v>
      </x:c>
      <x:c r="J155" s="83" t="str">
        <x:v>To replace direct clinical work with administrative tasks.</x:v>
      </x:c>
      <x:c r="K155" s="83" t="str">
        <x:v>A</x:v>
      </x:c>
      <x:c r="L155" s="83" t="str">
        <x:v>Correct. BRIDGE links priority, participation, systems and barriers, roles and disclosure, accessible handoffs, and evaluation.</x:v>
      </x:c>
      <x:c r="M155" s="83" t="str">
        <x:v>Incorrect. Coordination requires explicit responsibility and continued accountability rather than simple transfer.</x:v>
      </x:c>
      <x:c r="N155" s="83" t="str">
        <x:v>Incorrect. Resource selection is based on fit, eligibility, access, quality, and client choice.</x:v>
      </x:c>
      <x:c r="O155" s="83" t="str">
        <x:v>Incorrect. Case management is integrated clinical practice, not a substitute for clinical reasoning.</x:v>
      </x:c>
      <x:c r="P155" s="83" t="str">
        <x:v>A. Correct. BRIDGE links priority, participation, systems and barriers, roles and disclosure, accessible handoffs, and evaluation.
B. Incorrect. Coordination requires explicit responsibility and continued accountability rather than simple transfer.
C. Incorrect. Resource selection is based on fit, eligibility, access, quality, and client choice.
D. Incorrect. Case management is integrated clinical practice, not a substitute for clinical reasoning.</x:v>
      </x:c>
      <x:c r="Q155" s="83" t="str">
        <x:v>Select the answer that includes priority, client participation, assigned responsibility, access, and follow-up.</x:v>
      </x:c>
      <x:c r="R155" s="89" t="str">
        <x:v>CTA LCSW Workbook 10</x:v>
      </x:c>
    </x:row>
    <x:row r="156">
      <x:c r="A156" s="88" t="str">
        <x:v>CTA-LCSW-MQB-0155</x:v>
      </x:c>
      <x:c r="B156" s="83" t="str">
        <x:v>LCSW-WB10-QB-Q002</x:v>
      </x:c>
      <x:c r="C156" s="83" t="str">
        <x:v>Workbook Question Bank</x:v>
      </x:c>
      <x:c r="D156" s="83" t="str">
        <x:v>Workbook 10</x:v>
      </x:c>
      <x:c r="E156" s="83" t="n">
        <x:v>4</x:v>
      </x:c>
      <x:c r="F156" s="83" t="str">
        <x:v>Which activity BEST reflects clinical case management rather than simple referral?</x:v>
      </x:c>
      <x:c r="G156" s="83" t="str">
        <x:v>Giving a client a directory of local programs.</x:v>
      </x:c>
      <x:c r="H156" s="83" t="str">
        <x:v>Assessing needs and barriers, planning with the client, coordinating services, monitoring access, and revising the plan.</x:v>
      </x:c>
      <x:c r="I156" s="83" t="str">
        <x:v>Closing the case after another agency is contacted.</x:v>
      </x:c>
      <x:c r="J156" s="83" t="str">
        <x:v>Limiting services to resources within the social worker’s organization.</x:v>
      </x:c>
      <x:c r="K156" s="83" t="str">
        <x:v>B</x:v>
      </x:c>
      <x:c r="L156" s="83" t="str">
        <x:v>Incorrect. A directory alone does not establish fit, access, or continuity.</x:v>
      </x:c>
      <x:c r="M156" s="83" t="str">
        <x:v>Correct. Clinical case management integrates assessment, planning, linkage, coordination, advocacy, monitoring, and evaluation.</x:v>
      </x:c>
      <x:c r="N156" s="83" t="str">
        <x:v>Incorrect. Contact does not show that the client entered or benefited from the service.</x:v>
      </x:c>
      <x:c r="O156" s="83" t="str">
        <x:v>Incorrect. The plan should follow client needs and available systems, not organizational boundaries alone.</x:v>
      </x:c>
      <x:c r="P156" s="83" t="str">
        <x:v>A. Incorrect. A directory alone does not establish fit, access, or continuity.
B. Correct. Clinical case management integrates assessment, planning, linkage, coordination, advocacy, monitoring, and evaluation.
C. Incorrect. Contact does not show that the client entered or benefited from the service.
D. Incorrect. The plan should follow client needs and available systems, not organizational boundaries alone.</x:v>
      </x:c>
      <x:c r="Q156" s="83" t="str">
        <x:v>Look for the full cycle from assessment through outcome review, not a one-time referral action.</x:v>
      </x:c>
      <x:c r="R156" s="89" t="str">
        <x:v>CTA LCSW Workbook 10</x:v>
      </x:c>
    </x:row>
    <x:row r="157">
      <x:c r="A157" s="88" t="str">
        <x:v>CTA-LCSW-MQB-0156</x:v>
      </x:c>
      <x:c r="B157" s="83" t="str">
        <x:v>LCSW-WB10-QB-Q003</x:v>
      </x:c>
      <x:c r="C157" s="83" t="str">
        <x:v>Workbook Question Bank</x:v>
      </x:c>
      <x:c r="D157" s="83" t="str">
        <x:v>Workbook 10</x:v>
      </x:c>
      <x:c r="E157" s="83" t="n">
        <x:v>4</x:v>
      </x:c>
      <x:c r="F157" s="83" t="str">
        <x:v>Before recommending a community resource, what should the social worker verify?</x:v>
      </x:c>
      <x:c r="G157" s="83" t="str">
        <x:v>Only whether the agency has a familiar name.</x:v>
      </x:c>
      <x:c r="H157" s="83" t="str">
        <x:v>Only whether the referral source prefers it.</x:v>
      </x:c>
      <x:c r="I157" s="83" t="str">
        <x:v>Whether the service matches the need, the client can qualify and use it, and the client understands and chooses it.</x:v>
      </x:c>
      <x:c r="J157" s="83" t="str">
        <x:v>Whether the social worker has referred other clients there recently.</x:v>
      </x:c>
      <x:c r="K157" s="83" t="str">
        <x:v>C</x:v>
      </x:c>
      <x:c r="L157" s="83" t="str">
        <x:v>Incorrect. Familiarity does not establish appropriateness or quality.</x:v>
      </x:c>
      <x:c r="M157" s="83" t="str">
        <x:v>Incorrect. Referral-source preference does not replace assessment and self-determination.</x:v>
      </x:c>
      <x:c r="N157" s="83" t="str">
        <x:v>Correct. Effective resource matching includes fit, eligibility, accessibility, informed preference, and practical usability.</x:v>
      </x:c>
      <x:c r="O157" s="83" t="str">
        <x:v>Incorrect. Prior referral volume does not prove current fit for this client.</x:v>
      </x:c>
      <x:c r="P157" s="83" t="str">
        <x:v>A. Incorrect. Familiarity does not establish appropriateness or quality.
B. Incorrect. Referral-source preference does not replace assessment and self-determination.
C. Correct. Effective resource matching includes fit, eligibility, accessibility, informed preference, and practical usability.
D. Incorrect. Prior referral volume does not prove current fit for this client.</x:v>
      </x:c>
      <x:c r="Q157" s="83" t="str">
        <x:v>A strong resource answer tests four things: match, qualification, usability, and client choice.</x:v>
      </x:c>
      <x:c r="R157" s="89" t="str">
        <x:v>CTA LCSW Workbook 10</x:v>
      </x:c>
    </x:row>
    <x:row r="158">
      <x:c r="A158" s="88" t="str">
        <x:v>CTA-LCSW-MQB-0157</x:v>
      </x:c>
      <x:c r="B158" s="83" t="str">
        <x:v>LCSW-WB10-QB-Q004</x:v>
      </x:c>
      <x:c r="C158" s="83" t="str">
        <x:v>Workbook Question Bank</x:v>
      </x:c>
      <x:c r="D158" s="83" t="str">
        <x:v>Workbook 10</x:v>
      </x:c>
      <x:c r="E158" s="83" t="n">
        <x:v>4</x:v>
      </x:c>
      <x:c r="F158" s="83" t="str">
        <x:v>Which event BEST shows that a warm handoff has been completed?</x:v>
      </x:c>
      <x:c r="G158" s="83" t="str">
        <x:v>The social worker gives the client a telephone number.</x:v>
      </x:c>
      <x:c r="H158" s="83" t="str">
        <x:v>The referral form is placed in the record.</x:v>
      </x:c>
      <x:c r="I158" s="83" t="str">
        <x:v>The receiving agency is sent the entire case file.</x:v>
      </x:c>
      <x:c r="J158" s="83" t="str">
        <x:v>The receiving service accepts the connection, barriers are addressed, and follow-up confirms whether the client gained entry.</x:v>
      </x:c>
      <x:c r="K158" s="83" t="str">
        <x:v>D</x:v>
      </x:c>
      <x:c r="L158" s="83" t="str">
        <x:v>Incorrect. Information alone does not create connection or continuity.</x:v>
      </x:c>
      <x:c r="M158" s="83" t="str">
        <x:v>Incorrect. Documentation of a referral does not show access.</x:v>
      </x:c>
      <x:c r="N158" s="83" t="str">
        <x:v>Incorrect. Broad disclosure may be unnecessary and does not guarantee service entry.</x:v>
      </x:c>
      <x:c r="O158" s="83" t="str">
        <x:v>Correct. A warm handoff includes fit, authorization, active connection, barrier reduction, and confirmation of access.</x:v>
      </x:c>
      <x:c r="P158" s="83" t="str">
        <x:v>A. Incorrect. Information alone does not create connection or continuity.
B. Incorrect. Documentation of a referral does not show access.
C. Incorrect. Broad disclosure may be unnecessary and does not guarantee service entry.
D. Correct. A warm handoff includes fit, authorization, active connection, barrier reduction, and confirmation of access.</x:v>
      </x:c>
      <x:c r="Q158" s="83" t="str">
        <x:v>Distinguish “referral sent” from “client connected.” The latter requires confirmation and follow-through.</x:v>
      </x:c>
      <x:c r="R158" s="89" t="str">
        <x:v>CTA LCSW Workbook 10</x:v>
      </x:c>
    </x:row>
    <x:row r="159">
      <x:c r="A159" s="88" t="str">
        <x:v>CTA-LCSW-MQB-0158</x:v>
      </x:c>
      <x:c r="B159" s="83" t="str">
        <x:v>LCSW-WB10-QB-Q005</x:v>
      </x:c>
      <x:c r="C159" s="83" t="str">
        <x:v>Workbook Question Bank</x:v>
      </x:c>
      <x:c r="D159" s="83" t="str">
        <x:v>Workbook 10</x:v>
      </x:c>
      <x:c r="E159" s="83" t="n">
        <x:v>4</x:v>
      </x:c>
      <x:c r="F159" s="83" t="str">
        <x:v>After a multidisciplinary meeting, which documentation is MOST useful for continuity?</x:v>
      </x:c>
      <x:c r="G159" s="83" t="str">
        <x:v>The client’s goals and participation, information-sharing authority, assigned tasks, responsible parties, deadlines, barriers, and review date.</x:v>
      </x:c>
      <x:c r="H159" s="83" t="str">
        <x:v>A statement that the meeting was productive.</x:v>
      </x:c>
      <x:c r="I159" s="83" t="str">
        <x:v>A ranking of which professionals seemed most cooperative.</x:v>
      </x:c>
      <x:c r="J159" s="83" t="str">
        <x:v>Copies of every participant’s complete record.</x:v>
      </x:c>
      <x:c r="K159" s="83" t="str">
        <x:v>A</x:v>
      </x:c>
      <x:c r="L159" s="83" t="str">
        <x:v>Correct. Strong documentation makes decisions, authority, responsibility, barriers, and follow-up visible.</x:v>
      </x:c>
      <x:c r="M159" s="83" t="str">
        <x:v>Incorrect. A general impression does not support accountability.</x:v>
      </x:c>
      <x:c r="N159" s="83" t="str">
        <x:v>Incorrect. Personal judgments about colleagues do not define the plan.</x:v>
      </x:c>
      <x:c r="O159" s="83" t="str">
        <x:v>Incorrect. Complete records may exceed what is relevant or authorized.</x:v>
      </x:c>
      <x:c r="P159" s="83" t="str">
        <x:v>A. Correct. Strong documentation makes decisions, authority, responsibility, barriers, and follow-up visible.
B. Incorrect. A general impression does not support accountability.
C. Incorrect. Personal judgments about colleagues do not define the plan.
D. Incorrect. Complete records may exceed what is relevant or authorized.</x:v>
      </x:c>
      <x:c r="Q159" s="83" t="str">
        <x:v>Choose documentation that tells the next provider what was decided, who owns each step, and when progress will be reviewed.</x:v>
      </x:c>
      <x:c r="R159" s="89" t="str">
        <x:v>CTA LCSW Workbook 10</x:v>
      </x:c>
    </x:row>
    <x:row r="160">
      <x:c r="A160" s="88" t="str">
        <x:v>CTA-LCSW-MQB-0159</x:v>
      </x:c>
      <x:c r="B160" s="83" t="str">
        <x:v>LCSW-WB10-QB-Q006</x:v>
      </x:c>
      <x:c r="C160" s="83" t="str">
        <x:v>Workbook Question Bank</x:v>
      </x:c>
      <x:c r="D160" s="83" t="str">
        <x:v>Workbook 10</x:v>
      </x:c>
      <x:c r="E160" s="83" t="n">
        <x:v>4</x:v>
      </x:c>
      <x:c r="F160" s="83" t="str">
        <x:v>A client wants employment assistance but also reports having no medication for a serious cardiac condition and no transportation to the pharmacy. What should the social worker address FIRST?</x:v>
      </x:c>
      <x:c r="G160" s="83" t="str">
        <x:v>Begin a long-term vocational assessment.</x:v>
      </x:c>
      <x:c r="H160" s="83" t="str">
        <x:v>Assess medical urgency and coordinate safe, accessible medication and transportation support before moving to longer-term goals.</x:v>
      </x:c>
      <x:c r="I160" s="83" t="str">
        <x:v>Ask the client to choose only one service domain.</x:v>
      </x:c>
      <x:c r="J160" s="83" t="str">
        <x:v>Refer the client to psychotherapy for poor planning.</x:v>
      </x:c>
      <x:c r="K160" s="83" t="str">
        <x:v>B</x:v>
      </x:c>
      <x:c r="L160" s="83" t="str">
        <x:v>Incorrect. Employment is important but does not precede possible medical risk.</x:v>
      </x:c>
      <x:c r="M160" s="83" t="str">
        <x:v>Correct. Immediate health and access needs are prioritized before longer-term recovery planning.</x:v>
      </x:c>
      <x:c r="N160" s="83" t="str">
        <x:v>Incorrect. Integrated case management can sequence multiple needs rather than forcing a false choice.</x:v>
      </x:c>
      <x:c r="O160" s="83" t="str">
        <x:v>Incorrect. The known barrier is practical and potentially urgent, not evidence of a psychological deficit.</x:v>
      </x:c>
      <x:c r="P160" s="83" t="str">
        <x:v>A. Incorrect. Employment is important but does not precede possible medical risk.
B. Correct. Immediate health and access needs are prioritized before longer-term recovery planning.
C. Incorrect. Integrated case management can sequence multiple needs rather than forcing a false choice.
D. Incorrect. The known barrier is practical and potentially urgent, not evidence of a psychological deficit.</x:v>
      </x:c>
      <x:c r="Q160" s="83" t="str">
        <x:v>Triage safety and medical urgency before basic needs, deadlines, and longer-term functioning.</x:v>
      </x:c>
      <x:c r="R160" s="89" t="str">
        <x:v>CTA LCSW Workbook 10</x:v>
      </x:c>
    </x:row>
    <x:row r="161">
      <x:c r="A161" s="88" t="str">
        <x:v>CTA-LCSW-MQB-0160</x:v>
      </x:c>
      <x:c r="B161" s="83" t="str">
        <x:v>LCSW-WB10-QB-Q007</x:v>
      </x:c>
      <x:c r="C161" s="83" t="str">
        <x:v>Workbook Question Bank</x:v>
      </x:c>
      <x:c r="D161" s="83" t="str">
        <x:v>Workbook 10</x:v>
      </x:c>
      <x:c r="E161" s="83" t="n">
        <x:v>4</x:v>
      </x:c>
      <x:c r="F161" s="83" t="str">
        <x:v>A client has missed two dialysis appointments. The clinic calls the client “noncompliant,” but the client reports an unreliable bus route and no one to supervise a dependent parent. What should the social worker do FIRST?</x:v>
      </x:c>
      <x:c r="G161" s="83" t="str">
        <x:v>Warn the client that continued absences will lead to case closure.</x:v>
      </x:c>
      <x:c r="H161" s="83" t="str">
        <x:v>Accept the clinic’s interpretation because dialysis is medically necessary.</x:v>
      </x:c>
      <x:c r="I161" s="83" t="str">
        <x:v>Assess transportation and caregiving barriers, clarify urgency, and coordinate an accessible plan with the client and care team.</x:v>
      </x:c>
      <x:c r="J161" s="83" t="str">
        <x:v>Refer the client to anger-management treatment.</x:v>
      </x:c>
      <x:c r="K161" s="83" t="str">
        <x:v>C</x:v>
      </x:c>
      <x:c r="L161" s="83" t="str">
        <x:v>Incorrect. A threat does not address the barriers and may increase risk.</x:v>
      </x:c>
      <x:c r="M161" s="83" t="str">
        <x:v>Incorrect. Medical importance strengthens the need for barrier assessment rather than labeling.</x:v>
      </x:c>
      <x:c r="N161" s="83" t="str">
        <x:v>Correct. The response addresses urgent care, concrete access conditions, client participation, and collaboration.</x:v>
      </x:c>
      <x:c r="O161" s="83" t="str">
        <x:v>Incorrect. No anger problem is described.</x:v>
      </x:c>
      <x:c r="P161" s="83" t="str">
        <x:v>A. Incorrect. A threat does not address the barriers and may increase risk.
B. Incorrect. Medical importance strengthens the need for barrier assessment rather than labeling.
C. Correct. The response addresses urgent care, concrete access conditions, client participation, and collaboration.
D. Incorrect. No anger problem is described.</x:v>
      </x:c>
      <x:c r="Q161" s="83" t="str">
        <x:v>Replace vague labels with observable events, the client’s explanation, barriers, and a revised access plan.</x:v>
      </x:c>
      <x:c r="R161" s="89" t="str">
        <x:v>CTA LCSW Workbook 10</x:v>
      </x:c>
    </x:row>
    <x:row r="162">
      <x:c r="A162" s="88" t="str">
        <x:v>CTA-LCSW-MQB-0161</x:v>
      </x:c>
      <x:c r="B162" s="83" t="str">
        <x:v>LCSW-WB10-QB-Q008</x:v>
      </x:c>
      <x:c r="C162" s="83" t="str">
        <x:v>Workbook Question Bank</x:v>
      </x:c>
      <x:c r="D162" s="83" t="str">
        <x:v>Workbook 10</x:v>
      </x:c>
      <x:c r="E162" s="83" t="n">
        <x:v>4</x:v>
      </x:c>
      <x:c r="F162" s="83" t="str">
        <x:v>During discharge planning, the nurse expects the social worker to approve home safety, the physician expects the family to arrange equipment, and the family believes the hospital will manage everything. What should the social worker do FIRST?</x:v>
      </x:c>
      <x:c r="G162" s="83" t="str">
        <x:v>Assume responsibility for every task to prevent delay.</x:v>
      </x:c>
      <x:c r="H162" s="83" t="str">
        <x:v>Ask the family to decide which professional is in charge.</x:v>
      </x:c>
      <x:c r="I162" s="83" t="str">
        <x:v>Document the confusion and wait for the next team meeting.</x:v>
      </x:c>
      <x:c r="J162" s="83" t="str">
        <x:v>Clarify authority and roles, center the patient’s goals, assign each task and deadline, and identify the follow-up point.</x:v>
      </x:c>
      <x:c r="K162" s="83" t="str">
        <x:v>D</x:v>
      </x:c>
      <x:c r="L162" s="83" t="str">
        <x:v>Incorrect. Taking over all functions can exceed role and obscure accountability.</x:v>
      </x:c>
      <x:c r="M162" s="83" t="str">
        <x:v>Incorrect. The team, not the family, must clarify professional responsibilities while supporting participation.</x:v>
      </x:c>
      <x:c r="N162" s="83" t="str">
        <x:v>Incorrect. Waiting allows safety and continuity problems to persist.</x:v>
      </x:c>
      <x:c r="O162" s="83" t="str">
        <x:v>Correct. Role clarity, client participation, explicit ownership, and follow-up are essential intervention tasks.</x:v>
      </x:c>
      <x:c r="P162" s="83" t="str">
        <x:v>A. Incorrect. Taking over all functions can exceed role and obscure accountability.
B. Incorrect. The team, not the family, must clarify professional responsibilities while supporting participation.
C. Incorrect. Waiting allows safety and continuity problems to persist.
D. Correct. Role clarity, client participation, explicit ownership, and follow-up are essential intervention tasks.</x:v>
      </x:c>
      <x:c r="Q162" s="83" t="str">
        <x:v>When a team is confused, choose the answer that names authority, responsibility, deadline, and client participation.</x:v>
      </x:c>
      <x:c r="R162" s="89" t="str">
        <x:v>CTA LCSW Workbook 10</x:v>
      </x:c>
    </x:row>
    <x:row r="163">
      <x:c r="A163" s="88" t="str">
        <x:v>CTA-LCSW-MQB-0162</x:v>
      </x:c>
      <x:c r="B163" s="83" t="str">
        <x:v>LCSW-WB10-QB-Q009</x:v>
      </x:c>
      <x:c r="C163" s="83" t="str">
        <x:v>Workbook Question Bank</x:v>
      </x:c>
      <x:c r="D163" s="83" t="str">
        <x:v>Workbook 10</x:v>
      </x:c>
      <x:c r="E163" s="83" t="n">
        <x:v>4</x:v>
      </x:c>
      <x:c r="F163" s="83" t="str">
        <x:v>Several clients report that the same agency routinely refuses qualified interpreters despite repeated individual requests. Which advocacy level is MOST appropriate?</x:v>
      </x:c>
      <x:c r="G163" s="83" t="str">
        <x:v>Organizational advocacy aimed at the repeated procedure and access barrier, with affected-client participation when appropriate.</x:v>
      </x:c>
      <x:c r="H163" s="83" t="str">
        <x:v>Individual psychotherapy for each client’s frustration.</x:v>
      </x:c>
      <x:c r="I163" s="83" t="str">
        <x:v>A private reminder to one receptionist with no follow-up.</x:v>
      </x:c>
      <x:c r="J163" s="83" t="str">
        <x:v>Immediate national policy advocacy without first defining the agency problem.</x:v>
      </x:c>
      <x:c r="K163" s="83" t="str">
        <x:v>A</x:v>
      </x:c>
      <x:c r="L163" s="83" t="str">
        <x:v>Correct. A repeated agency-level barrier calls for organizational change rather than isolated case fixes alone.</x:v>
      </x:c>
      <x:c r="M163" s="83" t="str">
        <x:v>Incorrect. Therapy does not correct the inaccessible procedure.</x:v>
      </x:c>
      <x:c r="N163" s="83" t="str">
        <x:v>Incorrect. An informal reminder may be insufficient for a persistent systemic pattern.</x:v>
      </x:c>
      <x:c r="O163" s="83" t="str">
        <x:v>Incorrect. The smallest sufficient advocacy level should be used before escalating beyond the identified system.</x:v>
      </x:c>
      <x:c r="P163" s="83" t="str">
        <x:v>A. Correct. A repeated agency-level barrier calls for organizational change rather than isolated case fixes alone.
B. Incorrect. Therapy does not correct the inaccessible procedure.
C. Incorrect. An informal reminder may be insufficient for a persistent systemic pattern.
D. Incorrect. The smallest sufficient advocacy level should be used before escalating beyond the identified system.</x:v>
      </x:c>
      <x:c r="Q163" s="83" t="str">
        <x:v>Match the advocacy level to where the barrier is maintained: case, organization, or community/policy.</x:v>
      </x:c>
      <x:c r="R163" s="89" t="str">
        <x:v>CTA LCSW Workbook 10</x:v>
      </x:c>
    </x:row>
    <x:row r="164">
      <x:c r="A164" s="88" t="str">
        <x:v>CTA-LCSW-MQB-0163</x:v>
      </x:c>
      <x:c r="B164" s="83" t="str">
        <x:v>LCSW-WB10-QB-Q010</x:v>
      </x:c>
      <x:c r="C164" s="83" t="str">
        <x:v>Workbook Question Bank</x:v>
      </x:c>
      <x:c r="D164" s="83" t="str">
        <x:v>Workbook 10</x:v>
      </x:c>
      <x:c r="E164" s="83" t="n">
        <x:v>4</x:v>
      </x:c>
      <x:c r="F164" s="83" t="str">
        <x:v>A client has three days to appeal a benefits termination, lacks identification documents, and says the notice is difficult to read. What should the social worker do FIRST?</x:v>
      </x:c>
      <x:c r="G164" s="83" t="str">
        <x:v>Schedule a routine therapy session to process the client’s anxiety.</x:v>
      </x:c>
      <x:c r="H164" s="83" t="str">
        <x:v>Clarify the deadline and client goal, arrange accessible benefits or legal assistance, help address documentation barriers, and confirm the handoff.</x:v>
      </x:c>
      <x:c r="I164" s="83" t="str">
        <x:v>Tell the client to submit any form independently before asking questions.</x:v>
      </x:c>
      <x:c r="J164" s="83" t="str">
        <x:v>Wait until the client replaces all identification documents.</x:v>
      </x:c>
      <x:c r="K164" s="83" t="str">
        <x:v>B</x:v>
      </x:c>
      <x:c r="L164" s="83" t="str">
        <x:v>Incorrect. Emotional support may help, but the time-sensitive appeal requires immediate coordination.</x:v>
      </x:c>
      <x:c r="M164" s="83" t="str">
        <x:v>Correct. The response prioritizes the deadline, accessibility, qualified help, practical barriers, and follow-through.</x:v>
      </x:c>
      <x:c r="N164" s="83" t="str">
        <x:v>Incorrect. Independent submission may be inaccessible and could jeopardize the appeal.</x:v>
      </x:c>
      <x:c r="O164" s="83" t="str">
        <x:v>Incorrect. Waiting may cause the client to miss the deadline; documentation needs should be addressed within the urgent plan.</x:v>
      </x:c>
      <x:c r="P164" s="83" t="str">
        <x:v>A. Incorrect. Emotional support may help, but the time-sensitive appeal requires immediate coordination.
B. Correct. The response prioritizes the deadline, accessibility, qualified help, practical barriers, and follow-through.
C. Incorrect. Independent submission may be inaccessible and could jeopardize the appeal.
D. Incorrect. Waiting may cause the client to miss the deadline; documentation needs should be addressed within the urgent plan.</x:v>
      </x:c>
      <x:c r="Q164" s="83" t="str">
        <x:v>When a deadline appears, prioritize it while preserving informed participation and qualified assistance.</x:v>
      </x:c>
      <x:c r="R164" s="89" t="str">
        <x:v>CTA LCSW Workbook 10</x:v>
      </x:c>
    </x:row>
    <x:row r="165">
      <x:c r="A165" s="88" t="str">
        <x:v>CTA-LCSW-MQB-0164</x:v>
      </x:c>
      <x:c r="B165" s="83" t="str">
        <x:v>LCSW-WB10-QB-Q011</x:v>
      </x:c>
      <x:c r="C165" s="83" t="str">
        <x:v>Workbook Question Bank</x:v>
      </x:c>
      <x:c r="D165" s="83" t="str">
        <x:v>Workbook 10</x:v>
      </x:c>
      <x:c r="E165" s="83" t="n">
        <x:v>4</x:v>
      </x:c>
      <x:c r="F165" s="83" t="str">
        <x:v>An integrated-care team asks for the client’s complete psychotherapy record “so everyone has the same information.” What should the social worker do?</x:v>
      </x:c>
      <x:c r="G165" s="83" t="str">
        <x:v>Send the record because all team members are helping the same client.</x:v>
      </x:c>
      <x:c r="H165" s="83" t="str">
        <x:v>Refuse all collaboration to protect confidentiality.</x:v>
      </x:c>
      <x:c r="I165" s="83" t="str">
        <x:v>Clarify authority and purpose, involve the client as required, and share only information relevant to the coordination need.</x:v>
      </x:c>
      <x:c r="J165" s="83" t="str">
        <x:v>Ask another team member to decide what may be disclosed.</x:v>
      </x:c>
      <x:c r="K165" s="83" t="str">
        <x:v>C</x:v>
      </x:c>
      <x:c r="L165" s="83" t="str">
        <x:v>Incorrect. Collaboration is not blanket permission for broad disclosure.</x:v>
      </x:c>
      <x:c r="M165" s="83" t="str">
        <x:v>Incorrect. Appropriate coordination can occur with proper authority and limited relevant information.</x:v>
      </x:c>
      <x:c r="N165" s="83" t="str">
        <x:v>Correct. The social worker should define recipient, purpose, authorization, relevance, and limits.</x:v>
      </x:c>
      <x:c r="O165" s="83" t="str">
        <x:v>Incorrect. The social worker remains responsible for evaluating disclosure within the role.</x:v>
      </x:c>
      <x:c r="P165" s="83" t="str">
        <x:v>A. Incorrect. Collaboration is not blanket permission for broad disclosure.
B. Incorrect. Appropriate coordination can occur with proper authority and limited relevant information.
C. Correct. The social worker should define recipient, purpose, authorization, relevance, and limits.
D. Incorrect. The social worker remains responsible for evaluating disclosure within the role.</x:v>
      </x:c>
      <x:c r="Q165" s="83" t="str">
        <x:v>In team questions, separate the purpose of collaboration from the scope of information that is actually necessary.</x:v>
      </x:c>
      <x:c r="R165" s="89" t="str">
        <x:v>CTA LCSW Workbook 10</x:v>
      </x:c>
    </x:row>
    <x:row r="166">
      <x:c r="A166" s="88" t="str">
        <x:v>CTA-LCSW-MQB-0165</x:v>
      </x:c>
      <x:c r="B166" s="83" t="str">
        <x:v>LCSW-WB10-QB-Q012</x:v>
      </x:c>
      <x:c r="C166" s="83" t="str">
        <x:v>Workbook Question Bank</x:v>
      </x:c>
      <x:c r="D166" s="83" t="str">
        <x:v>Workbook 10</x:v>
      </x:c>
      <x:c r="E166" s="83" t="n">
        <x:v>4</x:v>
      </x:c>
      <x:c r="F166" s="83" t="str">
        <x:v>A school team develops a plan for a student with a disability without the student present. The parent has limited English proficiency and signed documents without understanding them. What should the school social worker do NEXT?</x:v>
      </x:c>
      <x:c r="G166" s="83" t="str">
        <x:v>Implement the plan because the team has professional expertise.</x:v>
      </x:c>
      <x:c r="H166" s="83" t="str">
        <x:v>Ask the student to interpret the documents for the parent.</x:v>
      </x:c>
      <x:c r="I166" s="83" t="str">
        <x:v>Send a translated summary after the plan begins.</x:v>
      </x:c>
      <x:c r="J166" s="83" t="str">
        <x:v>Arrange qualified language access, clarify roles and decision authority, support meaningful student and parent participation, and assign implementation and review responsibilities.</x:v>
      </x:c>
      <x:c r="K166" s="83" t="str">
        <x:v>D</x:v>
      </x:c>
      <x:c r="L166" s="83" t="str">
        <x:v>Incorrect. Professional expertise does not replace informed, meaningful client-system participation.</x:v>
      </x:c>
      <x:c r="M166" s="83" t="str">
        <x:v>Incorrect. Using the student as interpreter creates accuracy, power, and role concerns.</x:v>
      </x:c>
      <x:c r="N166" s="83" t="str">
        <x:v>Incorrect. Information after decisions are made does not create meaningful participation.</x:v>
      </x:c>
      <x:c r="O166" s="83" t="str">
        <x:v>Correct. The response integrates access, role clarity, self-determination, accountability, and evaluation.</x:v>
      </x:c>
      <x:c r="P166" s="83" t="str">
        <x:v>A. Incorrect. Professional expertise does not replace informed, meaningful client-system participation.
B. Incorrect. Using the student as interpreter creates accuracy, power, and role concerns.
C. Incorrect. Information after decisions are made does not create meaningful participation.
D. Correct. The response integrates access, role clarity, self-determination, accountability, and evaluation.</x:v>
      </x:c>
      <x:c r="Q166" s="83" t="str">
        <x:v>In school-team scenarios, look for understandable participation before decisions plus clear responsibility afterward.</x:v>
      </x:c>
      <x:c r="R166" s="89" t="str">
        <x:v>CTA LCSW Workbook 10</x:v>
      </x:c>
    </x:row>
    <x:row r="167">
      <x:c r="A167" s="88" t="str">
        <x:v>CTA-LCSW-MQB-0166</x:v>
      </x:c>
      <x:c r="B167" s="83" t="str">
        <x:v>LCSW-WB10-QB-Q013</x:v>
      </x:c>
      <x:c r="C167" s="83" t="str">
        <x:v>Workbook Question Bank</x:v>
      </x:c>
      <x:c r="D167" s="83" t="str">
        <x:v>Workbook 10</x:v>
      </x:c>
      <x:c r="E167" s="83" t="n">
        <x:v>4</x:v>
      </x:c>
      <x:c r="F167" s="83" t="str">
        <x:v>A client discharged after treatment for heart failure is sleeping in a car, has no working telephone, reports passive suicidal thoughts, and is unsure how to obtain medications. What should the social worker do FIRST?</x:v>
      </x:c>
      <x:c r="G167" s="83" t="str">
        <x:v>Assess suicide and medical urgency, address immediate shelter and medication access, map involved systems with the client, and establish reachable follow-up.</x:v>
      </x:c>
      <x:c r="H167" s="83" t="str">
        <x:v>Begin a weekly depression group before discussing housing.</x:v>
      </x:c>
      <x:c r="I167" s="83" t="str">
        <x:v>Provide a resource list and ask the client to call from a public telephone.</x:v>
      </x:c>
      <x:c r="J167" s="83" t="str">
        <x:v>Refer the client to another case-management agency and close the case.</x:v>
      </x:c>
      <x:c r="K167" s="83" t="str">
        <x:v>A</x:v>
      </x:c>
      <x:c r="L167" s="83" t="str">
        <x:v>Correct. The response prioritizes safety and medical risk, concrete access, client-centered coordination, and continuity.</x:v>
      </x:c>
      <x:c r="M167" s="83" t="str">
        <x:v>Incorrect. Group treatment does not address the immediate risks and barriers.</x:v>
      </x:c>
      <x:c r="N167" s="83" t="str">
        <x:v>Incorrect. A list is inadequate when communication, health, and housing barriers threaten access.</x:v>
      </x:c>
      <x:c r="O167" s="83" t="str">
        <x:v>Incorrect. Transfer without active linkage and follow-up can create dangerous gaps.</x:v>
      </x:c>
      <x:c r="P167" s="83" t="str">
        <x:v>A. Correct. The response prioritizes safety and medical risk, concrete access, client-centered coordination, and continuity.
B. Incorrect. Group treatment does not address the immediate risks and barriers.
C. Incorrect. A list is inadequate when communication, health, and housing barriers threaten access.
D. Incorrect. Transfer without active linkage and follow-up can create dangerous gaps.</x:v>
      </x:c>
      <x:c r="Q167" s="83" t="str">
        <x:v>For complex cases, triage immediate risk first, then make coordination reachable and accountable.</x:v>
      </x:c>
      <x:c r="R167" s="89" t="str">
        <x:v>CTA LCSW Workbook 10</x:v>
      </x:c>
    </x:row>
    <x:row r="168">
      <x:c r="A168" s="88" t="str">
        <x:v>CTA-LCSW-MQB-0167</x:v>
      </x:c>
      <x:c r="B168" s="83" t="str">
        <x:v>LCSW-WB10-QB-Q014</x:v>
      </x:c>
      <x:c r="C168" s="83" t="str">
        <x:v>Workbook Question Bank</x:v>
      </x:c>
      <x:c r="D168" s="83" t="str">
        <x:v>Workbook 10</x:v>
      </x:c>
      <x:c r="E168" s="83" t="n">
        <x:v>4</x:v>
      </x:c>
      <x:c r="F168" s="83" t="str">
        <x:v>A refugee parent asks whether signing a subsidized-housing form could jeopardize a pending family petition. The social worker lacks immigration-law expertise. What should the social worker do NEXT?</x:v>
      </x:c>
      <x:c r="G168" s="83" t="str">
        <x:v>Guarantee that the benefit will have no immigration consequences.</x:v>
      </x:c>
      <x:c r="H168" s="83" t="str">
        <x:v>Acknowledge the concern, arrange qualified language-accessible immigration or benefits consultation, and support the client’s informed decision without giving advice outside competence.</x:v>
      </x:c>
      <x:c r="I168" s="83" t="str">
        <x:v>Advise the client to decline all benefits until citizenship is obtained.</x:v>
      </x:c>
      <x:c r="J168" s="83" t="str">
        <x:v>Complete the application immediately because the benefit appears helpful.</x:v>
      </x:c>
      <x:c r="K168" s="83" t="str">
        <x:v>B</x:v>
      </x:c>
      <x:c r="L168" s="83" t="str">
        <x:v>Incorrect. The social worker cannot make an unsupported legal guarantee.</x:v>
      </x:c>
      <x:c r="M168" s="83" t="str">
        <x:v>Correct. The response protects competence, language access, self-determination, and informed coordination.</x:v>
      </x:c>
      <x:c r="N168" s="83" t="str">
        <x:v>Incorrect. Broad advice to avoid benefits may cause harm and exceeds competence.</x:v>
      </x:c>
      <x:c r="O168" s="83" t="str">
        <x:v>Incorrect. Urgency does not justify bypassing the client’s concern or informed choice.</x:v>
      </x:c>
      <x:c r="P168" s="83" t="str">
        <x:v>A. Incorrect. The social worker cannot make an unsupported legal guarantee.
B. Correct. The response protects competence, language access, self-determination, and informed coordination.
C. Incorrect. Broad advice to avoid benefits may cause harm and exceeds competence.
D. Incorrect. Urgency does not justify bypassing the client’s concern or informed choice.</x:v>
      </x:c>
      <x:c r="Q168" s="83" t="str">
        <x:v>When legal consequences are uncertain, coordinate qualified consultation rather than guessing or making the decision for the client.</x:v>
      </x:c>
      <x:c r="R168" s="89" t="str">
        <x:v>CTA LCSW Workbook 10</x:v>
      </x:c>
    </x:row>
    <x:row r="169">
      <x:c r="A169" s="88" t="str">
        <x:v>CTA-LCSW-MQB-0168</x:v>
      </x:c>
      <x:c r="B169" s="83" t="str">
        <x:v>LCSW-WB10-QB-Q015</x:v>
      </x:c>
      <x:c r="C169" s="83" t="str">
        <x:v>Workbook Question Bank</x:v>
      </x:c>
      <x:c r="D169" s="83" t="str">
        <x:v>Workbook 10</x:v>
      </x:c>
      <x:c r="E169" s="83" t="n">
        <x:v>4</x:v>
      </x:c>
      <x:c r="F169" s="83" t="str">
        <x:v>A competent older adult says a daughter may not attend service-planning meetings. The daughter reports medication errors, and the client appears confused during one visit. What should the social worker do FIRST?</x:v>
      </x:c>
      <x:c r="G169" s="83" t="str">
        <x:v>Invite the daughter immediately because family concern overrides preference.</x:v>
      </x:c>
      <x:c r="H169" s="83" t="str">
        <x:v>Exclude the daughter permanently without assessing the new information.</x:v>
      </x:c>
      <x:c r="I169" s="83" t="str">
        <x:v>Assess immediate safety and decision-making ability, clarify the client’s preferences and authority for disclosure, and use the least intrusive support consistent with the findings.</x:v>
      </x:c>
      <x:c r="J169" s="83" t="str">
        <x:v>Terminate services until the family agrees.</x:v>
      </x:c>
      <x:c r="K169" s="83" t="str">
        <x:v>C</x:v>
      </x:c>
      <x:c r="L169" s="83" t="str">
        <x:v>Incorrect. Concern warrants assessment but does not automatically eliminate the client’s rights.</x:v>
      </x:c>
      <x:c r="M169" s="83" t="str">
        <x:v>Incorrect. The report and observed confusion require evaluation rather than automatic exclusion.</x:v>
      </x:c>
      <x:c r="N169" s="83" t="str">
        <x:v>Correct. The response balances safety, capacity, self-determination, confidentiality, and proportionate support.</x:v>
      </x:c>
      <x:c r="O169" s="83" t="str">
        <x:v>Incorrect. Termination would abandon the assessment and coordination needs.</x:v>
      </x:c>
      <x:c r="P169" s="83" t="str">
        <x:v>A. Incorrect. Concern warrants assessment but does not automatically eliminate the client’s rights.
B. Incorrect. The report and observed confusion require evaluation rather than automatic exclusion.
C. Correct. The response balances safety, capacity, self-determination, confidentiality, and proportionate support.
D. Incorrect. Termination would abandon the assessment and coordination needs.</x:v>
      </x:c>
      <x:c r="Q169" s="83" t="str">
        <x:v>Do not choose between autonomy and safety prematurely; assess capacity and risk, then use the least intrusive effective response.</x:v>
      </x:c>
      <x:c r="R169" s="89" t="str">
        <x:v>CTA LCSW Workbook 10</x:v>
      </x:c>
    </x:row>
    <x:row r="170">
      <x:c r="A170" s="88" t="str">
        <x:v>CTA-LCSW-MQB-0169</x:v>
      </x:c>
      <x:c r="B170" s="83" t="str">
        <x:v>LCSW-WB10-QB-Q016</x:v>
      </x:c>
      <x:c r="C170" s="83" t="str">
        <x:v>Workbook Question Bank</x:v>
      </x:c>
      <x:c r="D170" s="83" t="str">
        <x:v>Workbook 10</x:v>
      </x:c>
      <x:c r="E170" s="83" t="n">
        <x:v>4</x:v>
      </x:c>
      <x:c r="F170" s="83" t="str">
        <x:v>Deaf clients at a community clinic repeatedly receive appointments without communication accommodations, and individual complaints have not changed the scheduling process. What is the BEST social-work response?</x:v>
      </x:c>
      <x:c r="G170" s="83" t="str">
        <x:v>Teach each client coping skills for frustrating appointments.</x:v>
      </x:c>
      <x:c r="H170" s="83" t="str">
        <x:v>Ask clients to bring family members to interpret.</x:v>
      </x:c>
      <x:c r="I170" s="83" t="str">
        <x:v>Refer all deaf clients to a different clinic without examining alternatives.</x:v>
      </x:c>
      <x:c r="J170" s="83" t="str">
        <x:v>Work with affected clients to document the pattern, identify decision makers, pursue organizational accessibility changes, and evaluate implementation.</x:v>
      </x:c>
      <x:c r="K170" s="83" t="str">
        <x:v>D</x:v>
      </x:c>
      <x:c r="L170" s="83" t="str">
        <x:v>Incorrect. Coping support does not correct the inaccessible system.</x:v>
      </x:c>
      <x:c r="M170" s="83" t="str">
        <x:v>Incorrect. Family interpretation may be inaccurate, coercive, or inappropriate.</x:v>
      </x:c>
      <x:c r="N170" s="83" t="str">
        <x:v>Incorrect. Referral may shift the burden to clients and does not address the repeated barrier.</x:v>
      </x:c>
      <x:c r="O170" s="83" t="str">
        <x:v>Correct. The intervention matches an organizational pattern and includes client participation, evidence, decision makers, change, and evaluation.</x:v>
      </x:c>
      <x:c r="P170" s="83" t="str">
        <x:v>A. Incorrect. Coping support does not correct the inaccessible system.
B. Incorrect. Family interpretation may be inaccurate, coercive, or inappropriate.
C. Incorrect. Referral may shift the burden to clients and does not address the repeated barrier.
D. Correct. The intervention matches an organizational pattern and includes client participation, evidence, decision makers, change, and evaluation.</x:v>
      </x:c>
      <x:c r="Q170" s="83" t="str">
        <x:v>Repeated barriers across clients signal a system-level target; include affected people in defining and evaluating the remedy.</x:v>
      </x:c>
      <x:c r="R170" s="89" t="str">
        <x:v>CTA LCSW Workbook 10</x:v>
      </x:c>
    </x:row>
    <x:row r="171">
      <x:c r="A171" s="88" t="str">
        <x:v>CTA-LCSW-MQB-0170</x:v>
      </x:c>
      <x:c r="B171" s="83" t="str">
        <x:v>LCSW-WB10-QB-Q017</x:v>
      </x:c>
      <x:c r="C171" s="83" t="str">
        <x:v>Workbook Question Bank</x:v>
      </x:c>
      <x:c r="D171" s="83" t="str">
        <x:v>Workbook 10</x:v>
      </x:c>
      <x:c r="E171" s="83" t="n">
        <x:v>4</x:v>
      </x:c>
      <x:c r="F171" s="83" t="str">
        <x:v>A client has completed the same intake with four agencies, remains unhoused, and does not know who is responsible for the housing application. Each provider assumes another agency is following up. What should the social worker do NEXT?</x:v>
      </x:c>
      <x:c r="G171" s="83" t="str">
        <x:v>With the client’s participation and appropriate consent, map roles and barriers, identify one responsible person for each task, create an accessible handoff, and set a specific review date.</x:v>
      </x:c>
      <x:c r="H171" s="83" t="str">
        <x:v>Add a fifth referral so another agency can coordinate the case.</x:v>
      </x:c>
      <x:c r="I171" s="83" t="str">
        <x:v>Ask the client to determine which agency failed.</x:v>
      </x:c>
      <x:c r="J171" s="83" t="str">
        <x:v>Continue psychotherapy while waiting for the agencies to resolve the problem independently.</x:v>
      </x:c>
      <x:c r="K171" s="83" t="str">
        <x:v>A</x:v>
      </x:c>
      <x:c r="L171" s="83" t="str">
        <x:v>Correct. The response repairs fragmentation through client-centered role clarity, explicit ownership, access, and follow-up.</x:v>
      </x:c>
      <x:c r="M171" s="83" t="str">
        <x:v>Incorrect. Another referral without accountability may deepen duplication and confusion.</x:v>
      </x:c>
      <x:c r="N171" s="83" t="str">
        <x:v>Incorrect. The client should participate but should not be assigned responsibility for system failures.</x:v>
      </x:c>
      <x:c r="O171" s="83" t="str">
        <x:v>Incorrect. Clinical support alone will not correct the unowned housing task.</x:v>
      </x:c>
      <x:c r="P171" s="83" t="str">
        <x:v>A. Correct. The response repairs fragmentation through client-centered role clarity, explicit ownership, access, and follow-up.
B. Incorrect. Another referral without accountability may deepen duplication and confusion.
C. Incorrect. The client should participate but should not be assigned responsibility for system failures.
D. Incorrect. Clinical support alone will not correct the unowned housing task.</x:v>
      </x:c>
      <x:c r="Q171" s="83" t="str">
        <x:v>When everyone assumes someone else owns the task, choose explicit responsibility, deadline, and follow-up.</x:v>
      </x:c>
      <x:c r="R171" s="89" t="str">
        <x:v>CTA LCSW Workbook 10</x:v>
      </x:c>
    </x:row>
    <x:row r="172">
      <x:c r="A172" s="88" t="str">
        <x:v>CTA-LCSW-MQB-0171</x:v>
      </x:c>
      <x:c r="B172" s="83" t="str">
        <x:v>LCSW-WB11-QB-Q001</x:v>
      </x:c>
      <x:c r="C172" s="83" t="str">
        <x:v>Workbook Question Bank</x:v>
      </x:c>
      <x:c r="D172" s="83" t="str">
        <x:v>Workbook 11</x:v>
      </x:c>
      <x:c r="E172" s="83" t="n">
        <x:v>4</x:v>
      </x:c>
      <x:c r="F172" s="83" t="str">
        <x:v>In practice evaluation, what does it mean for a measure to be sensitive to change?</x:v>
      </x:c>
      <x:c r="G172" s="83" t="str">
        <x:v>It can detect clinically meaningful improvement or deterioration over the period being evaluated.</x:v>
      </x:c>
      <x:c r="H172" s="83" t="str">
        <x:v>It produces exactly the same score every time it is used.</x:v>
      </x:c>
      <x:c r="I172" s="83" t="str">
        <x:v>It guarantees that observed change was caused by the intervention.</x:v>
      </x:c>
      <x:c r="J172" s="83" t="str">
        <x:v>It contains questions that clients find emotionally comfortable.</x:v>
      </x:c>
      <x:c r="K172" s="83" t="str">
        <x:v>A</x:v>
      </x:c>
      <x:c r="L172" s="83" t="str">
        <x:v>Correct. A change-sensitive measure can register meaningful movement in the target over the relevant timeframe.</x:v>
      </x:c>
      <x:c r="M172" s="83" t="str">
        <x:v>Incorrect. Consistency is related to reliability, not the ability to detect change.</x:v>
      </x:c>
      <x:c r="N172" s="83" t="str">
        <x:v>Incorrect. A measure cannot by itself establish causation.</x:v>
      </x:c>
      <x:c r="O172" s="83" t="str">
        <x:v>Incorrect. Acceptability matters, but emotional comfort does not define sensitivity to change.</x:v>
      </x:c>
      <x:c r="P172" s="83" t="str">
        <x:v>A. Correct. A change-sensitive measure can register meaningful movement in the target over the relevant timeframe.
B. Incorrect. Consistency is related to reliability, not the ability to detect change.
C. Incorrect. A measure cannot by itself establish causation.
D. Incorrect. Acceptability matters, but emotional comfort does not define sensitivity to change.</x:v>
      </x:c>
      <x:c r="Q172" s="83" t="str">
        <x:v>Separate measurement properties: reliability is consistency, validity is supported meaning, and sensitivity is the ability to register change.</x:v>
      </x:c>
      <x:c r="R172" s="89" t="str">
        <x:v>CTA LCSW Workbook 11</x:v>
      </x:c>
    </x:row>
    <x:row r="173">
      <x:c r="A173" s="88" t="str">
        <x:v>CTA-LCSW-MQB-0172</x:v>
      </x:c>
      <x:c r="B173" s="83" t="str">
        <x:v>LCSW-WB11-QB-Q002</x:v>
      </x:c>
      <x:c r="C173" s="83" t="str">
        <x:v>Workbook Question Bank</x:v>
      </x:c>
      <x:c r="D173" s="83" t="str">
        <x:v>Workbook 11</x:v>
      </x:c>
      <x:c r="E173" s="83" t="n">
        <x:v>4</x:v>
      </x:c>
      <x:c r="F173" s="83" t="str">
        <x:v>Which question is MOST clearly a process-evaluation question?</x:v>
      </x:c>
      <x:c r="G173" s="83" t="str">
        <x:v>Did participants have fewer hospitalizations six months after the program?</x:v>
      </x:c>
      <x:c r="H173" s="83" t="str">
        <x:v>Were services delivered as planned, and where did participants encounter delays or drop-off?</x:v>
      </x:c>
      <x:c r="I173" s="83" t="str">
        <x:v>Did the intervention cause the improvement observed in the community?</x:v>
      </x:c>
      <x:c r="J173" s="83" t="str">
        <x:v>Was the program less expensive than every alternative service?</x:v>
      </x:c>
      <x:c r="K173" s="83" t="str">
        <x:v>B</x:v>
      </x:c>
      <x:c r="L173" s="83" t="str">
        <x:v>Incorrect. This asks about an outcome after participation.</x:v>
      </x:c>
      <x:c r="M173" s="83" t="str">
        <x:v>Correct. Process evaluation examines implementation, fidelity, access, workflow, and participation.</x:v>
      </x:c>
      <x:c r="N173" s="83" t="str">
        <x:v>Incorrect. This is a causal research question that requires an appropriate design.</x:v>
      </x:c>
      <x:c r="O173" s="83" t="str">
        <x:v>Incorrect. This is primarily an economic-evaluation question.</x:v>
      </x:c>
      <x:c r="P173" s="83" t="str">
        <x:v>A. Incorrect. This asks about an outcome after participation.
B. Correct. Process evaluation examines implementation, fidelity, access, workflow, and participation.
C. Incorrect. This is a causal research question that requires an appropriate design.
D. Incorrect. This is primarily an economic-evaluation question.</x:v>
      </x:c>
      <x:c r="Q173" s="83" t="str">
        <x:v>Process asks how implementation worked; outcome asks what changed; economic evaluation asks what resources were used relative to results.</x:v>
      </x:c>
      <x:c r="R173" s="89" t="str">
        <x:v>CTA LCSW Workbook 11</x:v>
      </x:c>
    </x:row>
    <x:row r="174">
      <x:c r="A174" s="88" t="str">
        <x:v>CTA-LCSW-MQB-0173</x:v>
      </x:c>
      <x:c r="B174" s="83" t="str">
        <x:v>LCSW-WB11-QB-Q003</x:v>
      </x:c>
      <x:c r="C174" s="83" t="str">
        <x:v>Workbook Question Bank</x:v>
      </x:c>
      <x:c r="D174" s="83" t="str">
        <x:v>Workbook 11</x:v>
      </x:c>
      <x:c r="E174" s="83" t="n">
        <x:v>4</x:v>
      </x:c>
      <x:c r="F174" s="83" t="str">
        <x:v>Which objective is MOST useful for evaluating an agency's new intake-reminder system?</x:v>
      </x:c>
      <x:c r="G174" s="83" t="str">
        <x:v>Staff will try harder to contact clients.</x:v>
      </x:c>
      <x:c r="H174" s="83" t="str">
        <x:v>Clients will feel more supported soon.</x:v>
      </x:c>
      <x:c r="I174" s="83" t="str">
        <x:v>Within three months, the percentage of scheduled first appointments completed will increase from 58% to 70%, based on scheduling records.</x:v>
      </x:c>
      <x:c r="J174" s="83" t="str">
        <x:v>The agency will eliminate all missed appointments.</x:v>
      </x:c>
      <x:c r="K174" s="83" t="str">
        <x:v>C</x:v>
      </x:c>
      <x:c r="L174" s="83" t="str">
        <x:v>Incorrect. Effort is vague and does not identify a measurable result.</x:v>
      </x:c>
      <x:c r="M174" s="83" t="str">
        <x:v>Incorrect. The outcome, indicator, timeframe, and data source are undefined.</x:v>
      </x:c>
      <x:c r="N174" s="83" t="str">
        <x:v>Correct. The objective specifies the target, baseline, desired change, timeframe, and data source.</x:v>
      </x:c>
      <x:c r="O174" s="83" t="str">
        <x:v>Incorrect. The objective is absolute, unrealistic, and lacks a timeframe and defined measurement plan.</x:v>
      </x:c>
      <x:c r="P174" s="83" t="str">
        <x:v>A. Incorrect. Effort is vague and does not identify a measurable result.
B. Incorrect. The outcome, indicator, timeframe, and data source are undefined.
C. Correct. The objective specifies the target, baseline, desired change, timeframe, and data source.
D. Incorrect. The objective is absolute, unrealistic, and lacks a timeframe and defined measurement plan.</x:v>
      </x:c>
      <x:c r="Q174" s="83" t="str">
        <x:v>A strong objective names who or what changes, the indicator, the amount or direction, the timeframe, and the data source.</x:v>
      </x:c>
      <x:c r="R174" s="89" t="str">
        <x:v>CTA LCSW Workbook 11</x:v>
      </x:c>
    </x:row>
    <x:row r="175">
      <x:c r="A175" s="88" t="str">
        <x:v>CTA-LCSW-MQB-0174</x:v>
      </x:c>
      <x:c r="B175" s="83" t="str">
        <x:v>LCSW-WB11-QB-Q004</x:v>
      </x:c>
      <x:c r="C175" s="83" t="str">
        <x:v>Workbook Question Bank</x:v>
      </x:c>
      <x:c r="D175" s="83" t="str">
        <x:v>Workbook 11</x:v>
      </x:c>
      <x:c r="E175" s="83" t="n">
        <x:v>4</x:v>
      </x:c>
      <x:c r="F175" s="83" t="str">
        <x:v>Which statement BEST describes the function of clinical supervision?</x:v>
      </x:c>
      <x:c r="G175" s="83" t="str">
        <x:v>It transfers all responsibility for client care from the supervisee to the supervisor.</x:v>
      </x:c>
      <x:c r="H175" s="83" t="str">
        <x:v>It is used only when the supervisee has made a serious error.</x:v>
      </x:c>
      <x:c r="I175" s="83" t="str">
        <x:v>It replaces the need for the supervisee to develop independent professional judgment.</x:v>
      </x:c>
      <x:c r="J175" s="83" t="str">
        <x:v>It supports competence, ethical practice, reflective learning, and risk management while responsibility remains role-specific.</x:v>
      </x:c>
      <x:c r="K175" s="83" t="str">
        <x:v>D</x:v>
      </x:c>
      <x:c r="L175" s="83" t="str">
        <x:v>Incorrect. Supervision adds oversight and accountability but does not erase the supervisee's professional responsibilities.</x:v>
      </x:c>
      <x:c r="M175" s="83" t="str">
        <x:v>Incorrect. Effective supervision is ongoing and preventive, not only corrective.</x:v>
      </x:c>
      <x:c r="N175" s="83" t="str">
        <x:v>Incorrect. A central purpose is to strengthen, not replace, independent judgment.</x:v>
      </x:c>
      <x:c r="O175" s="83" t="str">
        <x:v>Correct. Supervision integrates development, support, accountability, client protection, and role clarity.</x:v>
      </x:c>
      <x:c r="P175" s="83" t="str">
        <x:v>A. Incorrect. Supervision adds oversight and accountability but does not erase the supervisee's professional responsibilities.
B. Incorrect. Effective supervision is ongoing and preventive, not only corrective.
C. Incorrect. A central purpose is to strengthen, not replace, independent judgment.
D. Correct. Supervision integrates development, support, accountability, client protection, and role clarity.</x:v>
      </x:c>
      <x:c r="Q175" s="83" t="str">
        <x:v>Avoid answers that make supervision either punitive or a complete transfer of responsibility. It is developmental and protective.</x:v>
      </x:c>
      <x:c r="R175" s="89" t="str">
        <x:v>CTA LCSW Workbook 11</x:v>
      </x:c>
    </x:row>
    <x:row r="176">
      <x:c r="A176" s="88" t="str">
        <x:v>CTA-LCSW-MQB-0175</x:v>
      </x:c>
      <x:c r="B176" s="83" t="str">
        <x:v>LCSW-WB11-QB-Q005</x:v>
      </x:c>
      <x:c r="C176" s="83" t="str">
        <x:v>Workbook Question Bank</x:v>
      </x:c>
      <x:c r="D176" s="83" t="str">
        <x:v>Workbook 11</x:v>
      </x:c>
      <x:c r="E176" s="83" t="n">
        <x:v>4</x:v>
      </x:c>
      <x:c r="F176" s="83" t="str">
        <x:v>An agency reviews its own no-show data, tests a revised reminder workflow, and monitors whether attendance improves so it can refine local operations. What is the PRIMARY activity?</x:v>
      </x:c>
      <x:c r="G176" s="83" t="str">
        <x:v>Quality improvement focused on a local service process.</x:v>
      </x:c>
      <x:c r="H176" s="83" t="str">
        <x:v>Experimental research proving the reminder caused any change.</x:v>
      </x:c>
      <x:c r="I176" s="83" t="str">
        <x:v>A needs assessment for an unrelated population.</x:v>
      </x:c>
      <x:c r="J176" s="83" t="str">
        <x:v>Clinical supervision of individual staff members.</x:v>
      </x:c>
      <x:c r="K176" s="83" t="str">
        <x:v>A</x:v>
      </x:c>
      <x:c r="L176" s="83" t="str">
        <x:v>Correct. The activity uses local data to test and improve an operational process.</x:v>
      </x:c>
      <x:c r="M176" s="83" t="str">
        <x:v>Incorrect. The description does not establish an experimental design or causal claim.</x:v>
      </x:c>
      <x:c r="N176" s="83" t="str">
        <x:v>Incorrect. The agency is evaluating an existing workflow rather than identifying broad unmet needs.</x:v>
      </x:c>
      <x:c r="O176" s="83" t="str">
        <x:v>Incorrect. The target is the system process, not staff clinical development.</x:v>
      </x:c>
      <x:c r="P176" s="83" t="str">
        <x:v>A. Correct. The activity uses local data to test and improve an operational process.
B. Incorrect. The description does not establish an experimental design or causal claim.
C. Incorrect. The agency is evaluating an existing workflow rather than identifying broad unmet needs.
D. Incorrect. The target is the system process, not staff clinical development.</x:v>
      </x:c>
      <x:c r="Q176" s="83" t="str">
        <x:v>Ask whether the primary goal is local system improvement or generalizable knowledge. Then avoid stronger causal claims than the design supports.</x:v>
      </x:c>
      <x:c r="R176" s="89" t="str">
        <x:v>CTA LCSW Workbook 11</x:v>
      </x:c>
    </x:row>
    <x:row r="177">
      <x:c r="A177" s="88" t="str">
        <x:v>CTA-LCSW-MQB-0176</x:v>
      </x:c>
      <x:c r="B177" s="83" t="str">
        <x:v>LCSW-WB11-QB-Q006</x:v>
      </x:c>
      <x:c r="C177" s="83" t="str">
        <x:v>Workbook Question Bank</x:v>
      </x:c>
      <x:c r="D177" s="83" t="str">
        <x:v>Workbook 11</x:v>
      </x:c>
      <x:c r="E177" s="83" t="n">
        <x:v>4</x:v>
      </x:c>
      <x:c r="F177" s="83" t="str">
        <x:v>A clinic wants to add a service for older adults because staff believe social isolation is increasing. What should the LCSW administrator do FIRST?</x:v>
      </x:c>
      <x:c r="G177" s="83" t="str">
        <x:v>Purchase the most widely advertised program.</x:v>
      </x:c>
      <x:c r="H177" s="83" t="str">
        <x:v>Define the population and decision, then gather relevant community, client, service, and stakeholder data about need and access.</x:v>
      </x:c>
      <x:c r="I177" s="83" t="str">
        <x:v>Hire staff before determining what service is needed.</x:v>
      </x:c>
      <x:c r="J177" s="83" t="str">
        <x:v>Measure outcomes before a program has been selected or implemented.</x:v>
      </x:c>
      <x:c r="K177" s="83" t="str">
        <x:v>B</x:v>
      </x:c>
      <x:c r="L177" s="83" t="str">
        <x:v>Incorrect. Popularity does not establish local need, fit, feasibility, or access.</x:v>
      </x:c>
      <x:c r="M177" s="83" t="str">
        <x:v>Correct. A needs assessment begins by clarifying the decision and gathering multiple sources of relevant data.</x:v>
      </x:c>
      <x:c r="N177" s="83" t="str">
        <x:v>Incorrect. Staffing should follow a defensible understanding of need and program design.</x:v>
      </x:c>
      <x:c r="O177" s="83" t="str">
        <x:v>Incorrect. Outcome evaluation requires an implemented intervention and defined outcomes.</x:v>
      </x:c>
      <x:c r="P177" s="83" t="str">
        <x:v>A. Incorrect. Popularity does not establish local need, fit, feasibility, or access.
B. Correct. A needs assessment begins by clarifying the decision and gathering multiple sources of relevant data.
C. Incorrect. Staffing should follow a defensible understanding of need and program design.
D. Incorrect. Outcome evaluation requires an implemented intervention and defined outcomes.</x:v>
      </x:c>
      <x:c r="Q177" s="83" t="str">
        <x:v>Before choosing a program, define the population and decision, then assess needs, resources, barriers, and stakeholder perspectives.</x:v>
      </x:c>
      <x:c r="R177" s="89" t="str">
        <x:v>CTA LCSW Workbook 11</x:v>
      </x:c>
    </x:row>
    <x:row r="178">
      <x:c r="A178" s="88" t="str">
        <x:v>CTA-LCSW-MQB-0177</x:v>
      </x:c>
      <x:c r="B178" s="83" t="str">
        <x:v>LCSW-WB11-QB-Q007</x:v>
      </x:c>
      <x:c r="C178" s="83" t="str">
        <x:v>Workbook Question Bank</x:v>
      </x:c>
      <x:c r="D178" s="83" t="str">
        <x:v>Workbook 11</x:v>
      </x:c>
      <x:c r="E178" s="83" t="n">
        <x:v>4</x:v>
      </x:c>
      <x:c r="F178" s="83" t="str">
        <x:v>An agency surveys clients about telehealth using an online questionnaire sent only through its patient portal. Which concern is MOST important?</x:v>
      </x:c>
      <x:c r="G178" s="83" t="str">
        <x:v>The sample is too large to analyze.</x:v>
      </x:c>
      <x:c r="H178" s="83" t="str">
        <x:v>Online surveys can never produce useful information.</x:v>
      </x:c>
      <x:c r="I178" s="83" t="str">
        <x:v>Clients with limited internet access or portal use may be underrepresented, biasing the results.</x:v>
      </x:c>
      <x:c r="J178" s="83" t="str">
        <x:v>The survey must establish causation to be valid.</x:v>
      </x:c>
      <x:c r="K178" s="83" t="str">
        <x:v>C</x:v>
      </x:c>
      <x:c r="L178" s="83" t="str">
        <x:v>Incorrect. Sample size is not the central concern described.</x:v>
      </x:c>
      <x:c r="M178" s="83" t="str">
        <x:v>Incorrect. Online surveys can be useful when their limitations and access effects are addressed.</x:v>
      </x:c>
      <x:c r="N178" s="83" t="str">
        <x:v>Correct. The recruitment method may systematically exclude clients whose experiences are especially relevant to telehealth access.</x:v>
      </x:c>
      <x:c r="O178" s="83" t="str">
        <x:v>Incorrect. A descriptive survey does not need to establish causation to provide useful information.</x:v>
      </x:c>
      <x:c r="P178" s="83" t="str">
        <x:v>A. Incorrect. Sample size is not the central concern described.
B. Incorrect. Online surveys can be useful when their limitations and access effects are addressed.
C. Correct. The recruitment method may systematically exclude clients whose experiences are especially relevant to telehealth access.
D. Incorrect. A descriptive survey does not need to establish causation to provide useful information.</x:v>
      </x:c>
      <x:c r="Q178" s="83" t="str">
        <x:v>Look at who had a realistic chance to be included. Sampling bias often appears when the collection method excludes a subgroup.</x:v>
      </x:c>
      <x:c r="R178" s="89" t="str">
        <x:v>CTA LCSW Workbook 11</x:v>
      </x:c>
    </x:row>
    <x:row r="179">
      <x:c r="A179" s="88" t="str">
        <x:v>CTA-LCSW-MQB-0178</x:v>
      </x:c>
      <x:c r="B179" s="83" t="str">
        <x:v>LCSW-WB11-QB-Q008</x:v>
      </x:c>
      <x:c r="C179" s="83" t="str">
        <x:v>Workbook Question Bank</x:v>
      </x:c>
      <x:c r="D179" s="83" t="str">
        <x:v>Workbook 11</x:v>
      </x:c>
      <x:c r="E179" s="83" t="n">
        <x:v>4</x:v>
      </x:c>
      <x:c r="F179" s="83" t="str">
        <x:v>A social worker offers current clients access to a scarce agency benefit only if they enroll in the social worker's study. What is the PRIMARY ethical concern?</x:v>
      </x:c>
      <x:c r="G179" s="83" t="str">
        <x:v>The study may take too long to complete.</x:v>
      </x:c>
      <x:c r="H179" s="83" t="str">
        <x:v>Clients may prefer another research topic.</x:v>
      </x:c>
      <x:c r="I179" s="83" t="str">
        <x:v>The social worker may collect too little data.</x:v>
      </x:c>
      <x:c r="J179" s="83" t="str">
        <x:v>The benefit condition may create undue influence and undermine voluntary informed consent.</x:v>
      </x:c>
      <x:c r="K179" s="83" t="str">
        <x:v>D</x:v>
      </x:c>
      <x:c r="L179" s="83" t="str">
        <x:v>Incorrect. Duration may matter but is not the central ethical problem.</x:v>
      </x:c>
      <x:c r="M179" s="83" t="str">
        <x:v>Incorrect. Topic preference is secondary to voluntariness and access to needed services.</x:v>
      </x:c>
      <x:c r="N179" s="83" t="str">
        <x:v>Incorrect. Data quantity does not resolve coercion or undue influence.</x:v>
      </x:c>
      <x:c r="O179" s="83" t="str">
        <x:v>Correct. Linking a scarce benefit to participation can pressure clients and compromise free choice.</x:v>
      </x:c>
      <x:c r="P179" s="83" t="str">
        <x:v>A. Incorrect. Duration may matter but is not the central ethical problem.
B. Incorrect. Topic preference is secondary to voluntariness and access to needed services.
C. Incorrect. Data quantity does not resolve coercion or undue influence.
D. Correct. Linking a scarce benefit to participation can pressure clients and compromise free choice.</x:v>
      </x:c>
      <x:c r="Q179" s="83" t="str">
        <x:v>When treatment, benefits, authority, or dependency is tied to participation, examine coercion, undue influence, and whether refusal is genuinely safe.</x:v>
      </x:c>
      <x:c r="R179" s="89" t="str">
        <x:v>CTA LCSW Workbook 11</x:v>
      </x:c>
    </x:row>
    <x:row r="180">
      <x:c r="A180" s="88" t="str">
        <x:v>CTA-LCSW-MQB-0179</x:v>
      </x:c>
      <x:c r="B180" s="83" t="str">
        <x:v>LCSW-WB11-QB-Q009</x:v>
      </x:c>
      <x:c r="C180" s="83" t="str">
        <x:v>Workbook Question Bank</x:v>
      </x:c>
      <x:c r="D180" s="83" t="str">
        <x:v>Workbook 11</x:v>
      </x:c>
      <x:c r="E180" s="83" t="n">
        <x:v>4</x:v>
      </x:c>
      <x:c r="F180" s="83" t="str">
        <x:v>An LCSW feels unusually protective of a client whose history resembles the LCSW's sibling and notices avoiding necessary limit-setting. What should the LCSW do FIRST?</x:v>
      </x:c>
      <x:c r="G180" s="83" t="str">
        <x:v>Bring the reaction to supervision or consultation, examine its effect on assessment and intervention, and protect the client while adjusting practice.</x:v>
      </x:c>
      <x:c r="H180" s="83" t="str">
        <x:v>Disclose the full personal history to the client so the reaction is transparent.</x:v>
      </x:c>
      <x:c r="I180" s="83" t="str">
        <x:v>Continue unchanged because empathy always improves treatment.</x:v>
      </x:c>
      <x:c r="J180" s="83" t="str">
        <x:v>Terminate immediately without assessing whether the reaction can be managed.</x:v>
      </x:c>
      <x:c r="K180" s="83" t="str">
        <x:v>A</x:v>
      </x:c>
      <x:c r="L180" s="83" t="str">
        <x:v>Correct. Early reflective use of supervision helps identify the effect of countertransference and supports appropriate corrective action.</x:v>
      </x:c>
      <x:c r="M180" s="83" t="str">
        <x:v>Incorrect. Extensive self-disclosure may shift focus to the clinician and is not the first management step.</x:v>
      </x:c>
      <x:c r="N180" s="83" t="str">
        <x:v>Incorrect. Protective feelings can distort boundaries and clinical judgment.</x:v>
      </x:c>
      <x:c r="O180" s="83" t="str">
        <x:v>Incorrect. Termination may be unnecessary if the reaction can be responsibly managed.</x:v>
      </x:c>
      <x:c r="P180" s="83" t="str">
        <x:v>A. Correct. Early reflective use of supervision helps identify the effect of countertransference and supports appropriate corrective action.
B. Incorrect. Extensive self-disclosure may shift focus to the clinician and is not the first management step.
C. Incorrect. Protective feelings can distort boundaries and clinical judgment.
D. Incorrect. Termination may be unnecessary if the reaction can be responsibly managed.</x:v>
      </x:c>
      <x:c r="Q180" s="83" t="str">
        <x:v>The exam usually favors early supervision when personal reactions begin affecting judgment, boundaries, or intervention.</x:v>
      </x:c>
      <x:c r="R180" s="89" t="str">
        <x:v>CTA LCSW Workbook 11</x:v>
      </x:c>
    </x:row>
    <x:row r="181">
      <x:c r="A181" s="88" t="str">
        <x:v>CTA-LCSW-MQB-0180</x:v>
      </x:c>
      <x:c r="B181" s="83" t="str">
        <x:v>LCSW-WB11-QB-Q010</x:v>
      </x:c>
      <x:c r="C181" s="83" t="str">
        <x:v>Workbook Question Bank</x:v>
      </x:c>
      <x:c r="D181" s="83" t="str">
        <x:v>Workbook 11</x:v>
      </x:c>
      <x:c r="E181" s="83" t="n">
        <x:v>4</x:v>
      </x:c>
      <x:c r="F181" s="83" t="str">
        <x:v>A supervisor is assigned a supervisee who is beginning a highly specialized intervention that the supervisor has never practiced. What is the BEST response?</x:v>
      </x:c>
      <x:c r="G181" s="83" t="str">
        <x:v>Approve the work because supervisory status establishes competence in every method.</x:v>
      </x:c>
      <x:c r="H181" s="83" t="str">
        <x:v>Clarify the competence gap, obtain qualified consultation or additional supervision, and limit or adjust the work until adequate oversight is available.</x:v>
      </x:c>
      <x:c r="I181" s="83" t="str">
        <x:v>Tell the supervisee to learn independently and avoid discussing cases.</x:v>
      </x:c>
      <x:c r="J181" s="83" t="str">
        <x:v>Continue supervising but omit the specialty issue from documentation.</x:v>
      </x:c>
      <x:c r="K181" s="83" t="str">
        <x:v>B</x:v>
      </x:c>
      <x:c r="L181" s="83" t="str">
        <x:v>Incorrect. Supervisory authority does not create competence in every specialty.</x:v>
      </x:c>
      <x:c r="M181" s="83" t="str">
        <x:v>Correct. The supervisor should address the gap directly and ensure appropriate oversight before higher-risk work proceeds.</x:v>
      </x:c>
      <x:c r="N181" s="83" t="str">
        <x:v>Incorrect. Independent reading alone may be insufficient and removes needed oversight.</x:v>
      </x:c>
      <x:c r="O181" s="83" t="str">
        <x:v>Incorrect. Concealing the gap undermines accountability and client protection.</x:v>
      </x:c>
      <x:c r="P181" s="83" t="str">
        <x:v>A. Incorrect. Supervisory authority does not create competence in every specialty.
B. Correct. The supervisor should address the gap directly and ensure appropriate oversight before higher-risk work proceeds.
C. Incorrect. Independent reading alone may be insufficient and removes needed oversight.
D. Incorrect. Concealing the gap undermines accountability and client protection.</x:v>
      </x:c>
      <x:c r="Q181" s="83" t="str">
        <x:v>Supervision must itself be competent. Choose consultation, training, limits, or referral when the supervisor cannot adequately oversee the work.</x:v>
      </x:c>
      <x:c r="R181" s="89" t="str">
        <x:v>CTA LCSW Workbook 11</x:v>
      </x:c>
    </x:row>
    <x:row r="182">
      <x:c r="A182" s="88" t="str">
        <x:v>CTA-LCSW-MQB-0181</x:v>
      </x:c>
      <x:c r="B182" s="83" t="str">
        <x:v>LCSW-WB11-QB-Q011</x:v>
      </x:c>
      <x:c r="C182" s="83" t="str">
        <x:v>Workbook Question Bank</x:v>
      </x:c>
      <x:c r="D182" s="83" t="str">
        <x:v>Workbook 11</x:v>
      </x:c>
      <x:c r="E182" s="83" t="n">
        <x:v>4</x:v>
      </x:c>
      <x:c r="F182" s="83" t="str">
        <x:v>An audit finds that discharge summaries are repeatedly missing medication information across several units. What is the BEST initial administrative response?</x:v>
      </x:c>
      <x:c r="G182" s="83" t="str">
        <x:v>Discipline the last employee who completed an incomplete summary.</x:v>
      </x:c>
      <x:c r="H182" s="83" t="str">
        <x:v>Stop auditing because the results may reduce morale.</x:v>
      </x:c>
      <x:c r="I182" s="83" t="str">
        <x:v>Examine workflow, role clarity, training, record design, staffing, and handoff processes; implement safeguards and monitor results.</x:v>
      </x:c>
      <x:c r="J182" s="83" t="str">
        <x:v>Delete the incomplete summaries so the error rate appears lower.</x:v>
      </x:c>
      <x:c r="K182" s="83" t="str">
        <x:v>C</x:v>
      </x:c>
      <x:c r="L182" s="83" t="str">
        <x:v>Incorrect. Focusing on one person may miss the repeated system contributors.</x:v>
      </x:c>
      <x:c r="M182" s="83" t="str">
        <x:v>Incorrect. Ending review prevents learning and risk reduction.</x:v>
      </x:c>
      <x:c r="N182" s="83" t="str">
        <x:v>Correct. Quality assurance uses patterns to identify causes, improve processes, and evaluate whether safeguards work.</x:v>
      </x:c>
      <x:c r="O182" s="83" t="str">
        <x:v>Incorrect. Altering or concealing records is unethical and destroys useful safety information.</x:v>
      </x:c>
      <x:c r="P182" s="83" t="str">
        <x:v>A. Incorrect. Focusing on one person may miss the repeated system contributors.
B. Incorrect. Ending review prevents learning and risk reduction.
C. Correct. Quality assurance uses patterns to identify causes, improve processes, and evaluate whether safeguards work.
D. Incorrect. Altering or concealing records is unethical and destroys useful safety information.</x:v>
      </x:c>
      <x:c r="Q182" s="83" t="str">
        <x:v>Repeated errors across people or units usually signal a system target. Use accurate data, root-cause analysis, corrective action, and monitoring.</x:v>
      </x:c>
      <x:c r="R182" s="89" t="str">
        <x:v>CTA LCSW Workbook 11</x:v>
      </x:c>
    </x:row>
    <x:row r="183">
      <x:c r="A183" s="88" t="str">
        <x:v>CTA-LCSW-MQB-0182</x:v>
      </x:c>
      <x:c r="B183" s="83" t="str">
        <x:v>LCSW-WB11-QB-Q012</x:v>
      </x:c>
      <x:c r="C183" s="83" t="str">
        <x:v>Workbook Question Bank</x:v>
      </x:c>
      <x:c r="D183" s="83" t="str">
        <x:v>Workbook 11</x:v>
      </x:c>
      <x:c r="E183" s="83" t="n">
        <x:v>4</x:v>
      </x:c>
      <x:c r="F183" s="83" t="str">
        <x:v>An agency is introducing a new risk-assessment policy. Staff report that responsibilities are unclear and the form does not fit several service settings. What should the administrator do NEXT?</x:v>
      </x:c>
      <x:c r="G183" s="83" t="str">
        <x:v>Enforce the policy immediately without explanation so implementation is consistent.</x:v>
      </x:c>
      <x:c r="H183" s="83" t="str">
        <x:v>Allow each employee to create an unrelated local policy.</x:v>
      </x:c>
      <x:c r="I183" s="83" t="str">
        <x:v>Suspend all risk assessment until every concern is resolved.</x:v>
      </x:c>
      <x:c r="J183" s="83" t="str">
        <x:v>Engage affected staff, clarify roles and workflow, revise the implementation plan as appropriate, train users, and monitor adherence and outcomes.</x:v>
      </x:c>
      <x:c r="K183" s="83" t="str">
        <x:v>D</x:v>
      </x:c>
      <x:c r="L183" s="83" t="str">
        <x:v>Incorrect. Unclear roles and poor fit can create inconsistent or unsafe implementation.</x:v>
      </x:c>
      <x:c r="M183" s="83" t="str">
        <x:v>Incorrect. Uncoordinated local rules increase confusion and variation.</x:v>
      </x:c>
      <x:c r="N183" s="83" t="str">
        <x:v>Incorrect. Suspending all risk assessment creates unnecessary danger.</x:v>
      </x:c>
      <x:c r="O183" s="83" t="str">
        <x:v>Correct. Effective administration combines participation, role clarity, adaptation, training, implementation, and evaluation.</x:v>
      </x:c>
      <x:c r="P183" s="83" t="str">
        <x:v>A. Incorrect. Unclear roles and poor fit can create inconsistent or unsafe implementation.
B. Incorrect. Uncoordinated local rules increase confusion and variation.
C. Incorrect. Suspending all risk assessment creates unnecessary danger.
D. Correct. Effective administration combines participation, role clarity, adaptation, training, implementation, and evaluation.</x:v>
      </x:c>
      <x:c r="Q183" s="83" t="str">
        <x:v>A strong administrative answer does more than announce policy. It plans implementation, clarifies ownership, supports users, and evaluates results.</x:v>
      </x:c>
      <x:c r="R183" s="89" t="str">
        <x:v>CTA LCSW Workbook 11</x:v>
      </x:c>
    </x:row>
    <x:row r="184">
      <x:c r="A184" s="88" t="str">
        <x:v>CTA-LCSW-MQB-0183</x:v>
      </x:c>
      <x:c r="B184" s="83" t="str">
        <x:v>LCSW-WB11-QB-Q013</x:v>
      </x:c>
      <x:c r="C184" s="83" t="str">
        <x:v>Workbook Question Bank</x:v>
      </x:c>
      <x:c r="D184" s="83" t="str">
        <x:v>Workbook 11</x:v>
      </x:c>
      <x:c r="E184" s="83" t="n">
        <x:v>4</x:v>
      </x:c>
      <x:c r="F184" s="83" t="str">
        <x:v>A clinic reports that depression outcomes improved after treatment. However, many clients completed a measure that was not appropriately translated or validated for their language, and interpreter-assisted administration varied by staff member. What is the BEST interpretation and next step?</x:v>
      </x:c>
      <x:c r="G184" s="83" t="str">
        <x:v>Treat the conclusion as uncertain, examine measurement validity and administration consistency, improve language-access procedures, and reevaluate outcomes.</x:v>
      </x:c>
      <x:c r="H184" s="83" t="str">
        <x:v>Accept the results because a standardized measure is valid in every language.</x:v>
      </x:c>
      <x:c r="I184" s="83" t="str">
        <x:v>Exclude all clients who did not complete the English version from future evaluation.</x:v>
      </x:c>
      <x:c r="J184" s="83" t="str">
        <x:v>Conclude that treatment failed because the data contain limitations.</x:v>
      </x:c>
      <x:c r="K184" s="83" t="str">
        <x:v>A</x:v>
      </x:c>
      <x:c r="L184" s="83" t="str">
        <x:v>Correct. The measurement and administration problems threaten interpretation; the clinic should correct them and reassess rather than overclaim.</x:v>
      </x:c>
      <x:c r="M184" s="83" t="str">
        <x:v>Incorrect. Standardization in one language does not establish equivalent validity in another.</x:v>
      </x:c>
      <x:c r="N184" s="83" t="str">
        <x:v>Incorrect. Exclusion would worsen inequity and reduce the relevance of the evaluation.</x:v>
      </x:c>
      <x:c r="O184" s="83" t="str">
        <x:v>Incorrect. Limited data do not prove failure; they limit confidence in the conclusion.</x:v>
      </x:c>
      <x:c r="P184" s="83" t="str">
        <x:v>A. Correct. The measurement and administration problems threaten interpretation; the clinic should correct them and reassess rather than overclaim.
B. Incorrect. Standardization in one language does not establish equivalent validity in another.
C. Incorrect. Exclusion would worsen inequity and reduce the relevance of the evaluation.
D. Incorrect. Limited data do not prove failure; they limit confidence in the conclusion.</x:v>
      </x:c>
      <x:c r="Q184" s="83" t="str">
        <x:v>Before interpreting group differences or change, ask whether the measure and administration support comparable meaning for the population assessed.</x:v>
      </x:c>
      <x:c r="R184" s="89" t="str">
        <x:v>CTA LCSW Workbook 11</x:v>
      </x:c>
    </x:row>
    <x:row r="185">
      <x:c r="A185" s="88" t="str">
        <x:v>CTA-LCSW-MQB-0184</x:v>
      </x:c>
      <x:c r="B185" s="83" t="str">
        <x:v>LCSW-WB11-QB-Q014</x:v>
      </x:c>
      <x:c r="C185" s="83" t="str">
        <x:v>Workbook Question Bank</x:v>
      </x:c>
      <x:c r="D185" s="83" t="str">
        <x:v>Workbook 11</x:v>
      </x:c>
      <x:c r="E185" s="83" t="n">
        <x:v>4</x:v>
      </x:c>
      <x:c r="F185" s="83" t="str">
        <x:v>Clients who voluntarily joined an intensive employment program obtained jobs more often than clients who declined. The groups were not randomly assigned, and participants who joined had higher initial motivation. What can the evaluator conclude?</x:v>
      </x:c>
      <x:c r="G185" s="83" t="str">
        <x:v>The program caused the employment difference because outcomes were better.</x:v>
      </x:c>
      <x:c r="H185" s="83" t="str">
        <x:v>Participation is associated with better outcomes, but self-selection and baseline differences limit causal conclusions and should be examined.</x:v>
      </x:c>
      <x:c r="I185" s="83" t="str">
        <x:v>Motivation cannot affect employment outcomes once services begin.</x:v>
      </x:c>
      <x:c r="J185" s="83" t="str">
        <x:v>No useful information can be learned from nonrandomized data.</x:v>
      </x:c>
      <x:c r="K185" s="83" t="str">
        <x:v>B</x:v>
      </x:c>
      <x:c r="L185" s="83" t="str">
        <x:v>Incorrect. Better outcomes alone do not separate program effects from selection and baseline differences.</x:v>
      </x:c>
      <x:c r="M185" s="83" t="str">
        <x:v>Correct. The design supports an association while requiring cautious interpretation and analysis of alternative explanations.</x:v>
      </x:c>
      <x:c r="N185" s="83" t="str">
        <x:v>Incorrect. Initial motivation may influence both participation and outcomes.</x:v>
      </x:c>
      <x:c r="O185" s="83" t="str">
        <x:v>Incorrect. Observational data can be informative when limitations are stated and appropriate analyses are used.</x:v>
      </x:c>
      <x:c r="P185" s="83" t="str">
        <x:v>A. Incorrect. Better outcomes alone do not separate program effects from selection and baseline differences.
B. Correct. The design supports an association while requiring cautious interpretation and analysis of alternative explanations.
C. Incorrect. Initial motivation may influence both participation and outcomes.
D. Incorrect. Observational data can be informative when limitations are stated and appropriate analyses are used.</x:v>
      </x:c>
      <x:c r="Q185" s="83" t="str">
        <x:v>Match the claim to the design. Self-selection is a clue that association is safer than causation.</x:v>
      </x:c>
      <x:c r="R185" s="89" t="str">
        <x:v>CTA LCSW Workbook 11</x:v>
      </x:c>
    </x:row>
    <x:row r="186">
      <x:c r="A186" s="88" t="str">
        <x:v>CTA-LCSW-MQB-0185</x:v>
      </x:c>
      <x:c r="B186" s="83" t="str">
        <x:v>LCSW-WB11-QB-Q015</x:v>
      </x:c>
      <x:c r="C186" s="83" t="str">
        <x:v>Workbook Question Bank</x:v>
      </x:c>
      <x:c r="D186" s="83" t="str">
        <x:v>Workbook 11</x:v>
      </x:c>
      <x:c r="E186" s="83" t="n">
        <x:v>4</x:v>
      </x:c>
      <x:c r="F186" s="83" t="str">
        <x:v>An LCSW wants to review several years of agency records to study treatment completion and publish the findings. The records include sensitive information, and clients did not consent to this research use. What is the BEST plan?</x:v>
      </x:c>
      <x:c r="G186" s="83" t="str">
        <x:v>Copy the records to a personal device because names will be removed later.</x:v>
      </x:c>
      <x:c r="H186" s="83" t="str">
        <x:v>Proceed without review because the information already exists.</x:v>
      </x:c>
      <x:c r="I186" s="83" t="str">
        <x:v>Seek required organizational and independent review, determine consent or waiver requirements, use the minimum necessary data, protect privacy, and maintain secure access.</x:v>
      </x:c>
      <x:c r="J186" s="83" t="str">
        <x:v>Ask one current client to approve use of all past clients' records.</x:v>
      </x:c>
      <x:c r="K186" s="83" t="str">
        <x:v>C</x:v>
      </x:c>
      <x:c r="L186" s="83" t="str">
        <x:v>Incorrect. Personal-device copying creates privacy and security risks and may violate policy.</x:v>
      </x:c>
      <x:c r="M186" s="83" t="str">
        <x:v>Incorrect. Existing records are not automatically available for research or publication.</x:v>
      </x:c>
      <x:c r="N186" s="83" t="str">
        <x:v>Correct. Ethical record research requires appropriate review, lawful authority, data minimization, privacy protection, and security.</x:v>
      </x:c>
      <x:c r="O186" s="83" t="str">
        <x:v>Incorrect. One client cannot authorize research use of other clients' records.</x:v>
      </x:c>
      <x:c r="P186" s="83" t="str">
        <x:v>A. Incorrect. Personal-device copying creates privacy and security risks and may violate policy.
B. Incorrect. Existing records are not automatically available for research or publication.
C. Correct. Ethical record research requires appropriate review, lawful authority, data minimization, privacy protection, and security.
D. Incorrect. One client cannot authorize research use of other clients' records.</x:v>
      </x:c>
      <x:c r="Q186" s="83" t="str">
        <x:v>For record-based research, look for review, authority, minimum necessary data, de-identification where possible, and secure handling.</x:v>
      </x:c>
      <x:c r="R186" s="89" t="str">
        <x:v>CTA LCSW Workbook 11</x:v>
      </x:c>
    </x:row>
    <x:row r="187">
      <x:c r="A187" s="88" t="str">
        <x:v>CTA-LCSW-MQB-0186</x:v>
      </x:c>
      <x:c r="B187" s="83" t="str">
        <x:v>LCSW-WB11-QB-Q016</x:v>
      </x:c>
      <x:c r="C187" s="83" t="str">
        <x:v>Workbook Question Bank</x:v>
      </x:c>
      <x:c r="D187" s="83" t="str">
        <x:v>Workbook 11</x:v>
      </x:c>
      <x:c r="E187" s="83" t="n">
        <x:v>4</x:v>
      </x:c>
      <x:c r="F187" s="83" t="str">
        <x:v>A supervisee reports that a client made a specific escalating threat and that the supervisee is unsure how to assess immediacy. What should the supervisor do?</x:v>
      </x:c>
      <x:c r="G187" s="83" t="str">
        <x:v>Tell the supervisee to document the concern and wait until the next supervision meeting.</x:v>
      </x:c>
      <x:c r="H187" s="83" t="str">
        <x:v>Take over the case permanently without discussing the reasoning process.</x:v>
      </x:c>
      <x:c r="I187" s="83" t="str">
        <x:v>Reassure the supervisee that uncertainty means no action is required.</x:v>
      </x:c>
      <x:c r="J187" s="83" t="str">
        <x:v>Provide immediate supervision, guide active risk assessment and required protective steps, clarify responsibilities, and ensure documentation and follow-up.</x:v>
      </x:c>
      <x:c r="K187" s="83" t="str">
        <x:v>D</x:v>
      </x:c>
      <x:c r="L187" s="83" t="str">
        <x:v>Incorrect. Delay may be unsafe when a threat is specific and escalating.</x:v>
      </x:c>
      <x:c r="M187" s="83" t="str">
        <x:v>Incorrect. The supervisor may need direct involvement, but should also clarify roles and develop the supervisee's reasoning.</x:v>
      </x:c>
      <x:c r="N187" s="83" t="str">
        <x:v>Incorrect. Uncertainty is a reason to obtain prompt supervision, not to dismiss risk.</x:v>
      </x:c>
      <x:c r="O187" s="83" t="str">
        <x:v>Correct. The response integrates immediate client/public protection, supervision, role clarity, documentation, and continuity.</x:v>
      </x:c>
      <x:c r="P187" s="83" t="str">
        <x:v>A. Incorrect. Delay may be unsafe when a threat is specific and escalating.
B. Incorrect. The supervisor may need direct involvement, but should also clarify roles and develop the supervisee's reasoning.
C. Incorrect. Uncertainty is a reason to obtain prompt supervision, not to dismiss risk.
D. Correct. The response integrates immediate client/public protection, supervision, role clarity, documentation, and continuity.</x:v>
      </x:c>
      <x:c r="Q187" s="83" t="str">
        <x:v>In urgent supervision questions, address safety now while preserving clear responsibility and a learning process.</x:v>
      </x:c>
      <x:c r="R187" s="89" t="str">
        <x:v>CTA LCSW Workbook 11</x:v>
      </x:c>
    </x:row>
    <x:row r="188">
      <x:c r="A188" s="88" t="str">
        <x:v>CTA-LCSW-MQB-0187</x:v>
      </x:c>
      <x:c r="B188" s="83" t="str">
        <x:v>LCSW-WB11-QB-Q017</x:v>
      </x:c>
      <x:c r="C188" s="83" t="str">
        <x:v>Workbook Question Bank</x:v>
      </x:c>
      <x:c r="D188" s="83" t="str">
        <x:v>Workbook 11</x:v>
      </x:c>
      <x:c r="E188" s="83" t="n">
        <x:v>4</x:v>
      </x:c>
      <x:c r="F188" s="83" t="str">
        <x:v>Agency data show that clients who need interpreters wait twice as long for intake and complete treatment less often. Staff report that interpreter requests are handled differently by each program. What is the BEST administrative response?</x:v>
      </x:c>
      <x:c r="G188" s="83" t="str">
        <x:v>Involve affected clients and staff, map the workflow, identify access barriers and responsibility gaps, implement standardized language-access improvements, and monitor equitable timeliness and outcomes.</x:v>
      </x:c>
      <x:c r="H188" s="83" t="str">
        <x:v>Stop collecting language data so the disparity is no longer visible.</x:v>
      </x:c>
      <x:c r="I188" s="83" t="str">
        <x:v>Refer every client who needs an interpreter elsewhere regardless of availability or preference.</x:v>
      </x:c>
      <x:c r="J188" s="83" t="str">
        <x:v>Evaluate staff only on the total number of cases closed.</x:v>
      </x:c>
      <x:c r="K188" s="83" t="str">
        <x:v>A</x:v>
      </x:c>
      <x:c r="L188" s="83" t="str">
        <x:v>Correct. The plan uses data, participation, workflow analysis, clear responsibility, targeted implementation, and equity-focused monitoring.</x:v>
      </x:c>
      <x:c r="M188" s="83" t="str">
        <x:v>Incorrect. Removing data conceals rather than corrects the disparity.</x:v>
      </x:c>
      <x:c r="N188" s="83" t="str">
        <x:v>Incorrect. Automatic referral may worsen access and avoids organizational responsibility.</x:v>
      </x:c>
      <x:c r="O188" s="83" t="str">
        <x:v>Incorrect. A volume-only metric can intensify inequity and does not address the access process.</x:v>
      </x:c>
      <x:c r="P188" s="83" t="str">
        <x:v>A. Correct. The plan uses data, participation, workflow analysis, clear responsibility, targeted implementation, and equity-focused monitoring.
B. Incorrect. Removing data conceals rather than corrects the disparity.
C. Incorrect. Automatic referral may worsen access and avoids organizational responsibility.
D. Incorrect. A volume-only metric can intensify inequity and does not address the access process.</x:v>
      </x:c>
      <x:c r="Q188" s="83" t="str">
        <x:v>When outcomes differ systematically across groups, choose a system-level response that includes affected people and measures whether equity improves.</x:v>
      </x:c>
      <x:c r="R188" s="89" t="str">
        <x:v>CTA LCSW Workbook 11</x:v>
      </x:c>
    </x:row>
    <x:row r="189">
      <x:c r="A189" s="88" t="str">
        <x:v>CTA-LCSW-MQB-0188</x:v>
      </x:c>
      <x:c r="B189" s="83" t="str">
        <x:v>LCSW-WB12-QB-Q001</x:v>
      </x:c>
      <x:c r="C189" s="83" t="str">
        <x:v>Workbook Question Bank</x:v>
      </x:c>
      <x:c r="D189" s="83" t="str">
        <x:v>Workbook 12</x:v>
      </x:c>
      <x:c r="E189" s="83" t="n">
        <x:v>4</x:v>
      </x:c>
      <x:c r="F189" s="83" t="str">
        <x:v>What is the PRIMARY purpose of the CLINIC reasoning sequence in the source workbook?</x:v>
      </x:c>
      <x:c r="G189" s="83" t="str">
        <x:v>To organize client and context, immediate priorities, the question task, practice stage, ethics and person-in-environment factors, and the best-supported response.</x:v>
      </x:c>
      <x:c r="H189" s="83" t="str">
        <x:v>To replace assessment with a memorized list of interventions.</x:v>
      </x:c>
      <x:c r="I189" s="83" t="str">
        <x:v>To identify the longest answer choice as correct.</x:v>
      </x:c>
      <x:c r="J189" s="83" t="str">
        <x:v>To require diagnosis before any safety or engagement step.</x:v>
      </x:c>
      <x:c r="K189" s="83" t="str">
        <x:v>A</x:v>
      </x:c>
      <x:c r="L189" s="83" t="str">
        <x:v>Correct. CLINIC is an integrated method for organizing the vignette and selecting a response without adding unsupported facts.</x:v>
      </x:c>
      <x:c r="M189" s="83" t="str">
        <x:v>Incorrect. The sequence supports reasoning; it does not eliminate assessment or individualized judgment.</x:v>
      </x:c>
      <x:c r="N189" s="83" t="str">
        <x:v>Incorrect. Answer length is not a valid clinical decision rule.</x:v>
      </x:c>
      <x:c r="O189" s="83" t="str">
        <x:v>Incorrect. Safety, medical urgency, legal duties, and engagement may precede diagnosis.</x:v>
      </x:c>
      <x:c r="P189" s="83" t="str">
        <x:v>A. Correct. CLINIC is an integrated method for organizing the vignette and selecting a response without adding unsupported facts.
B. Incorrect. The sequence supports reasoning; it does not eliminate assessment or individualized judgment.
C. Incorrect. Answer length is not a valid clinical decision rule.
D. Incorrect. Safety, medical urgency, legal duties, and engagement may precede diagnosis.</x:v>
      </x:c>
      <x:c r="Q189" s="83" t="str">
        <x:v>Use the sequence to organize the facts and stage of practice, not as a substitute for clinical judgment or content knowledge.</x:v>
      </x:c>
      <x:c r="R189" s="89" t="str">
        <x:v>CTA LCSW Workbook 12</x:v>
      </x:c>
    </x:row>
    <x:row r="190">
      <x:c r="A190" s="88" t="str">
        <x:v>CTA-LCSW-MQB-0189</x:v>
      </x:c>
      <x:c r="B190" s="83" t="str">
        <x:v>LCSW-WB12-QB-Q002</x:v>
      </x:c>
      <x:c r="C190" s="83" t="str">
        <x:v>Workbook Question Bank</x:v>
      </x:c>
      <x:c r="D190" s="83" t="str">
        <x:v>Workbook 12</x:v>
      </x:c>
      <x:c r="E190" s="83" t="n">
        <x:v>4</x:v>
      </x:c>
      <x:c r="F190" s="83" t="str">
        <x:v>A licensing-exam question asks what a social worker should do FIRST. Which approach is BEST?</x:v>
      </x:c>
      <x:c r="G190" s="83" t="str">
        <x:v>Select the most comprehensive long-term plan regardless of what has already occurred.</x:v>
      </x:c>
      <x:c r="H190" s="83" t="str">
        <x:v>Identify the earliest necessary step that addresses the stated priority without skipping assessment, safety, consent, or role clarification.</x:v>
      </x:c>
      <x:c r="I190" s="83" t="str">
        <x:v>Choose the intervention with the most technical terminology.</x:v>
      </x:c>
      <x:c r="J190" s="83" t="str">
        <x:v>Add likely facts that would make one option more urgent.</x:v>
      </x:c>
      <x:c r="K190" s="83" t="str">
        <x:v>B</x:v>
      </x:c>
      <x:c r="L190" s="83" t="str">
        <x:v>Incorrect. FIRST asks for sequence, not necessarily the most complete final plan.</x:v>
      </x:c>
      <x:c r="M190" s="83" t="str">
        <x:v>Correct. The test-taker should choose the earliest required step supported by the facts and stage of practice.</x:v>
      </x:c>
      <x:c r="N190" s="83" t="str">
        <x:v>Incorrect. Technical wording does not establish proper sequencing or fit.</x:v>
      </x:c>
      <x:c r="O190" s="83" t="str">
        <x:v>Incorrect. The source workbook repeatedly warns against adding facts not provided.</x:v>
      </x:c>
      <x:c r="P190" s="83" t="str">
        <x:v>A. Incorrect. FIRST asks for sequence, not necessarily the most complete final plan.
B. Correct. The test-taker should choose the earliest required step supported by the facts and stage of practice.
C. Incorrect. Technical wording does not establish proper sequencing or fit.
D. Incorrect. The source workbook repeatedly warns against adding facts not provided.</x:v>
      </x:c>
      <x:c r="Q190" s="83" t="str">
        <x:v>Translate the qualifier before comparing choices. FIRST and NEXT test sequence; BEST and MOST test the strongest supported response.</x:v>
      </x:c>
      <x:c r="R190" s="89" t="str">
        <x:v>CTA LCSW Workbook 12</x:v>
      </x:c>
    </x:row>
    <x:row r="191">
      <x:c r="A191" s="88" t="str">
        <x:v>CTA-LCSW-MQB-0190</x:v>
      </x:c>
      <x:c r="B191" s="83" t="str">
        <x:v>LCSW-WB12-QB-Q003</x:v>
      </x:c>
      <x:c r="C191" s="83" t="str">
        <x:v>Workbook Question Bank</x:v>
      </x:c>
      <x:c r="D191" s="83" t="str">
        <x:v>Workbook 12</x:v>
      </x:c>
      <x:c r="E191" s="83" t="n">
        <x:v>4</x:v>
      </x:c>
      <x:c r="F191" s="83" t="str">
        <x:v>A capable adult understands the likely consequences of declining a recommended day program and prefers a less intensive option. What should the social worker generally do?</x:v>
      </x:c>
      <x:c r="G191" s="83" t="str">
        <x:v>Enroll the client without consent because the program is clinically preferable.</x:v>
      </x:c>
      <x:c r="H191" s="83" t="str">
        <x:v>End services because the client disagrees with the recommendation.</x:v>
      </x:c>
      <x:c r="I191" s="83" t="str">
        <x:v>Explore understanding, risks, values, alternatives, and barriers, then support the client's informed decision and develop a feasible plan.</x:v>
      </x:c>
      <x:c r="J191" s="83" t="str">
        <x:v>Ask a family member to override the client's choice.</x:v>
      </x:c>
      <x:c r="K191" s="83" t="str">
        <x:v>C</x:v>
      </x:c>
      <x:c r="L191" s="83" t="str">
        <x:v>Incorrect. Clinical preference does not ordinarily authorize coercion of a capable adult.</x:v>
      </x:c>
      <x:c r="M191" s="83" t="str">
        <x:v>Incorrect. Disagreement does not by itself justify termination.</x:v>
      </x:c>
      <x:c r="N191" s="83" t="str">
        <x:v>Correct. Self-determination includes informed discussion, assessment of understanding, and collaborative planning.</x:v>
      </x:c>
      <x:c r="O191" s="83" t="str">
        <x:v>Incorrect. Family preference does not automatically replace the capable client's authority.</x:v>
      </x:c>
      <x:c r="P191" s="83" t="str">
        <x:v>A. Incorrect. Clinical preference does not ordinarily authorize coercion of a capable adult.
B. Incorrect. Disagreement does not by itself justify termination.
C. Correct. Self-determination includes informed discussion, assessment of understanding, and collaborative planning.
D. Incorrect. Family preference does not automatically replace the capable client's authority.</x:v>
      </x:c>
      <x:c r="Q191" s="83" t="str">
        <x:v>When capacity is intact, combine informed choice with safety discussion, alternatives, and collaborative planning rather than professional domination.</x:v>
      </x:c>
      <x:c r="R191" s="89" t="str">
        <x:v>CTA LCSW Workbook 12</x:v>
      </x:c>
    </x:row>
    <x:row r="192">
      <x:c r="A192" s="88" t="str">
        <x:v>CTA-LCSW-MQB-0191</x:v>
      </x:c>
      <x:c r="B192" s="83" t="str">
        <x:v>LCSW-WB12-QB-Q004</x:v>
      </x:c>
      <x:c r="C192" s="83" t="str">
        <x:v>Workbook Question Bank</x:v>
      </x:c>
      <x:c r="D192" s="83" t="str">
        <x:v>Workbook 12</x:v>
      </x:c>
      <x:c r="E192" s="83" t="n">
        <x:v>4</x:v>
      </x:c>
      <x:c r="F192" s="83" t="str">
        <x:v>What does person-in-environment reasoning add to a clinical formulation?</x:v>
      </x:c>
      <x:c r="G192" s="83" t="str">
        <x:v>Symptoms should be understood without considering housing, discrimination, family roles, health, or resources.</x:v>
      </x:c>
      <x:c r="H192" s="83" t="str">
        <x:v>Environmental barriers matter only after individual symptoms have fully resolved.</x:v>
      </x:c>
      <x:c r="I192" s="83" t="str">
        <x:v>A diagnosis explains all problems across settings and systems.</x:v>
      </x:c>
      <x:c r="J192" s="83" t="str">
        <x:v>Functioning reflects the interaction of individual strengths and symptoms with relationships, institutions, resources, culture, and physical conditions.</x:v>
      </x:c>
      <x:c r="K192" s="83" t="str">
        <x:v>D</x:v>
      </x:c>
      <x:c r="L192" s="83" t="str">
        <x:v>Incorrect. Person-in-environment practice explicitly examines contextual and structural influences.</x:v>
      </x:c>
      <x:c r="M192" s="83" t="str">
        <x:v>Incorrect. Environmental barriers may maintain distress and should often be addressed alongside clinical needs.</x:v>
      </x:c>
      <x:c r="N192" s="83" t="str">
        <x:v>Incorrect. Diagnosis does not replace a multidimensional contextual assessment.</x:v>
      </x:c>
      <x:c r="O192" s="83" t="str">
        <x:v>Correct. The framework integrates individual and environmental factors rather than treating context as background.</x:v>
      </x:c>
      <x:c r="P192" s="83" t="str">
        <x:v>A. Incorrect. Person-in-environment practice explicitly examines contextual and structural influences.
B. Incorrect. Environmental barriers may maintain distress and should often be addressed alongside clinical needs.
C. Incorrect. Diagnosis does not replace a multidimensional contextual assessment.
D. Correct. The framework integrates individual and environmental factors rather than treating context as background.</x:v>
      </x:c>
      <x:c r="Q192" s="83" t="str">
        <x:v>Choose the option that connects the person and systems bidirectionally instead of reducing the case to symptoms or diagnosis.</x:v>
      </x:c>
      <x:c r="R192" s="89" t="str">
        <x:v>CTA LCSW Workbook 12</x:v>
      </x:c>
    </x:row>
    <x:row r="193">
      <x:c r="A193" s="88" t="str">
        <x:v>CTA-LCSW-MQB-0192</x:v>
      </x:c>
      <x:c r="B193" s="83" t="str">
        <x:v>LCSW-WB12-QB-Q005</x:v>
      </x:c>
      <x:c r="C193" s="83" t="str">
        <x:v>Workbook Question Bank</x:v>
      </x:c>
      <x:c r="D193" s="83" t="str">
        <x:v>Workbook 12</x:v>
      </x:c>
      <x:c r="E193" s="83" t="n">
        <x:v>4</x:v>
      </x:c>
      <x:c r="F193" s="83" t="str">
        <x:v>During review of a practice exam, when should a candidate be MOST willing to change an answer?</x:v>
      </x:c>
      <x:c r="G193" s="83" t="str">
        <x:v>When a specific fact, rule, or sequence shows that the original response is weaker than another option.</x:v>
      </x:c>
      <x:c r="H193" s="83" t="str">
        <x:v>Whenever the original answer was selected quickly.</x:v>
      </x:c>
      <x:c r="I193" s="83" t="str">
        <x:v>Whenever another choice sounds more sophisticated.</x:v>
      </x:c>
      <x:c r="J193" s="83" t="str">
        <x:v>After rereading every item repeatedly even without identifying a concrete problem.</x:v>
      </x:c>
      <x:c r="K193" s="83" t="str">
        <x:v>A</x:v>
      </x:c>
      <x:c r="L193" s="83" t="str">
        <x:v>Correct. The source workbook recommends changing an answer for a concrete content or sequencing reason, not vague discomfort.</x:v>
      </x:c>
      <x:c r="M193" s="83" t="str">
        <x:v>Incorrect. Speed alone does not establish that the original answer was wrong.</x:v>
      </x:c>
      <x:c r="N193" s="83" t="str">
        <x:v>Incorrect. Sophisticated language may be a distractor and does not establish correctness.</x:v>
      </x:c>
      <x:c r="O193" s="83" t="str">
        <x:v>Incorrect. Unfocused rereading can increase second-guessing without improving reasoning.</x:v>
      </x:c>
      <x:c r="P193" s="83" t="str">
        <x:v>A. Correct. The source workbook recommends changing an answer for a concrete content or sequencing reason, not vague discomfort.
B. Incorrect. Speed alone does not establish that the original answer was wrong.
C. Incorrect. Sophisticated language may be a distractor and does not establish correctness.
D. Incorrect. Unfocused rereading can increase second-guessing without improving reasoning.</x:v>
      </x:c>
      <x:c r="Q193" s="83" t="str">
        <x:v>Use confidence to prioritize review, but change an answer only when you can name the fact or sequence that makes another choice stronger.</x:v>
      </x:c>
      <x:c r="R193" s="89" t="str">
        <x:v>CTA LCSW Workbook 12</x:v>
      </x:c>
    </x:row>
    <x:row r="194">
      <x:c r="A194" s="88" t="str">
        <x:v>CTA-LCSW-MQB-0193</x:v>
      </x:c>
      <x:c r="B194" s="83" t="str">
        <x:v>LCSW-WB12-QB-Q006</x:v>
      </x:c>
      <x:c r="C194" s="83" t="str">
        <x:v>Workbook Question Bank</x:v>
      </x:c>
      <x:c r="D194" s="83" t="str">
        <x:v>Workbook 12</x:v>
      </x:c>
      <x:c r="E194" s="83" t="n">
        <x:v>4</x:v>
      </x:c>
      <x:c r="F194" s="83" t="str">
        <x:v>During an intake, a client reports researching lethal medication doses but says, “I probably would not act on it.” What should the social worker do FIRST?</x:v>
      </x:c>
      <x:c r="G194" s="83" t="str">
        <x:v>Reassure the client that the feeling will pass and move to coping skills.</x:v>
      </x:c>
      <x:c r="H194" s="83" t="str">
        <x:v>Ask direct, structured questions about current thoughts, intent, plan, means, history, protective factors, and ability to maintain safety.</x:v>
      </x:c>
      <x:c r="I194" s="83" t="str">
        <x:v>Avoid mentioning suicide so the idea is not reinforced.</x:v>
      </x:c>
      <x:c r="J194" s="83" t="str">
        <x:v>Begin long-term treatment planning before clarifying current risk.</x:v>
      </x:c>
      <x:c r="K194" s="83" t="str">
        <x:v>B</x:v>
      </x:c>
      <x:c r="L194" s="83" t="str">
        <x:v>Incorrect. Reassurance before assessment leaves the level of risk unknown.</x:v>
      </x:c>
      <x:c r="M194" s="83" t="str">
        <x:v>Correct. Direct assessment of current risk and protective factors precedes routine counseling or planning.</x:v>
      </x:c>
      <x:c r="N194" s="83" t="str">
        <x:v>Incorrect. Avoidance does not protect the client and may miss urgent information.</x:v>
      </x:c>
      <x:c r="O194" s="83" t="str">
        <x:v>Incorrect. Long-term planning should not precede clarification of immediate safety.</x:v>
      </x:c>
      <x:c r="P194" s="83" t="str">
        <x:v>A. Incorrect. Reassurance before assessment leaves the level of risk unknown.
B. Correct. Direct assessment of current risk and protective factors precedes routine counseling or planning.
C. Incorrect. Avoidance does not protect the client and may miss urgent information.
D. Incorrect. Long-term planning should not precede clarification of immediate safety.</x:v>
      </x:c>
      <x:c r="Q194" s="83" t="str">
        <x:v>When a vignette includes possible self-harm, assess current risk directly before routine intervention, interpretation, or long-term planning.</x:v>
      </x:c>
      <x:c r="R194" s="89" t="str">
        <x:v>CTA LCSW Workbook 12</x:v>
      </x:c>
    </x:row>
    <x:row r="195">
      <x:c r="A195" s="88" t="str">
        <x:v>CTA-LCSW-MQB-0194</x:v>
      </x:c>
      <x:c r="B195" s="83" t="str">
        <x:v>LCSW-WB12-QB-Q007</x:v>
      </x:c>
      <x:c r="C195" s="83" t="str">
        <x:v>Workbook Question Bank</x:v>
      </x:c>
      <x:c r="D195" s="83" t="str">
        <x:v>Workbook 12</x:v>
      </x:c>
      <x:c r="E195" s="83" t="n">
        <x:v>4</x:v>
      </x:c>
      <x:c r="F195" s="83" t="str">
        <x:v>A client who uses a signed language arrives for an intake with a neighbor who offers to interpret sensitive health information. What is the BEST response?</x:v>
      </x:c>
      <x:c r="G195" s="83" t="str">
        <x:v>Use the neighbor automatically because the client arrived with that person.</x:v>
      </x:c>
      <x:c r="H195" s="83" t="str">
        <x:v>Ask only yes-or-no questions so interpretation is unnecessary.</x:v>
      </x:c>
      <x:c r="I195" s="83" t="str">
        <x:v>Arrange qualified communication access, explain roles and confidentiality, confirm the client's preferences, and proceed in an accessible manner.</x:v>
      </x:c>
      <x:c r="J195" s="83" t="str">
        <x:v>Delay all services until the client can communicate in spoken English.</x:v>
      </x:c>
      <x:c r="K195" s="83" t="str">
        <x:v>C</x:v>
      </x:c>
      <x:c r="L195" s="83" t="str">
        <x:v>Incorrect. An unqualified acquaintance may create accuracy, privacy, power, and voluntariness concerns.</x:v>
      </x:c>
      <x:c r="M195" s="83" t="str">
        <x:v>Incorrect. Restricting the assessment does not create accessible or adequate communication.</x:v>
      </x:c>
      <x:c r="N195" s="83" t="str">
        <x:v>Correct. Qualified access supports accurate assessment, confidentiality, and meaningful client participation.</x:v>
      </x:c>
      <x:c r="O195" s="83" t="str">
        <x:v>Incorrect. Services should not be withheld when reasonable communication access can be arranged.</x:v>
      </x:c>
      <x:c r="P195" s="83" t="str">
        <x:v>A. Incorrect. An unqualified acquaintance may create accuracy, privacy, power, and voluntariness concerns.
B. Incorrect. Restricting the assessment does not create accessible or adequate communication.
C. Correct. Qualified access supports accurate assessment, confidentiality, and meaningful client participation.
D. Incorrect. Services should not be withheld when reasonable communication access can be arranged.</x:v>
      </x:c>
      <x:c r="Q195" s="83" t="str">
        <x:v>Communication access is part of informed participation. Prefer qualified support, role clarity, confidentiality, and client choice.</x:v>
      </x:c>
      <x:c r="R195" s="89" t="str">
        <x:v>CTA LCSW Workbook 12</x:v>
      </x:c>
    </x:row>
    <x:row r="196">
      <x:c r="A196" s="88" t="str">
        <x:v>CTA-LCSW-MQB-0195</x:v>
      </x:c>
      <x:c r="B196" s="83" t="str">
        <x:v>LCSW-WB12-QB-Q008</x:v>
      </x:c>
      <x:c r="C196" s="83" t="str">
        <x:v>Workbook Question Bank</x:v>
      </x:c>
      <x:c r="D196" s="83" t="str">
        <x:v>Workbook 12</x:v>
      </x:c>
      <x:c r="E196" s="83" t="n">
        <x:v>4</x:v>
      </x:c>
      <x:c r="F196" s="83" t="str">
        <x:v>A client with no prior psychiatric history develops agitation, insomnia, and rapid speech shortly after starting a new medication and increasing stimulant use. What should the social worker do NEXT?</x:v>
      </x:c>
      <x:c r="G196" s="83" t="str">
        <x:v>Assign a final bipolar diagnosis immediately.</x:v>
      </x:c>
      <x:c r="H196" s="83" t="str">
        <x:v>Focus only on childhood attachment because current substances and medication are secondary.</x:v>
      </x:c>
      <x:c r="I196" s="83" t="str">
        <x:v>Begin a behavioral contract without clarifying medical factors.</x:v>
      </x:c>
      <x:c r="J196" s="83" t="str">
        <x:v>Assess chronology, substances, medication changes, medical symptoms, functioning, and safety, and coordinate appropriate medical evaluation.</x:v>
      </x:c>
      <x:c r="K196" s="83" t="str">
        <x:v>D</x:v>
      </x:c>
      <x:c r="L196" s="83" t="str">
        <x:v>Incorrect. The timing and possible substance or medication effects make an immediate final diagnosis premature.</x:v>
      </x:c>
      <x:c r="M196" s="83" t="str">
        <x:v>Incorrect. Developmental history may matter, but it does not replace current differential assessment.</x:v>
      </x:c>
      <x:c r="N196" s="83" t="str">
        <x:v>Incorrect. Intervention should not precede clarification of acute causes and safety.</x:v>
      </x:c>
      <x:c r="O196" s="83" t="str">
        <x:v>Correct. Chronology, medical and substance factors, functional change, and safety are central to differential reasoning.</x:v>
      </x:c>
      <x:c r="P196" s="83" t="str">
        <x:v>A. Incorrect. The timing and possible substance or medication effects make an immediate final diagnosis premature.
B. Incorrect. Developmental history may matter, but it does not replace current differential assessment.
C. Incorrect. Intervention should not precede clarification of acute causes and safety.
D. Correct. Chronology, medical and substance factors, functional change, and safety are central to differential reasoning.</x:v>
      </x:c>
      <x:c r="Q196" s="83" t="str">
        <x:v>Sudden or unclear symptom onset is a cue to assess medical, medication, substance, timing, baseline, and safety factors before final diagnosis.</x:v>
      </x:c>
      <x:c r="R196" s="89" t="str">
        <x:v>CTA LCSW Workbook 12</x:v>
      </x:c>
    </x:row>
    <x:row r="197">
      <x:c r="A197" s="88" t="str">
        <x:v>CTA-LCSW-MQB-0196</x:v>
      </x:c>
      <x:c r="B197" s="83" t="str">
        <x:v>LCSW-WB12-QB-Q009</x:v>
      </x:c>
      <x:c r="C197" s="83" t="str">
        <x:v>Workbook Question Bank</x:v>
      </x:c>
      <x:c r="D197" s="83" t="str">
        <x:v>Workbook 12</x:v>
      </x:c>
      <x:c r="E197" s="83" t="n">
        <x:v>4</x:v>
      </x:c>
      <x:c r="F197" s="83" t="str">
        <x:v>A client identifies “feeling less overwhelmed” as a treatment goal but has unstable transportation and frequent missed medical appointments. What is the BEST planning response?</x:v>
      </x:c>
      <x:c r="G197" s="83" t="str">
        <x:v>Collaboratively define observable indicators of improvement, include transportation and care-coordination barriers, identify strengths and resources, and set review points.</x:v>
      </x:c>
      <x:c r="H197" s="83" t="str">
        <x:v>Write a symptom-only plan without the client because environmental issues are not clinical.</x:v>
      </x:c>
      <x:c r="I197" s="83" t="str">
        <x:v>Delay all planning until transportation is permanently solved.</x:v>
      </x:c>
      <x:c r="J197" s="83" t="str">
        <x:v>Use the agency's standard goals without considering the client's priorities.</x:v>
      </x:c>
      <x:c r="K197" s="83" t="str">
        <x:v>A</x:v>
      </x:c>
      <x:c r="L197" s="83" t="str">
        <x:v>Correct. The plan integrates client goals, measurable outcomes, person-in-environment barriers, strengths, resources, and evaluation.</x:v>
      </x:c>
      <x:c r="M197" s="83" t="str">
        <x:v>Incorrect. Excluding the client and context reduces relevance and may weaken follow-through.</x:v>
      </x:c>
      <x:c r="N197" s="83" t="str">
        <x:v>Incorrect. Clinical and resource planning can proceed together.</x:v>
      </x:c>
      <x:c r="O197" s="83" t="str">
        <x:v>Incorrect. Standardized goals should not replace individualized participation and assessment.</x:v>
      </x:c>
      <x:c r="P197" s="83" t="str">
        <x:v>A. Correct. The plan integrates client goals, measurable outcomes, person-in-environment barriers, strengths, resources, and evaluation.
B. Incorrect. Excluding the client and context reduces relevance and may weaken follow-through.
C. Incorrect. Clinical and resource planning can proceed together.
D. Incorrect. Standardized goals should not replace individualized participation and assessment.</x:v>
      </x:c>
      <x:c r="Q197" s="83" t="str">
        <x:v>A strong plan links client priorities, observable outcomes, environmental barriers, strengths, interventions, and a review schedule.</x:v>
      </x:c>
      <x:c r="R197" s="89" t="str">
        <x:v>CTA LCSW Workbook 12</x:v>
      </x:c>
    </x:row>
    <x:row r="198">
      <x:c r="A198" s="88" t="str">
        <x:v>CTA-LCSW-MQB-0197</x:v>
      </x:c>
      <x:c r="B198" s="83" t="str">
        <x:v>LCSW-WB12-QB-Q010</x:v>
      </x:c>
      <x:c r="C198" s="83" t="str">
        <x:v>Workbook Question Bank</x:v>
      </x:c>
      <x:c r="D198" s="83" t="str">
        <x:v>Workbook 12</x:v>
      </x:c>
      <x:c r="E198" s="83" t="n">
        <x:v>4</x:v>
      </x:c>
      <x:c r="F198" s="83" t="str">
        <x:v>A client ordered to treatment says, “I do not think my drinking is a problem, but I am tired of fighting with my family.” What should the social worker do NEXT?</x:v>
      </x:c>
      <x:c r="G198" s="83" t="str">
        <x:v>Confront the client with every negative consequence until the client admits having a disorder.</x:v>
      </x:c>
      <x:c r="H198" s="83" t="str">
        <x:v>Use reflective listening to explore both sides of the ambivalence, elicit the client's own reasons for change, and support autonomy.</x:v>
      </x:c>
      <x:c r="I198" s="83" t="str">
        <x:v>End the session because motivation must exist before treatment begins.</x:v>
      </x:c>
      <x:c r="J198" s="83" t="str">
        <x:v>Ask the family to decide the client's treatment goals.</x:v>
      </x:c>
      <x:c r="K198" s="83" t="str">
        <x:v>B</x:v>
      </x:c>
      <x:c r="L198" s="83" t="str">
        <x:v>Incorrect. Argument and confrontation may intensify resistance and reduce engagement.</x:v>
      </x:c>
      <x:c r="M198" s="83" t="str">
        <x:v>Correct. Motivational interviewing explores ambivalence and elicits client-generated change language while respecting autonomy.</x:v>
      </x:c>
      <x:c r="N198" s="83" t="str">
        <x:v>Incorrect. Ambivalence is common and can be addressed clinically.</x:v>
      </x:c>
      <x:c r="O198" s="83" t="str">
        <x:v>Incorrect. Family input may be useful, but goals should not replace the client's participation.</x:v>
      </x:c>
      <x:c r="P198" s="83" t="str">
        <x:v>A. Incorrect. Argument and confrontation may intensify resistance and reduce engagement.
B. Correct. Motivational interviewing explores ambivalence and elicits client-generated change language while respecting autonomy.
C. Incorrect. Ambivalence is common and can be addressed clinically.
D. Incorrect. Family input may be useful, but goals should not replace the client's participation.</x:v>
      </x:c>
      <x:c r="Q198" s="83" t="str">
        <x:v>When the client voices both sustain talk and a concern, use empathy, discrepancy, autonomy, and elicitation rather than argument.</x:v>
      </x:c>
      <x:c r="R198" s="89" t="str">
        <x:v>CTA LCSW Workbook 12</x:v>
      </x:c>
    </x:row>
    <x:row r="199">
      <x:c r="A199" s="88" t="str">
        <x:v>CTA-LCSW-MQB-0198</x:v>
      </x:c>
      <x:c r="B199" s="83" t="str">
        <x:v>LCSW-WB12-QB-Q011</x:v>
      </x:c>
      <x:c r="C199" s="83" t="str">
        <x:v>Workbook Question Bank</x:v>
      </x:c>
      <x:c r="D199" s="83" t="str">
        <x:v>Workbook 12</x:v>
      </x:c>
      <x:c r="E199" s="83" t="n">
        <x:v>4</x:v>
      </x:c>
      <x:c r="F199" s="83" t="str">
        <x:v>A hospital team asks an LCSW to present “everything the client has ever disclosed” during rounds. The client authorized coordination for discharge planning. What should the LCSW do?</x:v>
      </x:c>
      <x:c r="G199" s="83" t="str">
        <x:v>Share the complete history because all team members work for the hospital.</x:v>
      </x:c>
      <x:c r="H199" s="83" t="str">
        <x:v>Refuse all collaboration, including information necessary for discharge safety.</x:v>
      </x:c>
      <x:c r="I199" s="83" t="str">
        <x:v>Clarify the discharge-planning purpose and team roles, then share only authorized or otherwise permitted information relevant to that purpose.</x:v>
      </x:c>
      <x:c r="J199" s="83" t="str">
        <x:v>Discuss unrelated details informally after rounds so they are not part of the record.</x:v>
      </x:c>
      <x:c r="K199" s="83" t="str">
        <x:v>C</x:v>
      </x:c>
      <x:c r="L199" s="83" t="str">
        <x:v>Incorrect. Team membership does not create unlimited access to every clinical detail.</x:v>
      </x:c>
      <x:c r="M199" s="83" t="str">
        <x:v>Incorrect. Appropriate limited collaboration may be necessary for safe care.</x:v>
      </x:c>
      <x:c r="N199" s="83" t="str">
        <x:v>Correct. The LCSW should match disclosure to purpose, authority, role, and minimum relevant information.</x:v>
      </x:c>
      <x:c r="O199" s="83" t="str">
        <x:v>Incorrect. Informal discussion is still disclosure and may create additional privacy concerns.</x:v>
      </x:c>
      <x:c r="P199" s="83" t="str">
        <x:v>A. Incorrect. Team membership does not create unlimited access to every clinical detail.
B. Incorrect. Appropriate limited collaboration may be necessary for safe care.
C. Correct. The LCSW should match disclosure to purpose, authority, role, and minimum relevant information.
D. Incorrect. Informal discussion is still disclosure and may create additional privacy concerns.</x:v>
      </x:c>
      <x:c r="Q199" s="83" t="str">
        <x:v>Collaboration does not erase confidentiality. Match information to authorization or permission, clinical purpose, role, and minimum relevance.</x:v>
      </x:c>
      <x:c r="R199" s="89" t="str">
        <x:v>CTA LCSW Workbook 12</x:v>
      </x:c>
    </x:row>
    <x:row r="200">
      <x:c r="A200" s="88" t="str">
        <x:v>CTA-LCSW-MQB-0199</x:v>
      </x:c>
      <x:c r="B200" s="83" t="str">
        <x:v>LCSW-WB12-QB-Q012</x:v>
      </x:c>
      <x:c r="C200" s="83" t="str">
        <x:v>Workbook Question Bank</x:v>
      </x:c>
      <x:c r="D200" s="83" t="str">
        <x:v>Workbook 12</x:v>
      </x:c>
      <x:c r="E200" s="83" t="n">
        <x:v>4</x:v>
      </x:c>
      <x:c r="F200" s="83" t="str">
        <x:v>A client agrees to a substance-use referral but has missed prior appointments because of anxiety, transportation problems, and confusion about eligibility. What is the BEST next step?</x:v>
      </x:c>
      <x:c r="G200" s="83" t="str">
        <x:v>Give the client a long resource list and close the case immediately.</x:v>
      </x:c>
      <x:c r="H200" s="83" t="str">
        <x:v>Tell the client that motivation is proven only by arranging services independently.</x:v>
      </x:c>
      <x:c r="I200" s="83" t="str">
        <x:v>Refer the client to the most distant program because it has the longest waitlist.</x:v>
      </x:c>
      <x:c r="J200" s="83" t="str">
        <x:v>With the client's participation, clarify eligibility and barriers, make a warm connection to an appropriate provider, coordinate needed information, and confirm follow-through.</x:v>
      </x:c>
      <x:c r="K200" s="83" t="str">
        <x:v>D</x:v>
      </x:c>
      <x:c r="L200" s="83" t="str">
        <x:v>Incorrect. A list alone may not address the barriers already identified.</x:v>
      </x:c>
      <x:c r="M200" s="83" t="str">
        <x:v>Incorrect. Requiring unsupported self-navigation may reproduce the access problem.</x:v>
      </x:c>
      <x:c r="N200" s="83" t="str">
        <x:v>Incorrect. Referral fit should consider level of care, access, timing, and client needs.</x:v>
      </x:c>
      <x:c r="O200" s="83" t="str">
        <x:v>Correct. A warm handoff integrates client choice, barrier reduction, coordination, and continuity.</x:v>
      </x:c>
      <x:c r="P200" s="83" t="str">
        <x:v>A. Incorrect. A list alone may not address the barriers already identified.
B. Incorrect. Requiring unsupported self-navigation may reproduce the access problem.
C. Incorrect. Referral fit should consider level of care, access, timing, and client needs.
D. Correct. A warm handoff integrates client choice, barrier reduction, coordination, and continuity.</x:v>
      </x:c>
      <x:c r="Q200" s="83" t="str">
        <x:v>When prior referrals failed because of access barriers, choose active linkage, role clarity, client participation, and follow-up rather than another passive list.</x:v>
      </x:c>
      <x:c r="R200" s="89" t="str">
        <x:v>CTA LCSW Workbook 12</x:v>
      </x:c>
    </x:row>
    <x:row r="201">
      <x:c r="A201" s="88" t="str">
        <x:v>CTA-LCSW-MQB-0200</x:v>
      </x:c>
      <x:c r="B201" s="83" t="str">
        <x:v>LCSW-WB12-QB-Q013</x:v>
      </x:c>
      <x:c r="C201" s="83" t="str">
        <x:v>Workbook Question Bank</x:v>
      </x:c>
      <x:c r="D201" s="83" t="str">
        <x:v>Workbook 12</x:v>
      </x:c>
      <x:c r="E201" s="83" t="n">
        <x:v>4</x:v>
      </x:c>
      <x:c r="F201" s="83" t="str">
        <x:v>An older adult in outpatient therapy suddenly becomes disoriented, has difficulty standing, and cannot state the current date. The client was oriented at the previous visit. What should the social worker do FIRST?</x:v>
      </x:c>
      <x:c r="G201" s="83" t="str">
        <x:v>Address immediate safety and facilitate urgent medical evaluation rather than interpreting the change psychotherapeutically.</x:v>
      </x:c>
      <x:c r="H201" s="83" t="str">
        <x:v>Begin a life-review intervention to determine whether aging is causing distress.</x:v>
      </x:c>
      <x:c r="I201" s="83" t="str">
        <x:v>Assign a dementia diagnosis based on the single session.</x:v>
      </x:c>
      <x:c r="J201" s="83" t="str">
        <x:v>Ask the client to return next week after resting.</x:v>
      </x:c>
      <x:c r="K201" s="83" t="str">
        <x:v>A</x:v>
      </x:c>
      <x:c r="L201" s="83" t="str">
        <x:v>Correct. An abrupt change from baseline with impaired balance and orientation raises urgent medical or neurological concerns.</x:v>
      </x:c>
      <x:c r="M201" s="83" t="str">
        <x:v>Incorrect. Psychotherapeutic exploration is not the immediate priority during an acute cognitive and physical change.</x:v>
      </x:c>
      <x:c r="N201" s="83" t="str">
        <x:v>Incorrect. A sudden change should not be assumed to represent dementia.</x:v>
      </x:c>
      <x:c r="O201" s="83" t="str">
        <x:v>Incorrect. Waiting may be unsafe when urgent evaluation is indicated.</x:v>
      </x:c>
      <x:c r="P201" s="83" t="str">
        <x:v>A. Correct. An abrupt change from baseline with impaired balance and orientation raises urgent medical or neurological concerns.
B. Incorrect. Psychotherapeutic exploration is not the immediate priority during an acute cognitive and physical change.
C. Incorrect. A sudden change should not be assumed to represent dementia.
D. Incorrect. Waiting may be unsafe when urgent evaluation is indicated.</x:v>
      </x:c>
      <x:c r="Q201" s="83" t="str">
        <x:v>Use the priority ladder: acute medical and safety concerns precede routine assessment, diagnosis, or psychotherapy.</x:v>
      </x:c>
      <x:c r="R201" s="89" t="str">
        <x:v>CTA LCSW Workbook 12</x:v>
      </x:c>
    </x:row>
    <x:row r="202">
      <x:c r="A202" s="88" t="str">
        <x:v>CTA-LCSW-MQB-0201</x:v>
      </x:c>
      <x:c r="B202" s="83" t="str">
        <x:v>LCSW-WB12-QB-Q014</x:v>
      </x:c>
      <x:c r="C202" s="83" t="str">
        <x:v>Workbook Question Bank</x:v>
      </x:c>
      <x:c r="D202" s="83" t="str">
        <x:v>Workbook 12</x:v>
      </x:c>
      <x:c r="E202" s="83" t="n">
        <x:v>4</x:v>
      </x:c>
      <x:c r="F202" s="83" t="str">
        <x:v>During an intake for couple therapy, one partner repeatedly answers for the other. When briefly alone, the quieter partner reports fear of retaliation after sessions but asks the social worker not to “make things worse.” What is the BEST response?</x:v>
      </x:c>
      <x:c r="G202" s="83" t="str">
        <x:v>Begin conjoint communication exercises immediately because both partners attended voluntarily.</x:v>
      </x:c>
      <x:c r="H202" s="83" t="str">
        <x:v>Conduct a private safety assessment, clarify confidentiality and limits, evaluate whether conjoint treatment is appropriate, and develop a safer service plan with the client's participation.</x:v>
      </x:c>
      <x:c r="I202" s="83" t="str">
        <x:v>Confront the controlling partner in the waiting room.</x:v>
      </x:c>
      <x:c r="J202" s="83" t="str">
        <x:v>Promise that no protective action or consultation will ever occur.</x:v>
      </x:c>
      <x:c r="K202" s="83" t="str">
        <x:v>B</x:v>
      </x:c>
      <x:c r="L202" s="83" t="str">
        <x:v>Incorrect. Conjoint work may increase danger when coercion or retaliation is present.</x:v>
      </x:c>
      <x:c r="M202" s="83" t="str">
        <x:v>Correct. The social worker should prioritize safety, private assessment, informed participation, role clarity, and treatment fit.</x:v>
      </x:c>
      <x:c r="N202" s="83" t="str">
        <x:v>Incorrect. Public confrontation may escalate risk and compromise confidentiality.</x:v>
      </x:c>
      <x:c r="O202" s="83" t="str">
        <x:v>Incorrect. Absolute promises may be inaccurate and interfere with safety responsibilities.</x:v>
      </x:c>
      <x:c r="P202" s="83" t="str">
        <x:v>A. Incorrect. Conjoint work may increase danger when coercion or retaliation is present.
B. Correct. The social worker should prioritize safety, private assessment, informed participation, role clarity, and treatment fit.
C. Incorrect. Public confrontation may escalate risk and compromise confidentiality.
D. Incorrect. Absolute promises may be inaccurate and interfere with safety responsibilities.</x:v>
      </x:c>
      <x:c r="Q202" s="83" t="str">
        <x:v>When fear, coercion, or retaliation appears, assess safety privately before using conjoint interventions or disclosure that could increase danger.</x:v>
      </x:c>
      <x:c r="R202" s="89" t="str">
        <x:v>CTA LCSW Workbook 12</x:v>
      </x:c>
    </x:row>
    <x:row r="203">
      <x:c r="A203" s="88" t="str">
        <x:v>CTA-LCSW-MQB-0202</x:v>
      </x:c>
      <x:c r="B203" s="83" t="str">
        <x:v>LCSW-WB12-QB-Q015</x:v>
      </x:c>
      <x:c r="C203" s="83" t="str">
        <x:v>Workbook Question Bank</x:v>
      </x:c>
      <x:c r="D203" s="83" t="str">
        <x:v>Workbook 12</x:v>
      </x:c>
      <x:c r="E203" s="83" t="n">
        <x:v>4</x:v>
      </x:c>
      <x:c r="F203" s="83" t="str">
        <x:v>An LCSW working with a parent accused of neglect notices strong anger because of the LCSW's own family history. The LCSW has begun interpreting neutral comments as evidence of dishonesty. What should the LCSW do?</x:v>
      </x:c>
      <x:c r="G203" s="83" t="str">
        <x:v>Document the parent as deceptive because the emotional reaction confirms clinical intuition.</x:v>
      </x:c>
      <x:c r="H203" s="83" t="str">
        <x:v>Disclose the entire personal history to the parent so the assessment appears transparent.</x:v>
      </x:c>
      <x:c r="I203" s="83" t="str">
        <x:v>Seek prompt supervision or consultation, examine how the reaction is affecting assessment, correct unsupported conclusions, and modify or transfer work if objectivity cannot be restored.</x:v>
      </x:c>
      <x:c r="J203" s="83" t="str">
        <x:v>Terminate services without explaining or arranging continuity.</x:v>
      </x:c>
      <x:c r="K203" s="83" t="str">
        <x:v>C</x:v>
      </x:c>
      <x:c r="L203" s="83" t="str">
        <x:v>Incorrect. Personal reaction is not evidence and may distort assessment.</x:v>
      </x:c>
      <x:c r="M203" s="83" t="str">
        <x:v>Incorrect. Extensive self-disclosure may shift focus and does not first correct the impaired judgment.</x:v>
      </x:c>
      <x:c r="N203" s="83" t="str">
        <x:v>Correct. Reflective supervision supports accurate assessment, client protection, documentation correction, and proportionate continuity planning.</x:v>
      </x:c>
      <x:c r="O203" s="83" t="str">
        <x:v>Incorrect. Abrupt termination may create avoidable harm and does not address the assessment problem.</x:v>
      </x:c>
      <x:c r="P203" s="83" t="str">
        <x:v>A. Incorrect. Personal reaction is not evidence and may distort assessment.
B. Incorrect. Extensive self-disclosure may shift focus and does not first correct the impaired judgment.
C. Correct. Reflective supervision supports accurate assessment, client protection, documentation correction, and proportionate continuity planning.
D. Incorrect. Abrupt termination may create avoidable harm and does not address the assessment problem.</x:v>
      </x:c>
      <x:c r="Q203" s="83" t="str">
        <x:v>When clinician reactions alter observation or judgment, use supervision, evidence review, correction, and proportionate continuity planning.</x:v>
      </x:c>
      <x:c r="R203" s="89" t="str">
        <x:v>CTA LCSW Workbook 12</x:v>
      </x:c>
    </x:row>
    <x:row r="204">
      <x:c r="A204" s="88" t="str">
        <x:v>CTA-LCSW-MQB-0203</x:v>
      </x:c>
      <x:c r="B204" s="83" t="str">
        <x:v>LCSW-WB12-QB-Q016</x:v>
      </x:c>
      <x:c r="C204" s="83" t="str">
        <x:v>Workbook Question Bank</x:v>
      </x:c>
      <x:c r="D204" s="83" t="str">
        <x:v>Workbook 12</x:v>
      </x:c>
      <x:c r="E204" s="83" t="n">
        <x:v>4</x:v>
      </x:c>
      <x:c r="F204" s="83" t="str">
        <x:v>Program data show that clients without stable internet complete telehealth intake at half the rate of other clients. Staff currently label these clients “noncompliant.” What is the BEST administrative response?</x:v>
      </x:c>
      <x:c r="G204" s="83" t="str">
        <x:v>Evaluate staff only on the number of cases closed.</x:v>
      </x:c>
      <x:c r="H204" s="83" t="str">
        <x:v>Remove internet-access information from the data set so rates appear equal.</x:v>
      </x:c>
      <x:c r="I204" s="83" t="str">
        <x:v>Close referrals after one failed video connection regardless of need.</x:v>
      </x:c>
      <x:c r="J204" s="83" t="str">
        <x:v>Involve affected clients and staff, examine disaggregated workflow and access barriers, add feasible alternatives and clear responsibility, and monitor whether completion becomes more equitable.</x:v>
      </x:c>
      <x:c r="K204" s="83" t="str">
        <x:v>D</x:v>
      </x:c>
      <x:c r="L204" s="83" t="str">
        <x:v>Incorrect. A volume-only metric may reinforce inequity and does not measure access or quality.</x:v>
      </x:c>
      <x:c r="M204" s="83" t="str">
        <x:v>Incorrect. Removing data conceals rather than corrects the disparity.</x:v>
      </x:c>
      <x:c r="N204" s="83" t="str">
        <x:v>Incorrect. Automatic closure may worsen access and ignores the identified structural barrier.</x:v>
      </x:c>
      <x:c r="O204" s="83" t="str">
        <x:v>Correct. The response uses person-in-environment analysis, participation, system redesign, role clarity, and equity-focused evaluation.</x:v>
      </x:c>
      <x:c r="P204" s="83" t="str">
        <x:v>A. Incorrect. A volume-only metric may reinforce inequity and does not measure access or quality.
B. Incorrect. Removing data conceals rather than corrects the disparity.
C. Incorrect. Automatic closure may worsen access and ignores the identified structural barrier.
D. Correct. The response uses person-in-environment analysis, participation, system redesign, role clarity, and equity-focused evaluation.</x:v>
      </x:c>
      <x:c r="Q204" s="83" t="str">
        <x:v>When a disparity follows an access barrier, move from blaming clients to disaggregated data, participation, workflow change, alternatives, and outcome monitoring.</x:v>
      </x:c>
      <x:c r="R204" s="89" t="str">
        <x:v>CTA LCSW Workbook 12</x:v>
      </x:c>
    </x:row>
    <x:row r="205">
      <x:c r="A205" s="88" t="str">
        <x:v>CTA-LCSW-MQB-0204</x:v>
      </x:c>
      <x:c r="B205" s="83" t="str">
        <x:v>LCSW-WB12-QB-Q017</x:v>
      </x:c>
      <x:c r="C205" s="83" t="str">
        <x:v>Workbook Question Bank</x:v>
      </x:c>
      <x:c r="D205" s="83" t="str">
        <x:v>Workbook 12</x:v>
      </x:c>
      <x:c r="E205" s="83" t="n">
        <x:v>4</x:v>
      </x:c>
      <x:c r="F205" s="83" t="str">
        <x:v>A client with panic symptoms has attended six sessions and completed assigned exercises, but avoidance has increased. Review shows that the original plan did not assess recent medication changes, housing instability, or the client's fear of the exercise rationale. What should the social worker do NEXT?</x:v>
      </x:c>
      <x:c r="G205" s="83" t="str">
        <x:v>Reassess the formulation with the client, clarify medical and environmental factors, review intervention fit and understanding, revise the plan, and define measurable indicators for the revised approach.</x:v>
      </x:c>
      <x:c r="H205" s="83" t="str">
        <x:v>Repeat the same intervention indefinitely because the client attended consistently.</x:v>
      </x:c>
      <x:c r="I205" s="83" t="str">
        <x:v>Label the client resistant and terminate immediately.</x:v>
      </x:c>
      <x:c r="J205" s="83" t="str">
        <x:v>Add several unrelated techniques without discussing the lack of response.</x:v>
      </x:c>
      <x:c r="K205" s="83" t="str">
        <x:v>A</x:v>
      </x:c>
      <x:c r="L205" s="83" t="str">
        <x:v>Correct. Outcome data should trigger collaborative reassessment of missing factors, formulation, intervention fit, and measurable revision.</x:v>
      </x:c>
      <x:c r="M205" s="83" t="str">
        <x:v>Incorrect. Attendance does not establish that the plan is accurate or effective.</x:v>
      </x:c>
      <x:c r="N205" s="83" t="str">
        <x:v>Incorrect. A resistance label may obscure unassessed barriers, risks, or poor intervention fit.</x:v>
      </x:c>
      <x:c r="O205" s="83" t="str">
        <x:v>Incorrect. Technique accumulation without a revised hypothesis makes outcomes harder to interpret.</x:v>
      </x:c>
      <x:c r="P205" s="83" t="str">
        <x:v>A. Correct. Outcome data should trigger collaborative reassessment of missing factors, formulation, intervention fit, and measurable revision.
B. Incorrect. Attendance does not establish that the plan is accurate or effective.
C. Incorrect. A resistance label may obscure unassessed barriers, risks, or poor intervention fit.
D. Incorrect. Technique accumulation without a revised hypothesis makes outcomes harder to interpret.</x:v>
      </x:c>
      <x:c r="Q205" s="83" t="str">
        <x:v>When predicted improvement does not occur, reassess facts, context, understanding, and mechanism before revising the intervention and monitoring new outcomes.</x:v>
      </x:c>
      <x:c r="R205" s="89" t="str">
        <x:v>CTA LCSW Workbook 12</x:v>
      </x:c>
    </x:row>
    <x:row r="206">
      <x:c r="A206" s="88" t="str">
        <x:v>CTA-LCSW-MQB-0205</x:v>
      </x:c>
      <x:c r="B206" s="83" t="str">
        <x:v>LCSW-MQB-FA-IP-029</x:v>
      </x:c>
      <x:c r="C206" s="83" t="str">
        <x:v>Comprehensive Simulation</x:v>
      </x:c>
      <x:c r="D206" s="83" t="str">
        <x:v>Form A</x:v>
      </x:c>
      <x:c r="E206" s="83" t="n">
        <x:v>4</x:v>
      </x:c>
      <x:c r="F206" s="83" t="str">
        <x:v>A child’s disruptive behavior occurs mainly during difficult schoolwork. What should the school social worker do NEXT?</x:v>
      </x:c>
      <x:c r="G206" s="83" t="str">
        <x:v>Assess academic demands, learning needs, antecedents, consequences, and supports before selecting an intervention.</x:v>
      </x:c>
      <x:c r="H206" s="83" t="str">
        <x:v>Refer for medication without assessment.</x:v>
      </x:c>
      <x:c r="I206" s="83" t="str">
        <x:v>Use punishment as the first response.</x:v>
      </x:c>
      <x:c r="J206" s="83" t="str">
        <x:v>Assume intentional defiance.</x:v>
      </x:c>
      <x:c r="K206" s="83" t="str">
        <x:v>A</x:v>
      </x:c>
      <x:c r="L206" s="83" t="str">
        <x:v>Correct. The behavior may function to escape tasks that exceed current skills or supports.</x:v>
      </x:c>
      <x:c r="M206" s="83" t="str">
        <x:v>Incorrect. Medication referral is premature.</x:v>
      </x:c>
      <x:c r="N206" s="83" t="str">
        <x:v>Incorrect. Punishment may not address the function.</x:v>
      </x:c>
      <x:c r="O206" s="83" t="str">
        <x:v>Incorrect. Intent is not established.</x:v>
      </x:c>
      <x:c r="P206" s="83" t="str">
        <x:v>A. Correct. The behavior may function to escape tasks that exceed current skills or supports.
B. Incorrect. Medication referral is premature.
C. Incorrect. Punishment may not address the function.
D. Incorrect. Intent is not established.</x:v>
      </x:c>
      <x:c r="Q206" s="83" t="str">
        <x:v>Ask what happens before and after the behavior.</x:v>
      </x:c>
      <x:c r="R206" s="89" t="str">
        <x:v>CTA LCSW WB8–WB11; ASWB 2026 Clinical Content Area III</x:v>
      </x:c>
    </x:row>
    <x:row r="207">
      <x:c r="A207" s="88" t="str">
        <x:v>CTA-LCSW-MQB-0206</x:v>
      </x:c>
      <x:c r="B207" s="83" t="str">
        <x:v>LCSW-MQB-FA-IP-008</x:v>
      </x:c>
      <x:c r="C207" s="83" t="str">
        <x:v>Comprehensive Simulation</x:v>
      </x:c>
      <x:c r="D207" s="83" t="str">
        <x:v>Form A</x:v>
      </x:c>
      <x:c r="E207" s="83" t="n">
        <x:v>3</x:v>
      </x:c>
      <x:c r="F207" s="83" t="str">
        <x:v>A client needs therapy, transportation, food assistance, and medication follow-up. What is the BEST case-management response?</x:v>
      </x:c>
      <x:c r="G207" s="83" t="str">
        <x:v>Give a long list of phone numbers and close the case.</x:v>
      </x:c>
      <x:c r="H207" s="83" t="str">
        <x:v>Address only the therapy need.</x:v>
      </x:c>
      <x:c r="I207" s="83" t="str">
        <x:v>Prioritize needs with the client, coordinate referrals, clarify roles, reduce barriers, and follow up on whether services were actually accessed.</x:v>
      </x:c>
      <x:c r="J207" s="83" t="str"/>
      <x:c r="K207" s="83" t="str">
        <x:v>C</x:v>
      </x:c>
      <x:c r="L207" s="83" t="str">
        <x:v>Incorrect. A list alone may not overcome barriers.</x:v>
      </x:c>
      <x:c r="M207" s="83" t="str">
        <x:v>Incorrect. Needs are interconnected.</x:v>
      </x:c>
      <x:c r="N207" s="83" t="str">
        <x:v>Correct. Effective case management links services and supports client agency rather than merely referring.</x:v>
      </x:c>
      <x:c r="O207" s="83" t="str"/>
      <x:c r="P207" s="83" t="str">
        <x:v>A. Incorrect. A list alone may not overcome barriers.
B. Incorrect. Needs are interconnected.
C. Correct. Effective case management links services and supports client agency rather than merely referring.</x:v>
      </x:c>
      <x:c r="Q207" s="83" t="str">
        <x:v>Referral is a process: connect, coordinate, and verify.</x:v>
      </x:c>
      <x:c r="R207" s="89" t="str">
        <x:v>CTA LCSW WB10; CTA LCSW WB11; ASWB 2026 Clinical Content Area III</x:v>
      </x:c>
    </x:row>
    <x:row r="208">
      <x:c r="A208" s="88" t="str">
        <x:v>CTA-LCSW-MQB-0207</x:v>
      </x:c>
      <x:c r="B208" s="83" t="str">
        <x:v>LCSW-MQB-FA-AP-036</x:v>
      </x:c>
      <x:c r="C208" s="83" t="str">
        <x:v>Comprehensive Simulation</x:v>
      </x:c>
      <x:c r="D208" s="83" t="str">
        <x:v>Form A</x:v>
      </x:c>
      <x:c r="E208" s="83" t="n">
        <x:v>4</x:v>
      </x:c>
      <x:c r="F208" s="83" t="str">
        <x:v>A child’s aggression began after parental separation, repeated school changes, and loss of contact with extended family. What is the BEST formulation?</x:v>
      </x:c>
      <x:c r="G208" s="83" t="str">
        <x:v>Focus only on parenting discipline.</x:v>
      </x:c>
      <x:c r="H208" s="83" t="str">
        <x:v>Assume a fixed conduct disorder from aggression alone.</x:v>
      </x:c>
      <x:c r="I208" s="83" t="str">
        <x:v>Assess developmental needs, attachment disruptions, family conflict, school context, trauma exposure, strengths, and the behavior’s function across settings.</x:v>
      </x:c>
      <x:c r="J208" s="83" t="str">
        <x:v>Ignore environmental changes because the child is the identified client.</x:v>
      </x:c>
      <x:c r="K208" s="83" t="str">
        <x:v>C</x:v>
      </x:c>
      <x:c r="L208" s="83" t="str">
        <x:v>Incorrect. Parenting is only one part of the system.</x:v>
      </x:c>
      <x:c r="M208" s="83" t="str">
        <x:v>Incorrect. One behavior does not establish a fixed diagnosis.</x:v>
      </x:c>
      <x:c r="N208" s="83" t="str">
        <x:v>Correct. The behavior may reflect multiple interacting developmental and environmental factors.</x:v>
      </x:c>
      <x:c r="O208" s="83" t="str">
        <x:v>Incorrect. Person-in-environment assessment remains essential.</x:v>
      </x:c>
      <x:c r="P208" s="83" t="str">
        <x:v>A. Incorrect. Parenting is only one part of the system.
B. Incorrect. One behavior does not establish a fixed diagnosis.
C. Correct. The behavior may reflect multiple interacting developmental and environmental factors.
D. Incorrect. Person-in-environment assessment remains essential.</x:v>
      </x:c>
      <x:c r="Q208" s="83" t="str">
        <x:v>Formulate across time, relationships, and settings before selecting a label.</x:v>
      </x:c>
      <x:c r="R208" s="89" t="str">
        <x:v>CTA LCSW WB3–WB7; ASWB 2026 Clinical Content Area II</x:v>
      </x:c>
    </x:row>
    <x:row r="209">
      <x:c r="A209" s="88" t="str">
        <x:v>CTA-LCSW-MQB-0208</x:v>
      </x:c>
      <x:c r="B209" s="83" t="str">
        <x:v>LCSW-MQB-FA-IP-035</x:v>
      </x:c>
      <x:c r="C209" s="83" t="str">
        <x:v>Comprehensive Simulation</x:v>
      </x:c>
      <x:c r="D209" s="83" t="str">
        <x:v>Form A</x:v>
      </x:c>
      <x:c r="E209" s="83" t="n">
        <x:v>4</x:v>
      </x:c>
      <x:c r="F209" s="83" t="str">
        <x:v>A family requests communication training, but assessment reveals one member uses threats, surveillance, and financial control. What should the social worker do?</x:v>
      </x:c>
      <x:c r="G209" s="83" t="str">
        <x:v>Proceed with standard conjoint communication exercises.</x:v>
      </x:c>
      <x:c r="H209" s="83" t="str">
        <x:v>Treat the problem as mutual anger only.</x:v>
      </x:c>
      <x:c r="I209" s="83" t="str">
        <x:v>Ask both parties to compromise equally.</x:v>
      </x:c>
      <x:c r="J209" s="83" t="str">
        <x:v>Prioritize safety and coercive-control assessment, avoid interventions that assume equal power, and develop individual and resource-based safety options.</x:v>
      </x:c>
      <x:c r="K209" s="83" t="str">
        <x:v>D</x:v>
      </x:c>
      <x:c r="L209" s="83" t="str">
        <x:v>Incorrect. Joint exercises can increase risk or provide information to the abusive partner.</x:v>
      </x:c>
      <x:c r="M209" s="83" t="str">
        <x:v>Incorrect. The pattern is broader than ordinary conflict.</x:v>
      </x:c>
      <x:c r="N209" s="83" t="str">
        <x:v>Incorrect. Equal-responsibility framing may blame the victim.</x:v>
      </x:c>
      <x:c r="O209" s="83" t="str">
        <x:v>Correct. Coercive control changes the safety and appropriateness of conjoint intervention.</x:v>
      </x:c>
      <x:c r="P209" s="83" t="str">
        <x:v>A. Incorrect. Joint exercises can increase risk or provide information to the abusive partner.
B. Incorrect. The pattern is broader than ordinary conflict.
C. Incorrect. Equal-responsibility framing may blame the victim.
D. Correct. Coercive control changes the safety and appropriateness of conjoint intervention.</x:v>
      </x:c>
      <x:c r="Q209" s="83" t="str">
        <x:v>Do not use symmetry-based interventions in an asymmetric power system.</x:v>
      </x:c>
      <x:c r="R209" s="89" t="str">
        <x:v>CTA LCSW WB8–WB11; ASWB 2026 Clinical Content Area III</x:v>
      </x:c>
    </x:row>
    <x:row r="210">
      <x:c r="A210" s="88" t="str">
        <x:v>CTA-LCSW-MQB-0209</x:v>
      </x:c>
      <x:c r="B210" s="83" t="str">
        <x:v>LCSW-MQB-FA-VE-034</x:v>
      </x:c>
      <x:c r="C210" s="83" t="str">
        <x:v>Comprehensive Simulation</x:v>
      </x:c>
      <x:c r="D210" s="83" t="str">
        <x:v>Form A</x:v>
      </x:c>
      <x:c r="E210" s="83" t="n">
        <x:v>4</x:v>
      </x:c>
      <x:c r="F210" s="83" t="str">
        <x:v>A manager tells staff to document services that were scheduled but not actually provided so a grant target is met. What should the social worker do?</x:v>
      </x:c>
      <x:c r="G210" s="83" t="str">
        <x:v>Comply because the funding supports clients.</x:v>
      </x:c>
      <x:c r="H210" s="83" t="str">
        <x:v>Ask clients to confirm attendance they did not have.</x:v>
      </x:c>
      <x:c r="I210" s="83" t="str">
        <x:v>Decline to falsify records, preserve accurate documentation, and report the concern through appropriate channels.</x:v>
      </x:c>
      <x:c r="J210" s="83" t="str">
        <x:v>Document the service and add a private note that it did not occur.</x:v>
      </x:c>
      <x:c r="K210" s="83" t="str">
        <x:v>C</x:v>
      </x:c>
      <x:c r="L210" s="83" t="str">
        <x:v>Incorrect. Helpful outcomes do not make falsification ethical.</x:v>
      </x:c>
      <x:c r="M210" s="83" t="str">
        <x:v>Incorrect. Client involvement does not legitimize misrepresentation.</x:v>
      </x:c>
      <x:c r="N210" s="83" t="str">
        <x:v>Correct. Funding goals do not justify inaccurate records or fraud.</x:v>
      </x:c>
      <x:c r="O210" s="83" t="str">
        <x:v>Incorrect. A hidden correction does not cure the false official record.</x:v>
      </x:c>
      <x:c r="P210" s="83" t="str">
        <x:v>A. Incorrect. Helpful outcomes do not make falsification ethical.
B. Incorrect. Client involvement does not legitimize misrepresentation.
C. Correct. Funding goals do not justify inaccurate records or fraud.
D. Incorrect. A hidden correction does not cure the false official record.</x:v>
      </x:c>
      <x:c r="Q210" s="83" t="str">
        <x:v>Never solve a systems problem by making the record false.</x:v>
      </x:c>
      <x:c r="R210" s="89" t="str">
        <x:v>CTA LCSW WB2; CTA LCSW WB12; ASWB 2026 Clinical Content Area I</x:v>
      </x:c>
    </x:row>
    <x:row r="211">
      <x:c r="A211" s="88" t="str">
        <x:v>CTA-LCSW-MQB-0210</x:v>
      </x:c>
      <x:c r="B211" s="83" t="str">
        <x:v>LCSW-MQB-FA-AP-004</x:v>
      </x:c>
      <x:c r="C211" s="83" t="str">
        <x:v>Comprehensive Simulation</x:v>
      </x:c>
      <x:c r="D211" s="83" t="str">
        <x:v>Form A</x:v>
      </x:c>
      <x:c r="E211" s="83" t="n">
        <x:v>3</x:v>
      </x:c>
      <x:c r="F211" s="83" t="str">
        <x:v>A social worker has substantial evidence for a disorder, but duration and a medical rule-out remain unresolved. How should the diagnostic impression be documented?</x:v>
      </x:c>
      <x:c r="G211" s="83" t="str">
        <x:v>When the pattern strongly suggests a diagnosis but important confirmation, duration, or rule-out information is still pending.</x:v>
      </x:c>
      <x:c r="H211" s="83" t="str">
        <x:v>To avoid documenting uncertainty.</x:v>
      </x:c>
      <x:c r="I211" s="83" t="str">
        <x:v>When no clinically relevant symptoms are present.</x:v>
      </x:c>
      <x:c r="J211" s="83" t="str"/>
      <x:c r="K211" s="83" t="str">
        <x:v>A</x:v>
      </x:c>
      <x:c r="L211" s="83" t="str">
        <x:v>Correct. Provisional status communicates a reasoned working impression and its limits.</x:v>
      </x:c>
      <x:c r="M211" s="83" t="str">
        <x:v>Incorrect. Provisional wording expresses rather than hides uncertainty.</x:v>
      </x:c>
      <x:c r="N211" s="83" t="str">
        <x:v>Incorrect. A diagnosis requires relevant evidence.</x:v>
      </x:c>
      <x:c r="O211" s="83" t="str"/>
      <x:c r="P211" s="83" t="str">
        <x:v>A. Correct. Provisional status communicates a reasoned working impression and its limits.
B. Incorrect. Provisional wording expresses rather than hides uncertainty.
C. Incorrect. A diagnosis requires relevant evidence.</x:v>
      </x:c>
      <x:c r="Q211" s="83" t="str">
        <x:v>Use provisional when the impression is plausible but material evidence remains incomplete.</x:v>
      </x:c>
      <x:c r="R211" s="89" t="str">
        <x:v>CTA LCSW WB5; ASWB 2026 Clinical Content Area II</x:v>
      </x:c>
    </x:row>
    <x:row r="212">
      <x:c r="A212" s="88" t="str">
        <x:v>CTA-LCSW-MQB-0211</x:v>
      </x:c>
      <x:c r="B212" s="83" t="str">
        <x:v>LCSW-MQB-FA-VE-009</x:v>
      </x:c>
      <x:c r="C212" s="83" t="str">
        <x:v>Comprehensive Simulation</x:v>
      </x:c>
      <x:c r="D212" s="83" t="str">
        <x:v>Form A</x:v>
      </x:c>
      <x:c r="E212" s="83" t="n">
        <x:v>3</x:v>
      </x:c>
      <x:c r="F212" s="83" t="str">
        <x:v>A client sends a friend request to the social worker’s personal social-media account. What is the BEST response?</x:v>
      </x:c>
      <x:c r="G212" s="83" t="str">
        <x:v>Create a false account to monitor the client.</x:v>
      </x:c>
      <x:c r="H212" s="83" t="str">
        <x:v>Accept to strengthen rapport.</x:v>
      </x:c>
      <x:c r="I212" s="83" t="str">
        <x:v>Maintain the professional boundary, follow the stated social-media policy, and discuss the request in treatment if clinically useful.</x:v>
      </x:c>
      <x:c r="J212" s="83" t="str"/>
      <x:c r="K212" s="83" t="str">
        <x:v>C</x:v>
      </x:c>
      <x:c r="L212" s="83" t="str">
        <x:v>Incorrect. Covert monitoring is deceptive and intrusive.</x:v>
      </x:c>
      <x:c r="M212" s="83" t="str">
        <x:v>Incorrect. Rapport does not require a personal relationship.</x:v>
      </x:c>
      <x:c r="N212" s="83" t="str">
        <x:v>Correct. Personal online connections can expose private information and blur roles.</x:v>
      </x:c>
      <x:c r="O212" s="83" t="str"/>
      <x:c r="P212" s="83" t="str">
        <x:v>A. Incorrect. Covert monitoring is deceptive and intrusive.
B. Incorrect. Rapport does not require a personal relationship.
C. Correct. Personal online connections can expose private information and blur roles.</x:v>
      </x:c>
      <x:c r="Q212" s="83" t="str">
        <x:v>Apply the same boundary reasoning online that you would apply offline.</x:v>
      </x:c>
      <x:c r="R212" s="89" t="str">
        <x:v>CTA LCSW WB2; CTA LCSW WB12; ASWB 2026 Clinical Content Area I</x:v>
      </x:c>
    </x:row>
    <x:row r="213">
      <x:c r="A213" s="88" t="str">
        <x:v>CTA-LCSW-MQB-0212</x:v>
      </x:c>
      <x:c r="B213" s="83" t="str">
        <x:v>LCSW-MQB-FA-IP-012</x:v>
      </x:c>
      <x:c r="C213" s="83" t="str">
        <x:v>Comprehensive Simulation</x:v>
      </x:c>
      <x:c r="D213" s="83" t="str">
        <x:v>Form A</x:v>
      </x:c>
      <x:c r="E213" s="83" t="n">
        <x:v>3</x:v>
      </x:c>
      <x:c r="F213" s="83" t="str">
        <x:v>Two group members dominate every discussion. What should the facilitator do?</x:v>
      </x:c>
      <x:c r="G213" s="83" t="str">
        <x:v>Remove both members immediately.</x:v>
      </x:c>
      <x:c r="H213" s="83" t="str">
        <x:v>Let the pattern continue.</x:v>
      </x:c>
      <x:c r="I213" s="83" t="str">
        <x:v>Acknowledge their contributions, restate participation norms, and invite less-heard members in without shaming anyone.</x:v>
      </x:c>
      <x:c r="J213" s="83" t="str"/>
      <x:c r="K213" s="83" t="str">
        <x:v>C</x:v>
      </x:c>
      <x:c r="L213" s="83" t="str">
        <x:v>Incorrect. Removal may be disproportionate.</x:v>
      </x:c>
      <x:c r="M213" s="83" t="str">
        <x:v>Incorrect. Silence reinforces the imbalance.</x:v>
      </x:c>
      <x:c r="N213" s="83" t="str">
        <x:v>Correct. The facilitator protects equitable participation through structure and respectful redirection.</x:v>
      </x:c>
      <x:c r="O213" s="83" t="str"/>
      <x:c r="P213" s="83" t="str">
        <x:v>A. Incorrect. Removal may be disproportionate.
B. Incorrect. Silence reinforces the imbalance.
C. Correct. The facilitator protects equitable participation through structure and respectful redirection.</x:v>
      </x:c>
      <x:c r="Q213" s="83" t="str">
        <x:v>Manage the process, not the members’ character.</x:v>
      </x:c>
      <x:c r="R213" s="89" t="str">
        <x:v>CTA LCSW WB8–WB11; ASWB 2026 Clinical Content Area III</x:v>
      </x:c>
    </x:row>
    <x:row r="214">
      <x:c r="A214" s="88" t="str">
        <x:v>CTA-LCSW-MQB-0213</x:v>
      </x:c>
      <x:c r="B214" s="83" t="str">
        <x:v>LCSW-MQB-FA-VE-031</x:v>
      </x:c>
      <x:c r="C214" s="83" t="str">
        <x:v>Comprehensive Simulation</x:v>
      </x:c>
      <x:c r="D214" s="83" t="str">
        <x:v>Form A</x:v>
      </x:c>
      <x:c r="E214" s="83" t="n">
        <x:v>4</x:v>
      </x:c>
      <x:c r="F214" s="83" t="str">
        <x:v>A social worker is recruiting current clients for a study the social worker leads. What should be addressed FIRST?</x:v>
      </x:c>
      <x:c r="G214" s="83" t="str">
        <x:v>The power imbalance, voluntariness, alternative services, confidentiality, and independent consent safeguards.</x:v>
      </x:c>
      <x:c r="H214" s="83" t="str">
        <x:v>Collect data before explaining the study.</x:v>
      </x:c>
      <x:c r="I214" s="83" t="str">
        <x:v>Tell clients participation will improve their treatment.</x:v>
      </x:c>
      <x:c r="J214" s="83" t="str">
        <x:v>Require participation to remain in services.</x:v>
      </x:c>
      <x:c r="K214" s="83" t="str">
        <x:v>A</x:v>
      </x:c>
      <x:c r="L214" s="83" t="str">
        <x:v>Correct. Clients may feel pressure because the researcher also controls or influences services.</x:v>
      </x:c>
      <x:c r="M214" s="83" t="str">
        <x:v>Incorrect. Consent must precede research participation.</x:v>
      </x:c>
      <x:c r="N214" s="83" t="str">
        <x:v>Incorrect. Benefit should not be overstated.</x:v>
      </x:c>
      <x:c r="O214" s="83" t="str">
        <x:v>Incorrect. Coercion undermines consent.</x:v>
      </x:c>
      <x:c r="P214" s="83" t="str">
        <x:v>A. Correct. Clients may feel pressure because the researcher also controls or influences services.
B. Incorrect. Consent must precede research participation.
C. Incorrect. Benefit should not be overstated.
D. Incorrect. Coercion undermines consent.</x:v>
      </x:c>
      <x:c r="Q214" s="83" t="str">
        <x:v>When care and research roles overlap, examine coercion and role conflict first.</x:v>
      </x:c>
      <x:c r="R214" s="89" t="str">
        <x:v>CTA LCSW WB2; CTA LCSW WB12; ASWB 2026 Clinical Content Area I</x:v>
      </x:c>
    </x:row>
    <x:row r="215">
      <x:c r="A215" s="88" t="str">
        <x:v>CTA-LCSW-MQB-0214</x:v>
      </x:c>
      <x:c r="B215" s="83" t="str">
        <x:v>LCSW-MQB-FA-IP-005</x:v>
      </x:c>
      <x:c r="C215" s="83" t="str">
        <x:v>Comprehensive Simulation</x:v>
      </x:c>
      <x:c r="D215" s="83" t="str">
        <x:v>Form A</x:v>
      </x:c>
      <x:c r="E215" s="83" t="n">
        <x:v>3</x:v>
      </x:c>
      <x:c r="F215" s="83" t="str">
        <x:v>A trauma client becomes overwhelmed by a trigger but remains oriented and able to follow directions. What intervention is appropriate?</x:v>
      </x:c>
      <x:c r="G215" s="83" t="str">
        <x:v>Tell the client to suppress all feelings.</x:v>
      </x:c>
      <x:c r="H215" s="83" t="str">
        <x:v>End treatment because activation occurred.</x:v>
      </x:c>
      <x:c r="I215" s="83" t="str">
        <x:v>Use present-focused grounding and paced regulation while reinforcing choice and control.</x:v>
      </x:c>
      <x:c r="J215" s="83" t="str"/>
      <x:c r="K215" s="83" t="str">
        <x:v>C</x:v>
      </x:c>
      <x:c r="L215" s="83" t="str">
        <x:v>Incorrect. Suppression is not a sustainable regulation strategy.</x:v>
      </x:c>
      <x:c r="M215" s="83" t="str">
        <x:v>Incorrect. Activation can often be managed within trauma-informed care.</x:v>
      </x:c>
      <x:c r="N215" s="83" t="str">
        <x:v>Correct. Grounding can reduce arousal and restore present-moment orientation.</x:v>
      </x:c>
      <x:c r="O215" s="83" t="str"/>
      <x:c r="P215" s="83" t="str">
        <x:v>A. Incorrect. Suppression is not a sustainable regulation strategy.
B. Incorrect. Activation can often be managed within trauma-informed care.
C. Correct. Grounding can reduce arousal and restore present-moment orientation.</x:v>
      </x:c>
      <x:c r="Q215" s="83" t="str">
        <x:v>Stabilize before processing.</x:v>
      </x:c>
      <x:c r="R215" s="89" t="str">
        <x:v>CTA LCSW WB8–WB11; ASWB 2026 Clinical Content Area III</x:v>
      </x:c>
    </x:row>
    <x:row r="216">
      <x:c r="A216" s="88" t="str">
        <x:v>CTA-LCSW-MQB-0215</x:v>
      </x:c>
      <x:c r="B216" s="83" t="str">
        <x:v>LCSW-MQB-FA-IP-009</x:v>
      </x:c>
      <x:c r="C216" s="83" t="str">
        <x:v>Comprehensive Simulation</x:v>
      </x:c>
      <x:c r="D216" s="83" t="str">
        <x:v>Form A</x:v>
      </x:c>
      <x:c r="E216" s="83" t="n">
        <x:v>3</x:v>
      </x:c>
      <x:c r="F216" s="83" t="str">
        <x:v>A client is denied an accommodation because an agency employee misunderstands the policy. What should the social worker do?</x:v>
      </x:c>
      <x:c r="G216" s="83" t="str">
        <x:v>Threaten the employee immediately.</x:v>
      </x:c>
      <x:c r="H216" s="83" t="str">
        <x:v>Speak for the client without consultation.</x:v>
      </x:c>
      <x:c r="I216" s="83" t="str">
        <x:v>With the client’s permission, clarify the policy, support self-advocacy, and use appropriate appeal or supervisory channels.</x:v>
      </x:c>
      <x:c r="J216" s="83" t="str"/>
      <x:c r="K216" s="83" t="str">
        <x:v>C</x:v>
      </x:c>
      <x:c r="L216" s="83" t="str">
        <x:v>Incorrect. Escalation before clarification may be counterproductive.</x:v>
      </x:c>
      <x:c r="M216" s="83" t="str">
        <x:v>Incorrect. Client participation and permission matter.</x:v>
      </x:c>
      <x:c r="N216" s="83" t="str">
        <x:v>Correct. Advocacy should be accurate, collaborative, and proportionate.</x:v>
      </x:c>
      <x:c r="O216" s="83" t="str"/>
      <x:c r="P216" s="83" t="str">
        <x:v>A. Incorrect. Escalation before clarification may be counterproductive.
B. Incorrect. Client participation and permission matter.
C. Correct. Advocacy should be accurate, collaborative, and proportionate.</x:v>
      </x:c>
      <x:c r="Q216" s="83" t="str">
        <x:v>Advocate with, not automatically for, the client.</x:v>
      </x:c>
      <x:c r="R216" s="89" t="str">
        <x:v>CTA LCSW WB10; CTA LCSW WB11; ASWB 2026 Clinical Content Area III</x:v>
      </x:c>
    </x:row>
    <x:row r="217">
      <x:c r="A217" s="88" t="str">
        <x:v>CTA-LCSW-MQB-0216</x:v>
      </x:c>
      <x:c r="B217" s="83" t="str">
        <x:v>LCSW-MQB-FA-AP-032</x:v>
      </x:c>
      <x:c r="C217" s="83" t="str">
        <x:v>Comprehensive Simulation</x:v>
      </x:c>
      <x:c r="D217" s="83" t="str">
        <x:v>Form A</x:v>
      </x:c>
      <x:c r="E217" s="83" t="n">
        <x:v>4</x:v>
      </x:c>
      <x:c r="F217" s="83" t="str">
        <x:v>A client wants intensive outpatient treatment, but transportation and childcare make attendance impossible. What should the social worker do NEXT?</x:v>
      </x:c>
      <x:c r="G217" s="83" t="str">
        <x:v>Clarify the clinical need and collaboratively identify accessible alternatives, supports, transportation, childcare, or level-of-care options.</x:v>
      </x:c>
      <x:c r="H217" s="83" t="str">
        <x:v>Conclude the client lacks motivation.</x:v>
      </x:c>
      <x:c r="I217" s="83" t="str">
        <x:v>Offer no treatment until circumstances change.</x:v>
      </x:c>
      <x:c r="J217" s="83" t="str">
        <x:v>Enroll the client without discussing barriers.</x:v>
      </x:c>
      <x:c r="K217" s="83" t="str">
        <x:v>A</x:v>
      </x:c>
      <x:c r="L217" s="83" t="str">
        <x:v>Correct. Planning must address both clinical indication and practical feasibility.</x:v>
      </x:c>
      <x:c r="M217" s="83" t="str">
        <x:v>Incorrect. Barriers are not equivalent to unwillingness.</x:v>
      </x:c>
      <x:c r="N217" s="83" t="str">
        <x:v>Incorrect. Delay may worsen risk.</x:v>
      </x:c>
      <x:c r="O217" s="83" t="str">
        <x:v>Incorrect. An unusable plan is not collaborative care.</x:v>
      </x:c>
      <x:c r="P217" s="83" t="str">
        <x:v>A. Correct. Planning must address both clinical indication and practical feasibility.
B. Incorrect. Barriers are not equivalent to unwillingness.
C. Incorrect. Delay may worsen risk.
D. Incorrect. An unusable plan is not collaborative care.</x:v>
      </x:c>
      <x:c r="Q217" s="83" t="str">
        <x:v>A clinically sound plan must also be reachable.</x:v>
      </x:c>
      <x:c r="R217" s="89" t="str">
        <x:v>CTA LCSW WB3–WB7; ASWB 2026 Clinical Content Area II</x:v>
      </x:c>
    </x:row>
    <x:row r="218">
      <x:c r="A218" s="88" t="str">
        <x:v>CTA-LCSW-MQB-0217</x:v>
      </x:c>
      <x:c r="B218" s="83" t="str">
        <x:v>LCSW-MQB-FA-AP-019</x:v>
      </x:c>
      <x:c r="C218" s="83" t="str">
        <x:v>Comprehensive Simulation</x:v>
      </x:c>
      <x:c r="D218" s="83" t="str">
        <x:v>Form A</x:v>
      </x:c>
      <x:c r="E218" s="83" t="n">
        <x:v>3</x:v>
      </x:c>
      <x:c r="F218" s="83" t="str">
        <x:v>A caregiver says, “Everyone depends on me,” but appears exhausted and resentful. What should the social worker assess?</x:v>
      </x:c>
      <x:c r="G218" s="83" t="str">
        <x:v>Whether the caregiver is selfish.</x:v>
      </x:c>
      <x:c r="H218" s="83" t="str">
        <x:v>Whether the family can keep the arrangement secret.</x:v>
      </x:c>
      <x:c r="I218" s="83" t="str">
        <x:v>Caregiving demands, role expectations, supports, health, cultural meaning, boundaries, and risk of burnout or neglect.</x:v>
      </x:c>
      <x:c r="J218" s="83" t="str"/>
      <x:c r="K218" s="83" t="str">
        <x:v>C</x:v>
      </x:c>
      <x:c r="L218" s="83" t="str">
        <x:v>Incorrect. Moral labels do not assess capacity or risk.</x:v>
      </x:c>
      <x:c r="M218" s="83" t="str">
        <x:v>Incorrect. Secrecy does not solve burden.</x:v>
      </x:c>
      <x:c r="N218" s="83" t="str">
        <x:v>Correct. Caregiving is shaped by roles, resources, health, and systems, not simply attitude.</x:v>
      </x:c>
      <x:c r="O218" s="83" t="str"/>
      <x:c r="P218" s="83" t="str">
        <x:v>A. Incorrect. Moral labels do not assess capacity or risk.
B. Incorrect. Secrecy does not solve burden.
C. Correct. Caregiving is shaped by roles, resources, health, and systems, not simply attitude.</x:v>
      </x:c>
      <x:c r="Q218" s="83" t="str">
        <x:v>Assess both the care recipient and the caregiving system.</x:v>
      </x:c>
      <x:c r="R218" s="89" t="str">
        <x:v>CTA LCSW WB3–WB7; ASWB 2026 Clinical Content Area II</x:v>
      </x:c>
    </x:row>
    <x:row r="219">
      <x:c r="A219" s="88" t="str">
        <x:v>CTA-LCSW-MQB-0218</x:v>
      </x:c>
      <x:c r="B219" s="83" t="str">
        <x:v>LCSW-MQB-FA-IP-017</x:v>
      </x:c>
      <x:c r="C219" s="83" t="str">
        <x:v>Comprehensive Simulation</x:v>
      </x:c>
      <x:c r="D219" s="83" t="str">
        <x:v>Form A</x:v>
      </x:c>
      <x:c r="E219" s="83" t="n">
        <x:v>3</x:v>
      </x:c>
      <x:c r="F219" s="83" t="str">
        <x:v>A supervisee becomes defensive when given feedback. What should the supervisor do?</x:v>
      </x:c>
      <x:c r="G219" s="83" t="str">
        <x:v>Avoid all future feedback.</x:v>
      </x:c>
      <x:c r="H219" s="83" t="str">
        <x:v>Clarify the specific behavior and impact, invite the supervisee’s perspective, and develop a concrete improvement and monitoring plan.</x:v>
      </x:c>
      <x:c r="I219" s="83" t="str">
        <x:v>Immediately end supervision without assessment.</x:v>
      </x:c>
      <x:c r="J219" s="83" t="str"/>
      <x:c r="K219" s="83" t="str">
        <x:v>B</x:v>
      </x:c>
      <x:c r="L219" s="83" t="str">
        <x:v>Incorrect. Avoidance prevents development.</x:v>
      </x:c>
      <x:c r="M219" s="83" t="str">
        <x:v>Correct. Effective feedback is behaviorally specific, collaborative, and accountable.</x:v>
      </x:c>
      <x:c r="N219" s="83" t="str">
        <x:v>Incorrect. Termination may be disproportionate.</x:v>
      </x:c>
      <x:c r="O219" s="83" t="str"/>
      <x:c r="P219" s="83" t="str">
        <x:v>A. Incorrect. Avoidance prevents development.
B. Correct. Effective feedback is behaviorally specific, collaborative, and accountable.
C. Incorrect. Termination may be disproportionate.</x:v>
      </x:c>
      <x:c r="Q219" s="83" t="str">
        <x:v>Describe behavior, impact, expectation, and follow-up.</x:v>
      </x:c>
      <x:c r="R219" s="89" t="str">
        <x:v>CTA LCSW WB10; CTA LCSW WB11; ASWB 2026 Clinical Content Area III</x:v>
      </x:c>
    </x:row>
    <x:row r="220">
      <x:c r="A220" s="88" t="str">
        <x:v>CTA-LCSW-MQB-0219</x:v>
      </x:c>
      <x:c r="B220" s="83" t="str">
        <x:v>LCSW-MQB-FA-AP-009</x:v>
      </x:c>
      <x:c r="C220" s="83" t="str">
        <x:v>Comprehensive Simulation</x:v>
      </x:c>
      <x:c r="D220" s="83" t="str">
        <x:v>Form A</x:v>
      </x:c>
      <x:c r="E220" s="83" t="n">
        <x:v>3</x:v>
      </x:c>
      <x:c r="F220" s="83" t="str">
        <x:v>A 9-year-old becomes clingy after a move and the birth of a sibling. What should the social worker assess?</x:v>
      </x:c>
      <x:c r="G220" s="83" t="str">
        <x:v>Whether the child is manipulating the parents.</x:v>
      </x:c>
      <x:c r="H220" s="83" t="str">
        <x:v>A personality disorder.</x:v>
      </x:c>
      <x:c r="I220" s="83" t="str">
        <x:v>Timing, duration, developmental fit, family transitions, impairment, supports, and whether symptoms are improving or worsening.</x:v>
      </x:c>
      <x:c r="J220" s="83" t="str"/>
      <x:c r="K220" s="83" t="str">
        <x:v>C</x:v>
      </x:c>
      <x:c r="L220" s="83" t="str">
        <x:v>Incorrect. Intent should not be assumed.</x:v>
      </x:c>
      <x:c r="M220" s="83" t="str">
        <x:v>Incorrect. A personality diagnosis is unsupported.</x:v>
      </x:c>
      <x:c r="N220" s="83" t="str">
        <x:v>Correct. The behavior may be a developmental stress response but still requires contextual assessment.</x:v>
      </x:c>
      <x:c r="O220" s="83" t="str"/>
      <x:c r="P220" s="83" t="str">
        <x:v>A. Incorrect. Intent should not be assumed.
B. Incorrect. A personality diagnosis is unsupported.
C. Correct. The behavior may be a developmental stress response but still requires contextual assessment.</x:v>
      </x:c>
      <x:c r="Q220" s="83" t="str">
        <x:v>Compare child behavior with developmental expectations and recent transitions.</x:v>
      </x:c>
      <x:c r="R220" s="89" t="str">
        <x:v>CTA LCSW WB3–WB7; ASWB 2026 Clinical Content Area II</x:v>
      </x:c>
    </x:row>
    <x:row r="221">
      <x:c r="A221" s="88" t="str">
        <x:v>CTA-LCSW-MQB-0220</x:v>
      </x:c>
      <x:c r="B221" s="83" t="str">
        <x:v>LCSW-MQB-FA-VE-039</x:v>
      </x:c>
      <x:c r="C221" s="83" t="str">
        <x:v>Comprehensive Simulation</x:v>
      </x:c>
      <x:c r="D221" s="83" t="str">
        <x:v>Form A</x:v>
      </x:c>
      <x:c r="E221" s="83" t="n">
        <x:v>4</x:v>
      </x:c>
      <x:c r="F221" s="83" t="str">
        <x:v>An older adult client wants an adult child involved in every decision, while staff insist that independence requires excluding family. What should the social worker do?</x:v>
      </x:c>
      <x:c r="G221" s="83" t="str">
        <x:v>Assume the preference proves incapacity.</x:v>
      </x:c>
      <x:c r="H221" s="83" t="str">
        <x:v>Exclude the family because autonomy always means acting alone.</x:v>
      </x:c>
      <x:c r="I221" s="83" t="str">
        <x:v>Let the adult child make every decision without assessment.</x:v>
      </x:c>
      <x:c r="J221" s="83" t="str">
        <x:v>Assess the client’s voluntary preference, decision-making ability, family dynamics, and privacy wishes, then support the chosen level of involvement.</x:v>
      </x:c>
      <x:c r="K221" s="83" t="str">
        <x:v>D</x:v>
      </x:c>
      <x:c r="L221" s="83" t="str">
        <x:v>Incorrect. A relational preference is not evidence of incapacity.</x:v>
      </x:c>
      <x:c r="M221" s="83" t="str">
        <x:v>Incorrect. Individualism is not the only form of self-determination.</x:v>
      </x:c>
      <x:c r="N221" s="83" t="str">
        <x:v>Incorrect. Family involvement does not automatically create authority.</x:v>
      </x:c>
      <x:c r="O221" s="83" t="str">
        <x:v>Correct. Autonomy includes the right to choose interdependence when the choice is informed and voluntary.</x:v>
      </x:c>
      <x:c r="P221" s="83" t="str">
        <x:v>A. Incorrect. A relational preference is not evidence of incapacity.
B. Incorrect. Individualism is not the only form of self-determination.
C. Incorrect. Family involvement does not automatically create authority.
D. Correct. Autonomy includes the right to choose interdependence when the choice is informed and voluntary.</x:v>
      </x:c>
      <x:c r="Q221" s="83" t="str">
        <x:v>Do not confuse autonomy with isolation.</x:v>
      </x:c>
      <x:c r="R221" s="89" t="str">
        <x:v>CTA LCSW WB2; ASWB 2026 Clinical Content Area I</x:v>
      </x:c>
    </x:row>
    <x:row r="222">
      <x:c r="A222" s="88" t="str">
        <x:v>CTA-LCSW-MQB-0221</x:v>
      </x:c>
      <x:c r="B222" s="83" t="str">
        <x:v>LCSW-MQB-FA-VE-030</x:v>
      </x:c>
      <x:c r="C222" s="83" t="str">
        <x:v>Comprehensive Simulation</x:v>
      </x:c>
      <x:c r="D222" s="83" t="str">
        <x:v>Form A</x:v>
      </x:c>
      <x:c r="E222" s="83" t="n">
        <x:v>4</x:v>
      </x:c>
      <x:c r="F222" s="83" t="str">
        <x:v>A supervisee notices that a supervisor is repeatedly confused, misses urgent consultations, and gives contradictory directions. What should the supervisee do FIRST?</x:v>
      </x:c>
      <x:c r="G222" s="83" t="str">
        <x:v>Discuss suspicions with clients.</x:v>
      </x:c>
      <x:c r="H222" s="83" t="str">
        <x:v>Diagnose the supervisor.</x:v>
      </x:c>
      <x:c r="I222" s="83" t="str">
        <x:v>Ignore the concern until a complaint occurs.</x:v>
      </x:c>
      <x:c r="J222" s="83" t="str">
        <x:v>Document specific observations, address immediate client risk, and use appropriate organizational or professional channels.</x:v>
      </x:c>
      <x:c r="K222" s="83" t="str">
        <x:v>D</x:v>
      </x:c>
      <x:c r="L222" s="83" t="str">
        <x:v>Incorrect. Client discussion may be unnecessary and harmful.</x:v>
      </x:c>
      <x:c r="M222" s="83" t="str">
        <x:v>Incorrect. A diagnosis cannot be made from workplace observations alone.</x:v>
      </x:c>
      <x:c r="N222" s="83" t="str">
        <x:v>Incorrect. Waiting for harm is not responsible.</x:v>
      </x:c>
      <x:c r="O222" s="83" t="str">
        <x:v>Correct. The response should focus on observable functioning and client protection.</x:v>
      </x:c>
      <x:c r="P222" s="83" t="str">
        <x:v>A. Incorrect. Client discussion may be unnecessary and harmful.
B. Incorrect. A diagnosis cannot be made from workplace observations alone.
C. Incorrect. Waiting for harm is not responsible.
D. Correct. The response should focus on observable functioning and client protection.</x:v>
      </x:c>
      <x:c r="Q222" s="83" t="str">
        <x:v>Describe conduct and risk; do not substitute rumor or diagnosis.</x:v>
      </x:c>
      <x:c r="R222" s="89" t="str">
        <x:v>CTA LCSW WB2; CTA LCSW WB12; ASWB 2026 Clinical Content Area I</x:v>
      </x:c>
    </x:row>
    <x:row r="223">
      <x:c r="A223" s="88" t="str">
        <x:v>CTA-LCSW-MQB-0222</x:v>
      </x:c>
      <x:c r="B223" s="83" t="str">
        <x:v>LCSW-MQB-FA-IP-002</x:v>
      </x:c>
      <x:c r="C223" s="83" t="str">
        <x:v>Comprehensive Simulation</x:v>
      </x:c>
      <x:c r="D223" s="83" t="str">
        <x:v>Form A</x:v>
      </x:c>
      <x:c r="E223" s="83" t="n">
        <x:v>3</x:v>
      </x:c>
      <x:c r="F223" s="83" t="str">
        <x:v>What is the primary purpose of outcome evaluation in clinical services?</x:v>
      </x:c>
      <x:c r="G223" s="83" t="str">
        <x:v>To prove every client will improve.</x:v>
      </x:c>
      <x:c r="H223" s="83" t="str">
        <x:v>To punish clients who do not meet goals.</x:v>
      </x:c>
      <x:c r="I223" s="83" t="str">
        <x:v>To determine whether services are producing intended results and guide improvement.</x:v>
      </x:c>
      <x:c r="J223" s="83" t="str"/>
      <x:c r="K223" s="83" t="str">
        <x:v>C</x:v>
      </x:c>
      <x:c r="L223" s="83" t="str">
        <x:v>Incorrect. No program can guarantee outcomes.</x:v>
      </x:c>
      <x:c r="M223" s="83" t="str">
        <x:v>Incorrect. Client difficulty is not misconduct.</x:v>
      </x:c>
      <x:c r="N223" s="83" t="str">
        <x:v>Correct. Evaluation supports accountability and learning while recognizing individual variation.</x:v>
      </x:c>
      <x:c r="O223" s="83" t="str"/>
      <x:c r="P223" s="83" t="str">
        <x:v>A. Incorrect. No program can guarantee outcomes.
B. Incorrect. Client difficulty is not misconduct.
C. Correct. Evaluation supports accountability and learning while recognizing individual variation.</x:v>
      </x:c>
      <x:c r="Q223" s="83" t="str">
        <x:v>Evaluation asks whether the service works and how it can improve.</x:v>
      </x:c>
      <x:c r="R223" s="89" t="str">
        <x:v>CTA LCSW WB10; CTA LCSW WB11; ASWB 2026 Clinical Content Area III</x:v>
      </x:c>
    </x:row>
    <x:row r="224">
      <x:c r="A224" s="88" t="str">
        <x:v>CTA-LCSW-MQB-0223</x:v>
      </x:c>
      <x:c r="B224" s="83" t="str">
        <x:v>LCSW-MQB-FA-IP-028</x:v>
      </x:c>
      <x:c r="C224" s="83" t="str">
        <x:v>Comprehensive Simulation</x:v>
      </x:c>
      <x:c r="D224" s="83" t="str">
        <x:v>Form A</x:v>
      </x:c>
      <x:c r="E224" s="83" t="n">
        <x:v>4</x:v>
      </x:c>
      <x:c r="F224" s="83" t="str">
        <x:v>A hospital plans discharge to a shelter that cannot accommodate the client’s wheelchair. What should the social worker do?</x:v>
      </x:c>
      <x:c r="G224" s="83" t="str">
        <x:v>Present the accessibility and safety concerns, involve the client, and advocate for an appropriate discharge option and accommodations.</x:v>
      </x:c>
      <x:c r="H224" s="83" t="str">
        <x:v>Delay without communicating the problem.</x:v>
      </x:c>
      <x:c r="I224" s="83" t="str">
        <x:v>Accept the placement because a bed is available.</x:v>
      </x:c>
      <x:c r="J224" s="83" t="str">
        <x:v>Tell the client to manage the stairs.</x:v>
      </x:c>
      <x:c r="K224" s="83" t="str">
        <x:v>A</x:v>
      </x:c>
      <x:c r="L224" s="83" t="str">
        <x:v>Correct. Discharge planning must be clinically and physically usable.</x:v>
      </x:c>
      <x:c r="M224" s="83" t="str">
        <x:v>Incorrect. Silent delay does not create a solution.</x:v>
      </x:c>
      <x:c r="N224" s="83" t="str">
        <x:v>Incorrect. Availability alone does not establish safety.</x:v>
      </x:c>
      <x:c r="O224" s="83" t="str">
        <x:v>Incorrect. The plan ignores disability access.</x:v>
      </x:c>
      <x:c r="P224" s="83" t="str">
        <x:v>A. Correct. Discharge planning must be clinically and physically usable.
B. Incorrect. Silent delay does not create a solution.
C. Incorrect. Availability alone does not establish safety.
D. Incorrect. The plan ignores disability access.</x:v>
      </x:c>
      <x:c r="Q224" s="83" t="str">
        <x:v>A plan is not safe if the client cannot physically use it.</x:v>
      </x:c>
      <x:c r="R224" s="89" t="str">
        <x:v>CTA LCSW WB10; CTA LCSW WB11; ASWB 2026 Clinical Content Area III</x:v>
      </x:c>
    </x:row>
    <x:row r="225">
      <x:c r="A225" s="88" t="str">
        <x:v>CTA-LCSW-MQB-0224</x:v>
      </x:c>
      <x:c r="B225" s="83" t="str">
        <x:v>LCSW-MQB-FA-AP-035</x:v>
      </x:c>
      <x:c r="C225" s="83" t="str">
        <x:v>Comprehensive Simulation</x:v>
      </x:c>
      <x:c r="D225" s="83" t="str">
        <x:v>Form A</x:v>
      </x:c>
      <x:c r="E225" s="83" t="n">
        <x:v>4</x:v>
      </x:c>
      <x:c r="F225" s="83" t="str">
        <x:v>A recently discharged client reports suicidal thoughts, heavy drinking, eviction, and no phone. What should the social worker do?</x:v>
      </x:c>
      <x:c r="G225" s="83" t="str">
        <x:v>Complete an immediate suicide and substance-risk assessment, identify a safe level of care, involve supports with appropriate authority, and address communication and housing barriers in the safety plan.</x:v>
      </x:c>
      <x:c r="H225" s="83" t="str">
        <x:v>Provide a standard hotline card only.</x:v>
      </x:c>
      <x:c r="I225" s="83" t="str">
        <x:v>Focus first on a long-term employment goal.</x:v>
      </x:c>
      <x:c r="J225" s="83" t="str">
        <x:v>Assume discharge means the client is stable.</x:v>
      </x:c>
      <x:c r="K225" s="83" t="str">
        <x:v>A</x:v>
      </x:c>
      <x:c r="L225" s="83" t="str">
        <x:v>Correct. Risk, intoxication, access, and environmental barriers must be addressed together.</x:v>
      </x:c>
      <x:c r="M225" s="83" t="str">
        <x:v>Incorrect. A card may be unusable without a phone and is insufficient alone.</x:v>
      </x:c>
      <x:c r="N225" s="83" t="str">
        <x:v>Incorrect. Long-term goals do not outrank immediate safety.</x:v>
      </x:c>
      <x:c r="O225" s="83" t="str">
        <x:v>Incorrect. Recent discharge can be a vulnerable period.</x:v>
      </x:c>
      <x:c r="P225" s="83" t="str">
        <x:v>A. Correct. Risk, intoxication, access, and environmental barriers must be addressed together.
B. Incorrect. A card may be unusable without a phone and is insufficient alone.
C. Incorrect. Long-term goals do not outrank immediate safety.
D. Incorrect. Recent discharge can be a vulnerable period.</x:v>
      </x:c>
      <x:c r="Q225" s="83" t="str">
        <x:v>A safety plan must work in the client’s actual environment.</x:v>
      </x:c>
      <x:c r="R225" s="89" t="str">
        <x:v>CTA LCSW WB6; ASWB 2026 Clinical Content Area II</x:v>
      </x:c>
    </x:row>
    <x:row r="226">
      <x:c r="A226" s="88" t="str">
        <x:v>CTA-LCSW-MQB-0225</x:v>
      </x:c>
      <x:c r="B226" s="83" t="str">
        <x:v>LCSW-MQB-FA-AP-020</x:v>
      </x:c>
      <x:c r="C226" s="83" t="str">
        <x:v>Comprehensive Simulation</x:v>
      </x:c>
      <x:c r="D226" s="83" t="str">
        <x:v>Form A</x:v>
      </x:c>
      <x:c r="E226" s="83" t="n">
        <x:v>3</x:v>
      </x:c>
      <x:c r="F226" s="83" t="str">
        <x:v>A client identifies “feeling less overwhelmed” as a goal. What should the social worker do?</x:v>
      </x:c>
      <x:c r="G226" s="83" t="str">
        <x:v>Translate the goal collaboratively into observable indicators, priorities, supports, and review points.</x:v>
      </x:c>
      <x:c r="H226" s="83" t="str">
        <x:v>Keep it vague to avoid pressure.</x:v>
      </x:c>
      <x:c r="I226" s="83" t="str">
        <x:v>Choose the same goal used for all clients.</x:v>
      </x:c>
      <x:c r="J226" s="83" t="str"/>
      <x:c r="K226" s="83" t="str">
        <x:v>A</x:v>
      </x:c>
      <x:c r="L226" s="83" t="str">
        <x:v>Correct. Specific indicators make planning and evaluation possible while preserving the client’s language.</x:v>
      </x:c>
      <x:c r="M226" s="83" t="str">
        <x:v>Incorrect. Excessive vagueness limits monitoring.</x:v>
      </x:c>
      <x:c r="N226" s="83" t="str">
        <x:v>Incorrect. Goals should be individualized.</x:v>
      </x:c>
      <x:c r="O226" s="83" t="str"/>
      <x:c r="P226" s="83" t="str">
        <x:v>A. Correct. Specific indicators make planning and evaluation possible while preserving the client’s language.
B. Incorrect. Excessive vagueness limits monitoring.
C. Incorrect. Goals should be individualized.</x:v>
      </x:c>
      <x:c r="Q226" s="83" t="str">
        <x:v>Operationalize the client’s goal without taking ownership away.</x:v>
      </x:c>
      <x:c r="R226" s="89" t="str">
        <x:v>CTA LCSW WB3–WB7; ASWB 2026 Clinical Content Area II</x:v>
      </x:c>
    </x:row>
    <x:row r="227">
      <x:c r="A227" s="88" t="str">
        <x:v>CTA-LCSW-MQB-0226</x:v>
      </x:c>
      <x:c r="B227" s="83" t="str">
        <x:v>LCSW-MQB-FA-VE-014</x:v>
      </x:c>
      <x:c r="C227" s="83" t="str">
        <x:v>Comprehensive Simulation</x:v>
      </x:c>
      <x:c r="D227" s="83" t="str">
        <x:v>Form A</x:v>
      </x:c>
      <x:c r="E227" s="83" t="n">
        <x:v>3</x:v>
      </x:c>
      <x:c r="F227" s="83" t="str">
        <x:v>A client identifies a factual error in a progress note. What should the social worker do?</x:v>
      </x:c>
      <x:c r="G227" s="83" t="str">
        <x:v>Ask the client to rewrite the clinical note.</x:v>
      </x:c>
      <x:c r="H227" s="83" t="str">
        <x:v>Review the concern and make a transparent correction or addendum according to record policy without erasing the original entry improperly.</x:v>
      </x:c>
      <x:c r="I227" s="83" t="str">
        <x:v>Refuse because records can never be corrected.</x:v>
      </x:c>
      <x:c r="J227" s="83" t="str"/>
      <x:c r="K227" s="83" t="str">
        <x:v>B</x:v>
      </x:c>
      <x:c r="L227" s="83" t="str">
        <x:v>Incorrect. The clinician remains responsible for the record.</x:v>
      </x:c>
      <x:c r="M227" s="83" t="str">
        <x:v>Correct. Records should be accurate while maintaining a clear audit trail.</x:v>
      </x:c>
      <x:c r="N227" s="83" t="str">
        <x:v>Incorrect. Errors may be corrected through proper procedures.</x:v>
      </x:c>
      <x:c r="O227" s="83" t="str"/>
      <x:c r="P227" s="83" t="str">
        <x:v>A. Incorrect. The clinician remains responsible for the record.
B. Correct. Records should be accurate while maintaining a clear audit trail.
C. Incorrect. Errors may be corrected through proper procedures.</x:v>
      </x:c>
      <x:c r="Q227" s="83" t="str">
        <x:v>Correct transparently; do not rewrite history invisibly.</x:v>
      </x:c>
      <x:c r="R227" s="89" t="str">
        <x:v>CTA LCSW WB2; CTA LCSW WB12; ASWB 2026 Clinical Content Area I</x:v>
      </x:c>
    </x:row>
    <x:row r="228">
      <x:c r="A228" s="88" t="str">
        <x:v>CTA-LCSW-MQB-0227</x:v>
      </x:c>
      <x:c r="B228" s="83" t="str">
        <x:v>LCSW-MQB-FA-IP-030</x:v>
      </x:c>
      <x:c r="C228" s="83" t="str">
        <x:v>Comprehensive Simulation</x:v>
      </x:c>
      <x:c r="D228" s="83" t="str">
        <x:v>Form A</x:v>
      </x:c>
      <x:c r="E228" s="83" t="n">
        <x:v>4</x:v>
      </x:c>
      <x:c r="F228" s="83" t="str">
        <x:v>A caregiver reports exhaustion and occasional thoughts of abandoning responsibilities. What should the social worker do?</x:v>
      </x:c>
      <x:c r="G228" s="83" t="str">
        <x:v>Assess immediate safety and neglect risk, validate burden, mobilize respite and support, and develop a realistic care plan.</x:v>
      </x:c>
      <x:c r="H228" s="83" t="str">
        <x:v>Focus only on the care recipient.</x:v>
      </x:c>
      <x:c r="I228" s="83" t="str">
        <x:v>Shame the caregiver.</x:v>
      </x:c>
      <x:c r="J228" s="83" t="str">
        <x:v>Promise the burden will decrease soon.</x:v>
      </x:c>
      <x:c r="K228" s="83" t="str">
        <x:v>A</x:v>
      </x:c>
      <x:c r="L228" s="83" t="str">
        <x:v>Correct. Caregiver distress can affect both parties and requires safety and systems intervention.</x:v>
      </x:c>
      <x:c r="M228" s="83" t="str">
        <x:v>Incorrect. The caregiving system includes the caregiver.</x:v>
      </x:c>
      <x:c r="N228" s="83" t="str">
        <x:v>Incorrect. Shame reduces disclosure.</x:v>
      </x:c>
      <x:c r="O228" s="83" t="str">
        <x:v>Incorrect. An unsupported promise is misleading.</x:v>
      </x:c>
      <x:c r="P228" s="83" t="str">
        <x:v>A. Correct. Caregiver distress can affect both parties and requires safety and systems intervention.
B. Incorrect. The caregiving system includes the caregiver.
C. Incorrect. Shame reduces disclosure.
D. Incorrect. An unsupported promise is misleading.</x:v>
      </x:c>
      <x:c r="Q228" s="83" t="str">
        <x:v>Support the caregiver to protect the whole care system.</x:v>
      </x:c>
      <x:c r="R228" s="89" t="str">
        <x:v>CTA LCSW WB8–WB11; ASWB 2026 Clinical Content Area III</x:v>
      </x:c>
    </x:row>
    <x:row r="229">
      <x:c r="A229" s="88" t="str">
        <x:v>CTA-LCSW-MQB-0228</x:v>
      </x:c>
      <x:c r="B229" s="83" t="str">
        <x:v>LCSW-MQB-FA-VE-010</x:v>
      </x:c>
      <x:c r="C229" s="83" t="str">
        <x:v>Comprehensive Simulation</x:v>
      </x:c>
      <x:c r="D229" s="83" t="str">
        <x:v>Form A</x:v>
      </x:c>
      <x:c r="E229" s="83" t="n">
        <x:v>3</x:v>
      </x:c>
      <x:c r="F229" s="83" t="str">
        <x:v>An agency supervisor asks a social worker to copy forward a risk assessment without updating it because the caseload is high. What should the social worker do?</x:v>
      </x:c>
      <x:c r="G229" s="83" t="str">
        <x:v>Remove all risk documentation from the record.</x:v>
      </x:c>
      <x:c r="H229" s="83" t="str">
        <x:v>Complete an accurate current assessment and raise the workload concern through appropriate channels.</x:v>
      </x:c>
      <x:c r="I229" s="83" t="str">
        <x:v>Tell the client to complete the assessment alone.</x:v>
      </x:c>
      <x:c r="J229" s="83" t="str"/>
      <x:c r="K229" s="83" t="str">
        <x:v>B</x:v>
      </x:c>
      <x:c r="L229" s="83" t="str">
        <x:v>Incorrect. Omission undermines continuity and accountability.</x:v>
      </x:c>
      <x:c r="M229" s="83" t="str">
        <x:v>Correct. Records must reflect current clinical work; administrative pressure does not justify false or stale documentation.</x:v>
      </x:c>
      <x:c r="N229" s="83" t="str">
        <x:v>Incorrect. Assessment remains a professional responsibility.</x:v>
      </x:c>
      <x:c r="O229" s="83" t="str"/>
      <x:c r="P229" s="83" t="str">
        <x:v>A. Incorrect. Omission undermines continuity and accountability.
B. Correct. Records must reflect current clinical work; administrative pressure does not justify false or stale documentation.
C. Incorrect. Assessment remains a professional responsibility.</x:v>
      </x:c>
      <x:c r="Q229" s="83" t="str">
        <x:v>When workload conflicts with record accuracy, protect the record and address the system problem separately.</x:v>
      </x:c>
      <x:c r="R229" s="89" t="str">
        <x:v>CTA LCSW WB2; CTA LCSW WB12; ASWB 2026 Clinical Content Area I</x:v>
      </x:c>
    </x:row>
    <x:row r="230">
      <x:c r="A230" s="88" t="str">
        <x:v>CTA-LCSW-MQB-0229</x:v>
      </x:c>
      <x:c r="B230" s="83" t="str">
        <x:v>LCSW-MQB-FA-AP-013</x:v>
      </x:c>
      <x:c r="C230" s="83" t="str">
        <x:v>Comprehensive Simulation</x:v>
      </x:c>
      <x:c r="D230" s="83" t="str">
        <x:v>Form A</x:v>
      </x:c>
      <x:c r="E230" s="83" t="n">
        <x:v>3</x:v>
      </x:c>
      <x:c r="F230" s="83" t="str">
        <x:v>A depression screening score is high, but several items were misunderstood because of literacy barriers. What should the social worker do?</x:v>
      </x:c>
      <x:c r="G230" s="83" t="str">
        <x:v>Discard all client information.</x:v>
      </x:c>
      <x:c r="H230" s="83" t="str">
        <x:v>Clarify the items using accessible methods and integrate the result with interview, observation, and functioning.</x:v>
      </x:c>
      <x:c r="I230" s="83" t="str">
        <x:v>Diagnose solely from the total.</x:v>
      </x:c>
      <x:c r="J230" s="83" t="str"/>
      <x:c r="K230" s="83" t="str">
        <x:v>B</x:v>
      </x:c>
      <x:c r="L230" s="83" t="str">
        <x:v>Incorrect. The problem affects the tool, not all information.</x:v>
      </x:c>
      <x:c r="M230" s="83" t="str">
        <x:v>Correct. A measure is one source of evidence and depends on valid administration.</x:v>
      </x:c>
      <x:c r="N230" s="83" t="str">
        <x:v>Incorrect. Diagnosis requires broader reasoning.</x:v>
      </x:c>
      <x:c r="O230" s="83" t="str"/>
      <x:c r="P230" s="83" t="str">
        <x:v>A. Incorrect. The problem affects the tool, not all information.
B. Correct. A measure is one source of evidence and depends on valid administration.
C. Incorrect. Diagnosis requires broader reasoning.</x:v>
      </x:c>
      <x:c r="Q230" s="83" t="str">
        <x:v>A score is evidence, not a verdict.</x:v>
      </x:c>
      <x:c r="R230" s="89" t="str">
        <x:v>CTA LCSW WB3–WB7; ASWB 2026 Clinical Content Area II</x:v>
      </x:c>
    </x:row>
    <x:row r="231">
      <x:c r="A231" s="88" t="str">
        <x:v>CTA-LCSW-MQB-0230</x:v>
      </x:c>
      <x:c r="B231" s="83" t="str">
        <x:v>LCSW-MQB-FA-AP-039</x:v>
      </x:c>
      <x:c r="C231" s="83" t="str">
        <x:v>Comprehensive Simulation</x:v>
      </x:c>
      <x:c r="D231" s="83" t="str">
        <x:v>Form A</x:v>
      </x:c>
      <x:c r="E231" s="83" t="n">
        <x:v>4</x:v>
      </x:c>
      <x:c r="F231" s="83" t="str">
        <x:v>A client with psychosis is stable on medication but repeatedly loses housing because of benefit interruptions and landlord discrimination. What should the plan include?</x:v>
      </x:c>
      <x:c r="G231" s="83" t="str">
        <x:v>Only symptom-focused psychotherapy.</x:v>
      </x:c>
      <x:c r="H231" s="83" t="str">
        <x:v>A conclusion that repeated loss proves treatment failure.</x:v>
      </x:c>
      <x:c r="I231" s="83" t="str">
        <x:v>Relapse monitoring, medication coordination, benefits advocacy, housing-rights resources, crisis contingencies, and client-defined goals.</x:v>
      </x:c>
      <x:c r="J231" s="83" t="str">
        <x:v>Only a housing referral.</x:v>
      </x:c>
      <x:c r="K231" s="83" t="str">
        <x:v>C</x:v>
      </x:c>
      <x:c r="L231" s="83" t="str">
        <x:v>Incorrect. Symptoms are only one part of the problem.</x:v>
      </x:c>
      <x:c r="M231" s="83" t="str">
        <x:v>Incorrect. Housing loss does not necessarily reflect clinical nonresponse.</x:v>
      </x:c>
      <x:c r="N231" s="83" t="str">
        <x:v>Correct. Sustainable planning must address clinical stability and systemic barriers.</x:v>
      </x:c>
      <x:c r="O231" s="83" t="str">
        <x:v>Incorrect. A single referral may not address recurring system failures.</x:v>
      </x:c>
      <x:c r="P231" s="83" t="str">
        <x:v>A. Incorrect. Symptoms are only one part of the problem.
B. Incorrect. Housing loss does not necessarily reflect clinical nonresponse.
C. Correct. Sustainable planning must address clinical stability and systemic barriers.
D. Incorrect. A single referral may not address recurring system failures.</x:v>
      </x:c>
      <x:c r="Q231" s="83" t="str">
        <x:v>Integrated plans connect treatment, resources, rights, and prevention.</x:v>
      </x:c>
      <x:c r="R231" s="89" t="str">
        <x:v>CTA LCSW WB3–WB7; ASWB 2026 Clinical Content Area II</x:v>
      </x:c>
    </x:row>
    <x:row r="232">
      <x:c r="A232" s="88" t="str">
        <x:v>CTA-LCSW-MQB-0231</x:v>
      </x:c>
      <x:c r="B232" s="83" t="str">
        <x:v>LCSW-MQB-FA-VE-033</x:v>
      </x:c>
      <x:c r="C232" s="83" t="str">
        <x:v>Comprehensive Simulation</x:v>
      </x:c>
      <x:c r="D232" s="83" t="str">
        <x:v>Form A</x:v>
      </x:c>
      <x:c r="E232" s="83" t="n">
        <x:v>4</x:v>
      </x:c>
      <x:c r="F232" s="83" t="str">
        <x:v>A school social worker is asked to provide therapy to a student and also decide whether the student should be expelled. What should the social worker do?</x:v>
      </x:c>
      <x:c r="G232" s="83" t="str">
        <x:v>Accept both roles because the school employs the social worker.</x:v>
      </x:c>
      <x:c r="H232" s="83" t="str">
        <x:v>End all support to the student.</x:v>
      </x:c>
      <x:c r="I232" s="83" t="str">
        <x:v>Use therapy disclosures to strengthen the expulsion case.</x:v>
      </x:c>
      <x:c r="J232" s="83" t="str">
        <x:v>Clarify the conflicting roles and seek separation of treatment and disciplinary decision-making when possible.</x:v>
      </x:c>
      <x:c r="K232" s="83" t="str">
        <x:v>D</x:v>
      </x:c>
      <x:c r="L232" s="83" t="str">
        <x:v>Incorrect. Employment does not eliminate role conflicts.</x:v>
      </x:c>
      <x:c r="M232" s="83" t="str">
        <x:v>Incorrect. The student may still need appropriate support.</x:v>
      </x:c>
      <x:c r="N232" s="83" t="str">
        <x:v>Incorrect. Using confidential treatment information punitively is problematic.</x:v>
      </x:c>
      <x:c r="O232" s="83" t="str">
        <x:v>Correct. Treatment trust and disciplinary authority can create incompatible duties and coercion.</x:v>
      </x:c>
      <x:c r="P232" s="83" t="str">
        <x:v>A. Incorrect. Employment does not eliminate role conflicts.
B. Incorrect. The student may still need appropriate support.
C. Incorrect. Using confidential treatment information punitively is problematic.
D. Correct. Treatment trust and disciplinary authority can create incompatible duties and coercion.</x:v>
      </x:c>
      <x:c r="Q232" s="83" t="str">
        <x:v>Identify who benefits from each role and whether one role undermines the other.</x:v>
      </x:c>
      <x:c r="R232" s="89" t="str">
        <x:v>CTA LCSW WB2; CTA LCSW WB12; ASWB 2026 Clinical Content Area I</x:v>
      </x:c>
    </x:row>
    <x:row r="233">
      <x:c r="A233" s="88" t="str">
        <x:v>CTA-LCSW-MQB-0232</x:v>
      </x:c>
      <x:c r="B233" s="83" t="str">
        <x:v>LCSW-MQB-FA-VE-029</x:v>
      </x:c>
      <x:c r="C233" s="83" t="str">
        <x:v>Comprehensive Simulation</x:v>
      </x:c>
      <x:c r="D233" s="83" t="str">
        <x:v>Form A</x:v>
      </x:c>
      <x:c r="E233" s="83" t="n">
        <x:v>4</x:v>
      </x:c>
      <x:c r="F233" s="83" t="str">
        <x:v>A clinic repeatedly closes cases when clients miss appointments, although many clients rely on unreliable public transportation. What should the social worker do?</x:v>
      </x:c>
      <x:c r="G233" s="83" t="str">
        <x:v>Blame clients for noncompliance.</x:v>
      </x:c>
      <x:c r="H233" s="83" t="str">
        <x:v>Promise every client unlimited appointments.</x:v>
      </x:c>
      <x:c r="I233" s="83" t="str">
        <x:v>Ignore the pattern because the rule applies to everyone.</x:v>
      </x:c>
      <x:c r="J233" s="83" t="str">
        <x:v>Bring the pattern forward, examine its disparate impact, and advocate for accessible scheduling or outreach alternatives.</x:v>
      </x:c>
      <x:c r="K233" s="83" t="str">
        <x:v>D</x:v>
      </x:c>
      <x:c r="L233" s="83" t="str">
        <x:v>Incorrect. Blame overlooks environmental constraints.</x:v>
      </x:c>
      <x:c r="M233" s="83" t="str">
        <x:v>Incorrect. Advocacy should remain feasible and accountable.</x:v>
      </x:c>
      <x:c r="N233" s="83" t="str">
        <x:v>Incorrect. Formal uniformity does not prove equity.</x:v>
      </x:c>
      <x:c r="O233" s="83" t="str">
        <x:v>Correct. Equal rules can create unequal effects when structural barriers are ignored.</x:v>
      </x:c>
      <x:c r="P233" s="83" t="str">
        <x:v>A. Incorrect. Blame overlooks environmental constraints.
B. Incorrect. Advocacy should remain feasible and accountable.
C. Incorrect. Formal uniformity does not prove equity.
D. Correct. Equal rules can create unequal effects when structural barriers are ignored.</x:v>
      </x:c>
      <x:c r="Q233" s="83" t="str">
        <x:v>Use person-in-environment reasoning at the policy level.</x:v>
      </x:c>
      <x:c r="R233" s="89" t="str">
        <x:v>CTA LCSW WB2; ASWB 2026 Clinical Content Area I</x:v>
      </x:c>
    </x:row>
    <x:row r="234">
      <x:c r="A234" s="88" t="str">
        <x:v>CTA-LCSW-MQB-0233</x:v>
      </x:c>
      <x:c r="B234" s="83" t="str">
        <x:v>LCSW-MQB-FA-IP-031</x:v>
      </x:c>
      <x:c r="C234" s="83" t="str">
        <x:v>Comprehensive Simulation</x:v>
      </x:c>
      <x:c r="D234" s="83" t="str">
        <x:v>Form A</x:v>
      </x:c>
      <x:c r="E234" s="83" t="n">
        <x:v>4</x:v>
      </x:c>
      <x:c r="F234" s="83" t="str">
        <x:v>A culturally adapted group is losing key therapeutic components. What should the program social worker do?</x:v>
      </x:c>
      <x:c r="G234" s="83" t="str">
        <x:v>Identify the intervention’s essential elements, collaborate with the community on acceptable adaptations, and monitor outcomes.</x:v>
      </x:c>
      <x:c r="H234" s="83" t="str">
        <x:v>Return to the original format without community input.</x:v>
      </x:c>
      <x:c r="I234" s="83" t="str">
        <x:v>Stop evaluation to avoid criticism.</x:v>
      </x:c>
      <x:c r="J234" s="83" t="str">
        <x:v>Keep every adaptation regardless of effectiveness.</x:v>
      </x:c>
      <x:c r="K234" s="83" t="str">
        <x:v>A</x:v>
      </x:c>
      <x:c r="L234" s="83" t="str">
        <x:v>Correct. Good adaptation balances cultural fit with preservation of active ingredients and outcome monitoring.</x:v>
      </x:c>
      <x:c r="M234" s="83" t="str">
        <x:v>Incorrect. Rigid return may reduce relevance.</x:v>
      </x:c>
      <x:c r="N234" s="83" t="str">
        <x:v>Incorrect. Evaluation is needed to learn.</x:v>
      </x:c>
      <x:c r="O234" s="83" t="str">
        <x:v>Incorrect. Not every change preserves effectiveness.</x:v>
      </x:c>
      <x:c r="P234" s="83" t="str">
        <x:v>A. Correct. Good adaptation balances cultural fit with preservation of active ingredients and outcome monitoring.
B. Incorrect. Rigid return may reduce relevance.
C. Incorrect. Evaluation is needed to learn.
D. Incorrect. Not every change preserves effectiveness.</x:v>
      </x:c>
      <x:c r="Q234" s="83" t="str">
        <x:v>Adapt form thoughtfully while protecting function.</x:v>
      </x:c>
      <x:c r="R234" s="89" t="str">
        <x:v>CTA LCSW WB10; CTA LCSW WB11; ASWB 2026 Clinical Content Area III</x:v>
      </x:c>
    </x:row>
    <x:row r="235">
      <x:c r="A235" s="88" t="str">
        <x:v>CTA-LCSW-MQB-0234</x:v>
      </x:c>
      <x:c r="B235" s="83" t="str">
        <x:v>LCSW-MQB-FA-VE-021</x:v>
      </x:c>
      <x:c r="C235" s="83" t="str">
        <x:v>Comprehensive Simulation</x:v>
      </x:c>
      <x:c r="D235" s="83" t="str">
        <x:v>Form A</x:v>
      </x:c>
      <x:c r="E235" s="83" t="n">
        <x:v>3</x:v>
      </x:c>
      <x:c r="F235" s="83" t="str">
        <x:v>At the first group meeting, a member asks whether the social worker can guarantee that other members will keep everything private. What should the social worker say?</x:v>
      </x:c>
      <x:c r="G235" s="83" t="str">
        <x:v>Guarantee complete confidentiality.</x:v>
      </x:c>
      <x:c r="H235" s="83" t="str">
        <x:v>Explain the group confidentiality expectations and limits while acknowledging that the social worker cannot guarantee every member’s behavior.</x:v>
      </x:c>
      <x:c r="I235" s="83" t="str">
        <x:v>Tell members they have no privacy interests in a group.</x:v>
      </x:c>
      <x:c r="J235" s="83" t="str"/>
      <x:c r="K235" s="83" t="str">
        <x:v>B</x:v>
      </x:c>
      <x:c r="L235" s="83" t="str">
        <x:v>Incorrect. A guarantee would be misleading.</x:v>
      </x:c>
      <x:c r="M235" s="83" t="str">
        <x:v>Correct. Accurate informed consent requires both expectations and realistic limits.</x:v>
      </x:c>
      <x:c r="N235" s="83" t="str">
        <x:v>Incorrect. Group participation does not erase privacy concerns.</x:v>
      </x:c>
      <x:c r="O235" s="83" t="str"/>
      <x:c r="P235" s="83" t="str">
        <x:v>A. Incorrect. A guarantee would be misleading.
B. Correct. Accurate informed consent requires both expectations and realistic limits.
C. Incorrect. Group participation does not erase privacy concerns.</x:v>
      </x:c>
      <x:c r="Q235" s="83" t="str">
        <x:v>Do not promise control over people you cannot control.</x:v>
      </x:c>
      <x:c r="R235" s="89" t="str">
        <x:v>CTA LCSW WB2; ASWB 2026 Clinical Content Area I</x:v>
      </x:c>
    </x:row>
    <x:row r="236">
      <x:c r="A236" s="88" t="str">
        <x:v>CTA-LCSW-MQB-0235</x:v>
      </x:c>
      <x:c r="B236" s="83" t="str">
        <x:v>LCSW-MQB-FA-AP-007</x:v>
      </x:c>
      <x:c r="C236" s="83" t="str">
        <x:v>Comprehensive Simulation</x:v>
      </x:c>
      <x:c r="D236" s="83" t="str">
        <x:v>Form A</x:v>
      </x:c>
      <x:c r="E236" s="83" t="n">
        <x:v>3</x:v>
      </x:c>
      <x:c r="F236" s="83" t="str">
        <x:v>A client denies anger problems, but a partner reports frequent property destruction. What should the social worker do?</x:v>
      </x:c>
      <x:c r="G236" s="83" t="str">
        <x:v>Accept the partner’s account automatically.</x:v>
      </x:c>
      <x:c r="H236" s="83" t="str">
        <x:v>Explore specific incidents, context, frequency, consequences, safety, and differences in perspective without assuming either account is complete.</x:v>
      </x:c>
      <x:c r="I236" s="83" t="str">
        <x:v>Accept the client’s denial automatically.</x:v>
      </x:c>
      <x:c r="J236" s="83" t="str"/>
      <x:c r="K236" s="83" t="str">
        <x:v>B</x:v>
      </x:c>
      <x:c r="L236" s="83" t="str">
        <x:v>Incorrect. Collateral information is not automatically superior.</x:v>
      </x:c>
      <x:c r="M236" s="83" t="str">
        <x:v>Correct. Discrepancy is clinically useful information that calls for focused assessment.</x:v>
      </x:c>
      <x:c r="N236" s="83" t="str">
        <x:v>Incorrect. Self-report may be incomplete.</x:v>
      </x:c>
      <x:c r="O236" s="83" t="str"/>
      <x:c r="P236" s="83" t="str">
        <x:v>A. Incorrect. Collateral information is not automatically superior.
B. Correct. Discrepancy is clinically useful information that calls for focused assessment.
C. Incorrect. Self-report may be incomplete.</x:v>
      </x:c>
      <x:c r="Q236" s="83" t="str">
        <x:v>Treat disagreement as data, not as a reason to choose sides immediately.</x:v>
      </x:c>
      <x:c r="R236" s="89" t="str">
        <x:v>CTA LCSW WB3–WB7; ASWB 2026 Clinical Content Area II</x:v>
      </x:c>
    </x:row>
    <x:row r="237">
      <x:c r="A237" s="88" t="str">
        <x:v>CTA-LCSW-MQB-0236</x:v>
      </x:c>
      <x:c r="B237" s="83" t="str">
        <x:v>LCSW-MQB-FA-IP-011</x:v>
      </x:c>
      <x:c r="C237" s="83" t="str">
        <x:v>Comprehensive Simulation</x:v>
      </x:c>
      <x:c r="D237" s="83" t="str">
        <x:v>Form A</x:v>
      </x:c>
      <x:c r="E237" s="83" t="n">
        <x:v>3</x:v>
      </x:c>
      <x:c r="F237" s="83" t="str">
        <x:v>A medical provider and social worker disagree about discharge readiness. What should the social worker do?</x:v>
      </x:c>
      <x:c r="G237" s="83" t="str">
        <x:v>Defer automatically to the physician.</x:v>
      </x:c>
      <x:c r="H237" s="83" t="str">
        <x:v>Present specific functional and environmental concerns, clarify each discipline’s evidence, and collaborate on a safe plan with the client.</x:v>
      </x:c>
      <x:c r="I237" s="83" t="str">
        <x:v>Refuse further communication.</x:v>
      </x:c>
      <x:c r="J237" s="83" t="str"/>
      <x:c r="K237" s="83" t="str">
        <x:v>B</x:v>
      </x:c>
      <x:c r="L237" s="83" t="str">
        <x:v>Incorrect. Hierarchy does not erase social-work assessment.</x:v>
      </x:c>
      <x:c r="M237" s="83" t="str">
        <x:v>Correct. Interdisciplinary practice requires respectful advocacy and integration of different expertise.</x:v>
      </x:c>
      <x:c r="N237" s="83" t="str">
        <x:v>Incorrect. Noncommunication increases fragmentation.</x:v>
      </x:c>
      <x:c r="O237" s="83" t="str"/>
      <x:c r="P237" s="83" t="str">
        <x:v>A. Incorrect. Hierarchy does not erase social-work assessment.
B. Correct. Interdisciplinary practice requires respectful advocacy and integration of different expertise.
C. Incorrect. Noncommunication increases fragmentation.</x:v>
      </x:c>
      <x:c r="Q237" s="83" t="str">
        <x:v>Bring concrete evidence and the client’s context to the team.</x:v>
      </x:c>
      <x:c r="R237" s="89" t="str">
        <x:v>CTA LCSW WB10; CTA LCSW WB11; ASWB 2026 Clinical Content Area III</x:v>
      </x:c>
    </x:row>
    <x:row r="238">
      <x:c r="A238" s="88" t="str">
        <x:v>CTA-LCSW-MQB-0237</x:v>
      </x:c>
      <x:c r="B238" s="83" t="str">
        <x:v>LCSW-MQB-FA-AP-025</x:v>
      </x:c>
      <x:c r="C238" s="83" t="str">
        <x:v>Comprehensive Simulation</x:v>
      </x:c>
      <x:c r="D238" s="83" t="str">
        <x:v>Form A</x:v>
      </x:c>
      <x:c r="E238" s="83" t="n">
        <x:v>4</x:v>
      </x:c>
      <x:c r="F238" s="83" t="str">
        <x:v>A client has slept two hours nightly for a week, speaks rapidly, spends impulsively, and feels unusually powerful. What should the social worker do FIRST?</x:v>
      </x:c>
      <x:c r="G238" s="83" t="str">
        <x:v>Begin long-term insight therapy without safety assessment.</x:v>
      </x:c>
      <x:c r="H238" s="83" t="str">
        <x:v>Praise the increased energy.</x:v>
      </x:c>
      <x:c r="I238" s="83" t="str">
        <x:v>Assess mood episode severity, psychosis, substance or medication causes, safety, functioning, and need for urgent psychiatric evaluation.</x:v>
      </x:c>
      <x:c r="J238" s="83" t="str">
        <x:v>Diagnose anxiety from rapid speech alone.</x:v>
      </x:c>
      <x:c r="K238" s="83" t="str">
        <x:v>C</x:v>
      </x:c>
      <x:c r="L238" s="83" t="str">
        <x:v>Incorrect. Acuity and medical factors require priority.</x:v>
      </x:c>
      <x:c r="M238" s="83" t="str">
        <x:v>Incorrect. The behavior may be dangerous rather than adaptive.</x:v>
      </x:c>
      <x:c r="N238" s="83" t="str">
        <x:v>Correct. The cluster suggests a possible manic syndrome with significant risk and differential considerations.</x:v>
      </x:c>
      <x:c r="O238" s="83" t="str">
        <x:v>Incorrect. The full pattern is broader than anxiety.</x:v>
      </x:c>
      <x:c r="P238" s="83" t="str">
        <x:v>A. Incorrect. Acuity and medical factors require priority.
B. Incorrect. The behavior may be dangerous rather than adaptive.
C. Correct. The cluster suggests a possible manic syndrome with significant risk and differential considerations.
D. Incorrect. The full pattern is broader than anxiety.</x:v>
      </x:c>
      <x:c r="Q238" s="83" t="str">
        <x:v>Reduced need for sleep plus expansive behavior is an urgency cue.</x:v>
      </x:c>
      <x:c r="R238" s="89" t="str">
        <x:v>CTA LCSW WB5; ASWB 2026 Clinical Content Area II</x:v>
      </x:c>
    </x:row>
    <x:row r="239">
      <x:c r="A239" s="88" t="str">
        <x:v>CTA-LCSW-MQB-0238</x:v>
      </x:c>
      <x:c r="B239" s="83" t="str">
        <x:v>LCSW-MQB-FA-VE-023</x:v>
      </x:c>
      <x:c r="C239" s="83" t="str">
        <x:v>Comprehensive Simulation</x:v>
      </x:c>
      <x:c r="D239" s="83" t="str">
        <x:v>Form A</x:v>
      </x:c>
      <x:c r="E239" s="83" t="n">
        <x:v>3</x:v>
      </x:c>
      <x:c r="F239" s="83" t="str">
        <x:v>An agency policy appears to conflict with professional ethics and may harm clients. What should the social worker do FIRST?</x:v>
      </x:c>
      <x:c r="G239" s="83" t="str">
        <x:v>Follow it automatically because employment overrides ethics.</x:v>
      </x:c>
      <x:c r="H239" s="83" t="str">
        <x:v>Clarify the policy and ethical conflict, consult appropriate standards and leadership, and pursue corrective action while protecting current clients.</x:v>
      </x:c>
      <x:c r="I239" s="83" t="str">
        <x:v>Publicly identify clients affected by the policy.</x:v>
      </x:c>
      <x:c r="J239" s="83" t="str"/>
      <x:c r="K239" s="83" t="str">
        <x:v>B</x:v>
      </x:c>
      <x:c r="L239" s="83" t="str">
        <x:v>Incorrect. Employment does not erase ethical responsibility.</x:v>
      </x:c>
      <x:c r="M239" s="83" t="str">
        <x:v>Correct. The social worker should analyze, consult, and address the systems issue without abandoning immediate duties.</x:v>
      </x:c>
      <x:c r="N239" s="83" t="str">
        <x:v>Incorrect. Public disclosure may violate privacy.</x:v>
      </x:c>
      <x:c r="O239" s="83" t="str"/>
      <x:c r="P239" s="83" t="str">
        <x:v>A. Incorrect. Employment does not erase ethical responsibility.
B. Correct. The social worker should analyze, consult, and address the systems issue without abandoning immediate duties.
C. Incorrect. Public disclosure may violate privacy.</x:v>
      </x:c>
      <x:c r="Q239" s="83" t="str">
        <x:v>Address both the immediate client impact and the organizational source of the problem.</x:v>
      </x:c>
      <x:c r="R239" s="89" t="str">
        <x:v>CTA LCSW WB2; CTA LCSW WB12; ASWB 2026 Clinical Content Area I</x:v>
      </x:c>
    </x:row>
    <x:row r="240">
      <x:c r="A240" s="88" t="str">
        <x:v>CTA-LCSW-MQB-0239</x:v>
      </x:c>
      <x:c r="B240" s="83" t="str">
        <x:v>LCSW-MQB-FA-AP-011</x:v>
      </x:c>
      <x:c r="C240" s="83" t="str">
        <x:v>Comprehensive Simulation</x:v>
      </x:c>
      <x:c r="D240" s="83" t="str">
        <x:v>Form A</x:v>
      </x:c>
      <x:c r="E240" s="83" t="n">
        <x:v>3</x:v>
      </x:c>
      <x:c r="F240" s="83" t="str">
        <x:v>A client describes drinking as “social,” despite work absences and a recent impaired-driving charge. What should the social worker ask?</x:v>
      </x:c>
      <x:c r="G240" s="83" t="str">
        <x:v>Whether the client wants a diagnosis today.</x:v>
      </x:c>
      <x:c r="H240" s="83" t="str">
        <x:v>Whether the client considers the drinking immoral.</x:v>
      </x:c>
      <x:c r="I240" s="83" t="str">
        <x:v>Behaviorally specific questions about amount, frequency, consequences, tolerance, withdrawal, control, and readiness for change.</x:v>
      </x:c>
      <x:c r="J240" s="83" t="str"/>
      <x:c r="K240" s="83" t="str">
        <x:v>C</x:v>
      </x:c>
      <x:c r="L240" s="83" t="str">
        <x:v>Incorrect. Diagnosis should follow adequate assessment.</x:v>
      </x:c>
      <x:c r="M240" s="83" t="str">
        <x:v>Incorrect. Moral judgment does not assess severity.</x:v>
      </x:c>
      <x:c r="N240" s="83" t="str">
        <x:v>Correct. Specific pattern and consequence questions are more informative than labels.</x:v>
      </x:c>
      <x:c r="O240" s="83" t="str"/>
      <x:c r="P240" s="83" t="str">
        <x:v>A. Incorrect. Diagnosis should follow adequate assessment.
B. Incorrect. Moral judgment does not assess severity.
C. Correct. Specific pattern and consequence questions are more informative than labels.</x:v>
      </x:c>
      <x:c r="Q240" s="83" t="str">
        <x:v>Translate vague labels into observable behavior and impact.</x:v>
      </x:c>
      <x:c r="R240" s="89" t="str">
        <x:v>CTA LCSW WB3–WB7; ASWB 2026 Clinical Content Area II</x:v>
      </x:c>
    </x:row>
    <x:row r="241">
      <x:c r="A241" s="88" t="str">
        <x:v>CTA-LCSW-MQB-0240</x:v>
      </x:c>
      <x:c r="B241" s="83" t="str">
        <x:v>LCSW-MQB-FA-VE-025</x:v>
      </x:c>
      <x:c r="C241" s="83" t="str">
        <x:v>Comprehensive Simulation</x:v>
      </x:c>
      <x:c r="D241" s="83" t="str">
        <x:v>Form A</x:v>
      </x:c>
      <x:c r="E241" s="83" t="n">
        <x:v>3</x:v>
      </x:c>
      <x:c r="F241" s="83" t="str">
        <x:v>A client begins bringing expensive gifts and asking the social worker to attend family events. What should the social worker do FIRST?</x:v>
      </x:c>
      <x:c r="G241" s="83" t="str">
        <x:v>Accept the gifts to avoid rejection.</x:v>
      </x:c>
      <x:c r="H241" s="83" t="str">
        <x:v>Explore the pattern and meaning, restate professional boundaries, and assess whether treatment expectations are changing.</x:v>
      </x:c>
      <x:c r="I241" s="83" t="str">
        <x:v>Attend one event and decide afterward.</x:v>
      </x:c>
      <x:c r="J241" s="83" t="str"/>
      <x:c r="K241" s="83" t="str">
        <x:v>B</x:v>
      </x:c>
      <x:c r="L241" s="83" t="str">
        <x:v>Incorrect. Acceptance may intensify role confusion.</x:v>
      </x:c>
      <x:c r="M241" s="83" t="str">
        <x:v>Correct. The pattern suggests boundary pressure that should be addressed directly and clinically.</x:v>
      </x:c>
      <x:c r="N241" s="83" t="str">
        <x:v>Incorrect. Experimenting with a dual role increases risk.</x:v>
      </x:c>
      <x:c r="O241" s="83" t="str"/>
      <x:c r="P241" s="83" t="str">
        <x:v>A. Incorrect. Acceptance may intensify role confusion.
B. Correct. The pattern suggests boundary pressure that should be addressed directly and clinically.
C. Incorrect. Experimenting with a dual role increases risk.</x:v>
      </x:c>
      <x:c r="Q241" s="83" t="str">
        <x:v>Look for patterns, expectations, and power—not just a single invitation.</x:v>
      </x:c>
      <x:c r="R241" s="89" t="str">
        <x:v>CTA LCSW WB2; CTA LCSW WB12; ASWB 2026 Clinical Content Area I</x:v>
      </x:c>
    </x:row>
    <x:row r="242">
      <x:c r="A242" s="88" t="str">
        <x:v>CTA-LCSW-MQB-0241</x:v>
      </x:c>
      <x:c r="B242" s="83" t="str">
        <x:v>LCSW-MQB-FA-AP-034</x:v>
      </x:c>
      <x:c r="C242" s="83" t="str">
        <x:v>Comprehensive Simulation</x:v>
      </x:c>
      <x:c r="D242" s="83" t="str">
        <x:v>Form A</x:v>
      </x:c>
      <x:c r="E242" s="83" t="n">
        <x:v>4</x:v>
      </x:c>
      <x:c r="F242" s="83" t="str">
        <x:v>An older adult with a recent medication change becomes abruptly disoriented, attempts to leave home at night, and cannot recognize a caregiver. What should the social worker do?</x:v>
      </x:c>
      <x:c r="G242" s="83" t="str">
        <x:v>Begin memory training and reassess next month.</x:v>
      </x:c>
      <x:c r="H242" s="83" t="str">
        <x:v>Assume a gradual dementia progression.</x:v>
      </x:c>
      <x:c r="I242" s="83" t="str">
        <x:v>Ask the caregiver to keep the episode private.</x:v>
      </x:c>
      <x:c r="J242" s="83" t="str">
        <x:v>Treat the change as a possible medical emergency, arrange urgent evaluation and immediate supervision, and communicate relevant history to medical providers.</x:v>
      </x:c>
      <x:c r="K242" s="83" t="str">
        <x:v>D</x:v>
      </x:c>
      <x:c r="L242" s="83" t="str">
        <x:v>Incorrect. Routine intervention is insufficient.</x:v>
      </x:c>
      <x:c r="M242" s="83" t="str">
        <x:v>Incorrect. Sudden onset is not typical evidence of gradual progression.</x:v>
      </x:c>
      <x:c r="N242" s="83" t="str">
        <x:v>Incorrect. Privacy does not justify concealing urgent clinical information from authorized care providers.</x:v>
      </x:c>
      <x:c r="O242" s="83" t="str">
        <x:v>Correct. Abrupt cognitive change plus unsafe behavior requires medical and safety action.</x:v>
      </x:c>
      <x:c r="P242" s="83" t="str">
        <x:v>A. Incorrect. Routine intervention is insufficient.
B. Incorrect. Sudden onset is not typical evidence of gradual progression.
C. Incorrect. Privacy does not justify concealing urgent clinical information from authorized care providers.
D. Correct. Abrupt cognitive change plus unsafe behavior requires medical and safety action.</x:v>
      </x:c>
      <x:c r="Q242" s="83" t="str">
        <x:v>Integrated assessment asks what is acute, dangerous, and potentially reversible.</x:v>
      </x:c>
      <x:c r="R242" s="89" t="str">
        <x:v>CTA LCSW WB5; ASWB 2026 Clinical Content Area II</x:v>
      </x:c>
    </x:row>
    <x:row r="243">
      <x:c r="A243" s="88" t="str">
        <x:v>CTA-LCSW-MQB-0242</x:v>
      </x:c>
      <x:c r="B243" s="83" t="str">
        <x:v>LCSW-MQB-FA-VE-032</x:v>
      </x:c>
      <x:c r="C243" s="83" t="str">
        <x:v>Comprehensive Simulation</x:v>
      </x:c>
      <x:c r="D243" s="83" t="str">
        <x:v>Form A</x:v>
      </x:c>
      <x:c r="E243" s="83" t="n">
        <x:v>4</x:v>
      </x:c>
      <x:c r="F243" s="83" t="str">
        <x:v>During a telehealth session, the client appears to be in a public place and whispers responses. What should the social worker do FIRST?</x:v>
      </x:c>
      <x:c r="G243" s="83" t="str">
        <x:v>Ask the client to disclose sensitive details quickly.</x:v>
      </x:c>
      <x:c r="H243" s="83" t="str">
        <x:v>Confirm location and privacy, assess whether the client can speak safely, and decide whether to continue, modify, or reschedule.</x:v>
      </x:c>
      <x:c r="I243" s="83" t="str">
        <x:v>Record the session without discussion.</x:v>
      </x:c>
      <x:c r="J243" s="83" t="str">
        <x:v>Continue because the client joined voluntarily.</x:v>
      </x:c>
      <x:c r="K243" s="83" t="str">
        <x:v>B</x:v>
      </x:c>
      <x:c r="L243" s="83" t="str">
        <x:v>Incorrect. Pressure increases privacy risk.</x:v>
      </x:c>
      <x:c r="M243" s="83" t="str">
        <x:v>Correct. Privacy and safety conditions must be assessed before proceeding with sensitive care.</x:v>
      </x:c>
      <x:c r="N243" s="83" t="str">
        <x:v>Incorrect. Recording creates additional consent and security issues.</x:v>
      </x:c>
      <x:c r="O243" s="83" t="str">
        <x:v>Incorrect. Attendance does not establish a private environment.</x:v>
      </x:c>
      <x:c r="P243" s="83" t="str">
        <x:v>A. Incorrect. Pressure increases privacy risk.
B. Correct. Privacy and safety conditions must be assessed before proceeding with sensitive care.
C. Incorrect. Recording creates additional consent and security issues.
D. Incorrect. Attendance does not establish a private environment.</x:v>
      </x:c>
      <x:c r="Q243" s="83" t="str">
        <x:v>Telehealth begins with location, privacy, and emergency capacity.</x:v>
      </x:c>
      <x:c r="R243" s="89" t="str">
        <x:v>CTA LCSW WB2; CTA LCSW WB12; ASWB 2026 Clinical Content Area I</x:v>
      </x:c>
    </x:row>
    <x:row r="244">
      <x:c r="A244" s="88" t="str">
        <x:v>CTA-LCSW-MQB-0243</x:v>
      </x:c>
      <x:c r="B244" s="83" t="str">
        <x:v>LCSW-MQB-FA-VE-013</x:v>
      </x:c>
      <x:c r="C244" s="83" t="str">
        <x:v>Comprehensive Simulation</x:v>
      </x:c>
      <x:c r="D244" s="83" t="str">
        <x:v>Form A</x:v>
      </x:c>
      <x:c r="E244" s="83" t="n">
        <x:v>3</x:v>
      </x:c>
      <x:c r="F244" s="83" t="str">
        <x:v>A court-referred client says, “Since I have to be here, I have no choices.” What should the social worker explain?</x:v>
      </x:c>
      <x:c r="G244" s="83" t="str">
        <x:v>Clarify what is required, what may be reported, the limits of confidentiality, and the choices the client still controls.</x:v>
      </x:c>
      <x:c r="H244" s="83" t="str">
        <x:v>Threaten additional penalties for asking questions.</x:v>
      </x:c>
      <x:c r="I244" s="83" t="str">
        <x:v>Promise that nothing will be reported.</x:v>
      </x:c>
      <x:c r="J244" s="83" t="str"/>
      <x:c r="K244" s="83" t="str">
        <x:v>A</x:v>
      </x:c>
      <x:c r="L244" s="83" t="str">
        <x:v>Correct. Mandated participation changes voluntariness but does not erase accurate information or remaining choice.</x:v>
      </x:c>
      <x:c r="M244" s="83" t="str">
        <x:v>Incorrect. Threats are coercive and may exceed the social worker’s role.</x:v>
      </x:c>
      <x:c r="N244" s="83" t="str">
        <x:v>Incorrect. Reporting expectations may exist.</x:v>
      </x:c>
      <x:c r="O244" s="83" t="str"/>
      <x:c r="P244" s="83" t="str">
        <x:v>A. Correct. Mandated participation changes voluntariness but does not erase accurate information or remaining choice.
B. Incorrect. Threats are coercive and may exceed the social worker’s role.
C. Incorrect. Reporting expectations may exist.</x:v>
      </x:c>
      <x:c r="Q244" s="83" t="str">
        <x:v>Separate what is required from what remains negotiable.</x:v>
      </x:c>
      <x:c r="R244" s="89" t="str">
        <x:v>CTA LCSW WB2; ASWB 2026 Clinical Content Area I</x:v>
      </x:c>
    </x:row>
    <x:row r="245">
      <x:c r="A245" s="88" t="str">
        <x:v>CTA-LCSW-MQB-0244</x:v>
      </x:c>
      <x:c r="B245" s="83" t="str">
        <x:v>LCSW-MQB-FA-AP-001</x:v>
      </x:c>
      <x:c r="C245" s="83" t="str">
        <x:v>Comprehensive Simulation</x:v>
      </x:c>
      <x:c r="D245" s="83" t="str">
        <x:v>Form A</x:v>
      </x:c>
      <x:c r="E245" s="83" t="n">
        <x:v>3</x:v>
      </x:c>
      <x:c r="F245" s="83" t="str">
        <x:v>Which mental-status function is assessed by asking a client to identify the date, location, and situation?</x:v>
      </x:c>
      <x:c r="G245" s="83" t="str">
        <x:v>Orientation.</x:v>
      </x:c>
      <x:c r="H245" s="83" t="str">
        <x:v>Impulse control.</x:v>
      </x:c>
      <x:c r="I245" s="83" t="str">
        <x:v>Insight.</x:v>
      </x:c>
      <x:c r="J245" s="83" t="str"/>
      <x:c r="K245" s="83" t="str">
        <x:v>A</x:v>
      </x:c>
      <x:c r="L245" s="83" t="str">
        <x:v>Correct. Orientation concerns awareness of person, place, time, and situation.</x:v>
      </x:c>
      <x:c r="M245" s="83" t="str">
        <x:v>Incorrect. Impulse control concerns regulation of action.</x:v>
      </x:c>
      <x:c r="N245" s="83" t="str">
        <x:v>Incorrect. Insight concerns understanding of one’s condition.</x:v>
      </x:c>
      <x:c r="O245" s="83" t="str"/>
      <x:c r="P245" s="83" t="str">
        <x:v>A. Correct. Orientation concerns awareness of person, place, time, and situation.
B. Incorrect. Impulse control concerns regulation of action.
C. Incorrect. Insight concerns understanding of one’s condition.</x:v>
      </x:c>
      <x:c r="Q245" s="83" t="str">
        <x:v>Match the question to the specific MSE domain.</x:v>
      </x:c>
      <x:c r="R245" s="89" t="str">
        <x:v>CTA LCSW WB3–WB7; ASWB 2026 Clinical Content Area II</x:v>
      </x:c>
    </x:row>
    <x:row r="246">
      <x:c r="A246" s="88" t="str">
        <x:v>CTA-LCSW-MQB-0245</x:v>
      </x:c>
      <x:c r="B246" s="83" t="str">
        <x:v>LCSW-MQB-FA-IP-036</x:v>
      </x:c>
      <x:c r="C246" s="83" t="str">
        <x:v>Comprehensive Simulation</x:v>
      </x:c>
      <x:c r="D246" s="83" t="str">
        <x:v>Form A</x:v>
      </x:c>
      <x:c r="E246" s="83" t="n">
        <x:v>4</x:v>
      </x:c>
      <x:c r="F246" s="83" t="str">
        <x:v>A strongly supported treatment conflicts with a client’s cultural values and prior harmful experiences in institutions. What should the social worker do?</x:v>
      </x:c>
      <x:c r="G246" s="83" t="str">
        <x:v>Avoid discussing the conflict.</x:v>
      </x:c>
      <x:c r="H246" s="83" t="str">
        <x:v>Explain the evidence and options, explore the client’s concerns and values, adapt when clinically sound, and collaboratively select an acceptable plan.</x:v>
      </x:c>
      <x:c r="I246" s="83" t="str">
        <x:v>Reject the evidence entirely.</x:v>
      </x:c>
      <x:c r="J246" s="83" t="str">
        <x:v>Insist on the treatment because evidence overrides preference.</x:v>
      </x:c>
      <x:c r="K246" s="83" t="str">
        <x:v>B</x:v>
      </x:c>
      <x:c r="L246" s="83" t="str">
        <x:v>Incorrect. Avoidance prevents informed collaboration.</x:v>
      </x:c>
      <x:c r="M246" s="83" t="str">
        <x:v>Correct. Evidence-informed practice integrates research, clinical expertise, context, and client preferences.</x:v>
      </x:c>
      <x:c r="N246" s="83" t="str">
        <x:v>Incorrect. Evidence remains relevant even when adaptation is needed.</x:v>
      </x:c>
      <x:c r="O246" s="83" t="str">
        <x:v>Incorrect. Research does not erase consent or cultural fit.</x:v>
      </x:c>
      <x:c r="P246" s="83" t="str">
        <x:v>A. Incorrect. Avoidance prevents informed collaboration.
B. Correct. Evidence-informed practice integrates research, clinical expertise, context, and client preferences.
C. Incorrect. Evidence remains relevant even when adaptation is needed.
D. Incorrect. Research does not erase consent or cultural fit.</x:v>
      </x:c>
      <x:c r="Q246" s="83" t="str">
        <x:v>Evidence informs the conversation; it does not end it.</x:v>
      </x:c>
      <x:c r="R246" s="89" t="str">
        <x:v>CTA LCSW WB8–WB11; ASWB 2026 Clinical Content Area III</x:v>
      </x:c>
    </x:row>
    <x:row r="247">
      <x:c r="A247" s="88" t="str">
        <x:v>CTA-LCSW-MQB-0246</x:v>
      </x:c>
      <x:c r="B247" s="83" t="str">
        <x:v>LCSW-MQB-FA-VE-008</x:v>
      </x:c>
      <x:c r="C247" s="83" t="str">
        <x:v>Comprehensive Simulation</x:v>
      </x:c>
      <x:c r="D247" s="83" t="str">
        <x:v>Form A</x:v>
      </x:c>
      <x:c r="E247" s="83" t="n">
        <x:v>3</x:v>
      </x:c>
      <x:c r="F247" s="83" t="str">
        <x:v>A long-term client offers the social worker a small handmade item that has important cultural meaning. What should the social worker do?</x:v>
      </x:c>
      <x:c r="G247" s="83" t="str">
        <x:v>Explore the meaning, value, timing, cultural context, and possible impact before deciding whether accepting is clinically appropriate.</x:v>
      </x:c>
      <x:c r="H247" s="83" t="str">
        <x:v>Reject every gift immediately without discussion.</x:v>
      </x:c>
      <x:c r="I247" s="83" t="str">
        <x:v>Sell the item and donate the proceeds.</x:v>
      </x:c>
      <x:c r="J247" s="83" t="str"/>
      <x:c r="K247" s="83" t="str">
        <x:v>A</x:v>
      </x:c>
      <x:c r="L247" s="83" t="str">
        <x:v>Correct. Gift decisions require contextual boundary analysis rather than a universal rule.</x:v>
      </x:c>
      <x:c r="M247" s="83" t="str">
        <x:v>Incorrect. Automatic rejection may damage the relationship or communicate disrespect.</x:v>
      </x:c>
      <x:c r="N247" s="83" t="str">
        <x:v>Incorrect. Selling the gift changes its meaning and is not a standard response.</x:v>
      </x:c>
      <x:c r="O247" s="83" t="str"/>
      <x:c r="P247" s="83" t="str">
        <x:v>A. Correct. Gift decisions require contextual boundary analysis rather than a universal rule.
B. Incorrect. Automatic rejection may damage the relationship or communicate disrespect.
C. Incorrect. Selling the gift changes its meaning and is not a standard response.</x:v>
      </x:c>
      <x:c r="Q247" s="83" t="str">
        <x:v>Assess function and impact, not just the object.</x:v>
      </x:c>
      <x:c r="R247" s="89" t="str">
        <x:v>CTA LCSW WB2; CTA LCSW WB12; ASWB 2026 Clinical Content Area I</x:v>
      </x:c>
    </x:row>
    <x:row r="248">
      <x:c r="A248" s="88" t="str">
        <x:v>CTA-LCSW-MQB-0247</x:v>
      </x:c>
      <x:c r="B248" s="83" t="str">
        <x:v>LCSW-MQB-FA-AP-028</x:v>
      </x:c>
      <x:c r="C248" s="83" t="str">
        <x:v>Comprehensive Simulation</x:v>
      </x:c>
      <x:c r="D248" s="83" t="str">
        <x:v>Form A</x:v>
      </x:c>
      <x:c r="E248" s="83" t="n">
        <x:v>4</x:v>
      </x:c>
      <x:c r="F248" s="83" t="str">
        <x:v>A client reports severe restriction, fainting, and rapid weight change. What should the social worker do NEXT?</x:v>
      </x:c>
      <x:c r="G248" s="83" t="str">
        <x:v>Begin only body-image journaling.</x:v>
      </x:c>
      <x:c r="H248" s="83" t="str">
        <x:v>Wait for the next routine appointment.</x:v>
      </x:c>
      <x:c r="I248" s="83" t="str">
        <x:v>Assess immediate medical risk and arrange urgent medical evaluation while continuing a broader eating-disorder and safety assessment.</x:v>
      </x:c>
      <x:c r="J248" s="83" t="str">
        <x:v>Assume the client is exaggerating.</x:v>
      </x:c>
      <x:c r="K248" s="83" t="str">
        <x:v>C</x:v>
      </x:c>
      <x:c r="L248" s="83" t="str">
        <x:v>Incorrect. Psychotherapeutic work does not replace medical assessment.</x:v>
      </x:c>
      <x:c r="M248" s="83" t="str">
        <x:v>Incorrect. Routine delay may be unsafe.</x:v>
      </x:c>
      <x:c r="N248" s="83" t="str">
        <x:v>Correct. Fainting and rapid change may indicate medical instability.</x:v>
      </x:c>
      <x:c r="O248" s="83" t="str">
        <x:v>Incorrect. Dismissal can delay needed care.</x:v>
      </x:c>
      <x:c r="P248" s="83" t="str">
        <x:v>A. Incorrect. Psychotherapeutic work does not replace medical assessment.
B. Incorrect. Routine delay may be unsafe.
C. Correct. Fainting and rapid change may indicate medical instability.
D. Incorrect. Dismissal can delay needed care.</x:v>
      </x:c>
      <x:c r="Q248" s="83" t="str">
        <x:v>Medical instability outranks a complete outpatient formulation.</x:v>
      </x:c>
      <x:c r="R248" s="89" t="str">
        <x:v>CTA LCSW WB5; ASWB 2026 Clinical Content Area II</x:v>
      </x:c>
    </x:row>
    <x:row r="249">
      <x:c r="A249" s="88" t="str">
        <x:v>CTA-LCSW-MQB-0248</x:v>
      </x:c>
      <x:c r="B249" s="83" t="str">
        <x:v>LCSW-MQB-FA-VE-015</x:v>
      </x:c>
      <x:c r="C249" s="83" t="str">
        <x:v>Comprehensive Simulation</x:v>
      </x:c>
      <x:c r="D249" s="83" t="str">
        <x:v>Form A</x:v>
      </x:c>
      <x:c r="E249" s="83" t="n">
        <x:v>3</x:v>
      </x:c>
      <x:c r="F249" s="83" t="str">
        <x:v>A client is surprised by a missed-appointment charge that was never discussed. What should the social worker do?</x:v>
      </x:c>
      <x:c r="G249" s="83" t="str">
        <x:v>Insist the client should have known the policy.</x:v>
      </x:c>
      <x:c r="H249" s="83" t="str">
        <x:v>Terminate for questioning the bill.</x:v>
      </x:c>
      <x:c r="I249" s="83" t="str">
        <x:v>Review the policy, acknowledge the lack of prior disclosure, resolve the charge fairly, and clarify future expectations.</x:v>
      </x:c>
      <x:c r="J249" s="83" t="str"/>
      <x:c r="K249" s="83" t="str">
        <x:v>C</x:v>
      </x:c>
      <x:c r="L249" s="83" t="str">
        <x:v>Incorrect. Undisclosed terms should not be treated as obvious.</x:v>
      </x:c>
      <x:c r="M249" s="83" t="str">
        <x:v>Incorrect. Billing questions do not justify abandonment.</x:v>
      </x:c>
      <x:c r="N249" s="83" t="str">
        <x:v>Correct. Financial expectations should be disclosed and handled transparently.</x:v>
      </x:c>
      <x:c r="O249" s="83" t="str"/>
      <x:c r="P249" s="83" t="str">
        <x:v>A. Incorrect. Undisclosed terms should not be treated as obvious.
B. Incorrect. Billing questions do not justify abandonment.
C. Correct. Financial expectations should be disclosed and handled transparently.</x:v>
      </x:c>
      <x:c r="Q249" s="83" t="str">
        <x:v>In fee disputes, return to informed expectations and fairness.</x:v>
      </x:c>
      <x:c r="R249" s="89" t="str">
        <x:v>CTA LCSW WB2; CTA LCSW WB12; ASWB 2026 Clinical Content Area I</x:v>
      </x:c>
    </x:row>
    <x:row r="250">
      <x:c r="A250" s="88" t="str">
        <x:v>CTA-LCSW-MQB-0249</x:v>
      </x:c>
      <x:c r="B250" s="83" t="str">
        <x:v>LCSW-MQB-FA-AP-010</x:v>
      </x:c>
      <x:c r="C250" s="83" t="str">
        <x:v>Comprehensive Simulation</x:v>
      </x:c>
      <x:c r="D250" s="83" t="str">
        <x:v>Form A</x:v>
      </x:c>
      <x:c r="E250" s="83" t="n">
        <x:v>3</x:v>
      </x:c>
      <x:c r="F250" s="83" t="str">
        <x:v>A family reports severe conflict but reliably cooperates during medical emergencies. How should the social worker use this information?</x:v>
      </x:c>
      <x:c r="G250" s="83" t="str">
        <x:v>Explore what supports cooperation and how those resources might be transferred to recurring conflict.</x:v>
      </x:c>
      <x:c r="H250" s="83" t="str">
        <x:v>Ignore it because strengths are not part of assessment.</x:v>
      </x:c>
      <x:c r="I250" s="83" t="str">
        <x:v>Conclude the family has no problem.</x:v>
      </x:c>
      <x:c r="J250" s="83" t="str"/>
      <x:c r="K250" s="83" t="str">
        <x:v>A</x:v>
      </x:c>
      <x:c r="L250" s="83" t="str">
        <x:v>Correct. Exceptions can reveal capacities, roles, and conditions that support change.</x:v>
      </x:c>
      <x:c r="M250" s="83" t="str">
        <x:v>Incorrect. Strengths are essential assessment data.</x:v>
      </x:c>
      <x:c r="N250" s="83" t="str">
        <x:v>Incorrect. A strength does not erase the presenting concern.</x:v>
      </x:c>
      <x:c r="O250" s="83" t="str"/>
      <x:c r="P250" s="83" t="str">
        <x:v>A. Correct. Exceptions can reveal capacities, roles, and conditions that support change.
B. Incorrect. Strengths are essential assessment data.
C. Incorrect. A strength does not erase the presenting concern.</x:v>
      </x:c>
      <x:c r="Q250" s="83" t="str">
        <x:v>Look for successful sequences, not only deficits.</x:v>
      </x:c>
      <x:c r="R250" s="89" t="str">
        <x:v>CTA LCSW WB3–WB7; ASWB 2026 Clinical Content Area II</x:v>
      </x:c>
    </x:row>
    <x:row r="251">
      <x:c r="A251" s="88" t="str">
        <x:v>CTA-LCSW-MQB-0250</x:v>
      </x:c>
      <x:c r="B251" s="83" t="str">
        <x:v>LCSW-MQB-FA-IP-019</x:v>
      </x:c>
      <x:c r="C251" s="83" t="str">
        <x:v>Comprehensive Simulation</x:v>
      </x:c>
      <x:c r="D251" s="83" t="str">
        <x:v>Form A</x:v>
      </x:c>
      <x:c r="E251" s="83" t="n">
        <x:v>3</x:v>
      </x:c>
      <x:c r="F251" s="83" t="str">
        <x:v>An agitated client is pacing, shouting, and moving closer to staff. What should the social worker do FIRST?</x:v>
      </x:c>
      <x:c r="G251" s="83" t="str">
        <x:v>Use calm, simple communication, increase physical space, reduce stimulation, assess immediate danger, and preserve an exit route.</x:v>
      </x:c>
      <x:c r="H251" s="83" t="str">
        <x:v>Block the doorway.</x:v>
      </x:c>
      <x:c r="I251" s="83" t="str">
        <x:v>Argue about the client’s behavior.</x:v>
      </x:c>
      <x:c r="J251" s="83" t="str"/>
      <x:c r="K251" s="83" t="str">
        <x:v>A</x:v>
      </x:c>
      <x:c r="L251" s="83" t="str">
        <x:v>Correct. De-escalation prioritizes safety, space, and reduced arousal.</x:v>
      </x:c>
      <x:c r="M251" s="83" t="str">
        <x:v>Incorrect. Blocking exit can increase threat.</x:v>
      </x:c>
      <x:c r="N251" s="83" t="str">
        <x:v>Incorrect. Argument may escalate.</x:v>
      </x:c>
      <x:c r="O251" s="83" t="str"/>
      <x:c r="P251" s="83" t="str">
        <x:v>A. Correct. De-escalation prioritizes safety, space, and reduced arousal.
B. Incorrect. Blocking exit can increase threat.
C. Incorrect. Argument may escalate.</x:v>
      </x:c>
      <x:c r="Q251" s="83" t="str">
        <x:v>Lower arousal before seeking insight.</x:v>
      </x:c>
      <x:c r="R251" s="89" t="str">
        <x:v>CTA LCSW WB8–WB11; ASWB 2026 Clinical Content Area III</x:v>
      </x:c>
    </x:row>
    <x:row r="252">
      <x:c r="A252" s="88" t="str">
        <x:v>CTA-LCSW-MQB-0251</x:v>
      </x:c>
      <x:c r="B252" s="83" t="str">
        <x:v>LCSW-MQB-FA-IP-024</x:v>
      </x:c>
      <x:c r="C252" s="83" t="str">
        <x:v>Comprehensive Simulation</x:v>
      </x:c>
      <x:c r="D252" s="83" t="str">
        <x:v>Form A</x:v>
      </x:c>
      <x:c r="E252" s="83" t="n">
        <x:v>4</x:v>
      </x:c>
      <x:c r="F252" s="83" t="str">
        <x:v>A client wants to begin exposure work but has frequent dissociation and no reliable stabilization skills. What should the social worker do?</x:v>
      </x:c>
      <x:c r="G252" s="83" t="str">
        <x:v>Begin intensive exposure immediately.</x:v>
      </x:c>
      <x:c r="H252" s="83" t="str">
        <x:v>Strengthen safety, grounding, and regulation first, then reassess readiness for paced trauma processing.</x:v>
      </x:c>
      <x:c r="I252" s="83" t="str">
        <x:v>Tell the client dissociation is voluntary.</x:v>
      </x:c>
      <x:c r="J252" s="83" t="str">
        <x:v>Avoid trauma forever.</x:v>
      </x:c>
      <x:c r="K252" s="83" t="str">
        <x:v>B</x:v>
      </x:c>
      <x:c r="L252" s="83" t="str">
        <x:v>Incorrect. Premature exposure may worsen dysregulation.</x:v>
      </x:c>
      <x:c r="M252" s="83" t="str">
        <x:v>Correct. Trauma processing requires adequate stability and collaborative pacing.</x:v>
      </x:c>
      <x:c r="N252" s="83" t="str">
        <x:v>Incorrect. Dissociation should not be moralized.</x:v>
      </x:c>
      <x:c r="O252" s="83" t="str">
        <x:v>Incorrect. Permanent avoidance may maintain symptoms.</x:v>
      </x:c>
      <x:c r="P252" s="83" t="str">
        <x:v>A. Incorrect. Premature exposure may worsen dysregulation.
B. Correct. Trauma processing requires adequate stability and collaborative pacing.
C. Incorrect. Dissociation should not be moralized.
D. Incorrect. Permanent avoidance may maintain symptoms.</x:v>
      </x:c>
      <x:c r="Q252" s="83" t="str">
        <x:v>Readiness is not desire alone; assess capacity to remain present and recover.</x:v>
      </x:c>
      <x:c r="R252" s="89" t="str">
        <x:v>CTA LCSW WB8–WB11; ASWB 2026 Clinical Content Area III</x:v>
      </x:c>
    </x:row>
    <x:row r="253">
      <x:c r="A253" s="88" t="str">
        <x:v>CTA-LCSW-MQB-0252</x:v>
      </x:c>
      <x:c r="B253" s="83" t="str">
        <x:v>LCSW-MQB-FA-AP-024</x:v>
      </x:c>
      <x:c r="C253" s="83" t="str">
        <x:v>Comprehensive Simulation</x:v>
      </x:c>
      <x:c r="D253" s="83" t="str">
        <x:v>Form A</x:v>
      </x:c>
      <x:c r="E253" s="83" t="n">
        <x:v>3</x:v>
      </x:c>
      <x:c r="F253" s="83" t="str">
        <x:v>A pregnant client says a partner controls money, transportation, and contact with friends. What should the social worker do NEXT?</x:v>
      </x:c>
      <x:c r="G253" s="83" t="str">
        <x:v>Assess coercive control, immediate danger, safe communication, children or other dependents, and the client’s priorities for safety planning.</x:v>
      </x:c>
      <x:c r="H253" s="83" t="str">
        <x:v>Recommend couples therapy immediately.</x:v>
      </x:c>
      <x:c r="I253" s="83" t="str">
        <x:v>Focus only on prenatal appointments.</x:v>
      </x:c>
      <x:c r="J253" s="83" t="str"/>
      <x:c r="K253" s="83" t="str">
        <x:v>A</x:v>
      </x:c>
      <x:c r="L253" s="83" t="str">
        <x:v>Correct. The pattern may indicate intimate-partner violence and requires private, autonomy-supportive safety assessment.</x:v>
      </x:c>
      <x:c r="M253" s="83" t="str">
        <x:v>Incorrect. Conjoint work may be unsafe in coercive control.</x:v>
      </x:c>
      <x:c r="N253" s="83" t="str">
        <x:v>Incorrect. Medical needs matter but do not replace violence assessment.</x:v>
      </x:c>
      <x:c r="O253" s="83" t="str"/>
      <x:c r="P253" s="83" t="str">
        <x:v>A. Correct. The pattern may indicate intimate-partner violence and requires private, autonomy-supportive safety assessment.
B. Incorrect. Conjoint work may be unsafe in coercive control.
C. Incorrect. Medical needs matter but do not replace violence assessment.</x:v>
      </x:c>
      <x:c r="Q253" s="83" t="str">
        <x:v>Control over movement, money, and relationships is a safety clue.</x:v>
      </x:c>
      <x:c r="R253" s="89" t="str">
        <x:v>CTA LCSW WB6; ASWB 2026 Clinical Content Area II</x:v>
      </x:c>
    </x:row>
    <x:row r="254">
      <x:c r="A254" s="88" t="str">
        <x:v>CTA-LCSW-MQB-0253</x:v>
      </x:c>
      <x:c r="B254" s="83" t="str">
        <x:v>LCSW-MQB-FA-VE-001</x:v>
      </x:c>
      <x:c r="C254" s="83" t="str">
        <x:v>Comprehensive Simulation</x:v>
      </x:c>
      <x:c r="D254" s="83" t="str">
        <x:v>Form A</x:v>
      </x:c>
      <x:c r="E254" s="83" t="n">
        <x:v>3</x:v>
      </x:c>
      <x:c r="F254" s="83" t="str">
        <x:v>What is the central purpose of client self-determination in social work practice?</x:v>
      </x:c>
      <x:c r="G254" s="83" t="str">
        <x:v>To require clients to follow the social worker’s preferred plan.</x:v>
      </x:c>
      <x:c r="H254" s="83" t="str">
        <x:v>To support clients in making informed choices about their own goals and services within relevant safety and legal limits.</x:v>
      </x:c>
      <x:c r="I254" s="83" t="str">
        <x:v>To avoid offering professional recommendations.</x:v>
      </x:c>
      <x:c r="J254" s="83" t="str"/>
      <x:c r="K254" s="83" t="str">
        <x:v>B</x:v>
      </x:c>
      <x:c r="L254" s="83" t="str">
        <x:v>Incorrect. Professional authority does not replace client choice.</x:v>
      </x:c>
      <x:c r="M254" s="83" t="str">
        <x:v>Correct. Self-determination combines meaningful choice, accurate information, and respect for the client’s role in decisions.</x:v>
      </x:c>
      <x:c r="N254" s="83" t="str">
        <x:v>Incorrect. The social worker may still assess, recommend, and explain.</x:v>
      </x:c>
      <x:c r="O254" s="83" t="str"/>
      <x:c r="P254" s="83" t="str">
        <x:v>A. Incorrect. Professional authority does not replace client choice.
B. Correct. Self-determination combines meaningful choice, accurate information, and respect for the client’s role in decisions.
C. Incorrect. The social worker may still assess, recommend, and explain.</x:v>
      </x:c>
      <x:c r="Q254" s="83" t="str">
        <x:v>Choose the answer that preserves informed choice without erasing professional responsibility.</x:v>
      </x:c>
      <x:c r="R254" s="89" t="str">
        <x:v>CTA LCSW WB2; ASWB 2026 Clinical Content Area I</x:v>
      </x:c>
    </x:row>
    <x:row r="255">
      <x:c r="A255" s="88" t="str">
        <x:v>CTA-LCSW-MQB-0254</x:v>
      </x:c>
      <x:c r="B255" s="83" t="str">
        <x:v>LCSW-MQB-FA-VE-003</x:v>
      </x:c>
      <x:c r="C255" s="83" t="str">
        <x:v>Comprehensive Simulation</x:v>
      </x:c>
      <x:c r="D255" s="83" t="str">
        <x:v>Form A</x:v>
      </x:c>
      <x:c r="E255" s="83" t="n">
        <x:v>3</x:v>
      </x:c>
      <x:c r="F255" s="83" t="str">
        <x:v>Which statement MOST accurately distinguishes confidentiality from privilege?</x:v>
      </x:c>
      <x:c r="G255" s="83" t="str">
        <x:v>Confidentiality is the professional duty to protect information; privilege concerns control of disclosure in certain legal proceedings.</x:v>
      </x:c>
      <x:c r="H255" s="83" t="str">
        <x:v>They are identical terms in every setting.</x:v>
      </x:c>
      <x:c r="I255" s="83" t="str">
        <x:v>Confidentiality applies only after treatment ends.</x:v>
      </x:c>
      <x:c r="J255" s="83" t="str"/>
      <x:c r="K255" s="83" t="str">
        <x:v>A</x:v>
      </x:c>
      <x:c r="L255" s="83" t="str">
        <x:v>Correct. The concepts overlap but arise in different professional and legal contexts.</x:v>
      </x:c>
      <x:c r="M255" s="83" t="str">
        <x:v>Incorrect. They should not be treated as interchangeable.</x:v>
      </x:c>
      <x:c r="N255" s="83" t="str">
        <x:v>Incorrect. Confidentiality applies throughout and often after services.</x:v>
      </x:c>
      <x:c r="O255" s="83" t="str"/>
      <x:c r="P255" s="83" t="str">
        <x:v>A. Correct. The concepts overlap but arise in different professional and legal contexts.
B. Incorrect. They should not be treated as interchangeable.
C. Incorrect. Confidentiality applies throughout and often after services.</x:v>
      </x:c>
      <x:c r="Q255" s="83" t="str">
        <x:v>Identify whether the question concerns ordinary information protection or compelled legal testimony.</x:v>
      </x:c>
      <x:c r="R255" s="89" t="str">
        <x:v>CTA LCSW WB2; CTA LCSW WB12; ASWB 2026 Clinical Content Area I</x:v>
      </x:c>
    </x:row>
    <x:row r="256">
      <x:c r="A256" s="88" t="str">
        <x:v>CTA-LCSW-MQB-0255</x:v>
      </x:c>
      <x:c r="B256" s="83" t="str">
        <x:v>LCSW-MQB-FA-IP-020</x:v>
      </x:c>
      <x:c r="C256" s="83" t="str">
        <x:v>Comprehensive Simulation</x:v>
      </x:c>
      <x:c r="D256" s="83" t="str">
        <x:v>Form A</x:v>
      </x:c>
      <x:c r="E256" s="83" t="n">
        <x:v>3</x:v>
      </x:c>
      <x:c r="F256" s="83" t="str">
        <x:v>A client has intent, a specific plan, access to means, and cannot commit to immediate safety. What should the social worker do?</x:v>
      </x:c>
      <x:c r="G256" s="83" t="str">
        <x:v>Rely only on a no-harm promise.</x:v>
      </x:c>
      <x:c r="H256" s="83" t="str">
        <x:v>Leave the client alone to preserve autonomy.</x:v>
      </x:c>
      <x:c r="I256" s="83" t="str">
        <x:v>Initiate emergency safety procedures and arrange the level of care needed while remaining engaged and using available supports.</x:v>
      </x:c>
      <x:c r="J256" s="83" t="str"/>
      <x:c r="K256" s="83" t="str">
        <x:v>C</x:v>
      </x:c>
      <x:c r="L256" s="83" t="str">
        <x:v>Incorrect. Promises do not replace assessment and intervention.</x:v>
      </x:c>
      <x:c r="M256" s="83" t="str">
        <x:v>Incorrect. Autonomy does not require abandoning a person in imminent danger.</x:v>
      </x:c>
      <x:c r="N256" s="83" t="str">
        <x:v>Correct. The combination indicates acute risk requiring immediate protective action.</x:v>
      </x:c>
      <x:c r="O256" s="83" t="str"/>
      <x:c r="P256" s="83" t="str">
        <x:v>A. Incorrect. Promises do not replace assessment and intervention.
B. Incorrect. Autonomy does not require abandoning a person in imminent danger.
C. Correct. The combination indicates acute risk requiring immediate protective action.</x:v>
      </x:c>
      <x:c r="Q256" s="83" t="str">
        <x:v>High intent, plan, means, and inability to stay safe point to emergency action.</x:v>
      </x:c>
      <x:c r="R256" s="89" t="str">
        <x:v>CTA LCSW WB8–WB11; ASWB 2026 Clinical Content Area III</x:v>
      </x:c>
    </x:row>
    <x:row r="257">
      <x:c r="A257" s="88" t="str">
        <x:v>CTA-LCSW-MQB-0256</x:v>
      </x:c>
      <x:c r="B257" s="83" t="str">
        <x:v>LCSW-MQB-FA-VE-007</x:v>
      </x:c>
      <x:c r="C257" s="83" t="str">
        <x:v>Comprehensive Simulation</x:v>
      </x:c>
      <x:c r="D257" s="83" t="str">
        <x:v>Form A</x:v>
      </x:c>
      <x:c r="E257" s="83" t="n">
        <x:v>3</x:v>
      </x:c>
      <x:c r="F257" s="83" t="str">
        <x:v>A client understands conversational English but struggles with complex consent language. What should the social worker do?</x:v>
      </x:c>
      <x:c r="G257" s="83" t="str">
        <x:v>Obtain a signature and document that English is the client’s second language.</x:v>
      </x:c>
      <x:c r="H257" s="83" t="str">
        <x:v>Use qualified language assistance or accessible communication, explain the material plainly, and check understanding.</x:v>
      </x:c>
      <x:c r="I257" s="83" t="str">
        <x:v>Skip the consent topics that are difficult to translate.</x:v>
      </x:c>
      <x:c r="J257" s="83" t="str"/>
      <x:c r="K257" s="83" t="str">
        <x:v>B</x:v>
      </x:c>
      <x:c r="L257" s="83" t="str">
        <x:v>Incorrect. A signature does not cure lack of understanding.</x:v>
      </x:c>
      <x:c r="M257" s="83" t="str">
        <x:v>Correct. Meaningful consent requires accurate, accessible communication and confirmation of comprehension.</x:v>
      </x:c>
      <x:c r="N257" s="83" t="str">
        <x:v>Incorrect. Required information should not be omitted.</x:v>
      </x:c>
      <x:c r="O257" s="83" t="str"/>
      <x:c r="P257" s="83" t="str">
        <x:v>A. Incorrect. A signature does not cure lack of understanding.
B. Correct. Meaningful consent requires accurate, accessible communication and confirmation of comprehension.
C. Incorrect. Required information should not be omitted.</x:v>
      </x:c>
      <x:c r="Q257" s="83" t="str">
        <x:v>When the barrier is comprehension, improve communication rather than merely documenting the barrier.</x:v>
      </x:c>
      <x:c r="R257" s="89" t="str">
        <x:v>CTA LCSW WB2; ASWB 2026 Clinical Content Area I</x:v>
      </x:c>
    </x:row>
    <x:row r="258">
      <x:c r="A258" s="88" t="str">
        <x:v>CTA-LCSW-MQB-0257</x:v>
      </x:c>
      <x:c r="B258" s="83" t="str">
        <x:v>LCSW-MQB-FA-IP-038</x:v>
      </x:c>
      <x:c r="C258" s="83" t="str">
        <x:v>Comprehensive Simulation</x:v>
      </x:c>
      <x:c r="D258" s="83" t="str">
        <x:v>Form A</x:v>
      </x:c>
      <x:c r="E258" s="83" t="n">
        <x:v>4</x:v>
      </x:c>
      <x:c r="F258" s="83" t="str">
        <x:v>A team recommends residential care, but a capable client prefers intensive community treatment. What should the social worker do?</x:v>
      </x:c>
      <x:c r="G258" s="83" t="str">
        <x:v>Ensure the client understands risks and options, present environmental and support data to the team, and collaborate on the safest feasible plan that respects the client’s decision.</x:v>
      </x:c>
      <x:c r="H258" s="83" t="str">
        <x:v>Override the client because the team agrees.</x:v>
      </x:c>
      <x:c r="I258" s="83" t="str">
        <x:v>Withdraw from the case.</x:v>
      </x:c>
      <x:c r="J258" s="83" t="str">
        <x:v>Support the client without discussing risk.</x:v>
      </x:c>
      <x:c r="K258" s="83" t="str">
        <x:v>A</x:v>
      </x:c>
      <x:c r="L258" s="83" t="str">
        <x:v>Correct. The social worker must integrate autonomy, informed risk, team expertise, and real-world supports.</x:v>
      </x:c>
      <x:c r="M258" s="83" t="str">
        <x:v>Incorrect. Consensus does not automatically replace a capable client’s choice.</x:v>
      </x:c>
      <x:c r="N258" s="83" t="str">
        <x:v>Incorrect. Withdrawal abandons collaborative planning.</x:v>
      </x:c>
      <x:c r="O258" s="83" t="str">
        <x:v>Incorrect. Respect requires accurate risk discussion.</x:v>
      </x:c>
      <x:c r="P258" s="83" t="str">
        <x:v>A. Correct. The social worker must integrate autonomy, informed risk, team expertise, and real-world supports.
B. Incorrect. Consensus does not automatically replace a capable client’s choice.
C. Incorrect. Withdrawal abandons collaborative planning.
D. Incorrect. Respect requires accurate risk discussion.</x:v>
      </x:c>
      <x:c r="Q258" s="83" t="str">
        <x:v>The best plan is both informed and feasible, not simply the most restrictive.</x:v>
      </x:c>
      <x:c r="R258" s="89" t="str">
        <x:v>CTA LCSW WB10; CTA LCSW WB11; ASWB 2026 Clinical Content Area III</x:v>
      </x:c>
    </x:row>
    <x:row r="259">
      <x:c r="A259" s="88" t="str">
        <x:v>CTA-LCSW-MQB-0258</x:v>
      </x:c>
      <x:c r="B259" s="83" t="str">
        <x:v>LCSW-MQB-FA-VE-006</x:v>
      </x:c>
      <x:c r="C259" s="83" t="str">
        <x:v>Comprehensive Simulation</x:v>
      </x:c>
      <x:c r="D259" s="83" t="str">
        <x:v>Form A</x:v>
      </x:c>
      <x:c r="E259" s="83" t="n">
        <x:v>3</x:v>
      </x:c>
      <x:c r="F259" s="83" t="str">
        <x:v>A client seeks help improving sleep, but the social worker believes the client should focus first on family conflict. What should the social worker do?</x:v>
      </x:c>
      <x:c r="G259" s="83" t="str">
        <x:v>Replace the client’s goal with the family-conflict goal.</x:v>
      </x:c>
      <x:c r="H259" s="83" t="str">
        <x:v>Avoid discussing family conflict because the client did not name it.</x:v>
      </x:c>
      <x:c r="I259" s="83" t="str">
        <x:v>Explore the relationship between the concerns, explain clinical observations, and collaborate on goals that reflect the client’s priorities.</x:v>
      </x:c>
      <x:c r="J259" s="83" t="str"/>
      <x:c r="K259" s="83" t="str">
        <x:v>C</x:v>
      </x:c>
      <x:c r="L259" s="83" t="str">
        <x:v>Incorrect. Imposing a goal undermines self-determination.</x:v>
      </x:c>
      <x:c r="M259" s="83" t="str">
        <x:v>Incorrect. Relevant clinical information may still be explored respectfully.</x:v>
      </x:c>
      <x:c r="N259" s="83" t="str">
        <x:v>Correct. Collaboration permits professional input while preserving the client’s voice and readiness.</x:v>
      </x:c>
      <x:c r="O259" s="83" t="str"/>
      <x:c r="P259" s="83" t="str">
        <x:v>A. Incorrect. Imposing a goal undermines self-determination.
B. Incorrect. Relevant clinical information may still be explored respectfully.
C. Correct. Collaboration permits professional input while preserving the client’s voice and readiness.</x:v>
      </x:c>
      <x:c r="Q259" s="83" t="str">
        <x:v>The strongest answer integrates client priorities with professional assessment.</x:v>
      </x:c>
      <x:c r="R259" s="89" t="str">
        <x:v>CTA LCSW WB2; ASWB 2026 Clinical Content Area I</x:v>
      </x:c>
    </x:row>
    <x:row r="260">
      <x:c r="A260" s="88" t="str">
        <x:v>CTA-LCSW-MQB-0259</x:v>
      </x:c>
      <x:c r="B260" s="83" t="str">
        <x:v>LCSW-MQB-FA-VE-026</x:v>
      </x:c>
      <x:c r="C260" s="83" t="str">
        <x:v>Comprehensive Simulation</x:v>
      </x:c>
      <x:c r="D260" s="83" t="str">
        <x:v>Form A</x:v>
      </x:c>
      <x:c r="E260" s="83" t="n">
        <x:v>3</x:v>
      </x:c>
      <x:c r="F260" s="83" t="str">
        <x:v>A parent privately emails a family social worker with allegations about another family member and demands secrecy. What should the social worker do NEXT?</x:v>
      </x:c>
      <x:c r="G260" s="83" t="str">
        <x:v>Forward the email to everyone immediately.</x:v>
      </x:c>
      <x:c r="H260" s="83" t="str">
        <x:v>Review the established information policy, assess any immediate safety issue, and avoid promising secrecy that conflicts with the service structure.</x:v>
      </x:c>
      <x:c r="I260" s="83" t="str">
        <x:v>Delete the email without reading it.</x:v>
      </x:c>
      <x:c r="J260" s="83" t="str"/>
      <x:c r="K260" s="83" t="str">
        <x:v>B</x:v>
      </x:c>
      <x:c r="L260" s="83" t="str">
        <x:v>Incorrect. Immediate broad disclosure may cause harm and exceed the policy.</x:v>
      </x:c>
      <x:c r="M260" s="83" t="str">
        <x:v>Correct. Multi-person services require consistent role and information-management boundaries.</x:v>
      </x:c>
      <x:c r="N260" s="83" t="str">
        <x:v>Incorrect. The message may contain safety-relevant information.</x:v>
      </x:c>
      <x:c r="O260" s="83" t="str"/>
      <x:c r="P260" s="83" t="str">
        <x:v>A. Incorrect. Immediate broad disclosure may cause harm and exceed the policy.
B. Correct. Multi-person services require consistent role and information-management boundaries.
C. Incorrect. The message may contain safety-relevant information.</x:v>
      </x:c>
      <x:c r="Q260" s="83" t="str">
        <x:v>Do not invent a new secrecy rule under pressure.</x:v>
      </x:c>
      <x:c r="R260" s="89" t="str">
        <x:v>CTA LCSW WB2; CTA LCSW WB12; ASWB 2026 Clinical Content Area I</x:v>
      </x:c>
    </x:row>
    <x:row r="261">
      <x:c r="A261" s="88" t="str">
        <x:v>CTA-LCSW-MQB-0260</x:v>
      </x:c>
      <x:c r="B261" s="83" t="str">
        <x:v>LCSW-MQB-FA-AP-023</x:v>
      </x:c>
      <x:c r="C261" s="83" t="str">
        <x:v>Comprehensive Simulation</x:v>
      </x:c>
      <x:c r="D261" s="83" t="str">
        <x:v>Form A</x:v>
      </x:c>
      <x:c r="E261" s="83" t="n">
        <x:v>3</x:v>
      </x:c>
      <x:c r="F261" s="83" t="str">
        <x:v>A child describes being locked in a closet for long periods as punishment. What should the social worker do?</x:v>
      </x:c>
      <x:c r="G261" s="83" t="str">
        <x:v>Wait for physical injury.</x:v>
      </x:c>
      <x:c r="H261" s="83" t="str">
        <x:v>Promise the child that no one will be told.</x:v>
      </x:c>
      <x:c r="I261" s="83" t="str">
        <x:v>Assess immediate safety and follow applicable mandated-reporting procedures without conducting an exhaustive investigative interview.</x:v>
      </x:c>
      <x:c r="J261" s="83" t="str"/>
      <x:c r="K261" s="83" t="str">
        <x:v>C</x:v>
      </x:c>
      <x:c r="L261" s="83" t="str">
        <x:v>Incorrect. Abuse concerns are not limited to visible injury.</x:v>
      </x:c>
      <x:c r="M261" s="83" t="str">
        <x:v>Incorrect. An absolute secrecy promise is misleading.</x:v>
      </x:c>
      <x:c r="N261" s="83" t="str">
        <x:v>Correct. The disclosure raises a serious safety and reporting concern; the social worker should gather enough information to act, not investigate beyond role.</x:v>
      </x:c>
      <x:c r="O261" s="83" t="str"/>
      <x:c r="P261" s="83" t="str">
        <x:v>A. Incorrect. Abuse concerns are not limited to visible injury.
B. Incorrect. An absolute secrecy promise is misleading.
C. Correct. The disclosure raises a serious safety and reporting concern; the social worker should gather enough information to act, not investigate beyond role.</x:v>
      </x:c>
      <x:c r="Q261" s="83" t="str">
        <x:v>Protect and report as required; do not turn the clinical interview into a forensic interrogation.</x:v>
      </x:c>
      <x:c r="R261" s="89" t="str">
        <x:v>CTA LCSW WB6; ASWB 2026 Clinical Content Area II</x:v>
      </x:c>
    </x:row>
    <x:row r="262">
      <x:c r="A262" s="88" t="str">
        <x:v>CTA-LCSW-MQB-0261</x:v>
      </x:c>
      <x:c r="B262" s="83" t="str">
        <x:v>LCSW-MQB-FA-VE-017</x:v>
      </x:c>
      <x:c r="C262" s="83" t="str">
        <x:v>Comprehensive Simulation</x:v>
      </x:c>
      <x:c r="D262" s="83" t="str">
        <x:v>Form A</x:v>
      </x:c>
      <x:c r="E262" s="83" t="n">
        <x:v>3</x:v>
      </x:c>
      <x:c r="F262" s="83" t="str">
        <x:v>An agency adopts an automated clinical-summary tool. What should the social worker do before relying on it?</x:v>
      </x:c>
      <x:c r="G262" s="83" t="str">
        <x:v>Allow the tool to make final clinical decisions.</x:v>
      </x:c>
      <x:c r="H262" s="83" t="str">
        <x:v>Understand its limits, privacy risks, error patterns, agency safeguards, and the need for professional review of every output.</x:v>
      </x:c>
      <x:c r="I262" s="83" t="str">
        <x:v>Enter any client information without checking vendor practices.</x:v>
      </x:c>
      <x:c r="J262" s="83" t="str"/>
      <x:c r="K262" s="83" t="str">
        <x:v>B</x:v>
      </x:c>
      <x:c r="L262" s="83" t="str">
        <x:v>Incorrect. Accountability remains with qualified professionals.</x:v>
      </x:c>
      <x:c r="M262" s="83" t="str">
        <x:v>Correct. Technology may assist practice but does not replace competence, privacy analysis, or professional judgment.</x:v>
      </x:c>
      <x:c r="N262" s="83" t="str">
        <x:v>Incorrect. Data handling must be evaluated.</x:v>
      </x:c>
      <x:c r="O262" s="83" t="str"/>
      <x:c r="P262" s="83" t="str">
        <x:v>A. Incorrect. Accountability remains with qualified professionals.
B. Correct. Technology may assist practice but does not replace competence, privacy analysis, or professional judgment.
C. Incorrect. Data handling must be evaluated.</x:v>
      </x:c>
      <x:c r="Q262" s="83" t="str">
        <x:v>Treat automated output as a draft requiring verification, not an authority.</x:v>
      </x:c>
      <x:c r="R262" s="89" t="str">
        <x:v>CTA LCSW WB2; CTA LCSW WB12; ASWB 2026 Clinical Content Area I</x:v>
      </x:c>
    </x:row>
    <x:row r="263">
      <x:c r="A263" s="88" t="str">
        <x:v>CTA-LCSW-MQB-0262</x:v>
      </x:c>
      <x:c r="B263" s="83" t="str">
        <x:v>LCSW-MQB-FA-IP-033</x:v>
      </x:c>
      <x:c r="C263" s="83" t="str">
        <x:v>Comprehensive Simulation</x:v>
      </x:c>
      <x:c r="D263" s="83" t="str">
        <x:v>Form A</x:v>
      </x:c>
      <x:c r="E263" s="83" t="n">
        <x:v>4</x:v>
      </x:c>
      <x:c r="F263" s="83" t="str">
        <x:v>A high-risk client stops attending and does not respond to routine messages. What should the social worker do?</x:v>
      </x:c>
      <x:c r="G263" s="83" t="str">
        <x:v>Use the established outreach and risk protocol, consider available supports or welfare procedures when justified, document efforts, and provide reentry or referral information.</x:v>
      </x:c>
      <x:c r="H263" s="83" t="str">
        <x:v>Close the case immediately without review.</x:v>
      </x:c>
      <x:c r="I263" s="83" t="str">
        <x:v>Contact everyone in the client’s life.</x:v>
      </x:c>
      <x:c r="J263" s="83" t="str">
        <x:v>Send a threatening message.</x:v>
      </x:c>
      <x:c r="K263" s="83" t="str">
        <x:v>A</x:v>
      </x:c>
      <x:c r="L263" s="83" t="str">
        <x:v>Correct. Response should reflect known risk, consent, policy, and proportionate continuity efforts.</x:v>
      </x:c>
      <x:c r="M263" s="83" t="str">
        <x:v>Incorrect. Immediate closure may ignore risk.</x:v>
      </x:c>
      <x:c r="N263" s="83" t="str">
        <x:v>Incorrect. Broad disclosure may exceed necessity.</x:v>
      </x:c>
      <x:c r="O263" s="83" t="str">
        <x:v>Incorrect. Threats undermine care and may escalate distress.</x:v>
      </x:c>
      <x:c r="P263" s="83" t="str">
        <x:v>A. Correct. Response should reflect known risk, consent, policy, and proportionate continuity efforts.
B. Incorrect. Immediate closure may ignore risk.
C. Incorrect. Broad disclosure may exceed necessity.
D. Incorrect. Threats undermine care and may escalate distress.</x:v>
      </x:c>
      <x:c r="Q263" s="83" t="str">
        <x:v>Dropout does not erase prior risk information or continuity duties.</x:v>
      </x:c>
      <x:c r="R263" s="89" t="str">
        <x:v>CTA LCSW WB8–WB11; ASWB 2026 Clinical Content Area III</x:v>
      </x:c>
    </x:row>
    <x:row r="264">
      <x:c r="A264" s="88" t="str">
        <x:v>CTA-LCSW-MQB-0263</x:v>
      </x:c>
      <x:c r="B264" s="83" t="str">
        <x:v>LCSW-MQB-FA-IP-023</x:v>
      </x:c>
      <x:c r="C264" s="83" t="str">
        <x:v>Comprehensive Simulation</x:v>
      </x:c>
      <x:c r="D264" s="83" t="str">
        <x:v>Form A</x:v>
      </x:c>
      <x:c r="E264" s="83" t="n">
        <x:v>4</x:v>
      </x:c>
      <x:c r="F264" s="83" t="str">
        <x:v>A client is not ready for abstinence but wants fewer overdoses. What should the social worker do?</x:v>
      </x:c>
      <x:c r="G264" s="83" t="str">
        <x:v>Assure the client that reduced use is risk-free.</x:v>
      </x:c>
      <x:c r="H264" s="83" t="str">
        <x:v>Collaborate on overdose-risk reduction, safer-use strategies, emergency resources, and ongoing motivation for change.</x:v>
      </x:c>
      <x:c r="I264" s="83" t="str">
        <x:v>Refuse services until abstinent.</x:v>
      </x:c>
      <x:c r="J264" s="83" t="str">
        <x:v>Ignore substance use.</x:v>
      </x:c>
      <x:c r="K264" s="83" t="str">
        <x:v>B</x:v>
      </x:c>
      <x:c r="L264" s="83" t="str">
        <x:v>Incorrect. Risk can be reduced but not eliminated.</x:v>
      </x:c>
      <x:c r="M264" s="83" t="str">
        <x:v>Correct. Harm reduction addresses immediate safety while preserving engagement and future change.</x:v>
      </x:c>
      <x:c r="N264" s="83" t="str">
        <x:v>Incorrect. Exclusion may increase risk.</x:v>
      </x:c>
      <x:c r="O264" s="83" t="str">
        <x:v>Incorrect. Avoidance misses a central concern.</x:v>
      </x:c>
      <x:c r="P264" s="83" t="str">
        <x:v>A. Incorrect. Risk can be reduced but not eliminated.
B. Correct. Harm reduction addresses immediate safety while preserving engagement and future change.
C. Incorrect. Exclusion may increase risk.
D. Incorrect. Avoidance misses a central concern.</x:v>
      </x:c>
      <x:c r="Q264" s="83" t="str">
        <x:v>Meet the client at the current change goal while keeping safety explicit.</x:v>
      </x:c>
      <x:c r="R264" s="89" t="str">
        <x:v>CTA LCSW WB8–WB11; ASWB 2026 Clinical Content Area III</x:v>
      </x:c>
    </x:row>
    <x:row r="265">
      <x:c r="A265" s="88" t="str">
        <x:v>CTA-LCSW-MQB-0264</x:v>
      </x:c>
      <x:c r="B265" s="83" t="str">
        <x:v>LCSW-MQB-FA-AP-022</x:v>
      </x:c>
      <x:c r="C265" s="83" t="str">
        <x:v>Comprehensive Simulation</x:v>
      </x:c>
      <x:c r="D265" s="83" t="str">
        <x:v>Form A</x:v>
      </x:c>
      <x:c r="E265" s="83" t="n">
        <x:v>3</x:v>
      </x:c>
      <x:c r="F265" s="83" t="str">
        <x:v>A client reports escalating fantasies of harming a coworker and recently purchased a weapon. What should the social worker do NEXT?</x:v>
      </x:c>
      <x:c r="G265" s="83" t="str">
        <x:v>Conduct a focused violence-risk assessment, clarify target, intent, planning, access, triggers, and protective controls, and take necessary protective action.</x:v>
      </x:c>
      <x:c r="H265" s="83" t="str">
        <x:v>Assume fantasy is harmless.</x:v>
      </x:c>
      <x:c r="I265" s="83" t="str">
        <x:v>Wait until the client acts.</x:v>
      </x:c>
      <x:c r="J265" s="83" t="str"/>
      <x:c r="K265" s="83" t="str">
        <x:v>A</x:v>
      </x:c>
      <x:c r="L265" s="83" t="str">
        <x:v>Correct. Specific target-related ideation and weapon access require immediate structured assessment.</x:v>
      </x:c>
      <x:c r="M265" s="83" t="str">
        <x:v>Incorrect. The pattern contains significant escalation cues.</x:v>
      </x:c>
      <x:c r="N265" s="83" t="str">
        <x:v>Incorrect. Protection cannot wait for harm.</x:v>
      </x:c>
      <x:c r="O265" s="83" t="str"/>
      <x:c r="P265" s="83" t="str">
        <x:v>A. Correct. Specific target-related ideation and weapon access require immediate structured assessment.
B. Incorrect. The pattern contains significant escalation cues.
C. Incorrect. Protection cannot wait for harm.</x:v>
      </x:c>
      <x:c r="Q265" s="83" t="str">
        <x:v>Assess specificity, capability, intent, and immediacy.</x:v>
      </x:c>
      <x:c r="R265" s="89" t="str">
        <x:v>CTA LCSW WB6; ASWB 2026 Clinical Content Area II</x:v>
      </x:c>
    </x:row>
    <x:row r="266">
      <x:c r="A266" s="88" t="str">
        <x:v>CTA-LCSW-MQB-0265</x:v>
      </x:c>
      <x:c r="B266" s="83" t="str">
        <x:v>LCSW-MQB-FA-IP-039</x:v>
      </x:c>
      <x:c r="C266" s="83" t="str">
        <x:v>Comprehensive Simulation</x:v>
      </x:c>
      <x:c r="D266" s="83" t="str">
        <x:v>Form A</x:v>
      </x:c>
      <x:c r="E266" s="83" t="n">
        <x:v>4</x:v>
      </x:c>
      <x:c r="F266" s="83" t="str">
        <x:v>An agency finds repeated documentation delays across many staff, linked to an electronic system that crashes daily. What should leadership do?</x:v>
      </x:c>
      <x:c r="G266" s="83" t="str">
        <x:v>Ignore the delays because technology is responsible.</x:v>
      </x:c>
      <x:c r="H266" s="83" t="str">
        <x:v>Discipline every staff member without examining the system.</x:v>
      </x:c>
      <x:c r="I266" s="83" t="str">
        <x:v>Protect current client safety, address individual overdue records, repair the system and workflow, provide support and accountability, and monitor improvement.</x:v>
      </x:c>
      <x:c r="J266" s="83" t="str">
        <x:v>Disable documentation requirements.</x:v>
      </x:c>
      <x:c r="K266" s="83" t="str">
        <x:v>C</x:v>
      </x:c>
      <x:c r="L266" s="83" t="str">
        <x:v>Incorrect. System failure does not erase record responsibilities.</x:v>
      </x:c>
      <x:c r="M266" s="83" t="str">
        <x:v>Incorrect. Punishment alone misses the system driver.</x:v>
      </x:c>
      <x:c r="N266" s="83" t="str">
        <x:v>Correct. Quality improvement must address both individual duties and organizational causes.</x:v>
      </x:c>
      <x:c r="O266" s="83" t="str">
        <x:v>Incorrect. Removing documentation creates new safety and accountability problems.</x:v>
      </x:c>
      <x:c r="P266" s="83" t="str">
        <x:v>A. Incorrect. System failure does not erase record responsibilities.
B. Incorrect. Punishment alone misses the system driver.
C. Correct. Quality improvement must address both individual duties and organizational causes.
D. Incorrect. Removing documentation creates new safety and accountability problems.</x:v>
      </x:c>
      <x:c r="Q266" s="83" t="str">
        <x:v>Integrated administration questions require action at person and system levels.</x:v>
      </x:c>
      <x:c r="R266" s="89" t="str">
        <x:v>CTA LCSW WB10; CTA LCSW WB11; ASWB 2026 Clinical Content Area III</x:v>
      </x:c>
    </x:row>
    <x:row r="267">
      <x:c r="A267" s="88" t="str">
        <x:v>CTA-LCSW-MQB-0266</x:v>
      </x:c>
      <x:c r="B267" s="83" t="str">
        <x:v>LCSW-MQB-FA-VE-022</x:v>
      </x:c>
      <x:c r="C267" s="83" t="str">
        <x:v>Comprehensive Simulation</x:v>
      </x:c>
      <x:c r="D267" s="83" t="str">
        <x:v>Form A</x:v>
      </x:c>
      <x:c r="E267" s="83" t="n">
        <x:v>3</x:v>
      </x:c>
      <x:c r="F267" s="83" t="str">
        <x:v>A colleague suggests billing a longer service code than the session provided because the client needs continued care. What should the social worker do?</x:v>
      </x:c>
      <x:c r="G267" s="83" t="str">
        <x:v>Use the longer code because the intent is helpful.</x:v>
      </x:c>
      <x:c r="H267" s="83" t="str">
        <x:v>Ask the client to confirm the false duration.</x:v>
      </x:c>
      <x:c r="I267" s="83" t="str">
        <x:v>Use accurate billing and pursue legitimate authorization, appeal, or resource options.</x:v>
      </x:c>
      <x:c r="J267" s="83" t="str"/>
      <x:c r="K267" s="83" t="str">
        <x:v>C</x:v>
      </x:c>
      <x:c r="L267" s="83" t="str">
        <x:v>Incorrect. Beneficent motives do not make misrepresentation acceptable.</x:v>
      </x:c>
      <x:c r="M267" s="83" t="str">
        <x:v>Incorrect. Client participation does not legalize a false claim.</x:v>
      </x:c>
      <x:c r="N267" s="83" t="str">
        <x:v>Correct. Advocacy does not justify false claims or inaccurate records.</x:v>
      </x:c>
      <x:c r="O267" s="83" t="str"/>
      <x:c r="P267" s="83" t="str">
        <x:v>A. Incorrect. Beneficent motives do not make misrepresentation acceptable.
B. Incorrect. Client participation does not legalize a false claim.
C. Correct. Advocacy does not justify false claims or inaccurate records.</x:v>
      </x:c>
      <x:c r="Q267" s="83" t="str">
        <x:v>Protect care through lawful advocacy, not distortion.</x:v>
      </x:c>
      <x:c r="R267" s="89" t="str">
        <x:v>CTA LCSW WB2; CTA LCSW WB12; ASWB 2026 Clinical Content Area I</x:v>
      </x:c>
    </x:row>
    <x:row r="268">
      <x:c r="A268" s="88" t="str">
        <x:v>CTA-LCSW-MQB-0267</x:v>
      </x:c>
      <x:c r="B268" s="83" t="str">
        <x:v>LCSW-MQB-FA-AP-018</x:v>
      </x:c>
      <x:c r="C268" s="83" t="str">
        <x:v>Comprehensive Simulation</x:v>
      </x:c>
      <x:c r="D268" s="83" t="str">
        <x:v>Form A</x:v>
      </x:c>
      <x:c r="E268" s="83" t="n">
        <x:v>3</x:v>
      </x:c>
      <x:c r="F268" s="83" t="str">
        <x:v>An older adult has abrupt confusion and fluctuating attention after an infection. What should the social worker prioritize?</x:v>
      </x:c>
      <x:c r="G268" s="83" t="str">
        <x:v>Urgent medical evaluation for a possible acute medical condition while maintaining safety.</x:v>
      </x:c>
      <x:c r="H268" s="83" t="str">
        <x:v>Wait for the confusion to become permanent.</x:v>
      </x:c>
      <x:c r="I268" s="83" t="str">
        <x:v>Assume a chronic dementia.</x:v>
      </x:c>
      <x:c r="J268" s="83" t="str"/>
      <x:c r="K268" s="83" t="str">
        <x:v>A</x:v>
      </x:c>
      <x:c r="L268" s="83" t="str">
        <x:v>Correct. Abrupt onset and fluctuation suggest a potentially urgent medical process.</x:v>
      </x:c>
      <x:c r="M268" s="83" t="str">
        <x:v>Incorrect. Delay may worsen harm.</x:v>
      </x:c>
      <x:c r="N268" s="83" t="str">
        <x:v>Incorrect. Dementia is generally not inferred from sudden fluctuation alone.</x:v>
      </x:c>
      <x:c r="O268" s="83" t="str"/>
      <x:c r="P268" s="83" t="str">
        <x:v>A. Correct. Abrupt onset and fluctuation suggest a potentially urgent medical process.
B. Incorrect. Delay may worsen harm.
C. Incorrect. Dementia is generally not inferred from sudden fluctuation alone.</x:v>
      </x:c>
      <x:c r="Q268" s="83" t="str">
        <x:v>Sudden cognitive change is a medical cue before a chronic psychiatric conclusion.</x:v>
      </x:c>
      <x:c r="R268" s="89" t="str">
        <x:v>CTA LCSW WB5; ASWB 2026 Clinical Content Area II</x:v>
      </x:c>
    </x:row>
    <x:row r="269">
      <x:c r="A269" s="88" t="str">
        <x:v>CTA-LCSW-MQB-0268</x:v>
      </x:c>
      <x:c r="B269" s="83" t="str">
        <x:v>LCSW-MQB-FA-VE-018</x:v>
      </x:c>
      <x:c r="C269" s="83" t="str">
        <x:v>Comprehensive Simulation</x:v>
      </x:c>
      <x:c r="D269" s="83" t="str">
        <x:v>Form A</x:v>
      </x:c>
      <x:c r="E269" s="83" t="n">
        <x:v>3</x:v>
      </x:c>
      <x:c r="F269" s="83" t="str">
        <x:v>A social worker has a well-managed health condition and consistently performs duties safely. Which conclusion is MOST accurate?</x:v>
      </x:c>
      <x:c r="G269" s="83" t="str">
        <x:v>Competence is determined solely by the employer’s opinion.</x:v>
      </x:c>
      <x:c r="H269" s="83" t="str">
        <x:v>The condition alone does not establish professional impairment when functioning remains effective.</x:v>
      </x:c>
      <x:c r="I269" s="83" t="str">
        <x:v>Any diagnosis requires immediate resignation.</x:v>
      </x:c>
      <x:c r="J269" s="83" t="str"/>
      <x:c r="K269" s="83" t="str">
        <x:v>B</x:v>
      </x:c>
      <x:c r="L269" s="83" t="str">
        <x:v>Incorrect. Employers may assess performance, but professional functioning is the central concern.</x:v>
      </x:c>
      <x:c r="M269" s="83" t="str">
        <x:v>Correct. Impairment is evaluated by functional impact, risk, and ability to meet responsibilities.</x:v>
      </x:c>
      <x:c r="N269" s="83" t="str">
        <x:v>Incorrect. Diagnosis and impairment are not identical.</x:v>
      </x:c>
      <x:c r="O269" s="83" t="str"/>
      <x:c r="P269" s="83" t="str">
        <x:v>A. Incorrect. Employers may assess performance, but professional functioning is the central concern.
B. Correct. Impairment is evaluated by functional impact, risk, and ability to meet responsibilities.
C. Incorrect. Diagnosis and impairment are not identical.</x:v>
      </x:c>
      <x:c r="Q269" s="83" t="str">
        <x:v>Focus on observable functioning, not stigma or labels.</x:v>
      </x:c>
      <x:c r="R269" s="89" t="str">
        <x:v>CTA LCSW WB2; CTA LCSW WB12; ASWB 2026 Clinical Content Area I</x:v>
      </x:c>
    </x:row>
    <x:row r="270">
      <x:c r="A270" s="88" t="str">
        <x:v>CTA-LCSW-MQB-0269</x:v>
      </x:c>
      <x:c r="B270" s="83" t="str">
        <x:v>LCSW-MQB-FA-VE-038</x:v>
      </x:c>
      <x:c r="C270" s="83" t="str">
        <x:v>Comprehensive Simulation</x:v>
      </x:c>
      <x:c r="D270" s="83" t="str">
        <x:v>Form A</x:v>
      </x:c>
      <x:c r="E270" s="83" t="n">
        <x:v>4</x:v>
      </x:c>
      <x:c r="F270" s="83" t="str">
        <x:v>A client makes a credible threat toward an identifiable person and then revokes all releases. What should the social worker do?</x:v>
      </x:c>
      <x:c r="G270" s="83" t="str">
        <x:v>Honor the revocation and take no action.</x:v>
      </x:c>
      <x:c r="H270" s="83" t="str">
        <x:v>Complete a focused threat assessment, take protective action required by applicable law and policy, limit disclosure to the safety purpose, and document the reasoning.</x:v>
      </x:c>
      <x:c r="I270" s="83" t="str">
        <x:v>Disclose the entire record to everyone who might know the person.</x:v>
      </x:c>
      <x:c r="J270" s="83" t="str">
        <x:v>Terminate and leave all decisions to the client.</x:v>
      </x:c>
      <x:c r="K270" s="83" t="str">
        <x:v>B</x:v>
      </x:c>
      <x:c r="L270" s="83" t="str">
        <x:v>Incorrect. Authorization is not always the only basis for protective action.</x:v>
      </x:c>
      <x:c r="M270" s="83" t="str">
        <x:v>Correct. A serious safety duty may override ordinary confidentiality, but disclosure should remain purpose-limited.</x:v>
      </x:c>
      <x:c r="N270" s="83" t="str">
        <x:v>Incorrect. Broad disclosure exceeds what safety may require.</x:v>
      </x:c>
      <x:c r="O270" s="83" t="str">
        <x:v>Incorrect. Termination does not resolve an immediate threat.</x:v>
      </x:c>
      <x:c r="P270" s="83" t="str">
        <x:v>A. Incorrect. Authorization is not always the only basis for protective action.
B. Correct. A serious safety duty may override ordinary confidentiality, but disclosure should remain purpose-limited.
C. Incorrect. Broad disclosure exceeds what safety may require.
D. Incorrect. Termination does not resolve an immediate threat.</x:v>
      </x:c>
      <x:c r="Q270" s="83" t="str">
        <x:v>Integrated ethics questions often require both action and restraint: protect, but disclose no more than necessary.</x:v>
      </x:c>
      <x:c r="R270" s="89" t="str">
        <x:v>CTA LCSW WB2; CTA LCSW WB12; ASWB 2026 Clinical Content Area I</x:v>
      </x:c>
    </x:row>
    <x:row r="271">
      <x:c r="A271" s="88" t="str">
        <x:v>CTA-LCSW-MQB-0270</x:v>
      </x:c>
      <x:c r="B271" s="83" t="str">
        <x:v>LCSW-MQB-FA-IP-022</x:v>
      </x:c>
      <x:c r="C271" s="83" t="str">
        <x:v>Comprehensive Simulation</x:v>
      </x:c>
      <x:c r="D271" s="83" t="str">
        <x:v>Form A</x:v>
      </x:c>
      <x:c r="E271" s="83" t="n">
        <x:v>3</x:v>
      </x:c>
      <x:c r="F271" s="83" t="str">
        <x:v>A client experiencing persecutory beliefs refuses medication and distrusts the clinic. What should the social worker do FIRST?</x:v>
      </x:c>
      <x:c r="G271" s="83" t="str">
        <x:v>Engage around the client’s distress and goals, assess safety and functioning, avoid arguing about the belief, and coordinate options.</x:v>
      </x:c>
      <x:c r="H271" s="83" t="str">
        <x:v>End services.</x:v>
      </x:c>
      <x:c r="I271" s="83" t="str">
        <x:v>Insist the belief is false.</x:v>
      </x:c>
      <x:c r="J271" s="83" t="str"/>
      <x:c r="K271" s="83" t="str">
        <x:v>A</x:v>
      </x:c>
      <x:c r="L271" s="83" t="str">
        <x:v>Correct. Engagement and safety assessment are more effective than direct confrontation of fixed beliefs.</x:v>
      </x:c>
      <x:c r="M271" s="83" t="str">
        <x:v>Incorrect. Withdrawal removes support.</x:v>
      </x:c>
      <x:c r="N271" s="83" t="str">
        <x:v>Incorrect. Argument may increase mistrust.</x:v>
      </x:c>
      <x:c r="O271" s="83" t="str"/>
      <x:c r="P271" s="83" t="str">
        <x:v>A. Correct. Engagement and safety assessment are more effective than direct confrontation of fixed beliefs.
B. Incorrect. Withdrawal removes support.
C. Incorrect. Argument may increase mistrust.</x:v>
      </x:c>
      <x:c r="Q271" s="83" t="str">
        <x:v>Join with the distress and practical goals without validating the delusion as fact.</x:v>
      </x:c>
      <x:c r="R271" s="89" t="str">
        <x:v>CTA LCSW WB8–WB11; ASWB 2026 Clinical Content Area III</x:v>
      </x:c>
    </x:row>
    <x:row r="272">
      <x:c r="A272" s="88" t="str">
        <x:v>CTA-LCSW-MQB-0271</x:v>
      </x:c>
      <x:c r="B272" s="83" t="str">
        <x:v>LCSW-MQB-FA-AP-029</x:v>
      </x:c>
      <x:c r="C272" s="83" t="str">
        <x:v>Comprehensive Simulation</x:v>
      </x:c>
      <x:c r="D272" s="83" t="str">
        <x:v>Form A</x:v>
      </x:c>
      <x:c r="E272" s="83" t="n">
        <x:v>4</x:v>
      </x:c>
      <x:c r="F272" s="83" t="str">
        <x:v>An older client says a nephew now controls all banking and becomes angry when the client asks questions. What should the social worker do?</x:v>
      </x:c>
      <x:c r="G272" s="83" t="str">
        <x:v>Assess capacity, coercion, financial exploitation, immediate safety, and applicable protective-reporting or resource options.</x:v>
      </x:c>
      <x:c r="H272" s="83" t="str">
        <x:v>Tell the client to confront the nephew alone.</x:v>
      </x:c>
      <x:c r="I272" s="83" t="str">
        <x:v>Ignore finances because they are not clinical.</x:v>
      </x:c>
      <x:c r="J272" s="83" t="str">
        <x:v>Assume family management is appropriate.</x:v>
      </x:c>
      <x:c r="K272" s="83" t="str">
        <x:v>A</x:v>
      </x:c>
      <x:c r="L272" s="83" t="str">
        <x:v>Correct. The pattern may indicate exploitation and loss of autonomy.</x:v>
      </x:c>
      <x:c r="M272" s="83" t="str">
        <x:v>Incorrect. Solo confrontation may increase danger.</x:v>
      </x:c>
      <x:c r="N272" s="83" t="str">
        <x:v>Incorrect. Financial control can directly affect safety and functioning.</x:v>
      </x:c>
      <x:c r="O272" s="83" t="str">
        <x:v>Incorrect. Family status does not eliminate abuse risk.</x:v>
      </x:c>
      <x:c r="P272" s="83" t="str">
        <x:v>A. Correct. The pattern may indicate exploitation and loss of autonomy.
B. Incorrect. Solo confrontation may increase danger.
C. Incorrect. Financial control can directly affect safety and functioning.
D. Incorrect. Family status does not eliminate abuse risk.</x:v>
      </x:c>
      <x:c r="Q272" s="83" t="str">
        <x:v>When control, fear, and money appear together, assess exploitation.</x:v>
      </x:c>
      <x:c r="R272" s="89" t="str">
        <x:v>CTA LCSW WB6; ASWB 2026 Clinical Content Area II</x:v>
      </x:c>
    </x:row>
    <x:row r="273">
      <x:c r="A273" s="88" t="str">
        <x:v>CTA-LCSW-MQB-0272</x:v>
      </x:c>
      <x:c r="B273" s="83" t="str">
        <x:v>LCSW-MQB-FA-IP-021</x:v>
      </x:c>
      <x:c r="C273" s="83" t="str">
        <x:v>Comprehensive Simulation</x:v>
      </x:c>
      <x:c r="D273" s="83" t="str">
        <x:v>Form A</x:v>
      </x:c>
      <x:c r="E273" s="83" t="n">
        <x:v>3</x:v>
      </x:c>
      <x:c r="F273" s="83" t="str">
        <x:v>A client experiencing partner violence is not ready to leave. What should the social worker do?</x:v>
      </x:c>
      <x:c r="G273" s="83" t="str">
        <x:v>Validate the disclosure, assess danger, support autonomy, and develop a personalized safety and resource plan.</x:v>
      </x:c>
      <x:c r="H273" s="83" t="str">
        <x:v>Explain that better communication will stop the violence.</x:v>
      </x:c>
      <x:c r="I273" s="83" t="str">
        <x:v>Begin conjoint therapy.</x:v>
      </x:c>
      <x:c r="J273" s="83" t="str"/>
      <x:c r="K273" s="83" t="str">
        <x:v>A</x:v>
      </x:c>
      <x:c r="L273" s="83" t="str">
        <x:v>Correct. Safety planning should be collaborative and account for coercive control and leaving-related risk.</x:v>
      </x:c>
      <x:c r="M273" s="83" t="str">
        <x:v>Incorrect. Abuse is not caused by ordinary communication problems.</x:v>
      </x:c>
      <x:c r="N273" s="83" t="str">
        <x:v>Incorrect. Conjoint treatment may be unsafe.</x:v>
      </x:c>
      <x:c r="O273" s="83" t="str"/>
      <x:c r="P273" s="83" t="str">
        <x:v>A. Correct. Safety planning should be collaborative and account for coercive control and leaving-related risk.
B. Incorrect. Abuse is not caused by ordinary communication problems.
C. Incorrect. Conjoint treatment may be unsafe.</x:v>
      </x:c>
      <x:c r="Q273" s="83" t="str">
        <x:v>Do not confuse safety support with taking over the client’s decision.</x:v>
      </x:c>
      <x:c r="R273" s="89" t="str">
        <x:v>CTA LCSW WB8–WB11; ASWB 2026 Clinical Content Area III</x:v>
      </x:c>
    </x:row>
    <x:row r="274">
      <x:c r="A274" s="88" t="str">
        <x:v>CTA-LCSW-MQB-0273</x:v>
      </x:c>
      <x:c r="B274" s="83" t="str">
        <x:v>LCSW-MQB-FA-AP-021</x:v>
      </x:c>
      <x:c r="C274" s="83" t="str">
        <x:v>Comprehensive Simulation</x:v>
      </x:c>
      <x:c r="D274" s="83" t="str">
        <x:v>Form A</x:v>
      </x:c>
      <x:c r="E274" s="83" t="n">
        <x:v>3</x:v>
      </x:c>
      <x:c r="F274" s="83" t="str">
        <x:v>A recently separated client says, “There is no reason for me to wake up tomorrow,” and looks away. What should the social worker ask about FIRST?</x:v>
      </x:c>
      <x:c r="G274" s="83" t="str">
        <x:v>Change the subject to avoid increasing risk.</x:v>
      </x:c>
      <x:c r="H274" s="83" t="str">
        <x:v>Schedule a routine follow-up without further assessment.</x:v>
      </x:c>
      <x:c r="I274" s="83" t="str">
        <x:v>Ask directly about suicidal thoughts, intent, plan, access to means, timing, and protective factors.</x:v>
      </x:c>
      <x:c r="J274" s="83" t="str"/>
      <x:c r="K274" s="83" t="str">
        <x:v>C</x:v>
      </x:c>
      <x:c r="L274" s="83" t="str">
        <x:v>Incorrect. Direct questions do not create suicidal intent and are necessary.</x:v>
      </x:c>
      <x:c r="M274" s="83" t="str">
        <x:v>Incorrect. Delay may miss imminent danger.</x:v>
      </x:c>
      <x:c r="N274" s="83" t="str">
        <x:v>Correct. The statement is a cue for direct, structured suicide assessment.</x:v>
      </x:c>
      <x:c r="O274" s="83" t="str"/>
      <x:c r="P274" s="83" t="str">
        <x:v>A. Incorrect. Direct questions do not create suicidal intent and are necessary.
B. Incorrect. Delay may miss imminent danger.
C. Correct. The statement is a cue for direct, structured suicide assessment.</x:v>
      </x:c>
      <x:c r="Q274" s="83" t="str">
        <x:v>When the client hints at death, assess directly rather than infer.</x:v>
      </x:c>
      <x:c r="R274" s="89" t="str">
        <x:v>CTA LCSW WB6; ASWB 2026 Clinical Content Area II</x:v>
      </x:c>
    </x:row>
    <x:row r="275">
      <x:c r="A275" s="88" t="str">
        <x:v>CTA-LCSW-MQB-0274</x:v>
      </x:c>
      <x:c r="B275" s="83" t="str">
        <x:v>LCSW-MQB-FA-VE-036</x:v>
      </x:c>
      <x:c r="C275" s="83" t="str">
        <x:v>Comprehensive Simulation</x:v>
      </x:c>
      <x:c r="D275" s="83" t="str">
        <x:v>Form A</x:v>
      </x:c>
      <x:c r="E275" s="83" t="n">
        <x:v>4</x:v>
      </x:c>
      <x:c r="F275" s="83" t="str">
        <x:v>A client says the social worker made a culturally insensitive assumption. What should the social worker do FIRST?</x:v>
      </x:c>
      <x:c r="G275" s="83" t="str">
        <x:v>End services to avoid further conflict.</x:v>
      </x:c>
      <x:c r="H275" s="83" t="str">
        <x:v>Listen without defensiveness, clarify the impact, acknowledge responsibility where appropriate, and consider repair and consultation.</x:v>
      </x:c>
      <x:c r="I275" s="83" t="str">
        <x:v>Explain that good intentions eliminate harm.</x:v>
      </x:c>
      <x:c r="J275" s="83" t="str">
        <x:v>Tell the client the assumption was clinically necessary.</x:v>
      </x:c>
      <x:c r="K275" s="83" t="str">
        <x:v>B</x:v>
      </x:c>
      <x:c r="L275" s="83" t="str">
        <x:v>Incorrect. Termination may compound harm and is premature.</x:v>
      </x:c>
      <x:c r="M275" s="83" t="str">
        <x:v>Correct. Repair begins with openness to the client’s experience and examination of power and impact.</x:v>
      </x:c>
      <x:c r="N275" s="83" t="str">
        <x:v>Incorrect. Intent does not erase impact.</x:v>
      </x:c>
      <x:c r="O275" s="83" t="str">
        <x:v>Incorrect. Defensiveness blocks learning and repair.</x:v>
      </x:c>
      <x:c r="P275" s="83" t="str">
        <x:v>A. Incorrect. Termination may compound harm and is premature.
B. Correct. Repair begins with openness to the client’s experience and examination of power and impact.
C. Incorrect. Intent does not erase impact.
D. Incorrect. Defensiveness blocks learning and repair.</x:v>
      </x:c>
      <x:c r="Q275" s="83" t="str">
        <x:v>The first task is to understand impact, not defend intent.</x:v>
      </x:c>
      <x:c r="R275" s="89" t="str">
        <x:v>CTA LCSW WB2; ASWB 2026 Clinical Content Area I</x:v>
      </x:c>
    </x:row>
    <x:row r="276">
      <x:c r="A276" s="88" t="str">
        <x:v>CTA-LCSW-MQB-0275</x:v>
      </x:c>
      <x:c r="B276" s="83" t="str">
        <x:v>LCSW-MQB-FA-IP-003</x:v>
      </x:c>
      <x:c r="C276" s="83" t="str">
        <x:v>Comprehensive Simulation</x:v>
      </x:c>
      <x:c r="D276" s="83" t="str">
        <x:v>Form A</x:v>
      </x:c>
      <x:c r="E276" s="83" t="n">
        <x:v>3</x:v>
      </x:c>
      <x:c r="F276" s="83" t="str">
        <x:v>A client says, “I know drinking is hurting my work, but it is the only way I relax.” What response is BEST?</x:v>
      </x:c>
      <x:c r="G276" s="83" t="str">
        <x:v>“Part of you is worried about the cost, and another part is afraid of losing your main way to cope.”</x:v>
      </x:c>
      <x:c r="H276" s="83" t="str">
        <x:v>“Why are you making bad choices?”</x:v>
      </x:c>
      <x:c r="I276" s="83" t="str">
        <x:v>“Drinking is not really helping you.”</x:v>
      </x:c>
      <x:c r="J276" s="83" t="str"/>
      <x:c r="K276" s="83" t="str">
        <x:v>A</x:v>
      </x:c>
      <x:c r="L276" s="83" t="str">
        <x:v>Correct. The response reflects both sides of ambivalence without judgment.</x:v>
      </x:c>
      <x:c r="M276" s="83" t="str">
        <x:v>Incorrect. Moral judgment undermines collaboration.</x:v>
      </x:c>
      <x:c r="N276" s="83" t="str">
        <x:v>Incorrect. Contradicting the client misses the perceived benefit.</x:v>
      </x:c>
      <x:c r="O276" s="83" t="str"/>
      <x:c r="P276" s="83" t="str">
        <x:v>A. Correct. The response reflects both sides of ambivalence without judgment.
B. Incorrect. Moral judgment undermines collaboration.
C. Incorrect. Contradicting the client misses the perceived benefit.</x:v>
      </x:c>
      <x:c r="Q276" s="83" t="str">
        <x:v>A strong reflection captures both change talk and sustain talk.</x:v>
      </x:c>
      <x:c r="R276" s="89" t="str">
        <x:v>CTA LCSW WB8–WB11; ASWB 2026 Clinical Content Area III</x:v>
      </x:c>
    </x:row>
    <x:row r="277">
      <x:c r="A277" s="88" t="str">
        <x:v>CTA-LCSW-MQB-0276</x:v>
      </x:c>
      <x:c r="B277" s="83" t="str">
        <x:v>LCSW-MQB-FA-AP-008</x:v>
      </x:c>
      <x:c r="C277" s="83" t="str">
        <x:v>Comprehensive Simulation</x:v>
      </x:c>
      <x:c r="D277" s="83" t="str">
        <x:v>Form A</x:v>
      </x:c>
      <x:c r="E277" s="83" t="n">
        <x:v>3</x:v>
      </x:c>
      <x:c r="F277" s="83" t="str">
        <x:v>A client reports new agitation and insomnia shortly after a medication dose increase. What should the social worker do?</x:v>
      </x:c>
      <x:c r="G277" s="83" t="str">
        <x:v>Assume the symptoms are purely psychological.</x:v>
      </x:c>
      <x:c r="H277" s="83" t="str">
        <x:v>Wait several months before mentioning the change.</x:v>
      </x:c>
      <x:c r="I277" s="83" t="str">
        <x:v>Clarify timing, severity, safety impact, and prescriber instructions, and coordinate prompt medical follow-up within scope.</x:v>
      </x:c>
      <x:c r="J277" s="83" t="str"/>
      <x:c r="K277" s="83" t="str">
        <x:v>C</x:v>
      </x:c>
      <x:c r="L277" s="83" t="str">
        <x:v>Incorrect. Medical contributors should not be dismissed.</x:v>
      </x:c>
      <x:c r="M277" s="83" t="str">
        <x:v>Incorrect. Delay may increase risk.</x:v>
      </x:c>
      <x:c r="N277" s="83" t="str">
        <x:v>Correct. The temporal relationship may indicate a medication effect requiring assessment and prescriber coordination.</x:v>
      </x:c>
      <x:c r="O277" s="83" t="str"/>
      <x:c r="P277" s="83" t="str">
        <x:v>A. Incorrect. Medical contributors should not be dismissed.
B. Incorrect. Delay may increase risk.
C. Correct. The temporal relationship may indicate a medication effect requiring assessment and prescriber coordination.</x:v>
      </x:c>
      <x:c r="Q277" s="83" t="str">
        <x:v>New symptoms after a medication change require chronology and urgency assessment.</x:v>
      </x:c>
      <x:c r="R277" s="89" t="str">
        <x:v>CTA LCSW WB5; ASWB 2026 Clinical Content Area II</x:v>
      </x:c>
    </x:row>
    <x:row r="278">
      <x:c r="A278" s="88" t="str">
        <x:v>CTA-LCSW-MQB-0277</x:v>
      </x:c>
      <x:c r="B278" s="83" t="str">
        <x:v>LCSW-MQB-FA-VE-004</x:v>
      </x:c>
      <x:c r="C278" s="83" t="str">
        <x:v>Comprehensive Simulation</x:v>
      </x:c>
      <x:c r="D278" s="83" t="str">
        <x:v>Form A</x:v>
      </x:c>
      <x:c r="E278" s="83" t="n">
        <x:v>3</x:v>
      </x:c>
      <x:c r="F278" s="83" t="str">
        <x:v>What does cultural humility require from a clinical social worker?</x:v>
      </x:c>
      <x:c r="G278" s="83" t="str">
        <x:v>Memorizing a fixed list of traits for every culture.</x:v>
      </x:c>
      <x:c r="H278" s="83" t="str">
        <x:v>Ongoing self-reflection, attention to power, and curiosity about the client’s meanings rather than presumed expertise about a group.</x:v>
      </x:c>
      <x:c r="I278" s="83" t="str">
        <x:v>Avoiding discussion of identity to remain neutral.</x:v>
      </x:c>
      <x:c r="J278" s="83" t="str"/>
      <x:c r="K278" s="83" t="str">
        <x:v>B</x:v>
      </x:c>
      <x:c r="L278" s="83" t="str">
        <x:v>Incorrect. Group facts cannot substitute for individualized assessment.</x:v>
      </x:c>
      <x:c r="M278" s="83" t="str">
        <x:v>Correct. Cultural humility is a continuing stance rather than mastery of stereotypes.</x:v>
      </x:c>
      <x:c r="N278" s="83" t="str">
        <x:v>Incorrect. Avoidance can make important context invisible.</x:v>
      </x:c>
      <x:c r="O278" s="83" t="str"/>
      <x:c r="P278" s="83" t="str">
        <x:v>A. Incorrect. Group facts cannot substitute for individualized assessment.
B. Correct. Cultural humility is a continuing stance rather than mastery of stereotypes.
C. Incorrect. Avoidance can make important context invisible.</x:v>
      </x:c>
      <x:c r="Q278" s="83" t="str">
        <x:v>Look for openness, reflection, and collaborative meaning-making.</x:v>
      </x:c>
      <x:c r="R278" s="89" t="str">
        <x:v>CTA LCSW WB2; ASWB 2026 Clinical Content Area I</x:v>
      </x:c>
    </x:row>
    <x:row r="279">
      <x:c r="A279" s="88" t="str">
        <x:v>CTA-LCSW-MQB-0278</x:v>
      </x:c>
      <x:c r="B279" s="83" t="str">
        <x:v>LCSW-MQB-FA-AP-038</x:v>
      </x:c>
      <x:c r="C279" s="83" t="str">
        <x:v>Comprehensive Simulation</x:v>
      </x:c>
      <x:c r="D279" s="83" t="str">
        <x:v>Form A</x:v>
      </x:c>
      <x:c r="E279" s="83" t="n">
        <x:v>4</x:v>
      </x:c>
      <x:c r="F279" s="83" t="str">
        <x:v>An adult with mild cognitive impairment wants to give a large sum to a new acquaintance, while family members demand control of all finances. What should the social worker do?</x:v>
      </x:c>
      <x:c r="G279" s="83" t="str">
        <x:v>Follow the family’s demand automatically.</x:v>
      </x:c>
      <x:c r="H279" s="83" t="str">
        <x:v>Ignore the concern because the client is an adult.</x:v>
      </x:c>
      <x:c r="I279" s="83" t="str">
        <x:v>Assess decision-specific capacity, coercion or exploitation, the client’s values, available supports, and the least restrictive protection needed.</x:v>
      </x:c>
      <x:c r="J279" s="83" t="str">
        <x:v>Assume any cognitive diagnosis eliminates capacity.</x:v>
      </x:c>
      <x:c r="K279" s="83" t="str">
        <x:v>C</x:v>
      </x:c>
      <x:c r="L279" s="83" t="str">
        <x:v>Incorrect. Family concern may be important but not dispositive.</x:v>
      </x:c>
      <x:c r="M279" s="83" t="str">
        <x:v>Incorrect. Adult status does not eliminate exploitation risk.</x:v>
      </x:c>
      <x:c r="N279" s="83" t="str">
        <x:v>Correct. Capacity is decision-specific, and protection should not exceed the assessed need.</x:v>
      </x:c>
      <x:c r="O279" s="83" t="str">
        <x:v>Incorrect. Diagnosis alone does not determine capacity.</x:v>
      </x:c>
      <x:c r="P279" s="83" t="str">
        <x:v>A. Incorrect. Family concern may be important but not dispositive.
B. Incorrect. Adult status does not eliminate exploitation risk.
C. Correct. Capacity is decision-specific, and protection should not exceed the assessed need.
D. Incorrect. Diagnosis alone does not determine capacity.</x:v>
      </x:c>
      <x:c r="Q279" s="83" t="str">
        <x:v>Balance protection with the least restrictive support for autonomy.</x:v>
      </x:c>
      <x:c r="R279" s="89" t="str">
        <x:v>CTA LCSW WB3–WB7; ASWB 2026 Clinical Content Area II</x:v>
      </x:c>
    </x:row>
    <x:row r="280">
      <x:c r="A280" s="88" t="str">
        <x:v>CTA-LCSW-MQB-0279</x:v>
      </x:c>
      <x:c r="B280" s="83" t="str">
        <x:v>LCSW-MQB-FA-VE-043</x:v>
      </x:c>
      <x:c r="C280" s="83" t="str">
        <x:v>Comprehensive Simulation</x:v>
      </x:c>
      <x:c r="D280" s="83" t="str">
        <x:v>Form A</x:v>
      </x:c>
      <x:c r="E280" s="83" t="n">
        <x:v>4</x:v>
      </x:c>
      <x:c r="F280" s="83" t="str">
        <x:v>A former client asks the social worker to become a business partner and offers access to valuable community contacts. What should the social worker do?</x:v>
      </x:c>
      <x:c r="G280" s="83" t="str">
        <x:v>Accept if the former client signs a waiver.</x:v>
      </x:c>
      <x:c r="H280" s="83" t="str">
        <x:v>Evaluate the enduring power imbalance, risk of exploitation, prior treatment issues, and professional standards, and decline when the dual role could harm or exploit.</x:v>
      </x:c>
      <x:c r="I280" s="83" t="str">
        <x:v>Accept because treatment has ended.</x:v>
      </x:c>
      <x:c r="J280" s="83" t="str">
        <x:v>Ask current clients to vote on the proposal.</x:v>
      </x:c>
      <x:c r="K280" s="83" t="str">
        <x:v>B</x:v>
      </x:c>
      <x:c r="L280" s="83" t="str">
        <x:v>Incorrect. A waiver does not remove ethical risk.</x:v>
      </x:c>
      <x:c r="M280" s="83" t="str">
        <x:v>Correct. Termination does not automatically erase influence, vulnerability, or conflict of interest.</x:v>
      </x:c>
      <x:c r="N280" s="83" t="str">
        <x:v>Incorrect. Past professional power can remain relevant.</x:v>
      </x:c>
      <x:c r="O280" s="83" t="str">
        <x:v>Incorrect. Other clients have no role in the decision.</x:v>
      </x:c>
      <x:c r="P280" s="83" t="str">
        <x:v>A. Incorrect. A waiver does not remove ethical risk.
B. Correct. Termination does not automatically erase influence, vulnerability, or conflict of interest.
C. Incorrect. Past professional power can remain relevant.
D. Incorrect. Other clients have no role in the decision.</x:v>
      </x:c>
      <x:c r="Q280" s="83" t="str">
        <x:v>Time alone does not neutralize a power imbalance.</x:v>
      </x:c>
      <x:c r="R280" s="89" t="str">
        <x:v>CTA LCSW WB2; CTA LCSW WB12; ASWB 2026 Clinical Content Area I</x:v>
      </x:c>
    </x:row>
    <x:row r="281">
      <x:c r="A281" s="88" t="str">
        <x:v>CTA-LCSW-MQB-0280</x:v>
      </x:c>
      <x:c r="B281" s="83" t="str">
        <x:v>LCSW-MQB-FA-AP-012</x:v>
      </x:c>
      <x:c r="C281" s="83" t="str">
        <x:v>Comprehensive Simulation</x:v>
      </x:c>
      <x:c r="D281" s="83" t="str">
        <x:v>Form A</x:v>
      </x:c>
      <x:c r="E281" s="83" t="n">
        <x:v>3</x:v>
      </x:c>
      <x:c r="F281" s="83" t="str">
        <x:v>A client says spiritual experiences are central to coping, but a prior clinician called them symptoms. What should the social worker do?</x:v>
      </x:c>
      <x:c r="G281" s="83" t="str">
        <x:v>Avoid the topic.</x:v>
      </x:c>
      <x:c r="H281" s="83" t="str">
        <x:v>Assume spirituality is always healthy.</x:v>
      </x:c>
      <x:c r="I281" s="83" t="str">
        <x:v>Explore the experiences’ cultural meaning, voluntariness, distress, functioning, shared context, and any other symptoms before interpreting them.</x:v>
      </x:c>
      <x:c r="J281" s="83" t="str"/>
      <x:c r="K281" s="83" t="str">
        <x:v>C</x:v>
      </x:c>
      <x:c r="L281" s="83" t="str">
        <x:v>Incorrect. Avoidance prevents accurate assessment.</x:v>
      </x:c>
      <x:c r="M281" s="83" t="str">
        <x:v>Incorrect. Spiritual practices can also coexist with distress.</x:v>
      </x:c>
      <x:c r="N281" s="83" t="str">
        <x:v>Correct. Cultural formulation distinguishes meaningful practices from experiences associated with impairment or loss of reality testing.</x:v>
      </x:c>
      <x:c r="O281" s="83" t="str"/>
      <x:c r="P281" s="83" t="str">
        <x:v>A. Incorrect. Avoidance prevents accurate assessment.
B. Incorrect. Spiritual practices can also coexist with distress.
C. Correct. Cultural formulation distinguishes meaningful practices from experiences associated with impairment or loss of reality testing.</x:v>
      </x:c>
      <x:c r="Q281" s="83" t="str">
        <x:v>Assess meaning and function before pathologizing difference.</x:v>
      </x:c>
      <x:c r="R281" s="89" t="str">
        <x:v>CTA LCSW WB3–WB7; ASWB 2026 Clinical Content Area II</x:v>
      </x:c>
    </x:row>
    <x:row r="282">
      <x:c r="A282" s="88" t="str">
        <x:v>CTA-LCSW-MQB-0281</x:v>
      </x:c>
      <x:c r="B282" s="83" t="str">
        <x:v>LCSW-MQB-FA-VE-044</x:v>
      </x:c>
      <x:c r="C282" s="83" t="str">
        <x:v>Comprehensive Simulation</x:v>
      </x:c>
      <x:c r="D282" s="83" t="str">
        <x:v>Form A</x:v>
      </x:c>
      <x:c r="E282" s="83" t="n">
        <x:v>4</x:v>
      </x:c>
      <x:c r="F282" s="83" t="str">
        <x:v>A social worker faces a conflict among client wishes, agency policy, safety concerns, and uncertain law. What should the social worker do?</x:v>
      </x:c>
      <x:c r="G282" s="83" t="str">
        <x:v>Clarify the facts and stakeholders, identify competing duties, consult current standards and qualified resources, consider options and consequences, act proportionately, and document.</x:v>
      </x:c>
      <x:c r="H282" s="83" t="str">
        <x:v>Follow personal values without consultation.</x:v>
      </x:c>
      <x:c r="I282" s="83" t="str">
        <x:v>Delay indefinitely until every uncertainty disappears.</x:v>
      </x:c>
      <x:c r="J282" s="83" t="str">
        <x:v>Choose the agency policy automatically.</x:v>
      </x:c>
      <x:c r="K282" s="83" t="str">
        <x:v>A</x:v>
      </x:c>
      <x:c r="L282" s="83" t="str">
        <x:v>Correct. A structured process improves defensibility and reduces impulsive or authority-based decisions.</x:v>
      </x:c>
      <x:c r="M282" s="83" t="str">
        <x:v>Incorrect. Personal values require examination rather than substitution.</x:v>
      </x:c>
      <x:c r="N282" s="83" t="str">
        <x:v>Incorrect. Some decisions must be made under uncertainty.</x:v>
      </x:c>
      <x:c r="O282" s="83" t="str">
        <x:v>Incorrect. Policies do not automatically resolve professional duties.</x:v>
      </x:c>
      <x:c r="P282" s="83" t="str">
        <x:v>A. Correct. A structured process improves defensibility and reduces impulsive or authority-based decisions.
B. Incorrect. Personal values require examination rather than substitution.
C. Incorrect. Some decisions must be made under uncertainty.
D. Incorrect. Policies do not automatically resolve professional duties.</x:v>
      </x:c>
      <x:c r="Q282" s="83" t="str">
        <x:v>Strong ethics answers show a reasoned process, not a slogan.</x:v>
      </x:c>
      <x:c r="R282" s="89" t="str">
        <x:v>CTA LCSW WB2; CTA LCSW WB12; ASWB 2026 Clinical Content Area I</x:v>
      </x:c>
    </x:row>
    <x:row r="283">
      <x:c r="A283" s="88" t="str">
        <x:v>CTA-LCSW-MQB-0282</x:v>
      </x:c>
      <x:c r="B283" s="83" t="str">
        <x:v>LCSW-MQB-FA-VE-002</x:v>
      </x:c>
      <x:c r="C283" s="83" t="str">
        <x:v>Comprehensive Simulation</x:v>
      </x:c>
      <x:c r="D283" s="83" t="str">
        <x:v>Form A</x:v>
      </x:c>
      <x:c r="E283" s="83" t="n">
        <x:v>3</x:v>
      </x:c>
      <x:c r="F283" s="83" t="str">
        <x:v>A client signs intake forms but cannot explain the proposed service, risks, or alternatives. Which conclusion is MOST accurate?</x:v>
      </x:c>
      <x:c r="G283" s="83" t="str">
        <x:v>It permits any future intervention once the first service begins.</x:v>
      </x:c>
      <x:c r="H283" s="83" t="str">
        <x:v>It is an ongoing process of understandable disclosure, comprehension, voluntariness, and agreement.</x:v>
      </x:c>
      <x:c r="I283" s="83" t="str">
        <x:v>It is a signature obtained only at intake.</x:v>
      </x:c>
      <x:c r="J283" s="83" t="str"/>
      <x:c r="K283" s="83" t="str">
        <x:v>B</x:v>
      </x:c>
      <x:c r="L283" s="83" t="str">
        <x:v>Incorrect. Material changes may require renewed discussion.</x:v>
      </x:c>
      <x:c r="M283" s="83" t="str">
        <x:v>Correct. Consent must remain meaningful as services, risks, roles, or circumstances change.</x:v>
      </x:c>
      <x:c r="N283" s="83" t="str">
        <x:v>Incorrect. A form may document consent but does not replace the process.</x:v>
      </x:c>
      <x:c r="O283" s="83" t="str"/>
      <x:c r="P283" s="83" t="str">
        <x:v>A. Incorrect. Material changes may require renewed discussion.
B. Correct. Consent must remain meaningful as services, risks, roles, or circumstances change.
C. Incorrect. A form may document consent but does not replace the process.</x:v>
      </x:c>
      <x:c r="Q283" s="83" t="str">
        <x:v>When paperwork is contrasted with a process, select the process.</x:v>
      </x:c>
      <x:c r="R283" s="89" t="str">
        <x:v>CTA LCSW WB2; ASWB 2026 Clinical Content Area I</x:v>
      </x:c>
    </x:row>
    <x:row r="284">
      <x:c r="A284" s="88" t="str">
        <x:v>CTA-LCSW-MQB-0283</x:v>
      </x:c>
      <x:c r="B284" s="83" t="str">
        <x:v>LCSW-MQB-FA-IP-004</x:v>
      </x:c>
      <x:c r="C284" s="83" t="str">
        <x:v>Comprehensive Simulation</x:v>
      </x:c>
      <x:c r="D284" s="83" t="str">
        <x:v>Form A</x:v>
      </x:c>
      <x:c r="E284" s="83" t="n">
        <x:v>3</x:v>
      </x:c>
      <x:c r="F284" s="83" t="str">
        <x:v>A depressed client has stopped all pleasurable and routine activity. What is an appropriate first behavioral-activation step?</x:v>
      </x:c>
      <x:c r="G284" s="83" t="str">
        <x:v>Interpret inactivity only as resistance.</x:v>
      </x:c>
      <x:c r="H284" s="83" t="str">
        <x:v>Collaboratively schedule one small, specific, feasible activity and review its effect.</x:v>
      </x:c>
      <x:c r="I284" s="83" t="str">
        <x:v>Assign a full week of demanding tasks.</x:v>
      </x:c>
      <x:c r="J284" s="83" t="str"/>
      <x:c r="K284" s="83" t="str">
        <x:v>B</x:v>
      </x:c>
      <x:c r="L284" s="83" t="str">
        <x:v>Incorrect. Inactivity is a symptom and behavior pattern, not simply resistance.</x:v>
      </x:c>
      <x:c r="M284" s="83" t="str">
        <x:v>Correct. Small planned action can precede and build motivation.</x:v>
      </x:c>
      <x:c r="N284" s="83" t="str">
        <x:v>Incorrect. An overwhelming plan may increase failure and shame.</x:v>
      </x:c>
      <x:c r="O284" s="83" t="str"/>
      <x:c r="P284" s="83" t="str">
        <x:v>A. Incorrect. Inactivity is a symptom and behavior pattern, not simply resistance.
B. Correct. Small planned action can precede and build motivation.
C. Incorrect. An overwhelming plan may increase failure and shame.</x:v>
      </x:c>
      <x:c r="Q284" s="83" t="str">
        <x:v>Choose a task small enough to complete and specific enough to measure.</x:v>
      </x:c>
      <x:c r="R284" s="89" t="str">
        <x:v>CTA LCSW WB8–WB11; ASWB 2026 Clinical Content Area III</x:v>
      </x:c>
    </x:row>
    <x:row r="285">
      <x:c r="A285" s="88" t="str">
        <x:v>CTA-LCSW-MQB-0284</x:v>
      </x:c>
      <x:c r="B285" s="83" t="str">
        <x:v>LCSW-MQB-FA-VE-020</x:v>
      </x:c>
      <x:c r="C285" s="83" t="str">
        <x:v>Comprehensive Simulation</x:v>
      </x:c>
      <x:c r="D285" s="83" t="str">
        <x:v>Form A</x:v>
      </x:c>
      <x:c r="E285" s="83" t="n">
        <x:v>3</x:v>
      </x:c>
      <x:c r="F285" s="83" t="str">
        <x:v>When is ethical consultation MOST useful?</x:v>
      </x:c>
      <x:c r="G285" s="83" t="str">
        <x:v>When the social worker has identified competing duties or uncertainty and seeks focused input without transferring responsibility.</x:v>
      </x:c>
      <x:c r="H285" s="83" t="str">
        <x:v>Only after a complaint is filed.</x:v>
      </x:c>
      <x:c r="I285" s="83" t="str">
        <x:v>Only when the client agrees with the proposed action.</x:v>
      </x:c>
      <x:c r="J285" s="83" t="str"/>
      <x:c r="K285" s="83" t="str">
        <x:v>A</x:v>
      </x:c>
      <x:c r="L285" s="83" t="str">
        <x:v>Correct. Consultation improves analysis while the social worker remains accountable for the decision.</x:v>
      </x:c>
      <x:c r="M285" s="83" t="str">
        <x:v>Incorrect. Early consultation can prevent problems.</x:v>
      </x:c>
      <x:c r="N285" s="83" t="str">
        <x:v>Incorrect. Client agreement does not determine whether consultation is needed.</x:v>
      </x:c>
      <x:c r="O285" s="83" t="str"/>
      <x:c r="P285" s="83" t="str">
        <x:v>A. Correct. Consultation improves analysis while the social worker remains accountable for the decision.
B. Incorrect. Early consultation can prevent problems.
C. Incorrect. Client agreement does not determine whether consultation is needed.</x:v>
      </x:c>
      <x:c r="Q285" s="83" t="str">
        <x:v>Use consultation to improve reasoning, not to outsource judgment.</x:v>
      </x:c>
      <x:c r="R285" s="89" t="str">
        <x:v>CTA LCSW WB2; CTA LCSW WB12; ASWB 2026 Clinical Content Area I</x:v>
      </x:c>
    </x:row>
    <x:row r="286">
      <x:c r="A286" s="88" t="str">
        <x:v>CTA-LCSW-MQB-0285</x:v>
      </x:c>
      <x:c r="B286" s="83" t="str">
        <x:v>LCSW-MQB-FA-VE-005</x:v>
      </x:c>
      <x:c r="C286" s="83" t="str">
        <x:v>Comprehensive Simulation</x:v>
      </x:c>
      <x:c r="D286" s="83" t="str">
        <x:v>Form A</x:v>
      </x:c>
      <x:c r="E286" s="83" t="n">
        <x:v>3</x:v>
      </x:c>
      <x:c r="F286" s="83" t="str">
        <x:v>What is the BEST indicator that a social worker is competent to provide a specialized service?</x:v>
      </x:c>
      <x:c r="G286" s="83" t="str">
        <x:v>Possession of a license alone.</x:v>
      </x:c>
      <x:c r="H286" s="83" t="str">
        <x:v>Relevant education, supervised training or consultation, demonstrated skill, and practice within current standards.</x:v>
      </x:c>
      <x:c r="I286" s="83" t="str">
        <x:v>One brief introductory webinar.</x:v>
      </x:c>
      <x:c r="J286" s="83" t="str"/>
      <x:c r="K286" s="83" t="str">
        <x:v>B</x:v>
      </x:c>
      <x:c r="L286" s="83" t="str">
        <x:v>Incorrect. Licensure establishes a broad threshold, not every specialty.</x:v>
      </x:c>
      <x:c r="M286" s="83" t="str">
        <x:v>Correct. Competence is task-specific and must be supported by preparation and current ability.</x:v>
      </x:c>
      <x:c r="N286" s="83" t="str">
        <x:v>Incorrect. Introductory exposure may not prepare the worker for complex practice.</x:v>
      </x:c>
      <x:c r="O286" s="83" t="str"/>
      <x:c r="P286" s="83" t="str">
        <x:v>A. Incorrect. Licensure establishes a broad threshold, not every specialty.
B. Correct. Competence is task-specific and must be supported by preparation and current ability.
C. Incorrect. Introductory exposure may not prepare the worker for complex practice.</x:v>
      </x:c>
      <x:c r="Q286" s="83" t="str">
        <x:v>Ask what evidence shows actual preparation for the specific service.</x:v>
      </x:c>
      <x:c r="R286" s="89" t="str">
        <x:v>CTA LCSW WB2; CTA LCSW WB12; ASWB 2026 Clinical Content Area I</x:v>
      </x:c>
    </x:row>
    <x:row r="287">
      <x:c r="A287" s="88" t="str">
        <x:v>CTA-LCSW-MQB-0286</x:v>
      </x:c>
      <x:c r="B287" s="83" t="str">
        <x:v>LCSW-MQB-FA-IP-032</x:v>
      </x:c>
      <x:c r="C287" s="83" t="str">
        <x:v>Comprehensive Simulation</x:v>
      </x:c>
      <x:c r="D287" s="83" t="str">
        <x:v>Form A</x:v>
      </x:c>
      <x:c r="E287" s="83" t="n">
        <x:v>4</x:v>
      </x:c>
      <x:c r="F287" s="83" t="str">
        <x:v>A supervisee repeatedly misses suicide-risk cues despite prior instruction. What should the supervisor do?</x:v>
      </x:c>
      <x:c r="G287" s="83" t="str">
        <x:v>Assign more high-risk cases for practice.</x:v>
      </x:c>
      <x:c r="H287" s="83" t="str">
        <x:v>Continue the same supervision plan.</x:v>
      </x:c>
      <x:c r="I287" s="83" t="str">
        <x:v>Document concern but take no action.</x:v>
      </x:c>
      <x:c r="J287" s="83" t="str">
        <x:v>Increase direct oversight, review affected cases, provide targeted training, limit independent high-risk work, and evaluate competence progress.</x:v>
      </x:c>
      <x:c r="K287" s="83" t="str">
        <x:v>D</x:v>
      </x:c>
      <x:c r="L287" s="83" t="str">
        <x:v>Incorrect. More independent exposure may increase harm.</x:v>
      </x:c>
      <x:c r="M287" s="83" t="str">
        <x:v>Incorrect. Unchanged supervision has not corrected the issue.</x:v>
      </x:c>
      <x:c r="N287" s="83" t="str">
        <x:v>Incorrect. Documentation alone does not protect clients.</x:v>
      </x:c>
      <x:c r="O287" s="83" t="str">
        <x:v>Correct. Repeated safety errors require a proportionate competence and client-protection response.</x:v>
      </x:c>
      <x:c r="P287" s="83" t="str">
        <x:v>A. Incorrect. More independent exposure may increase harm.
B. Incorrect. Unchanged supervision has not corrected the issue.
C. Incorrect. Documentation alone does not protect clients.
D. Correct. Repeated safety errors require a proportionate competence and client-protection response.</x:v>
      </x:c>
      <x:c r="Q287" s="83" t="str">
        <x:v>Supervision must change when risk performance does not improve.</x:v>
      </x:c>
      <x:c r="R287" s="89" t="str">
        <x:v>CTA LCSW WB10; CTA LCSW WB11; ASWB 2026 Clinical Content Area III</x:v>
      </x:c>
    </x:row>
    <x:row r="288">
      <x:c r="A288" s="88" t="str">
        <x:v>CTA-LCSW-MQB-0287</x:v>
      </x:c>
      <x:c r="B288" s="83" t="str">
        <x:v>LCSW-MQB-FA-VE-019</x:v>
      </x:c>
      <x:c r="C288" s="83" t="str">
        <x:v>Comprehensive Simulation</x:v>
      </x:c>
      <x:c r="D288" s="83" t="str">
        <x:v>Form A</x:v>
      </x:c>
      <x:c r="E288" s="83" t="n">
        <x:v>3</x:v>
      </x:c>
      <x:c r="F288" s="83" t="str">
        <x:v>A supervisor asks a supervisee to provide a service the supervisee has not been trained to deliver. What should the supervisee do?</x:v>
      </x:c>
      <x:c r="G288" s="83" t="str">
        <x:v>Proceed because supervision removes individual responsibility.</x:v>
      </x:c>
      <x:c r="H288" s="83" t="str">
        <x:v>Hide the concern to appear capable.</x:v>
      </x:c>
      <x:c r="I288" s="83" t="str">
        <x:v>Identify the competence concern, seek appropriate training or direct support, and protect clients while the issue is resolved.</x:v>
      </x:c>
      <x:c r="J288" s="83" t="str"/>
      <x:c r="K288" s="83" t="str">
        <x:v>C</x:v>
      </x:c>
      <x:c r="L288" s="83" t="str">
        <x:v>Incorrect. Both supervisor and supervisee retain responsibilities.</x:v>
      </x:c>
      <x:c r="M288" s="83" t="str">
        <x:v>Incorrect. Concealment increases risk.</x:v>
      </x:c>
      <x:c r="N288" s="83" t="str">
        <x:v>Correct. Supervision supports competence but does not make an unprepared task safe.</x:v>
      </x:c>
      <x:c r="O288" s="83" t="str"/>
      <x:c r="P288" s="83" t="str">
        <x:v>A. Incorrect. Both supervisor and supervisee retain responsibilities.
B. Incorrect. Concealment increases risk.
C. Correct. Supervision supports competence but does not make an unprepared task safe.</x:v>
      </x:c>
      <x:c r="Q288" s="83" t="str">
        <x:v>Raise competence gaps before they become client harm.</x:v>
      </x:c>
      <x:c r="R288" s="89" t="str">
        <x:v>CTA LCSW WB2; CTA LCSW WB12; ASWB 2026 Clinical Content Area I</x:v>
      </x:c>
    </x:row>
    <x:row r="289">
      <x:c r="A289" s="88" t="str">
        <x:v>CTA-LCSW-MQB-0288</x:v>
      </x:c>
      <x:c r="B289" s="83" t="str">
        <x:v>LCSW-MQB-FA-AP-027</x:v>
      </x:c>
      <x:c r="C289" s="83" t="str">
        <x:v>Comprehensive Simulation</x:v>
      </x:c>
      <x:c r="D289" s="83" t="str">
        <x:v>Form A</x:v>
      </x:c>
      <x:c r="E289" s="83" t="n">
        <x:v>4</x:v>
      </x:c>
      <x:c r="F289" s="83" t="str">
        <x:v>A trauma survivor becomes detached and stops responding during detailed questioning. What should the social worker do FIRST?</x:v>
      </x:c>
      <x:c r="G289" s="83" t="str">
        <x:v>Confront the client for avoiding.</x:v>
      </x:c>
      <x:c r="H289" s="83" t="str">
        <x:v>Pause the detail, orient the client to the present, assess dissociation and safety, and restore choice and regulation.</x:v>
      </x:c>
      <x:c r="I289" s="83" t="str">
        <x:v>End treatment permanently.</x:v>
      </x:c>
      <x:c r="J289" s="83" t="str">
        <x:v>Continue because complete details are required.</x:v>
      </x:c>
      <x:c r="K289" s="83" t="str">
        <x:v>B</x:v>
      </x:c>
      <x:c r="L289" s="83" t="str">
        <x:v>Incorrect. Intent should not be assumed.</x:v>
      </x:c>
      <x:c r="M289" s="83" t="str">
        <x:v>Correct. The presentation may reflect dissociation; stabilization and control take priority over detail gathering.</x:v>
      </x:c>
      <x:c r="N289" s="83" t="str">
        <x:v>Incorrect. A manageable episode does not require permanent termination.</x:v>
      </x:c>
      <x:c r="O289" s="83" t="str">
        <x:v>Incorrect. Pressing may intensify dysregulation.</x:v>
      </x:c>
      <x:c r="P289" s="83" t="str">
        <x:v>A. Incorrect. Intent should not be assumed.
B. Correct. The presentation may reflect dissociation; stabilization and control take priority over detail gathering.
C. Incorrect. A manageable episode does not require permanent termination.
D. Incorrect. Pressing may intensify dysregulation.</x:v>
      </x:c>
      <x:c r="Q289" s="83" t="str">
        <x:v>When arousal or detachment rises, slow down before collecting more history.</x:v>
      </x:c>
      <x:c r="R289" s="89" t="str">
        <x:v>CTA LCSW WB6; ASWB 2026 Clinical Content Area II</x:v>
      </x:c>
    </x:row>
    <x:row r="290">
      <x:c r="A290" s="88" t="str">
        <x:v>CTA-LCSW-MQB-0289</x:v>
      </x:c>
      <x:c r="B290" s="83" t="str">
        <x:v>LCSW-MQB-FA-IP-006</x:v>
      </x:c>
      <x:c r="C290" s="83" t="str">
        <x:v>Comprehensive Simulation</x:v>
      </x:c>
      <x:c r="D290" s="83" t="str">
        <x:v>Form A</x:v>
      </x:c>
      <x:c r="E290" s="83" t="n">
        <x:v>3</x:v>
      </x:c>
      <x:c r="F290" s="83" t="str">
        <x:v>A client says, “Nothing ever goes right,” but later mentions one evening when conflict was less intense. What should the social worker do?</x:v>
      </x:c>
      <x:c r="G290" s="83" t="str">
        <x:v>Explore what was different, what the client did, and whether any part can be repeated.</x:v>
      </x:c>
      <x:c r="H290" s="83" t="str">
        <x:v>Correct the client for exaggerating.</x:v>
      </x:c>
      <x:c r="I290" s="83" t="str">
        <x:v>Conclude the problem is solved.</x:v>
      </x:c>
      <x:c r="J290" s="83" t="str"/>
      <x:c r="K290" s="83" t="str">
        <x:v>A</x:v>
      </x:c>
      <x:c r="L290" s="83" t="str">
        <x:v>Correct. Exceptions can reveal practical strengths and change conditions.</x:v>
      </x:c>
      <x:c r="M290" s="83" t="str">
        <x:v>Incorrect. Correction may create defensiveness.</x:v>
      </x:c>
      <x:c r="N290" s="83" t="str">
        <x:v>Incorrect. One exception does not eliminate the problem.</x:v>
      </x:c>
      <x:c r="O290" s="83" t="str"/>
      <x:c r="P290" s="83" t="str">
        <x:v>A. Correct. Exceptions can reveal practical strengths and change conditions.
B. Incorrect. Correction may create defensiveness.
C. Incorrect. One exception does not eliminate the problem.</x:v>
      </x:c>
      <x:c r="Q290" s="83" t="str">
        <x:v>Ask how the exception happened, not merely whether it happened.</x:v>
      </x:c>
      <x:c r="R290" s="89" t="str">
        <x:v>CTA LCSW WB8–WB11; ASWB 2026 Clinical Content Area III</x:v>
      </x:c>
    </x:row>
    <x:row r="291">
      <x:c r="A291" s="88" t="str">
        <x:v>CTA-LCSW-MQB-0290</x:v>
      </x:c>
      <x:c r="B291" s="83" t="str">
        <x:v>LCSW-MQB-FA-IP-007</x:v>
      </x:c>
      <x:c r="C291" s="83" t="str">
        <x:v>Comprehensive Simulation</x:v>
      </x:c>
      <x:c r="D291" s="83" t="str">
        <x:v>Form A</x:v>
      </x:c>
      <x:c r="E291" s="83" t="n">
        <x:v>3</x:v>
      </x:c>
      <x:c r="F291" s="83" t="str">
        <x:v>A family is confused about why a relative with psychosis may need ongoing treatment after symptoms improve. What should the social worker do?</x:v>
      </x:c>
      <x:c r="G291" s="83" t="str">
        <x:v>Avoid education because it is not therapy.</x:v>
      </x:c>
      <x:c r="H291" s="83" t="str">
        <x:v>Provide understandable information about relapse risk, early warning signs, treatment roles, and how the family can support the client’s choices.</x:v>
      </x:c>
      <x:c r="I291" s="83" t="str">
        <x:v>Promise symptoms will never return if the plan is followed.</x:v>
      </x:c>
      <x:c r="J291" s="83" t="str"/>
      <x:c r="K291" s="83" t="str">
        <x:v>B</x:v>
      </x:c>
      <x:c r="L291" s="83" t="str">
        <x:v>Incorrect. Education is a legitimate intervention.</x:v>
      </x:c>
      <x:c r="M291" s="83" t="str">
        <x:v>Correct. Psychoeducation supports informed collaboration without shifting control to family members.</x:v>
      </x:c>
      <x:c r="N291" s="83" t="str">
        <x:v>Incorrect. No plan guarantees prevention.</x:v>
      </x:c>
      <x:c r="O291" s="83" t="str"/>
      <x:c r="P291" s="83" t="str">
        <x:v>A. Incorrect. Education is a legitimate intervention.
B. Correct. Psychoeducation supports informed collaboration without shifting control to family members.
C. Incorrect. No plan guarantees prevention.</x:v>
      </x:c>
      <x:c r="Q291" s="83" t="str">
        <x:v>Teach risk and support roles without making promises or creating family policing.</x:v>
      </x:c>
      <x:c r="R291" s="89" t="str">
        <x:v>CTA LCSW WB8–WB11; ASWB 2026 Clinical Content Area III</x:v>
      </x:c>
    </x:row>
    <x:row r="292">
      <x:c r="A292" s="88" t="str">
        <x:v>CTA-LCSW-MQB-0291</x:v>
      </x:c>
      <x:c r="B292" s="83" t="str">
        <x:v>LCSW-MQB-FA-VE-024</x:v>
      </x:c>
      <x:c r="C292" s="83" t="str">
        <x:v>Comprehensive Simulation</x:v>
      </x:c>
      <x:c r="D292" s="83" t="str">
        <x:v>Form A</x:v>
      </x:c>
      <x:c r="E292" s="83" t="n">
        <x:v>3</x:v>
      </x:c>
      <x:c r="F292" s="83" t="str">
        <x:v>A competent adult understands a recommended service and declines it. What should the social worker do NEXT?</x:v>
      </x:c>
      <x:c r="G292" s="83" t="str">
        <x:v>Explore the client’s reasons, confirm understanding, discuss alternatives and risks, and respect the informed decision unless a specific safety or legal limit applies.</x:v>
      </x:c>
      <x:c r="H292" s="83" t="str">
        <x:v>Begin the service anyway because it is clinically indicated.</x:v>
      </x:c>
      <x:c r="I292" s="83" t="str">
        <x:v>Close the case immediately.</x:v>
      </x:c>
      <x:c r="J292" s="83" t="str"/>
      <x:c r="K292" s="83" t="str">
        <x:v>A</x:v>
      </x:c>
      <x:c r="L292" s="83" t="str">
        <x:v>Correct. Respectful exploration and documentation preserve autonomy and care options.</x:v>
      </x:c>
      <x:c r="M292" s="83" t="str">
        <x:v>Incorrect. Clinical benefit does not authorize imposed treatment.</x:v>
      </x:c>
      <x:c r="N292" s="83" t="str">
        <x:v>Incorrect. Refusal of one service does not automatically require termination.</x:v>
      </x:c>
      <x:c r="O292" s="83" t="str"/>
      <x:c r="P292" s="83" t="str">
        <x:v>A. Correct. Respectful exploration and documentation preserve autonomy and care options.
B. Incorrect. Clinical benefit does not authorize imposed treatment.
C. Incorrect. Refusal of one service does not automatically require termination.</x:v>
      </x:c>
      <x:c r="Q292" s="83" t="str">
        <x:v>Before reacting to refusal, verify understanding and identify what choices remain.</x:v>
      </x:c>
      <x:c r="R292" s="89" t="str">
        <x:v>CTA LCSW WB2; ASWB 2026 Clinical Content Area I</x:v>
      </x:c>
    </x:row>
    <x:row r="293">
      <x:c r="A293" s="88" t="str">
        <x:v>CTA-LCSW-MQB-0292</x:v>
      </x:c>
      <x:c r="B293" s="83" t="str">
        <x:v>LCSW-MQB-FA-IP-037</x:v>
      </x:c>
      <x:c r="C293" s="83" t="str">
        <x:v>Comprehensive Simulation</x:v>
      </x:c>
      <x:c r="D293" s="83" t="str">
        <x:v>Form A</x:v>
      </x:c>
      <x:c r="E293" s="83" t="n">
        <x:v>4</x:v>
      </x:c>
      <x:c r="F293" s="83" t="str">
        <x:v>A program’s average outcomes improve, but clients who need interpreters have much higher dropout. What should the social worker do?</x:v>
      </x:c>
      <x:c r="G293" s="83" t="str">
        <x:v>Conclude interpreter users are less motivated.</x:v>
      </x:c>
      <x:c r="H293" s="83" t="str">
        <x:v>Report only the overall average.</x:v>
      </x:c>
      <x:c r="I293" s="83" t="str">
        <x:v>End interpreter services because dropout is high.</x:v>
      </x:c>
      <x:c r="J293" s="83" t="str">
        <x:v>Disaggregate outcomes, investigate language-access and service barriers, involve affected clients, and modify the program while monitoring results.</x:v>
      </x:c>
      <x:c r="K293" s="83" t="str">
        <x:v>D</x:v>
      </x:c>
      <x:c r="L293" s="83" t="str">
        <x:v>Incorrect. Motivation should not be assumed.</x:v>
      </x:c>
      <x:c r="M293" s="83" t="str">
        <x:v>Incorrect. Averages can conceal disparities.</x:v>
      </x:c>
      <x:c r="N293" s="83" t="str">
        <x:v>Incorrect. Removing access support would likely worsen inequity.</x:v>
      </x:c>
      <x:c r="O293" s="83" t="str">
        <x:v>Correct. Equity review requires examining subgroup outcomes and structural barriers.</x:v>
      </x:c>
      <x:c r="P293" s="83" t="str">
        <x:v>A. Incorrect. Motivation should not be assumed.
B. Incorrect. Averages can conceal disparities.
C. Incorrect. Removing access support would likely worsen inequity.
D. Correct. Equity review requires examining subgroup outcomes and structural barriers.</x:v>
      </x:c>
      <x:c r="Q293" s="83" t="str">
        <x:v>Always ask who benefited and who did not.</x:v>
      </x:c>
      <x:c r="R293" s="89" t="str">
        <x:v>CTA LCSW WB10; CTA LCSW WB11; ASWB 2026 Clinical Content Area III</x:v>
      </x:c>
    </x:row>
    <x:row r="294">
      <x:c r="A294" s="88" t="str">
        <x:v>CTA-LCSW-MQB-0293</x:v>
      </x:c>
      <x:c r="B294" s="83" t="str">
        <x:v>LCSW-MQB-FA-AP-016</x:v>
      </x:c>
      <x:c r="C294" s="83" t="str">
        <x:v>Comprehensive Simulation</x:v>
      </x:c>
      <x:c r="D294" s="83" t="str">
        <x:v>Form A</x:v>
      </x:c>
      <x:c r="E294" s="83" t="n">
        <x:v>3</x:v>
      </x:c>
      <x:c r="F294" s="83" t="str">
        <x:v>A client repeatedly misses medical appointments because the bus route requires three transfers and the client has mobility limitations. What belongs in the assessment?</x:v>
      </x:c>
      <x:c r="G294" s="83" t="str">
        <x:v>Only the medical diagnosis.</x:v>
      </x:c>
      <x:c r="H294" s="83" t="str">
        <x:v>Only the client’s motivation.</x:v>
      </x:c>
      <x:c r="I294" s="83" t="str">
        <x:v>Transportation accessibility, disability accommodations, finances, scheduling, support, and the effect of these barriers on health.</x:v>
      </x:c>
      <x:c r="J294" s="83" t="str"/>
      <x:c r="K294" s="83" t="str">
        <x:v>C</x:v>
      </x:c>
      <x:c r="L294" s="83" t="str">
        <x:v>Incorrect. Diagnosis alone does not explain access.</x:v>
      </x:c>
      <x:c r="M294" s="83" t="str">
        <x:v>Incorrect. Motivation is only one possible factor.</x:v>
      </x:c>
      <x:c r="N294" s="83" t="str">
        <x:v>Correct. Person-in-environment assessment includes structural and practical barriers.</x:v>
      </x:c>
      <x:c r="O294" s="83" t="str"/>
      <x:c r="P294" s="83" t="str">
        <x:v>A. Incorrect. Diagnosis alone does not explain access.
B. Incorrect. Motivation is only one possible factor.
C. Correct. Person-in-environment assessment includes structural and practical barriers.</x:v>
      </x:c>
      <x:c r="Q294" s="83" t="str">
        <x:v>Before labeling behavior, assess whether the system is usable.</x:v>
      </x:c>
      <x:c r="R294" s="89" t="str">
        <x:v>CTA LCSW WB3–WB7; ASWB 2026 Clinical Content Area II</x:v>
      </x:c>
    </x:row>
    <x:row r="295">
      <x:c r="A295" s="88" t="str">
        <x:v>CTA-LCSW-MQB-0294</x:v>
      </x:c>
      <x:c r="B295" s="83" t="str">
        <x:v>LCSW-MQB-FA-AP-015</x:v>
      </x:c>
      <x:c r="C295" s="83" t="str">
        <x:v>Comprehensive Simulation</x:v>
      </x:c>
      <x:c r="D295" s="83" t="str">
        <x:v>Form A</x:v>
      </x:c>
      <x:c r="E295" s="83" t="n">
        <x:v>3</x:v>
      </x:c>
      <x:c r="F295" s="83" t="str">
        <x:v>A client has repeated self-harm, unstable housing, and cannot use an outpatient safety plan. What should the social worker consider?</x:v>
      </x:c>
      <x:c r="G295" s="83" t="str">
        <x:v>A higher level of care or additional supports, discussed collaboratively and coordinated without abandonment.</x:v>
      </x:c>
      <x:c r="H295" s="83" t="str">
        <x:v>A guarantee that outpatient care will prevent self-harm.</x:v>
      </x:c>
      <x:c r="I295" s="83" t="str">
        <x:v>Weekly outpatient therapy only because it is the client’s preference.</x:v>
      </x:c>
      <x:c r="J295" s="83" t="str"/>
      <x:c r="K295" s="83" t="str">
        <x:v>A</x:v>
      </x:c>
      <x:c r="L295" s="83" t="str">
        <x:v>Correct. Client preference matters, but the plan must address acuity and ability to remain safe.</x:v>
      </x:c>
      <x:c r="M295" s="83" t="str">
        <x:v>Incorrect. No service can guarantee prevention.</x:v>
      </x:c>
      <x:c r="N295" s="83" t="str">
        <x:v>Incorrect. Preference does not eliminate professional safety judgment.</x:v>
      </x:c>
      <x:c r="O295" s="83" t="str"/>
      <x:c r="P295" s="83" t="str">
        <x:v>A. Correct. Client preference matters, but the plan must address acuity and ability to remain safe.
B. Incorrect. No service can guarantee prevention.
C. Incorrect. Preference does not eliminate professional safety judgment.</x:v>
      </x:c>
      <x:c r="Q295" s="83" t="str">
        <x:v>Choose the least restrictive plan that can realistically meet the assessed need.</x:v>
      </x:c>
      <x:c r="R295" s="89" t="str">
        <x:v>CTA LCSW WB6; ASWB 2026 Clinical Content Area II</x:v>
      </x:c>
    </x:row>
    <x:row r="296">
      <x:c r="A296" s="88" t="str">
        <x:v>CTA-LCSW-MQB-0295</x:v>
      </x:c>
      <x:c r="B296" s="83" t="str">
        <x:v>LCSW-MQB-FA-VE-042</x:v>
      </x:c>
      <x:c r="C296" s="83" t="str">
        <x:v>Comprehensive Simulation</x:v>
      </x:c>
      <x:c r="D296" s="83" t="str">
        <x:v>Form A</x:v>
      </x:c>
      <x:c r="E296" s="83" t="n">
        <x:v>4</x:v>
      </x:c>
      <x:c r="F296" s="83" t="str">
        <x:v>An agency has one emergency housing slot and two equally eligible clients. What is the BEST ethical approach?</x:v>
      </x:c>
      <x:c r="G296" s="83" t="str">
        <x:v>Use transparent, consistently applied criteria, document the decision, communicate honestly, and seek alternatives for the client not selected.</x:v>
      </x:c>
      <x:c r="H296" s="83" t="str">
        <x:v>Give the slot to the client the social worker likes more.</x:v>
      </x:c>
      <x:c r="I296" s="83" t="str">
        <x:v>Promise both clients the placement.</x:v>
      </x:c>
      <x:c r="J296" s="83" t="str">
        <x:v>Hide the criteria to avoid complaints.</x:v>
      </x:c>
      <x:c r="K296" s="83" t="str">
        <x:v>A</x:v>
      </x:c>
      <x:c r="L296" s="83" t="str">
        <x:v>Correct. Scarce-resource decisions require fairness, transparency, and continued advocacy.</x:v>
      </x:c>
      <x:c r="M296" s="83" t="str">
        <x:v>Incorrect. Personal preference creates inequity.</x:v>
      </x:c>
      <x:c r="N296" s="83" t="str">
        <x:v>Incorrect. A false promise harms both clients.</x:v>
      </x:c>
      <x:c r="O296" s="83" t="str">
        <x:v>Incorrect. Secrecy undermines accountability.</x:v>
      </x:c>
      <x:c r="P296" s="83" t="str">
        <x:v>A. Correct. Scarce-resource decisions require fairness, transparency, and continued advocacy.
B. Incorrect. Personal preference creates inequity.
C. Incorrect. A false promise harms both clients.
D. Incorrect. Secrecy undermines accountability.</x:v>
      </x:c>
      <x:c r="Q296" s="83" t="str">
        <x:v>When resources are scarce, fairness concerns the process as well as the outcome.</x:v>
      </x:c>
      <x:c r="R296" s="89" t="str">
        <x:v>CTA LCSW WB2; ASWB 2026 Clinical Content Area I</x:v>
      </x:c>
    </x:row>
    <x:row r="297">
      <x:c r="A297" s="88" t="str">
        <x:v>CTA-LCSW-MQB-0296</x:v>
      </x:c>
      <x:c r="B297" s="83" t="str">
        <x:v>LCSW-MQB-FA-VE-016</x:v>
      </x:c>
      <x:c r="C297" s="83" t="str">
        <x:v>Comprehensive Simulation</x:v>
      </x:c>
      <x:c r="D297" s="83" t="str">
        <x:v>Form A</x:v>
      </x:c>
      <x:c r="E297" s="83" t="n">
        <x:v>3</x:v>
      </x:c>
      <x:c r="F297" s="83" t="str">
        <x:v>A client’s criticism strongly reminds the social worker of a painful family relationship. What should the social worker do?</x:v>
      </x:c>
      <x:c r="G297" s="83" t="str">
        <x:v>Monitor the reaction, use supervision or consultation, and keep the client’s needs central in the session.</x:v>
      </x:c>
      <x:c r="H297" s="83" t="str">
        <x:v>Refer every critical client automatically.</x:v>
      </x:c>
      <x:c r="I297" s="83" t="str">
        <x:v>Disclose the family history in detail.</x:v>
      </x:c>
      <x:c r="J297" s="83" t="str"/>
      <x:c r="K297" s="83" t="str">
        <x:v>A</x:v>
      </x:c>
      <x:c r="L297" s="83" t="str">
        <x:v>Correct. Self-awareness and consultation help prevent personal reactions from shaping care.</x:v>
      </x:c>
      <x:c r="M297" s="83" t="str">
        <x:v>Incorrect. Referral is not automatically required when the reaction can be managed competently.</x:v>
      </x:c>
      <x:c r="N297" s="83" t="str">
        <x:v>Incorrect. Extensive disclosure may burden the client.</x:v>
      </x:c>
      <x:c r="O297" s="83" t="str"/>
      <x:c r="P297" s="83" t="str">
        <x:v>A. Correct. Self-awareness and consultation help prevent personal reactions from shaping care.
B. Incorrect. Referral is not automatically required when the reaction can be managed competently.
C. Incorrect. Extensive disclosure may burden the client.</x:v>
      </x:c>
      <x:c r="Q297" s="83" t="str">
        <x:v>Use your reaction as information to manage, not as the client’s responsibility.</x:v>
      </x:c>
      <x:c r="R297" s="89" t="str">
        <x:v>CTA LCSW WB2; CTA LCSW WB12; ASWB 2026 Clinical Content Area I</x:v>
      </x:c>
    </x:row>
    <x:row r="298">
      <x:c r="A298" s="88" t="str">
        <x:v>CTA-LCSW-MQB-0297</x:v>
      </x:c>
      <x:c r="B298" s="83" t="str">
        <x:v>LCSW-MQB-FA-IP-015</x:v>
      </x:c>
      <x:c r="C298" s="83" t="str">
        <x:v>Comprehensive Simulation</x:v>
      </x:c>
      <x:c r="D298" s="83" t="str">
        <x:v>Form A</x:v>
      </x:c>
      <x:c r="E298" s="83" t="n">
        <x:v>3</x:v>
      </x:c>
      <x:c r="F298" s="83" t="str">
        <x:v>A symptom measure improves, but the client says daily functioning has worsened. What should the social worker do?</x:v>
      </x:c>
      <x:c r="G298" s="83" t="str">
        <x:v>Discard all measures permanently.</x:v>
      </x:c>
      <x:c r="H298" s="83" t="str">
        <x:v>Treat the score as proof of improvement.</x:v>
      </x:c>
      <x:c r="I298" s="83" t="str">
        <x:v>Explore the discrepancy and integrate the measure with functioning, goals, context, and clinical observation.</x:v>
      </x:c>
      <x:c r="J298" s="83" t="str"/>
      <x:c r="K298" s="83" t="str">
        <x:v>C</x:v>
      </x:c>
      <x:c r="L298" s="83" t="str">
        <x:v>Incorrect. Measures can still be useful.</x:v>
      </x:c>
      <x:c r="M298" s="83" t="str">
        <x:v>Incorrect. Scores can miss important domains.</x:v>
      </x:c>
      <x:c r="N298" s="83" t="str">
        <x:v>Correct. Outcome data must be interpreted in context and against client-defined functioning.</x:v>
      </x:c>
      <x:c r="O298" s="83" t="str"/>
      <x:c r="P298" s="83" t="str">
        <x:v>A. Incorrect. Measures can still be useful.
B. Incorrect. Scores can miss important domains.
C. Correct. Outcome data must be interpreted in context and against client-defined functioning.</x:v>
      </x:c>
      <x:c r="Q298" s="83" t="str">
        <x:v>When numbers and lived experience differ, investigate rather than choose one automatically.</x:v>
      </x:c>
      <x:c r="R298" s="89" t="str">
        <x:v>CTA LCSW WB10; CTA LCSW WB11; ASWB 2026 Clinical Content Area III</x:v>
      </x:c>
    </x:row>
    <x:row r="299">
      <x:c r="A299" s="88" t="str">
        <x:v>CTA-LCSW-MQB-0298</x:v>
      </x:c>
      <x:c r="B299" s="83" t="str">
        <x:v>LCSW-MQB-FA-IP-013</x:v>
      </x:c>
      <x:c r="C299" s="83" t="str">
        <x:v>Comprehensive Simulation</x:v>
      </x:c>
      <x:c r="D299" s="83" t="str">
        <x:v>Form A</x:v>
      </x:c>
      <x:c r="E299" s="83" t="n">
        <x:v>3</x:v>
      </x:c>
      <x:c r="F299" s="83" t="str">
        <x:v>A parent wants help with a child’s tantrums. What initial intervention is MOST useful?</x:v>
      </x:c>
      <x:c r="G299" s="83" t="str">
        <x:v>Clarify triggers and patterns, teach consistent developmentally appropriate responses, and reinforce desired behavior.</x:v>
      </x:c>
      <x:c r="H299" s="83" t="str">
        <x:v>Recommend harsh punishment.</x:v>
      </x:c>
      <x:c r="I299" s="83" t="str">
        <x:v>Tell the parent to ignore every behavior.</x:v>
      </x:c>
      <x:c r="J299" s="83" t="str"/>
      <x:c r="K299" s="83" t="str">
        <x:v>A</x:v>
      </x:c>
      <x:c r="L299" s="83" t="str">
        <x:v>Correct. Behavioral assessment and consistent parenting strategies are practical first steps.</x:v>
      </x:c>
      <x:c r="M299" s="83" t="str">
        <x:v>Incorrect. Harsh punishment can increase harm.</x:v>
      </x:c>
      <x:c r="N299" s="83" t="str">
        <x:v>Incorrect. Some behaviors require attention, safety, or skill teaching.</x:v>
      </x:c>
      <x:c r="O299" s="83" t="str"/>
      <x:c r="P299" s="83" t="str">
        <x:v>A. Correct. Behavioral assessment and consistent parenting strategies are practical first steps.
B. Incorrect. Harsh punishment can increase harm.
C. Incorrect. Some behaviors require attention, safety, or skill teaching.</x:v>
      </x:c>
      <x:c r="Q299" s="83" t="str">
        <x:v>Start with antecedents, responses, and reinforcement.</x:v>
      </x:c>
      <x:c r="R299" s="89" t="str">
        <x:v>CTA LCSW WB8–WB11; ASWB 2026 Clinical Content Area III</x:v>
      </x:c>
    </x:row>
    <x:row r="300">
      <x:c r="A300" s="88" t="str">
        <x:v>CTA-LCSW-MQB-0299</x:v>
      </x:c>
      <x:c r="B300" s="83" t="str">
        <x:v>LCSW-MQB-FA-AP-031</x:v>
      </x:c>
      <x:c r="C300" s="83" t="str">
        <x:v>Comprehensive Simulation</x:v>
      </x:c>
      <x:c r="D300" s="83" t="str">
        <x:v>Form A</x:v>
      </x:c>
      <x:c r="E300" s="83" t="n">
        <x:v>4</x:v>
      </x:c>
      <x:c r="F300" s="83" t="str">
        <x:v>A client’s paranoia worsens after repeated shelter assaults and sleep deprivation. What should the social worker assess?</x:v>
      </x:c>
      <x:c r="G300" s="83" t="str">
        <x:v>Only a psychiatric diagnosis.</x:v>
      </x:c>
      <x:c r="H300" s="83" t="str">
        <x:v>Whether the client is choosing to be paranoid.</x:v>
      </x:c>
      <x:c r="I300" s="83" t="str">
        <x:v>Psychotic symptoms, trauma, substance or medical factors, environmental danger, sleep, and housing needs as interacting concerns.</x:v>
      </x:c>
      <x:c r="J300" s="83" t="str">
        <x:v>Only housing eligibility.</x:v>
      </x:c>
      <x:c r="K300" s="83" t="str">
        <x:v>C</x:v>
      </x:c>
      <x:c r="L300" s="83" t="str">
        <x:v>Incorrect. Diagnosis alone misses environmental drivers.</x:v>
      </x:c>
      <x:c r="M300" s="83" t="str">
        <x:v>Incorrect. Symptoms should not be framed as a moral choice.</x:v>
      </x:c>
      <x:c r="N300" s="83" t="str">
        <x:v>Correct. The presentation requires integrated person-in-environment and differential assessment.</x:v>
      </x:c>
      <x:c r="O300" s="83" t="str">
        <x:v>Incorrect. Housing alone does not explain all symptoms.</x:v>
      </x:c>
      <x:c r="P300" s="83" t="str">
        <x:v>A. Incorrect. Diagnosis alone misses environmental drivers.
B. Incorrect. Symptoms should not be framed as a moral choice.
C. Correct. The presentation requires integrated person-in-environment and differential assessment.
D. Incorrect. Housing alone does not explain all symptoms.</x:v>
      </x:c>
      <x:c r="Q300" s="83" t="str">
        <x:v>Do not force either/or thinking when environment and mental health interact.</x:v>
      </x:c>
      <x:c r="R300" s="89" t="str">
        <x:v>CTA LCSW WB3–WB7; ASWB 2026 Clinical Content Area II</x:v>
      </x:c>
    </x:row>
    <x:row r="301">
      <x:c r="A301" s="88" t="str">
        <x:v>CTA-LCSW-MQB-0300</x:v>
      </x:c>
      <x:c r="B301" s="83" t="str">
        <x:v>LCSW-MQB-FA-AP-003</x:v>
      </x:c>
      <x:c r="C301" s="83" t="str">
        <x:v>Comprehensive Simulation</x:v>
      </x:c>
      <x:c r="D301" s="83" t="str">
        <x:v>Form A</x:v>
      </x:c>
      <x:c r="E301" s="83" t="n">
        <x:v>3</x:v>
      </x:c>
      <x:c r="F301" s="83" t="str">
        <x:v>Which finding is a protective factor in a suicide assessment?</x:v>
      </x:c>
      <x:c r="G301" s="83" t="str">
        <x:v>Escalating intoxication.</x:v>
      </x:c>
      <x:c r="H301" s="83" t="str">
        <x:v>A reliable support person who can participate in a safety plan.</x:v>
      </x:c>
      <x:c r="I301" s="83" t="str">
        <x:v>Increasing isolation.</x:v>
      </x:c>
      <x:c r="J301" s="83" t="str"/>
      <x:c r="K301" s="83" t="str">
        <x:v>B</x:v>
      </x:c>
      <x:c r="L301" s="83" t="str">
        <x:v>Incorrect. Intoxication may worsen judgment and impulsivity.</x:v>
      </x:c>
      <x:c r="M301" s="83" t="str">
        <x:v>Correct. Reliable support may increase connection, monitoring, and access to help.</x:v>
      </x:c>
      <x:c r="N301" s="83" t="str">
        <x:v>Incorrect. Isolation reduces support.</x:v>
      </x:c>
      <x:c r="O301" s="83" t="str"/>
      <x:c r="P301" s="83" t="str">
        <x:v>A. Incorrect. Intoxication may worsen judgment and impulsivity.
B. Correct. Reliable support may increase connection, monitoring, and access to help.
C. Incorrect. Isolation reduces support.</x:v>
      </x:c>
      <x:c r="Q301" s="83" t="str">
        <x:v>Protective factors reduce vulnerability but do not erase risk.</x:v>
      </x:c>
      <x:c r="R301" s="89" t="str">
        <x:v>CTA LCSW WB6; ASWB 2026 Clinical Content Area II</x:v>
      </x:c>
    </x:row>
    <x:row r="302">
      <x:c r="A302" s="88" t="str">
        <x:v>CTA-LCSW-MQB-0301</x:v>
      </x:c>
      <x:c r="B302" s="83" t="str">
        <x:v>LCSW-MQB-FA-VE-037</x:v>
      </x:c>
      <x:c r="C302" s="83" t="str">
        <x:v>Comprehensive Simulation</x:v>
      </x:c>
      <x:c r="D302" s="83" t="str">
        <x:v>Form A</x:v>
      </x:c>
      <x:c r="E302" s="83" t="n">
        <x:v>4</x:v>
      </x:c>
      <x:c r="F302" s="83" t="str">
        <x:v>A social worker learns that a colleague has been sharing identifiable client stories at social events. What should the social worker do?</x:v>
      </x:c>
      <x:c r="G302" s="83" t="str">
        <x:v>Ignore it because the clients are not on the social worker’s caseload.</x:v>
      </x:c>
      <x:c r="H302" s="83" t="str">
        <x:v>Clarify the information, protect clients, and follow applicable supervisory, organizational, and professional reporting processes.</x:v>
      </x:c>
      <x:c r="I302" s="83" t="str">
        <x:v>Join the conversation to learn more.</x:v>
      </x:c>
      <x:c r="J302" s="83" t="str">
        <x:v>Post a public accusation online.</x:v>
      </x:c>
      <x:c r="K302" s="83" t="str">
        <x:v>B</x:v>
      </x:c>
      <x:c r="L302" s="83" t="str">
        <x:v>Incorrect. Client protection is not limited to one’s own caseload.</x:v>
      </x:c>
      <x:c r="M302" s="83" t="str">
        <x:v>Correct. Professional responsibility may require proportionate action when confidentiality is at risk.</x:v>
      </x:c>
      <x:c r="N302" s="83" t="str">
        <x:v>Incorrect. Participation increases the breach.</x:v>
      </x:c>
      <x:c r="O302" s="83" t="str">
        <x:v>Incorrect. Public accusation may be inaccurate and create more disclosure.</x:v>
      </x:c>
      <x:c r="P302" s="83" t="str">
        <x:v>A. Incorrect. Client protection is not limited to one’s own caseload.
B. Correct. Professional responsibility may require proportionate action when confidentiality is at risk.
C. Incorrect. Participation increases the breach.
D. Incorrect. Public accusation may be inaccurate and create more disclosure.</x:v>
      </x:c>
      <x:c r="Q302" s="83" t="str">
        <x:v>Use verified facts and proper channels, not gossip or public escalation.</x:v>
      </x:c>
      <x:c r="R302" s="89" t="str">
        <x:v>CTA LCSW WB2; CTA LCSW WB12; ASWB 2026 Clinical Content Area I</x:v>
      </x:c>
    </x:row>
    <x:row r="303">
      <x:c r="A303" s="88" t="str">
        <x:v>CTA-LCSW-MQB-0302</x:v>
      </x:c>
      <x:c r="B303" s="83" t="str">
        <x:v>LCSW-MQB-FA-IP-001</x:v>
      </x:c>
      <x:c r="C303" s="83" t="str">
        <x:v>Comprehensive Simulation</x:v>
      </x:c>
      <x:c r="D303" s="83" t="str">
        <x:v>Form A</x:v>
      </x:c>
      <x:c r="E303" s="83" t="n">
        <x:v>3</x:v>
      </x:c>
      <x:c r="F303" s="83" t="str">
        <x:v>Which response is MOST consistent with motivational interviewing?</x:v>
      </x:c>
      <x:c r="G303" s="83" t="str">
        <x:v>Avoiding discussion of change.</x:v>
      </x:c>
      <x:c r="H303" s="83" t="str">
        <x:v>Eliciting the client’s own reasons for change while reflecting ambivalence without argument.</x:v>
      </x:c>
      <x:c r="I303" s="83" t="str">
        <x:v>Giving a long lecture about consequences.</x:v>
      </x:c>
      <x:c r="J303" s="83" t="str"/>
      <x:c r="K303" s="83" t="str">
        <x:v>B</x:v>
      </x:c>
      <x:c r="L303" s="83" t="str">
        <x:v>Incorrect. Ambivalence should be explored, not ignored.</x:v>
      </x:c>
      <x:c r="M303" s="83" t="str">
        <x:v>Correct. Motivational interviewing emphasizes collaboration, evocation, and autonomy.</x:v>
      </x:c>
      <x:c r="N303" s="83" t="str">
        <x:v>Incorrect. Information may help but does not replace eliciting motivation.</x:v>
      </x:c>
      <x:c r="O303" s="83" t="str"/>
      <x:c r="P303" s="83" t="str">
        <x:v>A. Incorrect. Ambivalence should be explored, not ignored.
B. Correct. Motivational interviewing emphasizes collaboration, evocation, and autonomy.
C. Incorrect. Information may help but does not replace eliciting motivation.</x:v>
      </x:c>
      <x:c r="Q303" s="83" t="str">
        <x:v>Listen for answers that evoke rather than impose motivation.</x:v>
      </x:c>
      <x:c r="R303" s="89" t="str">
        <x:v>CTA LCSW WB8–WB11; ASWB 2026 Clinical Content Area III</x:v>
      </x:c>
    </x:row>
    <x:row r="304">
      <x:c r="A304" s="88" t="str">
        <x:v>CTA-LCSW-MQB-0303</x:v>
      </x:c>
      <x:c r="B304" s="83" t="str">
        <x:v>LCSW-MQB-FA-IP-010</x:v>
      </x:c>
      <x:c r="C304" s="83" t="str">
        <x:v>Comprehensive Simulation</x:v>
      </x:c>
      <x:c r="D304" s="83" t="str">
        <x:v>Form A</x:v>
      </x:c>
      <x:c r="E304" s="83" t="n">
        <x:v>3</x:v>
      </x:c>
      <x:c r="F304" s="83" t="str">
        <x:v>A social worker lacks competence in a specialized treatment the client needs. What should the social worker do?</x:v>
      </x:c>
      <x:c r="G304" s="83" t="str">
        <x:v>Tell the client the specialty is unnecessary.</x:v>
      </x:c>
      <x:c r="H304" s="83" t="str">
        <x:v>Give the client a generic directory and end contact.</x:v>
      </x:c>
      <x:c r="I304" s="83" t="str">
        <x:v>Explain the limitation, identify qualified options, support a warm referral, and maintain appropriate care during transition.</x:v>
      </x:c>
      <x:c r="J304" s="83" t="str"/>
      <x:c r="K304" s="83" t="str">
        <x:v>C</x:v>
      </x:c>
      <x:c r="L304" s="83" t="str">
        <x:v>Incorrect. Minimizing need avoids the competence issue.</x:v>
      </x:c>
      <x:c r="M304" s="83" t="str">
        <x:v>Incorrect. A cold referral may fail and create abandonment risk.</x:v>
      </x:c>
      <x:c r="N304" s="83" t="str">
        <x:v>Correct. Competence and continuity both matter.</x:v>
      </x:c>
      <x:c r="O304" s="83" t="str"/>
      <x:c r="P304" s="83" t="str">
        <x:v>A. Incorrect. Minimizing need avoids the competence issue.
B. Incorrect. A cold referral may fail and create abandonment risk.
C. Correct. Competence and continuity both matter.</x:v>
      </x:c>
      <x:c r="Q304" s="83" t="str">
        <x:v>A strong referral protects both fit and continuity.</x:v>
      </x:c>
      <x:c r="R304" s="89" t="str">
        <x:v>CTA LCSW WB8–WB11; ASWB 2026 Clinical Content Area III</x:v>
      </x:c>
    </x:row>
    <x:row r="305">
      <x:c r="A305" s="88" t="str">
        <x:v>CTA-LCSW-MQB-0304</x:v>
      </x:c>
      <x:c r="B305" s="83" t="str">
        <x:v>LCSW-MQB-FA-AP-030</x:v>
      </x:c>
      <x:c r="C305" s="83" t="str">
        <x:v>Comprehensive Simulation</x:v>
      </x:c>
      <x:c r="D305" s="83" t="str">
        <x:v>Form A</x:v>
      </x:c>
      <x:c r="E305" s="83" t="n">
        <x:v>4</x:v>
      </x:c>
      <x:c r="F305" s="83" t="str">
        <x:v>An adolescent asks what information will be shared with caregivers before disclosing a sensitive concern. What should the social worker do?</x:v>
      </x:c>
      <x:c r="G305" s="83" t="str">
        <x:v>Ask for the disclosure first and explain later.</x:v>
      </x:c>
      <x:c r="H305" s="83" t="str">
        <x:v>Explain the service’s confidentiality rules and limits in developmentally understandable language before inviting disclosure.</x:v>
      </x:c>
      <x:c r="I305" s="83" t="str">
        <x:v>Tell the adolescent caregivers receive everything.</x:v>
      </x:c>
      <x:c r="J305" s="83" t="str">
        <x:v>Promise total secrecy.</x:v>
      </x:c>
      <x:c r="K305" s="83" t="str">
        <x:v>B</x:v>
      </x:c>
      <x:c r="L305" s="83" t="str">
        <x:v>Incorrect. Consent information should precede sensitive disclosure.</x:v>
      </x:c>
      <x:c r="M305" s="83" t="str">
        <x:v>Correct. Accurate expectations support informed participation and trust.</x:v>
      </x:c>
      <x:c r="N305" s="83" t="str">
        <x:v>Incorrect. Disclosure practices vary and should not be overstated.</x:v>
      </x:c>
      <x:c r="O305" s="83" t="str">
        <x:v>Incorrect. Absolute secrecy may be false.</x:v>
      </x:c>
      <x:c r="P305" s="83" t="str">
        <x:v>A. Incorrect. Consent information should precede sensitive disclosure.
B. Correct. Accurate expectations support informed participation and trust.
C. Incorrect. Disclosure practices vary and should not be overstated.
D. Incorrect. Absolute secrecy may be false.</x:v>
      </x:c>
      <x:c r="Q305" s="83" t="str">
        <x:v>Clarify the privacy container before asking the client to fill it.</x:v>
      </x:c>
      <x:c r="R305" s="89" t="str">
        <x:v>CTA LCSW WB3–WB7; ASWB 2026 Clinical Content Area II</x:v>
      </x:c>
    </x:row>
    <x:row r="306">
      <x:c r="A306" s="88" t="str">
        <x:v>CTA-LCSW-MQB-0305</x:v>
      </x:c>
      <x:c r="B306" s="83" t="str">
        <x:v>LCSW-MQB-FA-VE-011</x:v>
      </x:c>
      <x:c r="C306" s="83" t="str">
        <x:v>Comprehensive Simulation</x:v>
      </x:c>
      <x:c r="D306" s="83" t="str">
        <x:v>Form A</x:v>
      </x:c>
      <x:c r="E306" s="83" t="n">
        <x:v>3</x:v>
      </x:c>
      <x:c r="F306" s="83" t="str">
        <x:v>A coordinated-care partner requests the client’s entire psychotherapy record, but only current housing needs are relevant. What should the social worker do?</x:v>
      </x:c>
      <x:c r="G306" s="83" t="str">
        <x:v>Confirm authority and share only information reasonably necessary for the stated coordination purpose.</x:v>
      </x:c>
      <x:c r="H306" s="83" t="str">
        <x:v>Refuse all coordination regardless of consent.</x:v>
      </x:c>
      <x:c r="I306" s="83" t="str">
        <x:v>Send the entire record because the requester is another professional.</x:v>
      </x:c>
      <x:c r="J306" s="83" t="str"/>
      <x:c r="K306" s="83" t="str">
        <x:v>A</x:v>
      </x:c>
      <x:c r="L306" s="83" t="str">
        <x:v>Correct. Interprofessional status does not eliminate purpose, authorization, and minimum-necessary analysis.</x:v>
      </x:c>
      <x:c r="M306" s="83" t="str">
        <x:v>Incorrect. Appropriate coordination may benefit the client.</x:v>
      </x:c>
      <x:c r="N306" s="83" t="str">
        <x:v>Incorrect. Professional role alone is not blanket access.</x:v>
      </x:c>
      <x:c r="O306" s="83" t="str"/>
      <x:c r="P306" s="83" t="str">
        <x:v>A. Correct. Interprofessional status does not eliminate purpose, authorization, and minimum-necessary analysis.
B. Incorrect. Appropriate coordination may benefit the client.
C. Incorrect. Professional role alone is not blanket access.</x:v>
      </x:c>
      <x:c r="Q306" s="83" t="str">
        <x:v>Match the scope of disclosure to the legitimate purpose.</x:v>
      </x:c>
      <x:c r="R306" s="89" t="str">
        <x:v>CTA LCSW WB2; CTA LCSW WB12; ASWB 2026 Clinical Content Area I</x:v>
      </x:c>
    </x:row>
    <x:row r="307">
      <x:c r="A307" s="88" t="str">
        <x:v>CTA-LCSW-MQB-0306</x:v>
      </x:c>
      <x:c r="B307" s="83" t="str">
        <x:v>LCSW-MQB-FA-VE-012</x:v>
      </x:c>
      <x:c r="C307" s="83" t="str">
        <x:v>Comprehensive Simulation</x:v>
      </x:c>
      <x:c r="D307" s="83" t="str">
        <x:v>Form A</x:v>
      </x:c>
      <x:c r="E307" s="83" t="n">
        <x:v>3</x:v>
      </x:c>
      <x:c r="F307" s="83" t="str">
        <x:v>A social worker evaluating housing eligibility learns that the applicant is a close friend’s sibling. What should the social worker do?</x:v>
      </x:c>
      <x:c r="G307" s="83" t="str">
        <x:v>Ask the friend how the evaluation should be handled.</x:v>
      </x:c>
      <x:c r="H307" s="83" t="str">
        <x:v>Disclose the potential conflict through agency procedures and arrange an impartial evaluator when feasible.</x:v>
      </x:c>
      <x:c r="I307" s="83" t="str">
        <x:v>Proceed secretly because the applicant is not the social worker’s own friend.</x:v>
      </x:c>
      <x:c r="J307" s="83" t="str"/>
      <x:c r="K307" s="83" t="str">
        <x:v>B</x:v>
      </x:c>
      <x:c r="L307" s="83" t="str">
        <x:v>Incorrect. The friend is not an appropriate decision-maker and disclosure may violate privacy.</x:v>
      </x:c>
      <x:c r="M307" s="83" t="str">
        <x:v>Correct. A personal connection may affect or appear to affect impartial decision-making.</x:v>
      </x:c>
      <x:c r="N307" s="83" t="str">
        <x:v>Incorrect. Indirect relationships can still create conflicts.</x:v>
      </x:c>
      <x:c r="O307" s="83" t="str"/>
      <x:c r="P307" s="83" t="str">
        <x:v>A. Incorrect. The friend is not an appropriate decision-maker and disclosure may violate privacy.
B. Correct. A personal connection may affect or appear to affect impartial decision-making.
C. Incorrect. Indirect relationships can still create conflicts.</x:v>
      </x:c>
      <x:c r="Q307" s="83" t="str">
        <x:v>Protect fairness and public trust, not just actual intent.</x:v>
      </x:c>
      <x:c r="R307" s="89" t="str">
        <x:v>CTA LCSW WB2; CTA LCSW WB12; ASWB 2026 Clinical Content Area I</x:v>
      </x:c>
    </x:row>
    <x:row r="308">
      <x:c r="A308" s="88" t="str">
        <x:v>CTA-LCSW-MQB-0307</x:v>
      </x:c>
      <x:c r="B308" s="83" t="str">
        <x:v>LCSW-MQB-FA-AP-033</x:v>
      </x:c>
      <x:c r="C308" s="83" t="str">
        <x:v>Comprehensive Simulation</x:v>
      </x:c>
      <x:c r="D308" s="83" t="str">
        <x:v>Form A</x:v>
      </x:c>
      <x:c r="E308" s="83" t="n">
        <x:v>4</x:v>
      </x:c>
      <x:c r="F308" s="83" t="str">
        <x:v>Six weeks after a death, a client has intense yearning, waves of sadness, and preserved reality testing but significant sleep disruption. What should the social worker do NEXT?</x:v>
      </x:c>
      <x:c r="G308" s="83" t="str">
        <x:v>Tell the client the reaction is always normal and needs no assessment.</x:v>
      </x:c>
      <x:c r="H308" s="83" t="str">
        <x:v>Diagnose a chronic grief disorder solely from six weeks of symptoms.</x:v>
      </x:c>
      <x:c r="I308" s="83" t="str">
        <x:v>Assess the grief process, cultural context, functioning, risk, prior history, and differential possibilities without assuming either normality or disorder.</x:v>
      </x:c>
      <x:c r="J308" s="83" t="str">
        <x:v>Treat vivid memories as psychosis.</x:v>
      </x:c>
      <x:c r="K308" s="83" t="str">
        <x:v>C</x:v>
      </x:c>
      <x:c r="L308" s="83" t="str">
        <x:v>Incorrect. Grief can still involve serious impairment or risk.</x:v>
      </x:c>
      <x:c r="M308" s="83" t="str">
        <x:v>Incorrect. Duration and criteria require more information.</x:v>
      </x:c>
      <x:c r="N308" s="83" t="str">
        <x:v>Correct. The social worker needs a careful longitudinal and functional assessment before a fixed conclusion.</x:v>
      </x:c>
      <x:c r="O308" s="83" t="str">
        <x:v>Incorrect. Memories of the deceased do not automatically indicate psychosis.</x:v>
      </x:c>
      <x:c r="P308" s="83" t="str">
        <x:v>A. Incorrect. Grief can still involve serious impairment or risk.
B. Incorrect. Duration and criteria require more information.
C. Correct. The social worker needs a careful longitudinal and functional assessment before a fixed conclusion.
D. Incorrect. Memories of the deceased do not automatically indicate psychosis.</x:v>
      </x:c>
      <x:c r="Q308" s="83" t="str">
        <x:v>Avoid both premature diagnosis and premature reassurance.</x:v>
      </x:c>
      <x:c r="R308" s="89" t="str">
        <x:v>CTA LCSW WB5; ASWB 2026 Clinical Content Area II</x:v>
      </x:c>
    </x:row>
    <x:row r="309">
      <x:c r="A309" s="88" t="str">
        <x:v>CTA-LCSW-MQB-0308</x:v>
      </x:c>
      <x:c r="B309" s="83" t="str">
        <x:v>LCSW-MQB-FA-VE-028</x:v>
      </x:c>
      <x:c r="C309" s="83" t="str">
        <x:v>Comprehensive Simulation</x:v>
      </x:c>
      <x:c r="D309" s="83" t="str">
        <x:v>Form A</x:v>
      </x:c>
      <x:c r="E309" s="83" t="n">
        <x:v>4</x:v>
      </x:c>
      <x:c r="F309" s="83" t="str">
        <x:v>A client requests a copy of the record, which includes sensitive information supplied by another person. What should the social worker do NEXT?</x:v>
      </x:c>
      <x:c r="G309" s="83" t="str">
        <x:v>Deny the entire request automatically.</x:v>
      </x:c>
      <x:c r="H309" s="83" t="str">
        <x:v>Destroy the third-party information.</x:v>
      </x:c>
      <x:c r="I309" s="83" t="str">
        <x:v>Follow applicable access procedures, review the record for lawful limitations or third-party concerns, and respond transparently.</x:v>
      </x:c>
      <x:c r="J309" s="83" t="str">
        <x:v>Give the client another person’s separate record.</x:v>
      </x:c>
      <x:c r="K309" s="83" t="str">
        <x:v>C</x:v>
      </x:c>
      <x:c r="L309" s="83" t="str">
        <x:v>Incorrect. A blanket denial may be unsupported.</x:v>
      </x:c>
      <x:c r="M309" s="83" t="str">
        <x:v>Incorrect. Destruction compromises record integrity.</x:v>
      </x:c>
      <x:c r="N309" s="83" t="str">
        <x:v>Correct. Access requests require a structured review rather than automatic release or denial.</x:v>
      </x:c>
      <x:c r="O309" s="83" t="str">
        <x:v>Incorrect. Another person’s record should not be disclosed.</x:v>
      </x:c>
      <x:c r="P309" s="83" t="str">
        <x:v>A. Incorrect. A blanket denial may be unsupported.
B. Incorrect. Destruction compromises record integrity.
C. Correct. Access requests require a structured review rather than automatic release or denial.
D. Incorrect. Another person’s record should not be disclosed.</x:v>
      </x:c>
      <x:c r="Q309" s="83" t="str">
        <x:v>Distinguish the client’s access interest from information that may require special handling.</x:v>
      </x:c>
      <x:c r="R309" s="89" t="str">
        <x:v>CTA LCSW WB2; CTA LCSW WB12; ASWB 2026 Clinical Content Area I</x:v>
      </x:c>
    </x:row>
    <x:row r="310">
      <x:c r="A310" s="88" t="str">
        <x:v>CTA-LCSW-MQB-0309</x:v>
      </x:c>
      <x:c r="B310" s="83" t="str">
        <x:v>LCSW-MQB-FA-AP-002</x:v>
      </x:c>
      <x:c r="C310" s="83" t="str">
        <x:v>Comprehensive Simulation</x:v>
      </x:c>
      <x:c r="D310" s="83" t="str">
        <x:v>Form A</x:v>
      </x:c>
      <x:c r="E310" s="83" t="n">
        <x:v>3</x:v>
      </x:c>
      <x:c r="F310" s="83" t="str">
        <x:v>During case formulation, why should a social worker examine housing, discrimination, family roles, and community supports together with symptoms?</x:v>
      </x:c>
      <x:c r="G310" s="83" t="str">
        <x:v>To replace the client’s account with agency records.</x:v>
      </x:c>
      <x:c r="H310" s="83" t="str">
        <x:v>To focus only on community conditions.</x:v>
      </x:c>
      <x:c r="I310" s="83" t="str">
        <x:v>To understand how individual functioning and social, cultural, economic, and physical environments interact.</x:v>
      </x:c>
      <x:c r="J310" s="83" t="str"/>
      <x:c r="K310" s="83" t="str">
        <x:v>C</x:v>
      </x:c>
      <x:c r="L310" s="83" t="str">
        <x:v>Incorrect. Collateral data supplement rather than erase the client’s perspective.</x:v>
      </x:c>
      <x:c r="M310" s="83" t="str">
        <x:v>Incorrect. Both person and environment are considered.</x:v>
      </x:c>
      <x:c r="N310" s="83" t="str">
        <x:v>Correct. PIE links personal experience with systems, resources, barriers, and roles.</x:v>
      </x:c>
      <x:c r="O310" s="83" t="str"/>
      <x:c r="P310" s="83" t="str">
        <x:v>A. Incorrect. Collateral data supplement rather than erase the client’s perspective.
B. Incorrect. Both person and environment are considered.
C. Correct. PIE links personal experience with systems, resources, barriers, and roles.</x:v>
      </x:c>
      <x:c r="Q310" s="83" t="str">
        <x:v>Look for reciprocal influence between people and systems.</x:v>
      </x:c>
      <x:c r="R310" s="89" t="str">
        <x:v>CTA LCSW WB3–WB7; ASWB 2026 Clinical Content Area II</x:v>
      </x:c>
    </x:row>
    <x:row r="311">
      <x:c r="A311" s="88" t="str">
        <x:v>CTA-LCSW-MQB-0310</x:v>
      </x:c>
      <x:c r="B311" s="83" t="str">
        <x:v>LCSW-MQB-FA-AP-005</x:v>
      </x:c>
      <x:c r="C311" s="83" t="str">
        <x:v>Comprehensive Simulation</x:v>
      </x:c>
      <x:c r="D311" s="83" t="str">
        <x:v>Form A</x:v>
      </x:c>
      <x:c r="E311" s="83" t="n">
        <x:v>3</x:v>
      </x:c>
      <x:c r="F311" s="83" t="str">
        <x:v>A client gives brief answers and appears unsure why the agency asked so many questions. What should the social worker do?</x:v>
      </x:c>
      <x:c r="G311" s="83" t="str">
        <x:v>Explain the assessment purpose, use a broad invitation, and then follow with focused clarification.</x:v>
      </x:c>
      <x:c r="H311" s="83" t="str">
        <x:v>Label the client resistant.</x:v>
      </x:c>
      <x:c r="I311" s="83" t="str">
        <x:v>Continue a rapid checklist without explanation.</x:v>
      </x:c>
      <x:c r="J311" s="83" t="str"/>
      <x:c r="K311" s="83" t="str">
        <x:v>A</x:v>
      </x:c>
      <x:c r="L311" s="83" t="str">
        <x:v>Correct. Transparency and open-ended engagement improve trust and the quality of information.</x:v>
      </x:c>
      <x:c r="M311" s="83" t="str">
        <x:v>Incorrect. Brief responses can reflect anxiety, culture, mistrust, or confusion.</x:v>
      </x:c>
      <x:c r="N311" s="83" t="str">
        <x:v>Incorrect. A checklist alone may intensify uncertainty.</x:v>
      </x:c>
      <x:c r="O311" s="83" t="str"/>
      <x:c r="P311" s="83" t="str">
        <x:v>A. Correct. Transparency and open-ended engagement improve trust and the quality of information.
B. Incorrect. Brief responses can reflect anxiety, culture, mistrust, or confusion.
C. Incorrect. A checklist alone may intensify uncertainty.</x:v>
      </x:c>
      <x:c r="Q311" s="83" t="str">
        <x:v>Explain why you are asking before interpreting how the client answers.</x:v>
      </x:c>
      <x:c r="R311" s="89" t="str">
        <x:v>CTA LCSW WB3–WB7; ASWB 2026 Clinical Content Area II</x:v>
      </x:c>
    </x:row>
    <x:row r="312">
      <x:c r="A312" s="88" t="str">
        <x:v>CTA-LCSW-MQB-0311</x:v>
      </x:c>
      <x:c r="B312" s="83" t="str">
        <x:v>LCSW-MQB-FA-VE-027</x:v>
      </x:c>
      <x:c r="C312" s="83" t="str">
        <x:v>Comprehensive Simulation</x:v>
      </x:c>
      <x:c r="D312" s="83" t="str">
        <x:v>Form A</x:v>
      </x:c>
      <x:c r="E312" s="83" t="n">
        <x:v>3</x:v>
      </x:c>
      <x:c r="F312" s="83" t="str">
        <x:v>A social worker receives a subpoena requesting a full record. What should the social worker do FIRST?</x:v>
      </x:c>
      <x:c r="G312" s="83" t="str">
        <x:v>Review the document, preserve confidentiality, and obtain appropriate legal or agency consultation before disclosing.</x:v>
      </x:c>
      <x:c r="H312" s="83" t="str">
        <x:v>Ignore the subpoena.</x:v>
      </x:c>
      <x:c r="I312" s="83" t="str">
        <x:v>Send the record immediately because a subpoena always compels disclosure.</x:v>
      </x:c>
      <x:c r="J312" s="83" t="str"/>
      <x:c r="K312" s="83" t="str">
        <x:v>A</x:v>
      </x:c>
      <x:c r="L312" s="83" t="str">
        <x:v>Correct. Legal demands require careful review; not every request authorizes immediate broad disclosure.</x:v>
      </x:c>
      <x:c r="M312" s="83" t="str">
        <x:v>Incorrect. Ignoring a legal document may create serious consequences.</x:v>
      </x:c>
      <x:c r="N312" s="83" t="str">
        <x:v>Incorrect. Automatic disclosure may violate privacy.</x:v>
      </x:c>
      <x:c r="O312" s="83" t="str"/>
      <x:c r="P312" s="83" t="str">
        <x:v>A. Correct. Legal demands require careful review; not every request authorizes immediate broad disclosure.
B. Incorrect. Ignoring a legal document may create serious consequences.
C. Incorrect. Automatic disclosure may violate privacy.</x:v>
      </x:c>
      <x:c r="Q312" s="83" t="str">
        <x:v>Legal paper is a cue to pause, verify, and consult—not to disclose reflexively.</x:v>
      </x:c>
      <x:c r="R312" s="89" t="str">
        <x:v>CTA LCSW WB2; CTA LCSW WB12; ASWB 2026 Clinical Content Area I</x:v>
      </x:c>
    </x:row>
    <x:row r="313">
      <x:c r="A313" s="88" t="str">
        <x:v>CTA-LCSW-MQB-0312</x:v>
      </x:c>
      <x:c r="B313" s="83" t="str">
        <x:v>LCSW-MQB-FA-IP-014</x:v>
      </x:c>
      <x:c r="C313" s="83" t="str">
        <x:v>Comprehensive Simulation</x:v>
      </x:c>
      <x:c r="D313" s="83" t="str">
        <x:v>Form A</x:v>
      </x:c>
      <x:c r="E313" s="83" t="n">
        <x:v>3</x:v>
      </x:c>
      <x:c r="F313" s="83" t="str">
        <x:v>A bereaved client wants space to talk about the deceased but friends keep changing the subject. What should the social worker do?</x:v>
      </x:c>
      <x:c r="G313" s="83" t="str">
        <x:v>Redirect away from grief to prevent sadness.</x:v>
      </x:c>
      <x:c r="H313" s="83" t="str">
        <x:v>Provide a tolerable space for remembrance, validate varied grief responses, and support connection and coping chosen by the client.</x:v>
      </x:c>
      <x:c r="I313" s="83" t="str">
        <x:v>Set a deadline for moving on.</x:v>
      </x:c>
      <x:c r="J313" s="83" t="str"/>
      <x:c r="K313" s="83" t="str">
        <x:v>B</x:v>
      </x:c>
      <x:c r="L313" s="83" t="str">
        <x:v>Incorrect. Avoidance can increase isolation.</x:v>
      </x:c>
      <x:c r="M313" s="83" t="str">
        <x:v>Correct. Grief support permits meaning-making and individualized coping.</x:v>
      </x:c>
      <x:c r="N313" s="83" t="str">
        <x:v>Incorrect. Grief does not follow a fixed timetable.</x:v>
      </x:c>
      <x:c r="O313" s="83" t="str"/>
      <x:c r="P313" s="83" t="str">
        <x:v>A. Incorrect. Avoidance can increase isolation.
B. Correct. Grief support permits meaning-making and individualized coping.
C. Incorrect. Grief does not follow a fixed timetable.</x:v>
      </x:c>
      <x:c r="Q313" s="83" t="str">
        <x:v>Follow the client’s meaning and pace rather than imposing a grief schedule.</x:v>
      </x:c>
      <x:c r="R313" s="89" t="str">
        <x:v>CTA LCSW WB8–WB11; ASWB 2026 Clinical Content Area III</x:v>
      </x:c>
    </x:row>
    <x:row r="314">
      <x:c r="A314" s="88" t="str">
        <x:v>CTA-LCSW-MQB-0313</x:v>
      </x:c>
      <x:c r="B314" s="83" t="str">
        <x:v>LCSW-MQB-FA-VE-035</x:v>
      </x:c>
      <x:c r="C314" s="83" t="str">
        <x:v>Comprehensive Simulation</x:v>
      </x:c>
      <x:c r="D314" s="83" t="str">
        <x:v>Form A</x:v>
      </x:c>
      <x:c r="E314" s="83" t="n">
        <x:v>4</x:v>
      </x:c>
      <x:c r="F314" s="83" t="str">
        <x:v>A social worker is leaving an agency with little notice. Several clients have high needs. What should the social worker do NEXT?</x:v>
      </x:c>
      <x:c r="G314" s="83" t="str">
        <x:v>Transfer every client to the same provider without assessment.</x:v>
      </x:c>
      <x:c r="H314" s="83" t="str">
        <x:v>Give clients the social worker’s personal phone number indefinitely.</x:v>
      </x:c>
      <x:c r="I314" s="83" t="str">
        <x:v>Leave without contact to avoid upsetting clients.</x:v>
      </x:c>
      <x:c r="J314" s="83" t="str">
        <x:v>Coordinate prioritized transition plans, communicate appropriately, arrange coverage or referrals, and document continuity efforts.</x:v>
      </x:c>
      <x:c r="K314" s="83" t="str">
        <x:v>D</x:v>
      </x:c>
      <x:c r="L314" s="83" t="str">
        <x:v>Incorrect. Transitions should be matched to client needs and capacity.</x:v>
      </x:c>
      <x:c r="M314" s="83" t="str">
        <x:v>Incorrect. Unlimited personal access blurs roles.</x:v>
      </x:c>
      <x:c r="N314" s="83" t="str">
        <x:v>Incorrect. Silence can create abandonment.</x:v>
      </x:c>
      <x:c r="O314" s="83" t="str">
        <x:v>Correct. Termination should protect continuity, boundaries, and individual needs.</x:v>
      </x:c>
      <x:c r="P314" s="83" t="str">
        <x:v>A. Incorrect. Transitions should be matched to client needs and capacity.
B. Incorrect. Unlimited personal access blurs roles.
C. Incorrect. Silence can create abandonment.
D. Correct. Termination should protect continuity, boundaries, and individual needs.</x:v>
      </x:c>
      <x:c r="Q314" s="83" t="str">
        <x:v>When time is short, triage continuity rather than abandoning structure.</x:v>
      </x:c>
      <x:c r="R314" s="89" t="str">
        <x:v>CTA LCSW WB2; CTA LCSW WB12; ASWB 2026 Clinical Content Area I</x:v>
      </x:c>
    </x:row>
    <x:row r="315">
      <x:c r="A315" s="88" t="str">
        <x:v>CTA-LCSW-MQB-0314</x:v>
      </x:c>
      <x:c r="B315" s="83" t="str">
        <x:v>LCSW-MQB-FA-AP-037</x:v>
      </x:c>
      <x:c r="C315" s="83" t="str">
        <x:v>Comprehensive Simulation</x:v>
      </x:c>
      <x:c r="D315" s="83" t="str">
        <x:v>Form A</x:v>
      </x:c>
      <x:c r="E315" s="83" t="n">
        <x:v>4</x:v>
      </x:c>
      <x:c r="F315" s="83" t="str">
        <x:v>A client with depression develops tremor, sweating, confusion, and agitation after several medication changes. What should the social worker do?</x:v>
      </x:c>
      <x:c r="G315" s="83" t="str">
        <x:v>Recommend an additional medication.</x:v>
      </x:c>
      <x:c r="H315" s="83" t="str">
        <x:v>Interpret the symptoms as resistance to therapy.</x:v>
      </x:c>
      <x:c r="I315" s="83" t="str">
        <x:v>Wait for a routine psychiatric appointment.</x:v>
      </x:c>
      <x:c r="J315" s="83" t="str">
        <x:v>Arrange urgent medical assessment, identify all prescribed and nonprescribed substances, and coordinate with prescribers while maintaining safety.</x:v>
      </x:c>
      <x:c r="K315" s="83" t="str">
        <x:v>D</x:v>
      </x:c>
      <x:c r="L315" s="83" t="str">
        <x:v>Incorrect. Medication recommendations exceed role.</x:v>
      </x:c>
      <x:c r="M315" s="83" t="str">
        <x:v>Incorrect. Psychological interpretation is premature.</x:v>
      </x:c>
      <x:c r="N315" s="83" t="str">
        <x:v>Incorrect. Urgent symptoms should not be delayed.</x:v>
      </x:c>
      <x:c r="O315" s="83" t="str">
        <x:v>Correct. The combination may reflect a serious medication or medical reaction outside the social worker’s prescribing scope.</x:v>
      </x:c>
      <x:c r="P315" s="83" t="str">
        <x:v>A. Incorrect. Medication recommendations exceed role.
B. Incorrect. Psychological interpretation is premature.
C. Incorrect. Urgent symptoms should not be delayed.
D. Correct. The combination may reflect a serious medication or medical reaction outside the social worker’s prescribing scope.</x:v>
      </x:c>
      <x:c r="Q315" s="83" t="str">
        <x:v>When new physical and mental-status changes cluster after medication changes, prioritize medical safety.</x:v>
      </x:c>
      <x:c r="R315" s="89" t="str">
        <x:v>CTA LCSW WB5; ASWB 2026 Clinical Content Area II</x:v>
      </x:c>
    </x:row>
    <x:row r="316">
      <x:c r="A316" s="88" t="str">
        <x:v>CTA-LCSW-MQB-0315</x:v>
      </x:c>
      <x:c r="B316" s="83" t="str">
        <x:v>LCSW-MQB-FA-IP-026</x:v>
      </x:c>
      <x:c r="C316" s="83" t="str">
        <x:v>Comprehensive Simulation</x:v>
      </x:c>
      <x:c r="D316" s="83" t="str">
        <x:v>Form A</x:v>
      </x:c>
      <x:c r="E316" s="83" t="n">
        <x:v>4</x:v>
      </x:c>
      <x:c r="F316" s="83" t="str">
        <x:v>Two group members begin threatening each other. What should the facilitator do FIRST?</x:v>
      </x:c>
      <x:c r="G316" s="83" t="str">
        <x:v>Let the group resolve it alone.</x:v>
      </x:c>
      <x:c r="H316" s="83" t="str">
        <x:v>Interpret childhood causes.</x:v>
      </x:c>
      <x:c r="I316" s="83" t="str">
        <x:v>Ask other members to vote on who is right.</x:v>
      </x:c>
      <x:c r="J316" s="83" t="str">
        <x:v>Interrupt the exchange, establish immediate safety and limits, separate members if needed, and assess whether the group can continue.</x:v>
      </x:c>
      <x:c r="K316" s="83" t="str">
        <x:v>D</x:v>
      </x:c>
      <x:c r="L316" s="83" t="str">
        <x:v>Incorrect. Nonintervention may allow escalation.</x:v>
      </x:c>
      <x:c r="M316" s="83" t="str">
        <x:v>Incorrect. Interpretation is premature.</x:v>
      </x:c>
      <x:c r="N316" s="83" t="str">
        <x:v>Incorrect. A vote can intensify polarization and does not manage safety.</x:v>
      </x:c>
      <x:c r="O316" s="83" t="str">
        <x:v>Correct. Threats require active safety management before processing.</x:v>
      </x:c>
      <x:c r="P316" s="83" t="str">
        <x:v>A. Incorrect. Nonintervention may allow escalation.
B. Incorrect. Interpretation is premature.
C. Incorrect. A vote can intensify polarization and does not manage safety.
D. Correct. Threats require active safety management before processing.</x:v>
      </x:c>
      <x:c r="Q316" s="83" t="str">
        <x:v>Safety and structure precede insight in a group crisis.</x:v>
      </x:c>
      <x:c r="R316" s="89" t="str">
        <x:v>CTA LCSW WB8–WB11; ASWB 2026 Clinical Content Area III</x:v>
      </x:c>
    </x:row>
    <x:row r="317">
      <x:c r="A317" s="88" t="str">
        <x:v>CTA-LCSW-MQB-0316</x:v>
      </x:c>
      <x:c r="B317" s="83" t="str">
        <x:v>LCSW-MQB-FA-AP-014</x:v>
      </x:c>
      <x:c r="C317" s="83" t="str">
        <x:v>Comprehensive Simulation</x:v>
      </x:c>
      <x:c r="D317" s="83" t="str">
        <x:v>Form A</x:v>
      </x:c>
      <x:c r="E317" s="83" t="n">
        <x:v>3</x:v>
      </x:c>
      <x:c r="F317" s="83" t="str">
        <x:v>A client acknowledges substance-related consequences but is uncertain about changing. What planning approach is BEST?</x:v>
      </x:c>
      <x:c r="G317" s="83" t="str">
        <x:v>Avoid discussing consequences.</x:v>
      </x:c>
      <x:c r="H317" s="83" t="str">
        <x:v>Conclude the client is unmotivated.</x:v>
      </x:c>
      <x:c r="I317" s="83" t="str">
        <x:v>Explore ambivalence, elicit the client’s own reasons for and against change, and identify a manageable next step.</x:v>
      </x:c>
      <x:c r="J317" s="83" t="str"/>
      <x:c r="K317" s="83" t="str">
        <x:v>C</x:v>
      </x:c>
      <x:c r="L317" s="83" t="str">
        <x:v>Incorrect. Avoidance misses an important planning issue.</x:v>
      </x:c>
      <x:c r="M317" s="83" t="str">
        <x:v>Incorrect. Readiness is variable and specific.</x:v>
      </x:c>
      <x:c r="N317" s="83" t="str">
        <x:v>Correct. Ambivalence is a target for collaborative assessment rather than proof of refusal.</x:v>
      </x:c>
      <x:c r="O317" s="83" t="str"/>
      <x:c r="P317" s="83" t="str">
        <x:v>A. Incorrect. Avoidance misses an important planning issue.
B. Incorrect. Readiness is variable and specific.
C. Correct. Ambivalence is a target for collaborative assessment rather than proof of refusal.</x:v>
      </x:c>
      <x:c r="Q317" s="83" t="str">
        <x:v>Match the plan to readiness while keeping risk visible.</x:v>
      </x:c>
      <x:c r="R317" s="89" t="str">
        <x:v>CTA LCSW WB3–WB7; ASWB 2026 Clinical Content Area II</x:v>
      </x:c>
    </x:row>
    <x:row r="318">
      <x:c r="A318" s="88" t="str">
        <x:v>CTA-LCSW-MQB-0317</x:v>
      </x:c>
      <x:c r="B318" s="83" t="str">
        <x:v>LCSW-MQB-FA-IP-016</x:v>
      </x:c>
      <x:c r="C318" s="83" t="str">
        <x:v>Comprehensive Simulation</x:v>
      </x:c>
      <x:c r="D318" s="83" t="str">
        <x:v>Form A</x:v>
      </x:c>
      <x:c r="E318" s="83" t="n">
        <x:v>3</x:v>
      </x:c>
      <x:c r="F318" s="83" t="str">
        <x:v>A study reports a treatment was effective but had a small nonrepresentative sample and high dropout. How should the social worker use the finding?</x:v>
      </x:c>
      <x:c r="G318" s="83" t="str">
        <x:v>Reject all research with limitations.</x:v>
      </x:c>
      <x:c r="H318" s="83" t="str">
        <x:v>View it as preliminary evidence and consider design quality, population fit, harms, and stronger research before changing practice.</x:v>
      </x:c>
      <x:c r="I318" s="83" t="str">
        <x:v>Adopt the treatment as proven.</x:v>
      </x:c>
      <x:c r="J318" s="83" t="str"/>
      <x:c r="K318" s="83" t="str">
        <x:v>B</x:v>
      </x:c>
      <x:c r="L318" s="83" t="str">
        <x:v>Incorrect. All studies have limitations; quality varies.</x:v>
      </x:c>
      <x:c r="M318" s="83" t="str">
        <x:v>Correct. Evidence should be appraised rather than accepted or dismissed categorically.</x:v>
      </x:c>
      <x:c r="N318" s="83" t="str">
        <x:v>Incorrect. One limited study is not definitive.</x:v>
      </x:c>
      <x:c r="O318" s="83" t="str"/>
      <x:c r="P318" s="83" t="str">
        <x:v>A. Incorrect. All studies have limitations; quality varies.
B. Correct. Evidence should be appraised rather than accepted or dismissed categorically.
C. Incorrect. One limited study is not definitive.</x:v>
      </x:c>
      <x:c r="Q318" s="83" t="str">
        <x:v>Ask how strong, relevant, and complete the evidence is.</x:v>
      </x:c>
      <x:c r="R318" s="89" t="str">
        <x:v>CTA LCSW WB10; CTA LCSW WB11; ASWB 2026 Clinical Content Area III</x:v>
      </x:c>
    </x:row>
    <x:row r="319">
      <x:c r="A319" s="88" t="str">
        <x:v>CTA-LCSW-MQB-0318</x:v>
      </x:c>
      <x:c r="B319" s="83" t="str">
        <x:v>LCSW-MQB-FA-AP-006</x:v>
      </x:c>
      <x:c r="C319" s="83" t="str">
        <x:v>Comprehensive Simulation</x:v>
      </x:c>
      <x:c r="D319" s="83" t="str">
        <x:v>Form A</x:v>
      </x:c>
      <x:c r="E319" s="83" t="n">
        <x:v>3</x:v>
      </x:c>
      <x:c r="F319" s="83" t="str">
        <x:v>A client says “I am fine” while speaking slowly and appearing tearful. How should the social worker document this?</x:v>
      </x:c>
      <x:c r="G319" s="83" t="str">
        <x:v>The client reports a fine mood; observed affect appears sad and constricted.</x:v>
      </x:c>
      <x:c r="H319" s="83" t="str">
        <x:v>The client is lying.</x:v>
      </x:c>
      <x:c r="I319" s="83" t="str">
        <x:v>Mood and affect are normal.</x:v>
      </x:c>
      <x:c r="J319" s="83" t="str"/>
      <x:c r="K319" s="83" t="str">
        <x:v>A</x:v>
      </x:c>
      <x:c r="L319" s="83" t="str">
        <x:v>Correct. The note distinguishes reported internal state from observed expression.</x:v>
      </x:c>
      <x:c r="M319" s="83" t="str">
        <x:v>Incorrect. The discrepancy does not establish deception.</x:v>
      </x:c>
      <x:c r="N319" s="83" t="str">
        <x:v>Incorrect. Observed behavior is not fully consistent with the report.</x:v>
      </x:c>
      <x:c r="O319" s="83" t="str"/>
      <x:c r="P319" s="83" t="str">
        <x:v>A. Correct. The note distinguishes reported internal state from observed expression.
B. Incorrect. The discrepancy does not establish deception.
C. Incorrect. Observed behavior is not fully consistent with the report.</x:v>
      </x:c>
      <x:c r="Q319" s="83" t="str">
        <x:v>Document report and observation separately.</x:v>
      </x:c>
      <x:c r="R319" s="89" t="str">
        <x:v>CTA LCSW WB3–WB7; ASWB 2026 Clinical Content Area II</x:v>
      </x:c>
    </x:row>
    <x:row r="320">
      <x:c r="A320" s="88" t="str">
        <x:v>CTA-LCSW-MQB-0319</x:v>
      </x:c>
      <x:c r="B320" s="83" t="str">
        <x:v>LCSW-MQB-FA-IP-027</x:v>
      </x:c>
      <x:c r="C320" s="83" t="str">
        <x:v>Comprehensive Simulation</x:v>
      </x:c>
      <x:c r="D320" s="83" t="str">
        <x:v>Form A</x:v>
      </x:c>
      <x:c r="E320" s="83" t="n">
        <x:v>4</x:v>
      </x:c>
      <x:c r="F320" s="83" t="str">
        <x:v>A client repeatedly fails to connect with a specialty clinic because the intake process is confusing. What should the social worker do?</x:v>
      </x:c>
      <x:c r="G320" s="83" t="str">
        <x:v>Complete the intake while pretending to be the client.</x:v>
      </x:c>
      <x:c r="H320" s="83" t="str">
        <x:v>Close the case for noncompliance.</x:v>
      </x:c>
      <x:c r="I320" s="83" t="str">
        <x:v>With permission, help clarify steps, coordinate a warm handoff, troubleshoot barriers, and confirm connection.</x:v>
      </x:c>
      <x:c r="J320" s="83" t="str">
        <x:v>Keep giving the same phone number.</x:v>
      </x:c>
      <x:c r="K320" s="83" t="str">
        <x:v>C</x:v>
      </x:c>
      <x:c r="L320" s="83" t="str">
        <x:v>Incorrect. Impersonation is deceptive.</x:v>
      </x:c>
      <x:c r="M320" s="83" t="str">
        <x:v>Incorrect. Barriers should be assessed before labeling.</x:v>
      </x:c>
      <x:c r="N320" s="83" t="str">
        <x:v>Correct. Referral effectiveness includes navigation and follow-through while respecting role and client participation.</x:v>
      </x:c>
      <x:c r="O320" s="83" t="str">
        <x:v>Incorrect. Repetition without problem-solving is unlikely to help.</x:v>
      </x:c>
      <x:c r="P320" s="83" t="str">
        <x:v>A. Incorrect. Impersonation is deceptive.
B. Incorrect. Barriers should be assessed before labeling.
C. Correct. Referral effectiveness includes navigation and follow-through while respecting role and client participation.
D. Incorrect. Repetition without problem-solving is unlikely to help.</x:v>
      </x:c>
      <x:c r="Q320" s="83" t="str">
        <x:v>A referral is successful only when the client can actually reach the service.</x:v>
      </x:c>
      <x:c r="R320" s="89" t="str">
        <x:v>CTA LCSW WB10; CTA LCSW WB11; ASWB 2026 Clinical Content Area III</x:v>
      </x:c>
    </x:row>
    <x:row r="321">
      <x:c r="A321" s="88" t="str">
        <x:v>CTA-LCSW-MQB-0320</x:v>
      </x:c>
      <x:c r="B321" s="83" t="str">
        <x:v>LCSW-MQB-FA-VE-041</x:v>
      </x:c>
      <x:c r="C321" s="83" t="str">
        <x:v>Comprehensive Simulation</x:v>
      </x:c>
      <x:c r="D321" s="83" t="str">
        <x:v>Form A</x:v>
      </x:c>
      <x:c r="E321" s="83" t="n">
        <x:v>4</x:v>
      </x:c>
      <x:c r="F321" s="83" t="str">
        <x:v>A supervisee discloses having omitted risk information from several notes because a supervisor discouraged “negative details.” What should the supervising social worker do?</x:v>
      </x:c>
      <x:c r="G321" s="83" t="str">
        <x:v>Delete the affected records.</x:v>
      </x:c>
      <x:c r="H321" s="83" t="str">
        <x:v>Focus only on disciplining the supervisee.</x:v>
      </x:c>
      <x:c r="I321" s="83" t="str">
        <x:v>Address current client safety, correct records transparently, assess the supervision failure, and establish accurate documentation expectations and monitoring.</x:v>
      </x:c>
      <x:c r="J321" s="83" t="str">
        <x:v>Tell the supervisee to continue for consistency.</x:v>
      </x:c>
      <x:c r="K321" s="83" t="str">
        <x:v>C</x:v>
      </x:c>
      <x:c r="L321" s="83" t="str">
        <x:v>Incorrect. Deletion can compound record-integrity problems.</x:v>
      </x:c>
      <x:c r="M321" s="83" t="str">
        <x:v>Incorrect. Discipline alone does not correct current risk or supervision practices.</x:v>
      </x:c>
      <x:c r="N321" s="83" t="str">
        <x:v>Correct. The response must protect clients, repair records, and correct the supervisory system.</x:v>
      </x:c>
      <x:c r="O321" s="83" t="str">
        <x:v>Incorrect. Consistency does not justify ongoing inaccuracy.</x:v>
      </x:c>
      <x:c r="P321" s="83" t="str">
        <x:v>A. Incorrect. Deletion can compound record-integrity problems.
B. Incorrect. Discipline alone does not correct current risk or supervision practices.
C. Correct. The response must protect clients, repair records, and correct the supervisory system.
D. Incorrect. Consistency does not justify ongoing inaccuracy.</x:v>
      </x:c>
      <x:c r="Q321" s="83" t="str">
        <x:v>Integrated supervision questions require repair at client, record, and system levels.</x:v>
      </x:c>
      <x:c r="R321" s="89" t="str">
        <x:v>CTA LCSW WB2; CTA LCSW WB12; ASWB 2026 Clinical Content Area I</x:v>
      </x:c>
    </x:row>
    <x:row r="322">
      <x:c r="A322" s="88" t="str">
        <x:v>CTA-LCSW-MQB-0321</x:v>
      </x:c>
      <x:c r="B322" s="83" t="str">
        <x:v>LCSW-MQB-FA-VE-040</x:v>
      </x:c>
      <x:c r="C322" s="83" t="str">
        <x:v>Comprehensive Simulation</x:v>
      </x:c>
      <x:c r="D322" s="83" t="str">
        <x:v>Form A</x:v>
      </x:c>
      <x:c r="E322" s="83" t="n">
        <x:v>4</x:v>
      </x:c>
      <x:c r="F322" s="83" t="str">
        <x:v>An agency plans to require app-only communication, although many clients lack smartphones or private data plans. What should the social worker recommend?</x:v>
      </x:c>
      <x:c r="G322" s="83" t="str">
        <x:v>Adopt the app because one method is administratively efficient.</x:v>
      </x:c>
      <x:c r="H322" s="83" t="str">
        <x:v>Have clients share devices and passwords.</x:v>
      </x:c>
      <x:c r="I322" s="83" t="str">
        <x:v>Close cases for clients who cannot use the app.</x:v>
      </x:c>
      <x:c r="J322" s="83" t="str">
        <x:v>Assess privacy, accessibility, disability, language, and digital-equity impacts and preserve workable alternatives.</x:v>
      </x:c>
      <x:c r="K322" s="83" t="str">
        <x:v>D</x:v>
      </x:c>
      <x:c r="L322" s="83" t="str">
        <x:v>Incorrect. Efficiency does not override access and privacy.</x:v>
      </x:c>
      <x:c r="M322" s="83" t="str">
        <x:v>Incorrect. Shared credentials create security and autonomy risks.</x:v>
      </x:c>
      <x:c r="N322" s="83" t="str">
        <x:v>Incorrect. Exclusion may deepen inequity.</x:v>
      </x:c>
      <x:c r="O322" s="83" t="str">
        <x:v>Correct. Technology policy must be evaluated for confidentiality and disparate access effects.</x:v>
      </x:c>
      <x:c r="P322" s="83" t="str">
        <x:v>A. Incorrect. Efficiency does not override access and privacy.
B. Incorrect. Shared credentials create security and autonomy risks.
C. Incorrect. Exclusion may deepen inequity.
D. Correct. Technology policy must be evaluated for confidentiality and disparate access effects.</x:v>
      </x:c>
      <x:c r="Q322" s="83" t="str">
        <x:v>Evaluate technology as both a clinical tool and a structural barrier.</x:v>
      </x:c>
      <x:c r="R322" s="89" t="str">
        <x:v>CTA LCSW WB2; CTA LCSW WB12; ASWB 2026 Clinical Content Area I</x:v>
      </x:c>
    </x:row>
    <x:row r="323">
      <x:c r="A323" s="88" t="str">
        <x:v>CTA-LCSW-MQB-0322</x:v>
      </x:c>
      <x:c r="B323" s="83" t="str">
        <x:v>LCSW-MQB-FA-IP-025</x:v>
      </x:c>
      <x:c r="C323" s="83" t="str">
        <x:v>Comprehensive Simulation</x:v>
      </x:c>
      <x:c r="D323" s="83" t="str">
        <x:v>Form A</x:v>
      </x:c>
      <x:c r="E323" s="83" t="n">
        <x:v>4</x:v>
      </x:c>
      <x:c r="F323" s="83" t="str">
        <x:v>A family requests joint sessions, but one member privately reports fear of retaliation after speaking. What should the social worker do NEXT?</x:v>
      </x:c>
      <x:c r="G323" s="83" t="str">
        <x:v>Ignore the report because the family requested joint care.</x:v>
      </x:c>
      <x:c r="H323" s="83" t="str">
        <x:v>Proceed with joint disclosure to promote honesty.</x:v>
      </x:c>
      <x:c r="I323" s="83" t="str">
        <x:v>Assess coercion and safety privately, reconsider whether conjoint work is appropriate, and establish a safer service plan.</x:v>
      </x:c>
      <x:c r="J323" s="83" t="str">
        <x:v>Tell the fearful member to be more assertive.</x:v>
      </x:c>
      <x:c r="K323" s="83" t="str">
        <x:v>C</x:v>
      </x:c>
      <x:c r="L323" s="83" t="str">
        <x:v>Incorrect. The treatment format must remain clinically appropriate.</x:v>
      </x:c>
      <x:c r="M323" s="83" t="str">
        <x:v>Incorrect. Disclosure can increase danger.</x:v>
      </x:c>
      <x:c r="N323" s="83" t="str">
        <x:v>Correct. Fear of retaliation may make conjoint treatment unsafe or ineffective.</x:v>
      </x:c>
      <x:c r="O323" s="83" t="str">
        <x:v>Incorrect. Assertiveness is not a substitute for safety.</x:v>
      </x:c>
      <x:c r="P323" s="83" t="str">
        <x:v>A. Incorrect. The treatment format must remain clinically appropriate.
B. Incorrect. Disclosure can increase danger.
C. Correct. Fear of retaliation may make conjoint treatment unsafe or ineffective.
D. Incorrect. Assertiveness is not a substitute for safety.</x:v>
      </x:c>
      <x:c r="Q323" s="83" t="str">
        <x:v>Before encouraging openness, assess what happens after the session.</x:v>
      </x:c>
      <x:c r="R323" s="89" t="str">
        <x:v>CTA LCSW WB8–WB11; ASWB 2026 Clinical Content Area III</x:v>
      </x:c>
    </x:row>
    <x:row r="324">
      <x:c r="A324" s="88" t="str">
        <x:v>CTA-LCSW-MQB-0323</x:v>
      </x:c>
      <x:c r="B324" s="83" t="str">
        <x:v>LCSW-MQB-FA-IP-018</x:v>
      </x:c>
      <x:c r="C324" s="83" t="str">
        <x:v>Comprehensive Simulation</x:v>
      </x:c>
      <x:c r="D324" s="83" t="str">
        <x:v>Form A</x:v>
      </x:c>
      <x:c r="E324" s="83" t="n">
        <x:v>3</x:v>
      </x:c>
      <x:c r="F324" s="83" t="str">
        <x:v>A client has met goals and wants to end. What should the social worker do?</x:v>
      </x:c>
      <x:c r="G324" s="83" t="str">
        <x:v>Continue indefinitely to preserve the relationship.</x:v>
      </x:c>
      <x:c r="H324" s="83" t="str">
        <x:v>Create new goals the client did not request.</x:v>
      </x:c>
      <x:c r="I324" s="83" t="str">
        <x:v>Review gains, warning signs, supports, relapse-prevention steps, future access, and the meaning of ending.</x:v>
      </x:c>
      <x:c r="J324" s="83" t="str"/>
      <x:c r="K324" s="83" t="str">
        <x:v>C</x:v>
      </x:c>
      <x:c r="L324" s="83" t="str">
        <x:v>Incorrect. Dependency is not a reason for unnecessary care.</x:v>
      </x:c>
      <x:c r="M324" s="83" t="str">
        <x:v>Incorrect. Goals should remain collaborative.</x:v>
      </x:c>
      <x:c r="N324" s="83" t="str">
        <x:v>Correct. Planned termination consolidates learning and supports future self-management.</x:v>
      </x:c>
      <x:c r="O324" s="83" t="str"/>
      <x:c r="P324" s="83" t="str">
        <x:v>A. Incorrect. Dependency is not a reason for unnecessary care.
B. Incorrect. Goals should remain collaborative.
C. Correct. Planned termination consolidates learning and supports future self-management.</x:v>
      </x:c>
      <x:c r="Q324" s="83" t="str">
        <x:v>Use termination to transfer ownership of progress to the client.</x:v>
      </x:c>
      <x:c r="R324" s="89" t="str">
        <x:v>CTA LCSW WB8–WB11; ASWB 2026 Clinical Content Area III</x:v>
      </x:c>
    </x:row>
    <x:row r="325">
      <x:c r="A325" s="88" t="str">
        <x:v>CTA-LCSW-MQB-0324</x:v>
      </x:c>
      <x:c r="B325" s="83" t="str">
        <x:v>LCSW-MQB-FA-AP-026</x:v>
      </x:c>
      <x:c r="C325" s="83" t="str">
        <x:v>Comprehensive Simulation</x:v>
      </x:c>
      <x:c r="D325" s="83" t="str">
        <x:v>Form A</x:v>
      </x:c>
      <x:c r="E325" s="83" t="n">
        <x:v>4</x:v>
      </x:c>
      <x:c r="F325" s="83" t="str">
        <x:v>A newly arrived refugee reports hearing the voice of a deceased relative during a culturally recognized mourning ritual. What should the social worker do NEXT?</x:v>
      </x:c>
      <x:c r="G325" s="83" t="str">
        <x:v>Tell the client the culture is causing symptoms.</x:v>
      </x:c>
      <x:c r="H325" s="83" t="str">
        <x:v>Explore cultural meaning, shared expectations, distress, control, functioning, trauma, and other psychotic symptoms before diagnosing.</x:v>
      </x:c>
      <x:c r="I325" s="83" t="str">
        <x:v>Diagnose psychosis immediately.</x:v>
      </x:c>
      <x:c r="J325" s="83" t="str">
        <x:v>Assume the experience is harmless and ask no more questions.</x:v>
      </x:c>
      <x:c r="K325" s="83" t="str">
        <x:v>B</x:v>
      </x:c>
      <x:c r="L325" s="83" t="str">
        <x:v>Incorrect. Blaming culture is stigmatizing and inaccurate.</x:v>
      </x:c>
      <x:c r="M325" s="83" t="str">
        <x:v>Correct. The meaning and clinical significance depend on cultural context and functional impact.</x:v>
      </x:c>
      <x:c r="N325" s="83" t="str">
        <x:v>Incorrect. Unfamiliar experience is not sufficient for diagnosis.</x:v>
      </x:c>
      <x:c r="O325" s="83" t="str">
        <x:v>Incorrect. Cultural congruence does not eliminate the need to assess distress and safety.</x:v>
      </x:c>
      <x:c r="P325" s="83" t="str">
        <x:v>A. Incorrect. Blaming culture is stigmatizing and inaccurate.
B. Correct. The meaning and clinical significance depend on cultural context and functional impact.
C. Incorrect. Unfamiliar experience is not sufficient for diagnosis.
D. Incorrect. Cultural congruence does not eliminate the need to assess distress and safety.</x:v>
      </x:c>
      <x:c r="Q325" s="83" t="str">
        <x:v>Cultural context modifies interpretation, not the need for careful assessment.</x:v>
      </x:c>
      <x:c r="R325" s="89" t="str">
        <x:v>CTA LCSW WB3–WB7; ASWB 2026 Clinical Content Area II</x:v>
      </x:c>
    </x:row>
    <x:row r="326">
      <x:c r="A326" s="88" t="str">
        <x:v>CTA-LCSW-MQB-0325</x:v>
      </x:c>
      <x:c r="B326" s="83" t="str">
        <x:v>LCSW-MQB-FA-AP-017</x:v>
      </x:c>
      <x:c r="C326" s="83" t="str">
        <x:v>Comprehensive Simulation</x:v>
      </x:c>
      <x:c r="D326" s="83" t="str">
        <x:v>Form A</x:v>
      </x:c>
      <x:c r="E326" s="83" t="n">
        <x:v>3</x:v>
      </x:c>
      <x:c r="F326" s="83" t="str">
        <x:v>A bereaved client reports sadness and vivid dreams of the deceased but continues working and connecting with supports. What should the social worker do?</x:v>
      </x:c>
      <x:c r="G326" s="83" t="str">
        <x:v>Assess duration, cultural meaning, functioning, risk, and the client’s own view without automatically pathologizing grief.</x:v>
      </x:c>
      <x:c r="H326" s="83" t="str">
        <x:v>Assume no support is needed because the client works.</x:v>
      </x:c>
      <x:c r="I326" s="83" t="str">
        <x:v>Tell the client there is a fixed timetable for grief.</x:v>
      </x:c>
      <x:c r="J326" s="83" t="str"/>
      <x:c r="K326" s="83" t="str">
        <x:v>A</x:v>
      </x:c>
      <x:c r="L326" s="83" t="str">
        <x:v>Correct. Grief varies in expression and should be assessed in cultural and functional context.</x:v>
      </x:c>
      <x:c r="M326" s="83" t="str">
        <x:v>Incorrect. Preserved functioning does not eliminate distress.</x:v>
      </x:c>
      <x:c r="N326" s="83" t="str">
        <x:v>Incorrect. There is no universal schedule for grief.</x:v>
      </x:c>
      <x:c r="O326" s="83" t="str"/>
      <x:c r="P326" s="83" t="str">
        <x:v>A. Correct. Grief varies in expression and should be assessed in cultural and functional context.
B. Incorrect. Preserved functioning does not eliminate distress.
C. Incorrect. There is no universal schedule for grief.</x:v>
      </x:c>
      <x:c r="Q326" s="83" t="str">
        <x:v>Assess impairment and context rather than treating grief intensity as diagnosis.</x:v>
      </x:c>
      <x:c r="R326" s="89" t="str">
        <x:v>CTA LCSW WB3–WB7; ASWB 2026 Clinical Content Area II</x:v>
      </x:c>
    </x:row>
    <x:row r="327">
      <x:c r="A327" s="88" t="str">
        <x:v>CTA-LCSW-MQB-0326</x:v>
      </x:c>
      <x:c r="B327" s="83" t="str">
        <x:v>LCSW-MQB-FA-IP-034</x:v>
      </x:c>
      <x:c r="C327" s="83" t="str">
        <x:v>Comprehensive Simulation</x:v>
      </x:c>
      <x:c r="D327" s="83" t="str">
        <x:v>Form A</x:v>
      </x:c>
      <x:c r="E327" s="83" t="n">
        <x:v>4</x:v>
      </x:c>
      <x:c r="F327" s="83" t="str">
        <x:v>A client in crisis is medically stable but cannot return to an unsafe encampment and has no phone or transportation. What should the social worker do?</x:v>
      </x:c>
      <x:c r="G327" s="83" t="str">
        <x:v>Discharge because medical stability is sufficient.</x:v>
      </x:c>
      <x:c r="H327" s="83" t="str">
        <x:v>Coordinate immediate safe placement options, transportation, communication access, follow-up care, and a contingency plan with the client and team.</x:v>
      </x:c>
      <x:c r="I327" s="83" t="str">
        <x:v>Provide a clinic phone number only.</x:v>
      </x:c>
      <x:c r="J327" s="83" t="str">
        <x:v>Promise permanent housing before discharge.</x:v>
      </x:c>
      <x:c r="K327" s="83" t="str">
        <x:v>B</x:v>
      </x:c>
      <x:c r="L327" s="83" t="str">
        <x:v>Incorrect. Medical stability does not make the environment safe.</x:v>
      </x:c>
      <x:c r="M327" s="83" t="str">
        <x:v>Correct. A workable crisis plan must address environmental barriers and continuity, not only symptoms.</x:v>
      </x:c>
      <x:c r="N327" s="83" t="str">
        <x:v>Incorrect. The client may be unable to use the number.</x:v>
      </x:c>
      <x:c r="O327" s="83" t="str">
        <x:v>Incorrect. A promise beyond available resources is misleading.</x:v>
      </x:c>
      <x:c r="P327" s="83" t="str">
        <x:v>A. Incorrect. Medical stability does not make the environment safe.
B. Correct. A workable crisis plan must address environmental barriers and continuity, not only symptoms.
C. Incorrect. The client may be unable to use the number.
D. Incorrect. A promise beyond available resources is misleading.</x:v>
      </x:c>
      <x:c r="Q327" s="83" t="str">
        <x:v>Ask whether the plan can actually be carried out after the client leaves.</x:v>
      </x:c>
      <x:c r="R327" s="89" t="str">
        <x:v>CTA LCSW WB10; CTA LCSW WB11; ASWB 2026 Clinical Content Area III</x:v>
      </x:c>
    </x:row>
    <x:row r="328">
      <x:c r="A328" s="88" t="str">
        <x:v>CTA-LCSW-MQB-0327</x:v>
      </x:c>
      <x:c r="B328" s="83" t="str">
        <x:v>LCSW-MQB-FB-AP-034</x:v>
      </x:c>
      <x:c r="C328" s="83" t="str">
        <x:v>Comprehensive Simulation</x:v>
      </x:c>
      <x:c r="D328" s="83" t="str">
        <x:v>Form B</x:v>
      </x:c>
      <x:c r="E328" s="83" t="n">
        <x:v>4</x:v>
      </x:c>
      <x:c r="F328" s="83" t="str">
        <x:v>After a new prescription, an older client becomes disoriented, wanders outside at night, and intermittently fails to recognize family. What should the social worker do?</x:v>
      </x:c>
      <x:c r="G328" s="83" t="str">
        <x:v>Ask the caregiver to keep the episode private.</x:v>
      </x:c>
      <x:c r="H328" s="83" t="str">
        <x:v>Assume a gradual dementia progression.</x:v>
      </x:c>
      <x:c r="I328" s="83" t="str">
        <x:v>Treat the change as a possible medical emergency, arrange urgent evaluation and immediate supervision, and communicate relevant history to medical providers.</x:v>
      </x:c>
      <x:c r="J328" s="83" t="str">
        <x:v>Begin memory training and reassess next month.</x:v>
      </x:c>
      <x:c r="K328" s="83" t="str">
        <x:v>C</x:v>
      </x:c>
      <x:c r="L328" s="83" t="str">
        <x:v>Incorrect. Privacy does not justify concealing urgent clinical information from authorized care providers.</x:v>
      </x:c>
      <x:c r="M328" s="83" t="str">
        <x:v>Incorrect. Sudden onset is not typical evidence of gradual progression.</x:v>
      </x:c>
      <x:c r="N328" s="83" t="str">
        <x:v>Correct. Abrupt cognitive change plus unsafe behavior requires medical and safety action.</x:v>
      </x:c>
      <x:c r="O328" s="83" t="str">
        <x:v>Incorrect. Routine intervention is insufficient.</x:v>
      </x:c>
      <x:c r="P328" s="83" t="str">
        <x:v>A. Incorrect. Privacy does not justify concealing urgent clinical information from authorized care providers.
B. Incorrect. Sudden onset is not typical evidence of gradual progression.
C. Correct. Abrupt cognitive change plus unsafe behavior requires medical and safety action.
D. Incorrect. Routine intervention is insufficient.</x:v>
      </x:c>
      <x:c r="Q328" s="83" t="str">
        <x:v>Integrated assessment asks what is acute, dangerous, and potentially reversible.</x:v>
      </x:c>
      <x:c r="R328" s="89" t="str">
        <x:v>CTA LCSW WB5; ASWB 2026 Clinical Content Area II</x:v>
      </x:c>
    </x:row>
    <x:row r="329">
      <x:c r="A329" s="88" t="str">
        <x:v>CTA-LCSW-MQB-0328</x:v>
      </x:c>
      <x:c r="B329" s="83" t="str">
        <x:v>LCSW-MQB-FB-IP-008</x:v>
      </x:c>
      <x:c r="C329" s="83" t="str">
        <x:v>Comprehensive Simulation</x:v>
      </x:c>
      <x:c r="D329" s="83" t="str">
        <x:v>Form B</x:v>
      </x:c>
      <x:c r="E329" s="83" t="n">
        <x:v>3</x:v>
      </x:c>
      <x:c r="F329" s="83" t="str">
        <x:v>A client is juggling counseling, food insecurity, missed medical visits, and an unreliable ride to work. What is the best case-management response?</x:v>
      </x:c>
      <x:c r="G329" s="83" t="str">
        <x:v>Give a long list of phone numbers and close the case.</x:v>
      </x:c>
      <x:c r="H329" s="83" t="str">
        <x:v>Prioritize needs with the client, coordinate referrals, clarify roles, reduce barriers, and follow up on whether services were actually accessed.</x:v>
      </x:c>
      <x:c r="I329" s="83" t="str">
        <x:v>Address only the therapy need.</x:v>
      </x:c>
      <x:c r="J329" s="83" t="str"/>
      <x:c r="K329" s="83" t="str">
        <x:v>B</x:v>
      </x:c>
      <x:c r="L329" s="83" t="str">
        <x:v>Incorrect. A list alone may not overcome barriers.</x:v>
      </x:c>
      <x:c r="M329" s="83" t="str">
        <x:v>Correct. Effective case management links services and supports client agency rather than merely referring.</x:v>
      </x:c>
      <x:c r="N329" s="83" t="str">
        <x:v>Incorrect. Needs are interconnected.</x:v>
      </x:c>
      <x:c r="O329" s="83" t="str"/>
      <x:c r="P329" s="83" t="str">
        <x:v>A. Incorrect. A list alone may not overcome barriers.
B. Correct. Effective case management links services and supports client agency rather than merely referring.
C. Incorrect. Needs are interconnected.</x:v>
      </x:c>
      <x:c r="Q329" s="83" t="str">
        <x:v>Referral is a process: connect, coordinate, and verify.</x:v>
      </x:c>
      <x:c r="R329" s="89" t="str">
        <x:v>CTA LCSW WB10; CTA LCSW WB11; ASWB 2026 Clinical Content Area III</x:v>
      </x:c>
    </x:row>
    <x:row r="330">
      <x:c r="A330" s="88" t="str">
        <x:v>CTA-LCSW-MQB-0329</x:v>
      </x:c>
      <x:c r="B330" s="83" t="str">
        <x:v>LCSW-MQB-FB-AP-018</x:v>
      </x:c>
      <x:c r="C330" s="83" t="str">
        <x:v>Comprehensive Simulation</x:v>
      </x:c>
      <x:c r="D330" s="83" t="str">
        <x:v>Form B</x:v>
      </x:c>
      <x:c r="E330" s="83" t="n">
        <x:v>3</x:v>
      </x:c>
      <x:c r="F330" s="83" t="str">
        <x:v>An older client who was functioning independently becomes suddenly inattentive and confused during treatment for pneumonia. What should the social worker prioritize?</x:v>
      </x:c>
      <x:c r="G330" s="83" t="str">
        <x:v>Urgent medical evaluation for a possible acute medical condition while maintaining safety.</x:v>
      </x:c>
      <x:c r="H330" s="83" t="str">
        <x:v>Begin long-term psychotherapy first.</x:v>
      </x:c>
      <x:c r="I330" s="83" t="str">
        <x:v>Assume a chronic dementia.</x:v>
      </x:c>
      <x:c r="J330" s="83" t="str"/>
      <x:c r="K330" s="83" t="str">
        <x:v>A</x:v>
      </x:c>
      <x:c r="L330" s="83" t="str">
        <x:v>Correct. Abrupt onset and fluctuation suggest a potentially urgent medical process.</x:v>
      </x:c>
      <x:c r="M330" s="83" t="str">
        <x:v>Incorrect. Medical evaluation takes priority.</x:v>
      </x:c>
      <x:c r="N330" s="83" t="str">
        <x:v>Incorrect. Dementia is generally not inferred from sudden fluctuation alone.</x:v>
      </x:c>
      <x:c r="O330" s="83" t="str"/>
      <x:c r="P330" s="83" t="str">
        <x:v>A. Correct. Abrupt onset and fluctuation suggest a potentially urgent medical process.
B. Incorrect. Medical evaluation takes priority.
C. Incorrect. Dementia is generally not inferred from sudden fluctuation alone.</x:v>
      </x:c>
      <x:c r="Q330" s="83" t="str">
        <x:v>Sudden cognitive change is a medical cue before a chronic psychiatric conclusion.</x:v>
      </x:c>
      <x:c r="R330" s="89" t="str">
        <x:v>CTA LCSW WB5; ASWB 2026 Clinical Content Area II</x:v>
      </x:c>
    </x:row>
    <x:row r="331">
      <x:c r="A331" s="88" t="str">
        <x:v>CTA-LCSW-MQB-0330</x:v>
      </x:c>
      <x:c r="B331" s="83" t="str">
        <x:v>LCSW-MQB-FB-VE-029</x:v>
      </x:c>
      <x:c r="C331" s="83" t="str">
        <x:v>Comprehensive Simulation</x:v>
      </x:c>
      <x:c r="D331" s="83" t="str">
        <x:v>Form B</x:v>
      </x:c>
      <x:c r="E331" s="83" t="n">
        <x:v>4</x:v>
      </x:c>
      <x:c r="F331" s="83" t="str">
        <x:v>A clinic labels clients “noncompliant” and closes their cases after missed visits, even though transportation failures are widespread. What should the social worker do?</x:v>
      </x:c>
      <x:c r="G331" s="83" t="str">
        <x:v>Bring the pattern forward, examine its disparate impact, and advocate for accessible scheduling or outreach alternatives.</x:v>
      </x:c>
      <x:c r="H331" s="83" t="str">
        <x:v>Blame clients for noncompliance.</x:v>
      </x:c>
      <x:c r="I331" s="83" t="str">
        <x:v>Promise every client unlimited appointments.</x:v>
      </x:c>
      <x:c r="J331" s="83" t="str">
        <x:v>Ignore the pattern because the rule applies to everyone.</x:v>
      </x:c>
      <x:c r="K331" s="83" t="str">
        <x:v>A</x:v>
      </x:c>
      <x:c r="L331" s="83" t="str">
        <x:v>Correct. Equal rules can create unequal effects when structural barriers are ignored.</x:v>
      </x:c>
      <x:c r="M331" s="83" t="str">
        <x:v>Incorrect. Blame overlooks environmental constraints.</x:v>
      </x:c>
      <x:c r="N331" s="83" t="str">
        <x:v>Incorrect. Advocacy should remain feasible and accountable.</x:v>
      </x:c>
      <x:c r="O331" s="83" t="str">
        <x:v>Incorrect. Formal uniformity does not prove equity.</x:v>
      </x:c>
      <x:c r="P331" s="83" t="str">
        <x:v>A. Correct. Equal rules can create unequal effects when structural barriers are ignored.
B. Incorrect. Blame overlooks environmental constraints.
C. Incorrect. Advocacy should remain feasible and accountable.
D. Incorrect. Formal uniformity does not prove equity.</x:v>
      </x:c>
      <x:c r="Q331" s="83" t="str">
        <x:v>Use person-in-environment reasoning at the policy level.</x:v>
      </x:c>
      <x:c r="R331" s="89" t="str">
        <x:v>CTA LCSW WB2; ASWB 2026 Clinical Content Area I</x:v>
      </x:c>
    </x:row>
    <x:row r="332">
      <x:c r="A332" s="88" t="str">
        <x:v>CTA-LCSW-MQB-0331</x:v>
      </x:c>
      <x:c r="B332" s="83" t="str">
        <x:v>LCSW-MQB-FB-VE-009</x:v>
      </x:c>
      <x:c r="C332" s="83" t="str">
        <x:v>Comprehensive Simulation</x:v>
      </x:c>
      <x:c r="D332" s="83" t="str">
        <x:v>Form B</x:v>
      </x:c>
      <x:c r="E332" s="83" t="n">
        <x:v>3</x:v>
      </x:c>
      <x:c r="F332" s="83" t="str">
        <x:v>A current client asks to follow the social worker’s private account and sends a personal connection request. What is the best response?</x:v>
      </x:c>
      <x:c r="G332" s="83" t="str">
        <x:v>Accept to strengthen rapport.</x:v>
      </x:c>
      <x:c r="H332" s="83" t="str">
        <x:v>Create a false account to monitor the client.</x:v>
      </x:c>
      <x:c r="I332" s="83" t="str">
        <x:v>Maintain the professional boundary, follow the stated social-media policy, and discuss the request in treatment if clinically useful.</x:v>
      </x:c>
      <x:c r="J332" s="83" t="str"/>
      <x:c r="K332" s="83" t="str">
        <x:v>C</x:v>
      </x:c>
      <x:c r="L332" s="83" t="str">
        <x:v>Incorrect. Rapport does not require a personal relationship.</x:v>
      </x:c>
      <x:c r="M332" s="83" t="str">
        <x:v>Incorrect. Covert monitoring is deceptive and intrusive.</x:v>
      </x:c>
      <x:c r="N332" s="83" t="str">
        <x:v>Correct. Personal online connections can expose private information and blur roles.</x:v>
      </x:c>
      <x:c r="O332" s="83" t="str"/>
      <x:c r="P332" s="83" t="str">
        <x:v>A. Incorrect. Rapport does not require a personal relationship.
B. Incorrect. Covert monitoring is deceptive and intrusive.
C. Correct. Personal online connections can expose private information and blur roles.</x:v>
      </x:c>
      <x:c r="Q332" s="83" t="str">
        <x:v>Apply the same boundary reasoning online that you would apply offline.</x:v>
      </x:c>
      <x:c r="R332" s="89" t="str">
        <x:v>CTA LCSW WB2; CTA LCSW WB12; ASWB 2026 Clinical Content Area I</x:v>
      </x:c>
    </x:row>
    <x:row r="333">
      <x:c r="A333" s="88" t="str">
        <x:v>CTA-LCSW-MQB-0332</x:v>
      </x:c>
      <x:c r="B333" s="83" t="str">
        <x:v>LCSW-MQB-FB-AP-033</x:v>
      </x:c>
      <x:c r="C333" s="83" t="str">
        <x:v>Comprehensive Simulation</x:v>
      </x:c>
      <x:c r="D333" s="83" t="str">
        <x:v>Form B</x:v>
      </x:c>
      <x:c r="E333" s="83" t="n">
        <x:v>4</x:v>
      </x:c>
      <x:c r="F333" s="83" t="str">
        <x:v>Two months after a sibling’s death, a client reports intense longing, disrupted sleep, and intermittent sadness without psychosis or pervasive hopelessness. What should the social worker do next?</x:v>
      </x:c>
      <x:c r="G333" s="83" t="str">
        <x:v>Treat vivid memories as psychosis.</x:v>
      </x:c>
      <x:c r="H333" s="83" t="str">
        <x:v>Assess the grief process, cultural context, functioning, risk, prior history, and differential possibilities without assuming either normality or disorder.</x:v>
      </x:c>
      <x:c r="I333" s="83" t="str">
        <x:v>Tell the client the reaction is always normal and needs no assessment.</x:v>
      </x:c>
      <x:c r="J333" s="83" t="str">
        <x:v>Diagnose a chronic grief disorder solely from six weeks of symptoms.</x:v>
      </x:c>
      <x:c r="K333" s="83" t="str">
        <x:v>B</x:v>
      </x:c>
      <x:c r="L333" s="83" t="str">
        <x:v>Incorrect. Memories of the deceased do not automatically indicate psychosis.</x:v>
      </x:c>
      <x:c r="M333" s="83" t="str">
        <x:v>Correct. The social worker needs a careful longitudinal and functional assessment before a fixed conclusion.</x:v>
      </x:c>
      <x:c r="N333" s="83" t="str">
        <x:v>Incorrect. Grief can still involve serious impairment or risk.</x:v>
      </x:c>
      <x:c r="O333" s="83" t="str">
        <x:v>Incorrect. Duration and criteria require more information.</x:v>
      </x:c>
      <x:c r="P333" s="83" t="str">
        <x:v>A. Incorrect. Memories of the deceased do not automatically indicate psychosis.
B. Correct. The social worker needs a careful longitudinal and functional assessment before a fixed conclusion.
C. Incorrect. Grief can still involve serious impairment or risk.
D. Incorrect. Duration and criteria require more information.</x:v>
      </x:c>
      <x:c r="Q333" s="83" t="str">
        <x:v>Avoid both premature diagnosis and premature reassurance.</x:v>
      </x:c>
      <x:c r="R333" s="89" t="str">
        <x:v>CTA LCSW WB5; ASWB 2026 Clinical Content Area II</x:v>
      </x:c>
    </x:row>
    <x:row r="334">
      <x:c r="A334" s="88" t="str">
        <x:v>CTA-LCSW-MQB-0333</x:v>
      </x:c>
      <x:c r="B334" s="83" t="str">
        <x:v>LCSW-MQB-FB-VE-025</x:v>
      </x:c>
      <x:c r="C334" s="83" t="str">
        <x:v>Comprehensive Simulation</x:v>
      </x:c>
      <x:c r="D334" s="83" t="str">
        <x:v>Form B</x:v>
      </x:c>
      <x:c r="E334" s="83" t="n">
        <x:v>3</x:v>
      </x:c>
      <x:c r="F334" s="83" t="str">
        <x:v>Over several weeks, a client offers costly items, seeks personal contact, and asks the social worker to join family celebrations. What should the social worker do first?</x:v>
      </x:c>
      <x:c r="G334" s="83" t="str">
        <x:v>Terminate without discussion.</x:v>
      </x:c>
      <x:c r="H334" s="83" t="str">
        <x:v>Explore the pattern and meaning, restate professional boundaries, and assess whether treatment expectations are changing.</x:v>
      </x:c>
      <x:c r="I334" s="83" t="str">
        <x:v>Accept the gifts to avoid rejection.</x:v>
      </x:c>
      <x:c r="J334" s="83" t="str"/>
      <x:c r="K334" s="83" t="str">
        <x:v>B</x:v>
      </x:c>
      <x:c r="L334" s="83" t="str">
        <x:v>Incorrect. Abrupt termination may be unnecessary and harmful.</x:v>
      </x:c>
      <x:c r="M334" s="83" t="str">
        <x:v>Correct. The pattern suggests boundary pressure that should be addressed directly and clinically.</x:v>
      </x:c>
      <x:c r="N334" s="83" t="str">
        <x:v>Incorrect. Acceptance may intensify role confusion.</x:v>
      </x:c>
      <x:c r="O334" s="83" t="str"/>
      <x:c r="P334" s="83" t="str">
        <x:v>A. Incorrect. Abrupt termination may be unnecessary and harmful.
B. Correct. The pattern suggests boundary pressure that should be addressed directly and clinically.
C. Incorrect. Acceptance may intensify role confusion.</x:v>
      </x:c>
      <x:c r="Q334" s="83" t="str">
        <x:v>Look for patterns, expectations, and power—not just a single invitation.</x:v>
      </x:c>
      <x:c r="R334" s="89" t="str">
        <x:v>CTA LCSW WB2; CTA LCSW WB12; ASWB 2026 Clinical Content Area I</x:v>
      </x:c>
    </x:row>
    <x:row r="335">
      <x:c r="A335" s="88" t="str">
        <x:v>CTA-LCSW-MQB-0334</x:v>
      </x:c>
      <x:c r="B335" s="83" t="str">
        <x:v>LCSW-MQB-FB-VE-040</x:v>
      </x:c>
      <x:c r="C335" s="83" t="str">
        <x:v>Comprehensive Simulation</x:v>
      </x:c>
      <x:c r="D335" s="83" t="str">
        <x:v>Form B</x:v>
      </x:c>
      <x:c r="E335" s="83" t="n">
        <x:v>4</x:v>
      </x:c>
      <x:c r="F335" s="83" t="str">
        <x:v>A clinic wants all scheduling and clinical communication to occur through a smartphone application despite many clients lacking devices, data, or privacy. What should the social worker recommend?</x:v>
      </x:c>
      <x:c r="G335" s="83" t="str">
        <x:v>Adopt the app because one method is administratively efficient.</x:v>
      </x:c>
      <x:c r="H335" s="83" t="str">
        <x:v>Close cases for clients who cannot use the app.</x:v>
      </x:c>
      <x:c r="I335" s="83" t="str">
        <x:v>Have clients share devices and passwords.</x:v>
      </x:c>
      <x:c r="J335" s="83" t="str">
        <x:v>Assess privacy, accessibility, disability, language, and digital-equity impacts and preserve workable alternatives.</x:v>
      </x:c>
      <x:c r="K335" s="83" t="str">
        <x:v>D</x:v>
      </x:c>
      <x:c r="L335" s="83" t="str">
        <x:v>Incorrect. Efficiency does not override access and privacy.</x:v>
      </x:c>
      <x:c r="M335" s="83" t="str">
        <x:v>Incorrect. Exclusion may deepen inequity.</x:v>
      </x:c>
      <x:c r="N335" s="83" t="str">
        <x:v>Incorrect. Shared credentials create security and autonomy risks.</x:v>
      </x:c>
      <x:c r="O335" s="83" t="str">
        <x:v>Correct. Technology policy must be evaluated for confidentiality and disparate access effects.</x:v>
      </x:c>
      <x:c r="P335" s="83" t="str">
        <x:v>A. Incorrect. Efficiency does not override access and privacy.
B. Incorrect. Exclusion may deepen inequity.
C. Incorrect. Shared credentials create security and autonomy risks.
D. Correct. Technology policy must be evaluated for confidentiality and disparate access effects.</x:v>
      </x:c>
      <x:c r="Q335" s="83" t="str">
        <x:v>Evaluate technology as both a clinical tool and a structural barrier.</x:v>
      </x:c>
      <x:c r="R335" s="89" t="str">
        <x:v>CTA LCSW WB2; CTA LCSW WB12; ASWB 2026 Clinical Content Area I</x:v>
      </x:c>
    </x:row>
    <x:row r="336">
      <x:c r="A336" s="88" t="str">
        <x:v>CTA-LCSW-MQB-0335</x:v>
      </x:c>
      <x:c r="B336" s="83" t="str">
        <x:v>LCSW-MQB-FB-IP-014</x:v>
      </x:c>
      <x:c r="C336" s="83" t="str">
        <x:v>Comprehensive Simulation</x:v>
      </x:c>
      <x:c r="D336" s="83" t="str">
        <x:v>Form B</x:v>
      </x:c>
      <x:c r="E336" s="83" t="n">
        <x:v>3</x:v>
      </x:c>
      <x:c r="F336" s="83" t="str">
        <x:v>A grieving client says others avoid mentioning the deceased and the client needs a place to remember the relationship. What should the social worker do?</x:v>
      </x:c>
      <x:c r="G336" s="83" t="str">
        <x:v>Tell the client to avoid all reminders.</x:v>
      </x:c>
      <x:c r="H336" s="83" t="str">
        <x:v>Redirect away from grief to prevent sadness.</x:v>
      </x:c>
      <x:c r="I336" s="83" t="str">
        <x:v>Provide a tolerable space for remembrance, validate varied grief responses, and support connection and coping chosen by the client.</x:v>
      </x:c>
      <x:c r="J336" s="83" t="str"/>
      <x:c r="K336" s="83" t="str">
        <x:v>C</x:v>
      </x:c>
      <x:c r="L336" s="83" t="str">
        <x:v>Incorrect. Total avoidance may maintain distress.</x:v>
      </x:c>
      <x:c r="M336" s="83" t="str">
        <x:v>Incorrect. Avoidance can increase isolation.</x:v>
      </x:c>
      <x:c r="N336" s="83" t="str">
        <x:v>Correct. Grief support permits meaning-making and individualized coping.</x:v>
      </x:c>
      <x:c r="O336" s="83" t="str"/>
      <x:c r="P336" s="83" t="str">
        <x:v>A. Incorrect. Total avoidance may maintain distress.
B. Incorrect. Avoidance can increase isolation.
C. Correct. Grief support permits meaning-making and individualized coping.</x:v>
      </x:c>
      <x:c r="Q336" s="83" t="str">
        <x:v>Follow the client’s meaning and pace rather than imposing a grief schedule.</x:v>
      </x:c>
      <x:c r="R336" s="89" t="str">
        <x:v>CTA LCSW WB8–WB11; ASWB 2026 Clinical Content Area III</x:v>
      </x:c>
    </x:row>
    <x:row r="337">
      <x:c r="A337" s="88" t="str">
        <x:v>CTA-LCSW-MQB-0336</x:v>
      </x:c>
      <x:c r="B337" s="83" t="str">
        <x:v>LCSW-MQB-FB-VE-031</x:v>
      </x:c>
      <x:c r="C337" s="83" t="str">
        <x:v>Comprehensive Simulation</x:v>
      </x:c>
      <x:c r="D337" s="83" t="str">
        <x:v>Form B</x:v>
      </x:c>
      <x:c r="E337" s="83" t="n">
        <x:v>4</x:v>
      </x:c>
      <x:c r="F337" s="83" t="str">
        <x:v>A clinician invites current therapy clients to join a study the clinician directs and can see who declines. What should be addressed first?</x:v>
      </x:c>
      <x:c r="G337" s="83" t="str">
        <x:v>Require participation to remain in services.</x:v>
      </x:c>
      <x:c r="H337" s="83" t="str">
        <x:v>Collect data before explaining the study.</x:v>
      </x:c>
      <x:c r="I337" s="83" t="str">
        <x:v>The power imbalance, voluntariness, alternative services, confidentiality, and independent consent safeguards.</x:v>
      </x:c>
      <x:c r="J337" s="83" t="str">
        <x:v>Tell clients participation will improve their treatment.</x:v>
      </x:c>
      <x:c r="K337" s="83" t="str">
        <x:v>C</x:v>
      </x:c>
      <x:c r="L337" s="83" t="str">
        <x:v>Incorrect. Coercion undermines consent.</x:v>
      </x:c>
      <x:c r="M337" s="83" t="str">
        <x:v>Incorrect. Consent must precede research participation.</x:v>
      </x:c>
      <x:c r="N337" s="83" t="str">
        <x:v>Correct. Clients may feel pressure because the researcher also controls or influences services.</x:v>
      </x:c>
      <x:c r="O337" s="83" t="str">
        <x:v>Incorrect. Benefit should not be overstated.</x:v>
      </x:c>
      <x:c r="P337" s="83" t="str">
        <x:v>A. Incorrect. Coercion undermines consent.
B. Incorrect. Consent must precede research participation.
C. Correct. Clients may feel pressure because the researcher also controls or influences services.
D. Incorrect. Benefit should not be overstated.</x:v>
      </x:c>
      <x:c r="Q337" s="83" t="str">
        <x:v>When care and research roles overlap, examine coercion and role conflict first.</x:v>
      </x:c>
      <x:c r="R337" s="89" t="str">
        <x:v>CTA LCSW WB2; CTA LCSW WB12; ASWB 2026 Clinical Content Area I</x:v>
      </x:c>
    </x:row>
    <x:row r="338">
      <x:c r="A338" s="88" t="str">
        <x:v>CTA-LCSW-MQB-0337</x:v>
      </x:c>
      <x:c r="B338" s="83" t="str">
        <x:v>LCSW-MQB-FB-AP-022</x:v>
      </x:c>
      <x:c r="C338" s="83" t="str">
        <x:v>Comprehensive Simulation</x:v>
      </x:c>
      <x:c r="D338" s="83" t="str">
        <x:v>Form B</x:v>
      </x:c>
      <x:c r="E338" s="83" t="n">
        <x:v>3</x:v>
      </x:c>
      <x:c r="F338" s="83" t="str">
        <x:v>A client describes increasingly specific thoughts of attacking a former supervisor and reports recently obtaining a firearm. What should the social worker do next?</x:v>
      </x:c>
      <x:c r="G338" s="83" t="str">
        <x:v>Assume fantasy is harmless.</x:v>
      </x:c>
      <x:c r="H338" s="83" t="str">
        <x:v>Promise secrecy before asking details.</x:v>
      </x:c>
      <x:c r="I338" s="83" t="str">
        <x:v>Conduct a focused violence-risk assessment, clarify target, intent, planning, access, triggers, and protective controls, and take necessary protective action.</x:v>
      </x:c>
      <x:c r="J338" s="83" t="str"/>
      <x:c r="K338" s="83" t="str">
        <x:v>C</x:v>
      </x:c>
      <x:c r="L338" s="83" t="str">
        <x:v>Incorrect. The pattern contains significant escalation cues.</x:v>
      </x:c>
      <x:c r="M338" s="83" t="str">
        <x:v>Incorrect. Confidentiality limits must be explained accurately.</x:v>
      </x:c>
      <x:c r="N338" s="83" t="str">
        <x:v>Correct. Specific target-related ideation and weapon access require immediate structured assessment.</x:v>
      </x:c>
      <x:c r="O338" s="83" t="str"/>
      <x:c r="P338" s="83" t="str">
        <x:v>A. Incorrect. The pattern contains significant escalation cues.
B. Incorrect. Confidentiality limits must be explained accurately.
C. Correct. Specific target-related ideation and weapon access require immediate structured assessment.</x:v>
      </x:c>
      <x:c r="Q338" s="83" t="str">
        <x:v>Assess specificity, capability, intent, and immediacy.</x:v>
      </x:c>
      <x:c r="R338" s="89" t="str">
        <x:v>CTA LCSW WB6; ASWB 2026 Clinical Content Area II</x:v>
      </x:c>
    </x:row>
    <x:row r="339">
      <x:c r="A339" s="88" t="str">
        <x:v>CTA-LCSW-MQB-0338</x:v>
      </x:c>
      <x:c r="B339" s="83" t="str">
        <x:v>LCSW-MQB-FB-IP-006</x:v>
      </x:c>
      <x:c r="C339" s="83" t="str">
        <x:v>Comprehensive Simulation</x:v>
      </x:c>
      <x:c r="D339" s="83" t="str">
        <x:v>Form B</x:v>
      </x:c>
      <x:c r="E339" s="83" t="n">
        <x:v>3</x:v>
      </x:c>
      <x:c r="F339" s="83" t="str">
        <x:v>A client insists that arguments are “always terrible,” then recalls one recent disagreement that ended calmly. What should the social worker do with that exception?</x:v>
      </x:c>
      <x:c r="G339" s="83" t="str">
        <x:v>Explore what was different, what the client did, and whether any part can be repeated.</x:v>
      </x:c>
      <x:c r="H339" s="83" t="str">
        <x:v>Correct the client for exaggerating.</x:v>
      </x:c>
      <x:c r="I339" s="83" t="str">
        <x:v>Conclude the problem is solved.</x:v>
      </x:c>
      <x:c r="J339" s="83" t="str"/>
      <x:c r="K339" s="83" t="str">
        <x:v>A</x:v>
      </x:c>
      <x:c r="L339" s="83" t="str">
        <x:v>Correct. Exceptions can reveal practical strengths and change conditions.</x:v>
      </x:c>
      <x:c r="M339" s="83" t="str">
        <x:v>Incorrect. Correction may create defensiveness.</x:v>
      </x:c>
      <x:c r="N339" s="83" t="str">
        <x:v>Incorrect. One exception does not eliminate the problem.</x:v>
      </x:c>
      <x:c r="O339" s="83" t="str"/>
      <x:c r="P339" s="83" t="str">
        <x:v>A. Correct. Exceptions can reveal practical strengths and change conditions.
B. Incorrect. Correction may create defensiveness.
C. Incorrect. One exception does not eliminate the problem.</x:v>
      </x:c>
      <x:c r="Q339" s="83" t="str">
        <x:v>Ask how the exception happened, not merely whether it happened.</x:v>
      </x:c>
      <x:c r="R339" s="89" t="str">
        <x:v>CTA LCSW WB8–WB11; ASWB 2026 Clinical Content Area III</x:v>
      </x:c>
    </x:row>
    <x:row r="340">
      <x:c r="A340" s="88" t="str">
        <x:v>CTA-LCSW-MQB-0339</x:v>
      </x:c>
      <x:c r="B340" s="83" t="str">
        <x:v>LCSW-MQB-FB-VE-032</x:v>
      </x:c>
      <x:c r="C340" s="83" t="str">
        <x:v>Comprehensive Simulation</x:v>
      </x:c>
      <x:c r="D340" s="83" t="str">
        <x:v>Form B</x:v>
      </x:c>
      <x:c r="E340" s="83" t="n">
        <x:v>4</x:v>
      </x:c>
      <x:c r="F340" s="83" t="str">
        <x:v>A client joins a video session from a crowded waiting area and answers sensitive questions in a whisper. What should the social worker do first?</x:v>
      </x:c>
      <x:c r="G340" s="83" t="str">
        <x:v>Continue because the client joined voluntarily.</x:v>
      </x:c>
      <x:c r="H340" s="83" t="str">
        <x:v>Record the session without discussion.</x:v>
      </x:c>
      <x:c r="I340" s="83" t="str">
        <x:v>Confirm location and privacy, assess whether the client can speak safely, and decide whether to continue, modify, or reschedule.</x:v>
      </x:c>
      <x:c r="J340" s="83" t="str">
        <x:v>Ask the client to disclose sensitive details quickly.</x:v>
      </x:c>
      <x:c r="K340" s="83" t="str">
        <x:v>C</x:v>
      </x:c>
      <x:c r="L340" s="83" t="str">
        <x:v>Incorrect. Attendance does not establish a private environment.</x:v>
      </x:c>
      <x:c r="M340" s="83" t="str">
        <x:v>Incorrect. Recording creates additional consent and security issues.</x:v>
      </x:c>
      <x:c r="N340" s="83" t="str">
        <x:v>Correct. Privacy and safety conditions must be assessed before proceeding with sensitive care.</x:v>
      </x:c>
      <x:c r="O340" s="83" t="str">
        <x:v>Incorrect. Pressure increases privacy risk.</x:v>
      </x:c>
      <x:c r="P340" s="83" t="str">
        <x:v>A. Incorrect. Attendance does not establish a private environment.
B. Incorrect. Recording creates additional consent and security issues.
C. Correct. Privacy and safety conditions must be assessed before proceeding with sensitive care.
D. Incorrect. Pressure increases privacy risk.</x:v>
      </x:c>
      <x:c r="Q340" s="83" t="str">
        <x:v>Telehealth begins with location, privacy, and emergency capacity.</x:v>
      </x:c>
      <x:c r="R340" s="89" t="str">
        <x:v>CTA LCSW WB2; CTA LCSW WB12; ASWB 2026 Clinical Content Area I</x:v>
      </x:c>
    </x:row>
    <x:row r="341">
      <x:c r="A341" s="88" t="str">
        <x:v>CTA-LCSW-MQB-0340</x:v>
      </x:c>
      <x:c r="B341" s="83" t="str">
        <x:v>LCSW-MQB-FB-AP-004</x:v>
      </x:c>
      <x:c r="C341" s="83" t="str">
        <x:v>Comprehensive Simulation</x:v>
      </x:c>
      <x:c r="D341" s="83" t="str">
        <x:v>Form B</x:v>
      </x:c>
      <x:c r="E341" s="83" t="n">
        <x:v>3</x:v>
      </x:c>
      <x:c r="F341" s="83" t="str">
        <x:v>The available history strongly suggests a mood disorder, but the required time course and possible thyroid contribution have not yet been clarified. When is a provisional diagnostic impression appropriate?</x:v>
      </x:c>
      <x:c r="G341" s="83" t="str">
        <x:v>When the pattern strongly suggests a diagnosis but important confirmation, duration, or rule-out information is still pending.</x:v>
      </x:c>
      <x:c r="H341" s="83" t="str">
        <x:v>Whenever the client disagrees with the social worker.</x:v>
      </x:c>
      <x:c r="I341" s="83" t="str">
        <x:v>To avoid documenting uncertainty.</x:v>
      </x:c>
      <x:c r="J341" s="83" t="str"/>
      <x:c r="K341" s="83" t="str">
        <x:v>A</x:v>
      </x:c>
      <x:c r="L341" s="83" t="str">
        <x:v>Correct. Provisional status communicates a reasoned working impression and its limits.</x:v>
      </x:c>
      <x:c r="M341" s="83" t="str">
        <x:v>Incorrect. Disagreement does not determine diagnosis.</x:v>
      </x:c>
      <x:c r="N341" s="83" t="str">
        <x:v>Incorrect. Provisional wording expresses rather than hides uncertainty.</x:v>
      </x:c>
      <x:c r="O341" s="83" t="str"/>
      <x:c r="P341" s="83" t="str">
        <x:v>A. Correct. Provisional status communicates a reasoned working impression and its limits.
B. Incorrect. Disagreement does not determine diagnosis.
C. Incorrect. Provisional wording expresses rather than hides uncertainty.</x:v>
      </x:c>
      <x:c r="Q341" s="83" t="str">
        <x:v>Use provisional when the impression is plausible but material evidence remains incomplete.</x:v>
      </x:c>
      <x:c r="R341" s="89" t="str">
        <x:v>CTA LCSW WB5; ASWB 2026 Clinical Content Area II</x:v>
      </x:c>
    </x:row>
    <x:row r="342">
      <x:c r="A342" s="88" t="str">
        <x:v>CTA-LCSW-MQB-0341</x:v>
      </x:c>
      <x:c r="B342" s="83" t="str">
        <x:v>LCSW-MQB-FB-IP-037</x:v>
      </x:c>
      <x:c r="C342" s="83" t="str">
        <x:v>Comprehensive Simulation</x:v>
      </x:c>
      <x:c r="D342" s="83" t="str">
        <x:v>Form B</x:v>
      </x:c>
      <x:c r="E342" s="83" t="n">
        <x:v>4</x:v>
      </x:c>
      <x:c r="F342" s="83" t="str">
        <x:v>Overall program scores rise, yet participants using language services are leaving treatment at twice the rate of other participants. What should the social worker do?</x:v>
      </x:c>
      <x:c r="G342" s="83" t="str">
        <x:v>Conclude interpreter users are less motivated.</x:v>
      </x:c>
      <x:c r="H342" s="83" t="str">
        <x:v>Report only the overall average.</x:v>
      </x:c>
      <x:c r="I342" s="83" t="str">
        <x:v>End interpreter services because dropout is high.</x:v>
      </x:c>
      <x:c r="J342" s="83" t="str">
        <x:v>Disaggregate outcomes, investigate language-access and service barriers, involve affected clients, and modify the program while monitoring results.</x:v>
      </x:c>
      <x:c r="K342" s="83" t="str">
        <x:v>D</x:v>
      </x:c>
      <x:c r="L342" s="83" t="str">
        <x:v>Incorrect. Motivation should not be assumed.</x:v>
      </x:c>
      <x:c r="M342" s="83" t="str">
        <x:v>Incorrect. Averages can conceal disparities.</x:v>
      </x:c>
      <x:c r="N342" s="83" t="str">
        <x:v>Incorrect. Removing access support would likely worsen inequity.</x:v>
      </x:c>
      <x:c r="O342" s="83" t="str">
        <x:v>Correct. Equity review requires examining subgroup outcomes and structural barriers.</x:v>
      </x:c>
      <x:c r="P342" s="83" t="str">
        <x:v>A. Incorrect. Motivation should not be assumed.
B. Incorrect. Averages can conceal disparities.
C. Incorrect. Removing access support would likely worsen inequity.
D. Correct. Equity review requires examining subgroup outcomes and structural barriers.</x:v>
      </x:c>
      <x:c r="Q342" s="83" t="str">
        <x:v>Always ask who benefited and who did not.</x:v>
      </x:c>
      <x:c r="R342" s="89" t="str">
        <x:v>CTA LCSW WB10; CTA LCSW WB11; ASWB 2026 Clinical Content Area III</x:v>
      </x:c>
    </x:row>
    <x:row r="343">
      <x:c r="A343" s="88" t="str">
        <x:v>CTA-LCSW-MQB-0342</x:v>
      </x:c>
      <x:c r="B343" s="83" t="str">
        <x:v>LCSW-MQB-FB-AP-024</x:v>
      </x:c>
      <x:c r="C343" s="83" t="str">
        <x:v>Comprehensive Simulation</x:v>
      </x:c>
      <x:c r="D343" s="83" t="str">
        <x:v>Form B</x:v>
      </x:c>
      <x:c r="E343" s="83" t="n">
        <x:v>3</x:v>
      </x:c>
      <x:c r="F343" s="83" t="str">
        <x:v>A client says a partner monitors calls, withholds identification documents, and threatens to take the children if the client leaves. What should the social worker do next?</x:v>
      </x:c>
      <x:c r="G343" s="83" t="str">
        <x:v>Assess coercive control, immediate danger, safe communication, children or other dependents, and the client’s priorities for safety planning.</x:v>
      </x:c>
      <x:c r="H343" s="83" t="str">
        <x:v>Focus only on prenatal appointments.</x:v>
      </x:c>
      <x:c r="I343" s="83" t="str">
        <x:v>Recommend couples therapy immediately.</x:v>
      </x:c>
      <x:c r="J343" s="83" t="str"/>
      <x:c r="K343" s="83" t="str">
        <x:v>A</x:v>
      </x:c>
      <x:c r="L343" s="83" t="str">
        <x:v>Correct. The pattern may indicate intimate-partner violence and requires private, autonomy-supportive safety assessment.</x:v>
      </x:c>
      <x:c r="M343" s="83" t="str">
        <x:v>Incorrect. Medical needs matter but do not replace violence assessment.</x:v>
      </x:c>
      <x:c r="N343" s="83" t="str">
        <x:v>Incorrect. Conjoint work may be unsafe in coercive control.</x:v>
      </x:c>
      <x:c r="O343" s="83" t="str"/>
      <x:c r="P343" s="83" t="str">
        <x:v>A. Correct. The pattern may indicate intimate-partner violence and requires private, autonomy-supportive safety assessment.
B. Incorrect. Medical needs matter but do not replace violence assessment.
C. Incorrect. Conjoint work may be unsafe in coercive control.</x:v>
      </x:c>
      <x:c r="Q343" s="83" t="str">
        <x:v>Control over movement, money, and relationships is a safety clue.</x:v>
      </x:c>
      <x:c r="R343" s="89" t="str">
        <x:v>CTA LCSW WB6; ASWB 2026 Clinical Content Area II</x:v>
      </x:c>
    </x:row>
    <x:row r="344">
      <x:c r="A344" s="88" t="str">
        <x:v>CTA-LCSW-MQB-0343</x:v>
      </x:c>
      <x:c r="B344" s="83" t="str">
        <x:v>LCSW-MQB-FB-IP-022</x:v>
      </x:c>
      <x:c r="C344" s="83" t="str">
        <x:v>Comprehensive Simulation</x:v>
      </x:c>
      <x:c r="D344" s="83" t="str">
        <x:v>Form B</x:v>
      </x:c>
      <x:c r="E344" s="83" t="n">
        <x:v>3</x:v>
      </x:c>
      <x:c r="F344" s="83" t="str">
        <x:v>A client who believes clinic staff are part of a conspiracy refuses medication and says no one can be trusted. What should the social worker do first?</x:v>
      </x:c>
      <x:c r="G344" s="83" t="str">
        <x:v>Threaten hospitalization for disagreement.</x:v>
      </x:c>
      <x:c r="H344" s="83" t="str">
        <x:v>Engage around the client’s distress and goals, assess safety and functioning, avoid arguing about the belief, and coordinate options.</x:v>
      </x:c>
      <x:c r="I344" s="83" t="str">
        <x:v>Insist the belief is false.</x:v>
      </x:c>
      <x:c r="J344" s="83" t="str"/>
      <x:c r="K344" s="83" t="str">
        <x:v>B</x:v>
      </x:c>
      <x:c r="L344" s="83" t="str">
        <x:v>Incorrect. Coercive threats may be inaccurate and harmful.</x:v>
      </x:c>
      <x:c r="M344" s="83" t="str">
        <x:v>Correct. Engagement and safety assessment are more effective than direct confrontation of fixed beliefs.</x:v>
      </x:c>
      <x:c r="N344" s="83" t="str">
        <x:v>Incorrect. Argument may increase mistrust.</x:v>
      </x:c>
      <x:c r="O344" s="83" t="str"/>
      <x:c r="P344" s="83" t="str">
        <x:v>A. Incorrect. Coercive threats may be inaccurate and harmful.
B. Correct. Engagement and safety assessment are more effective than direct confrontation of fixed beliefs.
C. Incorrect. Argument may increase mistrust.</x:v>
      </x:c>
      <x:c r="Q344" s="83" t="str">
        <x:v>Join with the distress and practical goals without validating the delusion as fact.</x:v>
      </x:c>
      <x:c r="R344" s="89" t="str">
        <x:v>CTA LCSW WB8–WB11; ASWB 2026 Clinical Content Area III</x:v>
      </x:c>
    </x:row>
    <x:row r="345">
      <x:c r="A345" s="88" t="str">
        <x:v>CTA-LCSW-MQB-0344</x:v>
      </x:c>
      <x:c r="B345" s="83" t="str">
        <x:v>LCSW-MQB-FB-VE-008</x:v>
      </x:c>
      <x:c r="C345" s="83" t="str">
        <x:v>Comprehensive Simulation</x:v>
      </x:c>
      <x:c r="D345" s="83" t="str">
        <x:v>Form B</x:v>
      </x:c>
      <x:c r="E345" s="83" t="n">
        <x:v>3</x:v>
      </x:c>
      <x:c r="F345" s="83" t="str">
        <x:v>Near the end of services, a client offers a modest ceremonial item connected to the client’s community traditions. What should the social worker do?</x:v>
      </x:c>
      <x:c r="G345" s="83" t="str">
        <x:v>Reject every gift immediately without discussion.</x:v>
      </x:c>
      <x:c r="H345" s="83" t="str">
        <x:v>Explore the meaning, value, timing, cultural context, and possible impact before deciding whether accepting is clinically appropriate.</x:v>
      </x:c>
      <x:c r="I345" s="83" t="str">
        <x:v>Sell the item and donate the proceeds.</x:v>
      </x:c>
      <x:c r="J345" s="83" t="str"/>
      <x:c r="K345" s="83" t="str">
        <x:v>B</x:v>
      </x:c>
      <x:c r="L345" s="83" t="str">
        <x:v>Incorrect. Automatic rejection may damage the relationship or communicate disrespect.</x:v>
      </x:c>
      <x:c r="M345" s="83" t="str">
        <x:v>Correct. Gift decisions require contextual boundary analysis rather than a universal rule.</x:v>
      </x:c>
      <x:c r="N345" s="83" t="str">
        <x:v>Incorrect. Selling the gift changes its meaning and is not a standard response.</x:v>
      </x:c>
      <x:c r="O345" s="83" t="str"/>
      <x:c r="P345" s="83" t="str">
        <x:v>A. Incorrect. Automatic rejection may damage the relationship or communicate disrespect.
B. Correct. Gift decisions require contextual boundary analysis rather than a universal rule.
C. Incorrect. Selling the gift changes its meaning and is not a standard response.</x:v>
      </x:c>
      <x:c r="Q345" s="83" t="str">
        <x:v>Assess function and impact, not just the object.</x:v>
      </x:c>
      <x:c r="R345" s="89" t="str">
        <x:v>CTA LCSW WB2; CTA LCSW WB12; ASWB 2026 Clinical Content Area I</x:v>
      </x:c>
    </x:row>
    <x:row r="346">
      <x:c r="A346" s="88" t="str">
        <x:v>CTA-LCSW-MQB-0345</x:v>
      </x:c>
      <x:c r="B346" s="83" t="str">
        <x:v>LCSW-MQB-FB-AP-038</x:v>
      </x:c>
      <x:c r="C346" s="83" t="str">
        <x:v>Comprehensive Simulation</x:v>
      </x:c>
      <x:c r="D346" s="83" t="str">
        <x:v>Form B</x:v>
      </x:c>
      <x:c r="E346" s="83" t="n">
        <x:v>4</x:v>
      </x:c>
      <x:c r="F346" s="83" t="str">
        <x:v>An adult with mild memory problems wants to transfer substantial savings to a recent acquaintance, while relatives insist on taking over every financial decision. What should the social worker do?</x:v>
      </x:c>
      <x:c r="G346" s="83" t="str">
        <x:v>Ignore the concern because the client is an adult.</x:v>
      </x:c>
      <x:c r="H346" s="83" t="str">
        <x:v>Assess decision-specific capacity, coercion or exploitation, the client’s values, available supports, and the least restrictive protection needed.</x:v>
      </x:c>
      <x:c r="I346" s="83" t="str">
        <x:v>Assume any cognitive diagnosis eliminates capacity.</x:v>
      </x:c>
      <x:c r="J346" s="83" t="str">
        <x:v>Follow the family’s demand automatically.</x:v>
      </x:c>
      <x:c r="K346" s="83" t="str">
        <x:v>B</x:v>
      </x:c>
      <x:c r="L346" s="83" t="str">
        <x:v>Incorrect. Adult status does not eliminate exploitation risk.</x:v>
      </x:c>
      <x:c r="M346" s="83" t="str">
        <x:v>Correct. Capacity is decision-specific, and protection should not exceed the assessed need.</x:v>
      </x:c>
      <x:c r="N346" s="83" t="str">
        <x:v>Incorrect. Diagnosis alone does not determine capacity.</x:v>
      </x:c>
      <x:c r="O346" s="83" t="str">
        <x:v>Incorrect. Family concern may be important but not dispositive.</x:v>
      </x:c>
      <x:c r="P346" s="83" t="str">
        <x:v>A. Incorrect. Adult status does not eliminate exploitation risk.
B. Correct. Capacity is decision-specific, and protection should not exceed the assessed need.
C. Incorrect. Diagnosis alone does not determine capacity.
D. Incorrect. Family concern may be important but not dispositive.</x:v>
      </x:c>
      <x:c r="Q346" s="83" t="str">
        <x:v>Balance protection with the least restrictive support for autonomy.</x:v>
      </x:c>
      <x:c r="R346" s="89" t="str">
        <x:v>CTA LCSW WB3–WB7; ASWB 2026 Clinical Content Area II</x:v>
      </x:c>
    </x:row>
    <x:row r="347">
      <x:c r="A347" s="88" t="str">
        <x:v>CTA-LCSW-MQB-0346</x:v>
      </x:c>
      <x:c r="B347" s="83" t="str">
        <x:v>LCSW-MQB-FB-VE-039</x:v>
      </x:c>
      <x:c r="C347" s="83" t="str">
        <x:v>Comprehensive Simulation</x:v>
      </x:c>
      <x:c r="D347" s="83" t="str">
        <x:v>Form B</x:v>
      </x:c>
      <x:c r="E347" s="83" t="n">
        <x:v>4</x:v>
      </x:c>
      <x:c r="F347" s="83" t="str">
        <x:v>A capable older client prefers to include a daughter in all service decisions, while the treatment team says autonomy requires excluding relatives. What should the social worker do?</x:v>
      </x:c>
      <x:c r="G347" s="83" t="str">
        <x:v>Exclude the family because autonomy always means acting alone.</x:v>
      </x:c>
      <x:c r="H347" s="83" t="str">
        <x:v>Let the adult child make every decision without assessment.</x:v>
      </x:c>
      <x:c r="I347" s="83" t="str">
        <x:v>Assume the preference proves incapacity.</x:v>
      </x:c>
      <x:c r="J347" s="83" t="str">
        <x:v>Assess the client’s voluntary preference, decision-making ability, family dynamics, and privacy wishes, then support the chosen level of involvement.</x:v>
      </x:c>
      <x:c r="K347" s="83" t="str">
        <x:v>D</x:v>
      </x:c>
      <x:c r="L347" s="83" t="str">
        <x:v>Incorrect. Individualism is not the only form of self-determination.</x:v>
      </x:c>
      <x:c r="M347" s="83" t="str">
        <x:v>Incorrect. Family involvement does not automatically create authority.</x:v>
      </x:c>
      <x:c r="N347" s="83" t="str">
        <x:v>Incorrect. A relational preference is not evidence of incapacity.</x:v>
      </x:c>
      <x:c r="O347" s="83" t="str">
        <x:v>Correct. Autonomy includes the right to choose interdependence when the choice is informed and voluntary.</x:v>
      </x:c>
      <x:c r="P347" s="83" t="str">
        <x:v>A. Incorrect. Individualism is not the only form of self-determination.
B. Incorrect. Family involvement does not automatically create authority.
C. Incorrect. A relational preference is not evidence of incapacity.
D. Correct. Autonomy includes the right to choose interdependence when the choice is informed and voluntary.</x:v>
      </x:c>
      <x:c r="Q347" s="83" t="str">
        <x:v>Do not confuse autonomy with isolation.</x:v>
      </x:c>
      <x:c r="R347" s="89" t="str">
        <x:v>CTA LCSW WB2; ASWB 2026 Clinical Content Area I</x:v>
      </x:c>
    </x:row>
    <x:row r="348">
      <x:c r="A348" s="88" t="str">
        <x:v>CTA-LCSW-MQB-0347</x:v>
      </x:c>
      <x:c r="B348" s="83" t="str">
        <x:v>LCSW-MQB-FB-IP-034</x:v>
      </x:c>
      <x:c r="C348" s="83" t="str">
        <x:v>Comprehensive Simulation</x:v>
      </x:c>
      <x:c r="D348" s="83" t="str">
        <x:v>Form B</x:v>
      </x:c>
      <x:c r="E348" s="83" t="n">
        <x:v>4</x:v>
      </x:c>
      <x:c r="F348" s="83" t="str">
        <x:v>A client is medically cleared after a crisis but has only an unsafe outdoor location, no transportation, and no working phone. What should the social worker do?</x:v>
      </x:c>
      <x:c r="G348" s="83" t="str">
        <x:v>Discharge because medical stability is sufficient.</x:v>
      </x:c>
      <x:c r="H348" s="83" t="str">
        <x:v>Promise permanent housing before discharge.</x:v>
      </x:c>
      <x:c r="I348" s="83" t="str">
        <x:v>Coordinate immediate safe placement options, transportation, communication access, follow-up care, and a contingency plan with the client and team.</x:v>
      </x:c>
      <x:c r="J348" s="83" t="str">
        <x:v>Provide a clinic phone number only.</x:v>
      </x:c>
      <x:c r="K348" s="83" t="str">
        <x:v>C</x:v>
      </x:c>
      <x:c r="L348" s="83" t="str">
        <x:v>Incorrect. Medical stability does not make the environment safe.</x:v>
      </x:c>
      <x:c r="M348" s="83" t="str">
        <x:v>Incorrect. A promise beyond available resources is misleading.</x:v>
      </x:c>
      <x:c r="N348" s="83" t="str">
        <x:v>Correct. A workable crisis plan must address environmental barriers and continuity, not only symptoms.</x:v>
      </x:c>
      <x:c r="O348" s="83" t="str">
        <x:v>Incorrect. The client may be unable to use the number.</x:v>
      </x:c>
      <x:c r="P348" s="83" t="str">
        <x:v>A. Incorrect. Medical stability does not make the environment safe.
B. Incorrect. A promise beyond available resources is misleading.
C. Correct. A workable crisis plan must address environmental barriers and continuity, not only symptoms.
D. Incorrect. The client may be unable to use the number.</x:v>
      </x:c>
      <x:c r="Q348" s="83" t="str">
        <x:v>Ask whether the plan can actually be carried out after the client leaves.</x:v>
      </x:c>
      <x:c r="R348" s="89" t="str">
        <x:v>CTA LCSW WB10; CTA LCSW WB11; ASWB 2026 Clinical Content Area III</x:v>
      </x:c>
    </x:row>
    <x:row r="349">
      <x:c r="A349" s="88" t="str">
        <x:v>CTA-LCSW-MQB-0348</x:v>
      </x:c>
      <x:c r="B349" s="83" t="str">
        <x:v>LCSW-MQB-FB-AP-039</x:v>
      </x:c>
      <x:c r="C349" s="83" t="str">
        <x:v>Comprehensive Simulation</x:v>
      </x:c>
      <x:c r="D349" s="83" t="str">
        <x:v>Form B</x:v>
      </x:c>
      <x:c r="E349" s="83" t="n">
        <x:v>4</x:v>
      </x:c>
      <x:c r="F349" s="83" t="str">
        <x:v>A client’s hallucinations are controlled, but repeated benefit suspensions, inaccessible housing, and landlord bias keep causing homelessness. What should the service plan include?</x:v>
      </x:c>
      <x:c r="G349" s="83" t="str">
        <x:v>A conclusion that repeated loss proves treatment failure.</x:v>
      </x:c>
      <x:c r="H349" s="83" t="str">
        <x:v>Only a housing referral.</x:v>
      </x:c>
      <x:c r="I349" s="83" t="str">
        <x:v>Only symptom-focused psychotherapy.</x:v>
      </x:c>
      <x:c r="J349" s="83" t="str">
        <x:v>Relapse monitoring, medication coordination, benefits advocacy, housing-rights resources, crisis contingencies, and client-defined goals.</x:v>
      </x:c>
      <x:c r="K349" s="83" t="str">
        <x:v>D</x:v>
      </x:c>
      <x:c r="L349" s="83" t="str">
        <x:v>Incorrect. Housing loss does not necessarily reflect clinical nonresponse.</x:v>
      </x:c>
      <x:c r="M349" s="83" t="str">
        <x:v>Incorrect. A single referral may not address recurring system failures.</x:v>
      </x:c>
      <x:c r="N349" s="83" t="str">
        <x:v>Incorrect. Symptoms are only one part of the problem.</x:v>
      </x:c>
      <x:c r="O349" s="83" t="str">
        <x:v>Correct. Sustainable planning must address clinical stability and systemic barriers.</x:v>
      </x:c>
      <x:c r="P349" s="83" t="str">
        <x:v>A. Incorrect. Housing loss does not necessarily reflect clinical nonresponse.
B. Incorrect. A single referral may not address recurring system failures.
C. Incorrect. Symptoms are only one part of the problem.
D. Correct. Sustainable planning must address clinical stability and systemic barriers.</x:v>
      </x:c>
      <x:c r="Q349" s="83" t="str">
        <x:v>Integrated plans connect treatment, resources, rights, and prevention.</x:v>
      </x:c>
      <x:c r="R349" s="89" t="str">
        <x:v>CTA LCSW WB3–WB7; ASWB 2026 Clinical Content Area II</x:v>
      </x:c>
    </x:row>
    <x:row r="350">
      <x:c r="A350" s="88" t="str">
        <x:v>CTA-LCSW-MQB-0349</x:v>
      </x:c>
      <x:c r="B350" s="83" t="str">
        <x:v>LCSW-MQB-FB-AP-008</x:v>
      </x:c>
      <x:c r="C350" s="83" t="str">
        <x:v>Comprehensive Simulation</x:v>
      </x:c>
      <x:c r="D350" s="83" t="str">
        <x:v>Form B</x:v>
      </x:c>
      <x:c r="E350" s="83" t="n">
        <x:v>3</x:v>
      </x:c>
      <x:c r="F350" s="83" t="str">
        <x:v>Three days after an antidepressant increase, a client develops marked restlessness, reduced sleep, and irritability. What should the social worker do next?</x:v>
      </x:c>
      <x:c r="G350" s="83" t="str">
        <x:v>Assume the symptoms are purely psychological.</x:v>
      </x:c>
      <x:c r="H350" s="83" t="str">
        <x:v>Tell the client to stop the medication.</x:v>
      </x:c>
      <x:c r="I350" s="83" t="str">
        <x:v>Clarify timing, severity, safety impact, and prescriber instructions, and coordinate prompt medical follow-up within scope.</x:v>
      </x:c>
      <x:c r="J350" s="83" t="str"/>
      <x:c r="K350" s="83" t="str">
        <x:v>C</x:v>
      </x:c>
      <x:c r="L350" s="83" t="str">
        <x:v>Incorrect. Medical contributors should not be dismissed.</x:v>
      </x:c>
      <x:c r="M350" s="83" t="str">
        <x:v>Incorrect. Medication changes should be directed by an authorized prescriber unless emergency care is needed.</x:v>
      </x:c>
      <x:c r="N350" s="83" t="str">
        <x:v>Correct. The temporal relationship may indicate a medication effect requiring assessment and prescriber coordination.</x:v>
      </x:c>
      <x:c r="O350" s="83" t="str"/>
      <x:c r="P350" s="83" t="str">
        <x:v>A. Incorrect. Medical contributors should not be dismissed.
B. Incorrect. Medication changes should be directed by an authorized prescriber unless emergency care is needed.
C. Correct. The temporal relationship may indicate a medication effect requiring assessment and prescriber coordination.</x:v>
      </x:c>
      <x:c r="Q350" s="83" t="str">
        <x:v>New symptoms after a medication change require chronology and urgency assessment.</x:v>
      </x:c>
      <x:c r="R350" s="89" t="str">
        <x:v>CTA LCSW WB5; ASWB 2026 Clinical Content Area II</x:v>
      </x:c>
    </x:row>
    <x:row r="351">
      <x:c r="A351" s="88" t="str">
        <x:v>CTA-LCSW-MQB-0350</x:v>
      </x:c>
      <x:c r="B351" s="83" t="str">
        <x:v>LCSW-MQB-FB-IP-012</x:v>
      </x:c>
      <x:c r="C351" s="83" t="str">
        <x:v>Comprehensive Simulation</x:v>
      </x:c>
      <x:c r="D351" s="83" t="str">
        <x:v>Form B</x:v>
      </x:c>
      <x:c r="E351" s="83" t="n">
        <x:v>3</x:v>
      </x:c>
      <x:c r="F351" s="83" t="str">
        <x:v>In a support group, two members answer nearly every question and quieter participants stop contributing. What should the facilitator do?</x:v>
      </x:c>
      <x:c r="G351" s="83" t="str">
        <x:v>Let the pattern continue.</x:v>
      </x:c>
      <x:c r="H351" s="83" t="str">
        <x:v>Publicly criticize their personalities.</x:v>
      </x:c>
      <x:c r="I351" s="83" t="str">
        <x:v>Acknowledge their contributions, restate participation norms, and invite less-heard members in without shaming anyone.</x:v>
      </x:c>
      <x:c r="J351" s="83" t="str"/>
      <x:c r="K351" s="83" t="str">
        <x:v>C</x:v>
      </x:c>
      <x:c r="L351" s="83" t="str">
        <x:v>Incorrect. Silence reinforces the imbalance.</x:v>
      </x:c>
      <x:c r="M351" s="83" t="str">
        <x:v>Incorrect. Shame undermines safety.</x:v>
      </x:c>
      <x:c r="N351" s="83" t="str">
        <x:v>Correct. The facilitator protects equitable participation through structure and respectful redirection.</x:v>
      </x:c>
      <x:c r="O351" s="83" t="str"/>
      <x:c r="P351" s="83" t="str">
        <x:v>A. Incorrect. Silence reinforces the imbalance.
B. Incorrect. Shame undermines safety.
C. Correct. The facilitator protects equitable participation through structure and respectful redirection.</x:v>
      </x:c>
      <x:c r="Q351" s="83" t="str">
        <x:v>Manage the process, not the members’ character.</x:v>
      </x:c>
      <x:c r="R351" s="89" t="str">
        <x:v>CTA LCSW WB8–WB11; ASWB 2026 Clinical Content Area III</x:v>
      </x:c>
    </x:row>
    <x:row r="352">
      <x:c r="A352" s="88" t="str">
        <x:v>CTA-LCSW-MQB-0351</x:v>
      </x:c>
      <x:c r="B352" s="83" t="str">
        <x:v>LCSW-MQB-FB-VE-020</x:v>
      </x:c>
      <x:c r="C352" s="83" t="str">
        <x:v>Comprehensive Simulation</x:v>
      </x:c>
      <x:c r="D352" s="83" t="str">
        <x:v>Form B</x:v>
      </x:c>
      <x:c r="E352" s="83" t="n">
        <x:v>3</x:v>
      </x:c>
      <x:c r="F352" s="83" t="str">
        <x:v>A social worker encounters competing ethical duties and is unsure whether an exception applies. When would consultation add the most value?</x:v>
      </x:c>
      <x:c r="G352" s="83" t="str">
        <x:v>When the social worker has identified competing duties or uncertainty and seeks focused input without transferring responsibility.</x:v>
      </x:c>
      <x:c r="H352" s="83" t="str">
        <x:v>Whenever the social worker wants another person to make the decision.</x:v>
      </x:c>
      <x:c r="I352" s="83" t="str">
        <x:v>Only when the client agrees with the proposed action.</x:v>
      </x:c>
      <x:c r="J352" s="83" t="str"/>
      <x:c r="K352" s="83" t="str">
        <x:v>A</x:v>
      </x:c>
      <x:c r="L352" s="83" t="str">
        <x:v>Correct. Consultation improves analysis while the social worker remains accountable for the decision.</x:v>
      </x:c>
      <x:c r="M352" s="83" t="str">
        <x:v>Incorrect. Responsibility cannot simply be delegated.</x:v>
      </x:c>
      <x:c r="N352" s="83" t="str">
        <x:v>Incorrect. Client agreement does not determine whether consultation is needed.</x:v>
      </x:c>
      <x:c r="O352" s="83" t="str"/>
      <x:c r="P352" s="83" t="str">
        <x:v>A. Correct. Consultation improves analysis while the social worker remains accountable for the decision.
B. Incorrect. Responsibility cannot simply be delegated.
C. Incorrect. Client agreement does not determine whether consultation is needed.</x:v>
      </x:c>
      <x:c r="Q352" s="83" t="str">
        <x:v>Use consultation to improve reasoning, not to outsource judgment.</x:v>
      </x:c>
      <x:c r="R352" s="89" t="str">
        <x:v>CTA LCSW WB2; CTA LCSW WB12; ASWB 2026 Clinical Content Area I</x:v>
      </x:c>
    </x:row>
    <x:row r="353">
      <x:c r="A353" s="88" t="str">
        <x:v>CTA-LCSW-MQB-0352</x:v>
      </x:c>
      <x:c r="B353" s="83" t="str">
        <x:v>LCSW-MQB-FB-VE-036</x:v>
      </x:c>
      <x:c r="C353" s="83" t="str">
        <x:v>Comprehensive Simulation</x:v>
      </x:c>
      <x:c r="D353" s="83" t="str">
        <x:v>Form B</x:v>
      </x:c>
      <x:c r="E353" s="83" t="n">
        <x:v>4</x:v>
      </x:c>
      <x:c r="F353" s="83" t="str">
        <x:v>A client says the social worker relied on a stereotype and felt dismissive of an important cultural practice. What should the social worker do first?</x:v>
      </x:c>
      <x:c r="G353" s="83" t="str">
        <x:v>Explain that good intentions eliminate harm.</x:v>
      </x:c>
      <x:c r="H353" s="83" t="str">
        <x:v>Listen without defensiveness, clarify the impact, acknowledge responsibility where appropriate, and consider repair and consultation.</x:v>
      </x:c>
      <x:c r="I353" s="83" t="str">
        <x:v>End services to avoid further conflict.</x:v>
      </x:c>
      <x:c r="J353" s="83" t="str">
        <x:v>Tell the client the assumption was clinically necessary.</x:v>
      </x:c>
      <x:c r="K353" s="83" t="str">
        <x:v>B</x:v>
      </x:c>
      <x:c r="L353" s="83" t="str">
        <x:v>Incorrect. Intent does not erase impact.</x:v>
      </x:c>
      <x:c r="M353" s="83" t="str">
        <x:v>Correct. Repair begins with openness to the client’s experience and examination of power and impact.</x:v>
      </x:c>
      <x:c r="N353" s="83" t="str">
        <x:v>Incorrect. Termination may compound harm and is premature.</x:v>
      </x:c>
      <x:c r="O353" s="83" t="str">
        <x:v>Incorrect. Defensiveness blocks learning and repair.</x:v>
      </x:c>
      <x:c r="P353" s="83" t="str">
        <x:v>A. Incorrect. Intent does not erase impact.
B. Correct. Repair begins with openness to the client’s experience and examination of power and impact.
C. Incorrect. Termination may compound harm and is premature.
D. Incorrect. Defensiveness blocks learning and repair.</x:v>
      </x:c>
      <x:c r="Q353" s="83" t="str">
        <x:v>The first task is to understand impact, not defend intent.</x:v>
      </x:c>
      <x:c r="R353" s="89" t="str">
        <x:v>CTA LCSW WB2; ASWB 2026 Clinical Content Area I</x:v>
      </x:c>
    </x:row>
    <x:row r="354">
      <x:c r="A354" s="88" t="str">
        <x:v>CTA-LCSW-MQB-0353</x:v>
      </x:c>
      <x:c r="B354" s="83" t="str">
        <x:v>LCSW-MQB-FB-AP-011</x:v>
      </x:c>
      <x:c r="C354" s="83" t="str">
        <x:v>Comprehensive Simulation</x:v>
      </x:c>
      <x:c r="D354" s="83" t="str">
        <x:v>Form B</x:v>
      </x:c>
      <x:c r="E354" s="83" t="n">
        <x:v>3</x:v>
      </x:c>
      <x:c r="F354" s="83" t="str">
        <x:v>A client calls weekend drinking “normal,” yet reports blackouts, missed shifts, and repeated conflict about alcohol. What line of questioning is most useful?</x:v>
      </x:c>
      <x:c r="G354" s="83" t="str">
        <x:v>Whether the client considers the drinking immoral.</x:v>
      </x:c>
      <x:c r="H354" s="83" t="str">
        <x:v>Behaviorally specific questions about amount, frequency, consequences, tolerance, withdrawal, control, and readiness for change.</x:v>
      </x:c>
      <x:c r="I354" s="83" t="str">
        <x:v>Whether the client wants a diagnosis today.</x:v>
      </x:c>
      <x:c r="J354" s="83" t="str"/>
      <x:c r="K354" s="83" t="str">
        <x:v>B</x:v>
      </x:c>
      <x:c r="L354" s="83" t="str">
        <x:v>Incorrect. Moral judgment does not assess severity.</x:v>
      </x:c>
      <x:c r="M354" s="83" t="str">
        <x:v>Correct. Specific pattern and consequence questions are more informative than labels.</x:v>
      </x:c>
      <x:c r="N354" s="83" t="str">
        <x:v>Incorrect. Diagnosis should follow adequate assessment.</x:v>
      </x:c>
      <x:c r="O354" s="83" t="str"/>
      <x:c r="P354" s="83" t="str">
        <x:v>A. Incorrect. Moral judgment does not assess severity.
B. Correct. Specific pattern and consequence questions are more informative than labels.
C. Incorrect. Diagnosis should follow adequate assessment.</x:v>
      </x:c>
      <x:c r="Q354" s="83" t="str">
        <x:v>Translate vague labels into observable behavior and impact.</x:v>
      </x:c>
      <x:c r="R354" s="89" t="str">
        <x:v>CTA LCSW WB3–WB7; ASWB 2026 Clinical Content Area II</x:v>
      </x:c>
    </x:row>
    <x:row r="355">
      <x:c r="A355" s="88" t="str">
        <x:v>CTA-LCSW-MQB-0354</x:v>
      </x:c>
      <x:c r="B355" s="83" t="str">
        <x:v>LCSW-MQB-FB-VE-038</x:v>
      </x:c>
      <x:c r="C355" s="83" t="str">
        <x:v>Comprehensive Simulation</x:v>
      </x:c>
      <x:c r="D355" s="83" t="str">
        <x:v>Form B</x:v>
      </x:c>
      <x:c r="E355" s="83" t="n">
        <x:v>4</x:v>
      </x:c>
      <x:c r="F355" s="83" t="str">
        <x:v>A client communicates a specific and credible threat against a named person and withdraws permission to contact anyone. What should the social worker do?</x:v>
      </x:c>
      <x:c r="G355" s="83" t="str">
        <x:v>Complete a focused threat assessment, take protective action required by applicable law and policy, limit disclosure to the safety purpose, and document the reasoning.</x:v>
      </x:c>
      <x:c r="H355" s="83" t="str">
        <x:v>Honor the revocation and take no action.</x:v>
      </x:c>
      <x:c r="I355" s="83" t="str">
        <x:v>Terminate and leave all decisions to the client.</x:v>
      </x:c>
      <x:c r="J355" s="83" t="str">
        <x:v>Disclose the entire record to everyone who might know the person.</x:v>
      </x:c>
      <x:c r="K355" s="83" t="str">
        <x:v>A</x:v>
      </x:c>
      <x:c r="L355" s="83" t="str">
        <x:v>Correct. A serious safety duty may override ordinary confidentiality, but disclosure should remain purpose-limited.</x:v>
      </x:c>
      <x:c r="M355" s="83" t="str">
        <x:v>Incorrect. Authorization is not always the only basis for protective action.</x:v>
      </x:c>
      <x:c r="N355" s="83" t="str">
        <x:v>Incorrect. Termination does not resolve an immediate threat.</x:v>
      </x:c>
      <x:c r="O355" s="83" t="str">
        <x:v>Incorrect. Broad disclosure exceeds what safety may require.</x:v>
      </x:c>
      <x:c r="P355" s="83" t="str">
        <x:v>A. Correct. A serious safety duty may override ordinary confidentiality, but disclosure should remain purpose-limited.
B. Incorrect. Authorization is not always the only basis for protective action.
C. Incorrect. Termination does not resolve an immediate threat.
D. Incorrect. Broad disclosure exceeds what safety may require.</x:v>
      </x:c>
      <x:c r="Q355" s="83" t="str">
        <x:v>Integrated ethics questions often require both action and restraint: protect, but disclose no more than necessary.</x:v>
      </x:c>
      <x:c r="R355" s="89" t="str">
        <x:v>CTA LCSW WB2; CTA LCSW WB12; ASWB 2026 Clinical Content Area I</x:v>
      </x:c>
    </x:row>
    <x:row r="356">
      <x:c r="A356" s="88" t="str">
        <x:v>CTA-LCSW-MQB-0355</x:v>
      </x:c>
      <x:c r="B356" s="83" t="str">
        <x:v>LCSW-MQB-FB-IP-002</x:v>
      </x:c>
      <x:c r="C356" s="83" t="str">
        <x:v>Comprehensive Simulation</x:v>
      </x:c>
      <x:c r="D356" s="83" t="str">
        <x:v>Form B</x:v>
      </x:c>
      <x:c r="E356" s="83" t="n">
        <x:v>3</x:v>
      </x:c>
      <x:c r="F356" s="83" t="str">
        <x:v>Why should a clinical program routinely compare participant outcomes with the services that were delivered?</x:v>
      </x:c>
      <x:c r="G356" s="83" t="str">
        <x:v>To prove every client will improve.</x:v>
      </x:c>
      <x:c r="H356" s="83" t="str">
        <x:v>To determine whether services are producing intended results and guide improvement.</x:v>
      </x:c>
      <x:c r="I356" s="83" t="str">
        <x:v>To punish clients who do not meet goals.</x:v>
      </x:c>
      <x:c r="J356" s="83" t="str"/>
      <x:c r="K356" s="83" t="str">
        <x:v>B</x:v>
      </x:c>
      <x:c r="L356" s="83" t="str">
        <x:v>Incorrect. No program can guarantee outcomes.</x:v>
      </x:c>
      <x:c r="M356" s="83" t="str">
        <x:v>Correct. Evaluation supports accountability and learning while recognizing individual variation.</x:v>
      </x:c>
      <x:c r="N356" s="83" t="str">
        <x:v>Incorrect. Client difficulty is not misconduct.</x:v>
      </x:c>
      <x:c r="O356" s="83" t="str"/>
      <x:c r="P356" s="83" t="str">
        <x:v>A. Incorrect. No program can guarantee outcomes.
B. Correct. Evaluation supports accountability and learning while recognizing individual variation.
C. Incorrect. Client difficulty is not misconduct.</x:v>
      </x:c>
      <x:c r="Q356" s="83" t="str">
        <x:v>Evaluation asks whether the service works and how it can improve.</x:v>
      </x:c>
      <x:c r="R356" s="89" t="str">
        <x:v>CTA LCSW WB10; CTA LCSW WB11; ASWB 2026 Clinical Content Area III</x:v>
      </x:c>
    </x:row>
    <x:row r="357">
      <x:c r="A357" s="88" t="str">
        <x:v>CTA-LCSW-MQB-0356</x:v>
      </x:c>
      <x:c r="B357" s="83" t="str">
        <x:v>LCSW-MQB-FB-VE-030</x:v>
      </x:c>
      <x:c r="C357" s="83" t="str">
        <x:v>Comprehensive Simulation</x:v>
      </x:c>
      <x:c r="D357" s="83" t="str">
        <x:v>Form B</x:v>
      </x:c>
      <x:c r="E357" s="83" t="n">
        <x:v>4</x:v>
      </x:c>
      <x:c r="F357" s="83" t="str">
        <x:v>A supervisee observes that the supervisor is increasingly disorganized, unavailable during crises, and inconsistent in direction. What should the supervisee do first?</x:v>
      </x:c>
      <x:c r="G357" s="83" t="str">
        <x:v>Document specific observations, address immediate client risk, and use appropriate organizational or professional channels.</x:v>
      </x:c>
      <x:c r="H357" s="83" t="str">
        <x:v>Diagnose the supervisor.</x:v>
      </x:c>
      <x:c r="I357" s="83" t="str">
        <x:v>Ignore the concern until a complaint occurs.</x:v>
      </x:c>
      <x:c r="J357" s="83" t="str">
        <x:v>Discuss suspicions with clients.</x:v>
      </x:c>
      <x:c r="K357" s="83" t="str">
        <x:v>A</x:v>
      </x:c>
      <x:c r="L357" s="83" t="str">
        <x:v>Correct. The response should focus on observable functioning and client protection.</x:v>
      </x:c>
      <x:c r="M357" s="83" t="str">
        <x:v>Incorrect. A diagnosis cannot be made from workplace observations alone.</x:v>
      </x:c>
      <x:c r="N357" s="83" t="str">
        <x:v>Incorrect. Waiting for harm is not responsible.</x:v>
      </x:c>
      <x:c r="O357" s="83" t="str">
        <x:v>Incorrect. Client discussion may be unnecessary and harmful.</x:v>
      </x:c>
      <x:c r="P357" s="83" t="str">
        <x:v>A. Correct. The response should focus on observable functioning and client protection.
B. Incorrect. A diagnosis cannot be made from workplace observations alone.
C. Incorrect. Waiting for harm is not responsible.
D. Incorrect. Client discussion may be unnecessary and harmful.</x:v>
      </x:c>
      <x:c r="Q357" s="83" t="str">
        <x:v>Describe conduct and risk; do not substitute rumor or diagnosis.</x:v>
      </x:c>
      <x:c r="R357" s="89" t="str">
        <x:v>CTA LCSW WB2; CTA LCSW WB12; ASWB 2026 Clinical Content Area I</x:v>
      </x:c>
    </x:row>
    <x:row r="358">
      <x:c r="A358" s="88" t="str">
        <x:v>CTA-LCSW-MQB-0357</x:v>
      </x:c>
      <x:c r="B358" s="83" t="str">
        <x:v>LCSW-MQB-FB-VE-002</x:v>
      </x:c>
      <x:c r="C358" s="83" t="str">
        <x:v>Comprehensive Simulation</x:v>
      </x:c>
      <x:c r="D358" s="83" t="str">
        <x:v>Form B</x:v>
      </x:c>
      <x:c r="E358" s="83" t="n">
        <x:v>3</x:v>
      </x:c>
      <x:c r="F358" s="83" t="str">
        <x:v>At a second session, a client reveals that the service, likely risks, and alternatives were not understood when the forms were signed. What is the most accurate conclusion?</x:v>
      </x:c>
      <x:c r="G358" s="83" t="str">
        <x:v>It is a signature obtained only at intake.</x:v>
      </x:c>
      <x:c r="H358" s="83" t="str">
        <x:v>It is an ongoing process of understandable disclosure, comprehension, voluntariness, and agreement.</x:v>
      </x:c>
      <x:c r="I358" s="83" t="str">
        <x:v>It is a waiver that protects the agency from all complaints.</x:v>
      </x:c>
      <x:c r="J358" s="83" t="str"/>
      <x:c r="K358" s="83" t="str">
        <x:v>B</x:v>
      </x:c>
      <x:c r="L358" s="83" t="str">
        <x:v>Incorrect. A form may document consent but does not replace the process.</x:v>
      </x:c>
      <x:c r="M358" s="83" t="str">
        <x:v>Correct. Consent must remain meaningful as services, risks, roles, or circumstances change.</x:v>
      </x:c>
      <x:c r="N358" s="83" t="str">
        <x:v>Incorrect. Consent is not a liability waiver.</x:v>
      </x:c>
      <x:c r="O358" s="83" t="str"/>
      <x:c r="P358" s="83" t="str">
        <x:v>A. Incorrect. A form may document consent but does not replace the process.
B. Correct. Consent must remain meaningful as services, risks, roles, or circumstances change.
C. Incorrect. Consent is not a liability waiver.</x:v>
      </x:c>
      <x:c r="Q358" s="83" t="str">
        <x:v>When paperwork is contrasted with a process, select the process.</x:v>
      </x:c>
      <x:c r="R358" s="89" t="str">
        <x:v>CTA LCSW WB2; ASWB 2026 Clinical Content Area I</x:v>
      </x:c>
    </x:row>
    <x:row r="359">
      <x:c r="A359" s="88" t="str">
        <x:v>CTA-LCSW-MQB-0358</x:v>
      </x:c>
      <x:c r="B359" s="83" t="str">
        <x:v>LCSW-MQB-FB-IP-007</x:v>
      </x:c>
      <x:c r="C359" s="83" t="str">
        <x:v>Comprehensive Simulation</x:v>
      </x:c>
      <x:c r="D359" s="83" t="str">
        <x:v>Form B</x:v>
      </x:c>
      <x:c r="E359" s="83" t="n">
        <x:v>3</x:v>
      </x:c>
      <x:c r="F359" s="83" t="str">
        <x:v>Relatives assume that a family member no longer needs follow-up because psychotic symptoms have decreased. What should the social worker do?</x:v>
      </x:c>
      <x:c r="G359" s="83" t="str">
        <x:v>Provide understandable information about relapse risk, early warning signs, treatment roles, and how the family can support the client’s choices.</x:v>
      </x:c>
      <x:c r="H359" s="83" t="str">
        <x:v>Tell the family they must enforce medication.</x:v>
      </x:c>
      <x:c r="I359" s="83" t="str">
        <x:v>Avoid education because it is not therapy.</x:v>
      </x:c>
      <x:c r="J359" s="83" t="str"/>
      <x:c r="K359" s="83" t="str">
        <x:v>A</x:v>
      </x:c>
      <x:c r="L359" s="83" t="str">
        <x:v>Correct. Psychoeducation supports informed collaboration without shifting control to family members.</x:v>
      </x:c>
      <x:c r="M359" s="83" t="str">
        <x:v>Incorrect. Family support does not authorize coercion.</x:v>
      </x:c>
      <x:c r="N359" s="83" t="str">
        <x:v>Incorrect. Education is a legitimate intervention.</x:v>
      </x:c>
      <x:c r="O359" s="83" t="str"/>
      <x:c r="P359" s="83" t="str">
        <x:v>A. Correct. Psychoeducation supports informed collaboration without shifting control to family members.
B. Incorrect. Family support does not authorize coercion.
C. Incorrect. Education is a legitimate intervention.</x:v>
      </x:c>
      <x:c r="Q359" s="83" t="str">
        <x:v>Teach risk and support roles without making promises or creating family policing.</x:v>
      </x:c>
      <x:c r="R359" s="89" t="str">
        <x:v>CTA LCSW WB8–WB11; ASWB 2026 Clinical Content Area III</x:v>
      </x:c>
    </x:row>
    <x:row r="360">
      <x:c r="A360" s="88" t="str">
        <x:v>CTA-LCSW-MQB-0359</x:v>
      </x:c>
      <x:c r="B360" s="83" t="str">
        <x:v>LCSW-MQB-FB-AP-027</x:v>
      </x:c>
      <x:c r="C360" s="83" t="str">
        <x:v>Comprehensive Simulation</x:v>
      </x:c>
      <x:c r="D360" s="83" t="str">
        <x:v>Form B</x:v>
      </x:c>
      <x:c r="E360" s="83" t="n">
        <x:v>4</x:v>
      </x:c>
      <x:c r="F360" s="83" t="str">
        <x:v>When asked for trauma details, a client stares blankly, stops tracking the conversation, and appears disconnected from the room. What should the social worker do first?</x:v>
      </x:c>
      <x:c r="G360" s="83" t="str">
        <x:v>Pause the detail, orient the client to the present, assess dissociation and safety, and restore choice and regulation.</x:v>
      </x:c>
      <x:c r="H360" s="83" t="str">
        <x:v>End treatment permanently.</x:v>
      </x:c>
      <x:c r="I360" s="83" t="str">
        <x:v>Continue because complete details are required.</x:v>
      </x:c>
      <x:c r="J360" s="83" t="str">
        <x:v>Confront the client for avoiding.</x:v>
      </x:c>
      <x:c r="K360" s="83" t="str">
        <x:v>A</x:v>
      </x:c>
      <x:c r="L360" s="83" t="str">
        <x:v>Correct. The presentation may reflect dissociation; stabilization and control take priority over detail gathering.</x:v>
      </x:c>
      <x:c r="M360" s="83" t="str">
        <x:v>Incorrect. A manageable episode does not require permanent termination.</x:v>
      </x:c>
      <x:c r="N360" s="83" t="str">
        <x:v>Incorrect. Pressing may intensify dysregulation.</x:v>
      </x:c>
      <x:c r="O360" s="83" t="str">
        <x:v>Incorrect. Intent should not be assumed.</x:v>
      </x:c>
      <x:c r="P360" s="83" t="str">
        <x:v>A. Correct. The presentation may reflect dissociation; stabilization and control take priority over detail gathering.
B. Incorrect. A manageable episode does not require permanent termination.
C. Incorrect. Pressing may intensify dysregulation.
D. Incorrect. Intent should not be assumed.</x:v>
      </x:c>
      <x:c r="Q360" s="83" t="str">
        <x:v>When arousal or detachment rises, slow down before collecting more history.</x:v>
      </x:c>
      <x:c r="R360" s="89" t="str">
        <x:v>CTA LCSW WB6; ASWB 2026 Clinical Content Area II</x:v>
      </x:c>
    </x:row>
    <x:row r="361">
      <x:c r="A361" s="88" t="str">
        <x:v>CTA-LCSW-MQB-0360</x:v>
      </x:c>
      <x:c r="B361" s="83" t="str">
        <x:v>LCSW-MQB-FB-AP-005</x:v>
      </x:c>
      <x:c r="C361" s="83" t="str">
        <x:v>Comprehensive Simulation</x:v>
      </x:c>
      <x:c r="D361" s="83" t="str">
        <x:v>Form B</x:v>
      </x:c>
      <x:c r="E361" s="83" t="n">
        <x:v>3</x:v>
      </x:c>
      <x:c r="F361" s="83" t="str">
        <x:v>At intake, a client answers a structured checklist with one-word responses and asks what the information will be used for. What is the best next interviewing step?</x:v>
      </x:c>
      <x:c r="G361" s="83" t="str">
        <x:v>Label the client resistant.</x:v>
      </x:c>
      <x:c r="H361" s="83" t="str">
        <x:v>Explain the assessment purpose, use a broad invitation, and then follow with focused clarification.</x:v>
      </x:c>
      <x:c r="I361" s="83" t="str">
        <x:v>Obtain collateral records instead of engaging the client.</x:v>
      </x:c>
      <x:c r="J361" s="83" t="str"/>
      <x:c r="K361" s="83" t="str">
        <x:v>B</x:v>
      </x:c>
      <x:c r="L361" s="83" t="str">
        <x:v>Incorrect. Brief responses can reflect anxiety, culture, mistrust, or confusion.</x:v>
      </x:c>
      <x:c r="M361" s="83" t="str">
        <x:v>Correct. Transparency and open-ended engagement improve trust and the quality of information.</x:v>
      </x:c>
      <x:c r="N361" s="83" t="str">
        <x:v>Incorrect. Records do not replace direct engagement.</x:v>
      </x:c>
      <x:c r="O361" s="83" t="str"/>
      <x:c r="P361" s="83" t="str">
        <x:v>A. Incorrect. Brief responses can reflect anxiety, culture, mistrust, or confusion.
B. Correct. Transparency and open-ended engagement improve trust and the quality of information.
C. Incorrect. Records do not replace direct engagement.</x:v>
      </x:c>
      <x:c r="Q361" s="83" t="str">
        <x:v>Explain why you are asking before interpreting how the client answers.</x:v>
      </x:c>
      <x:c r="R361" s="89" t="str">
        <x:v>CTA LCSW WB3–WB7; ASWB 2026 Clinical Content Area II</x:v>
      </x:c>
    </x:row>
    <x:row r="362">
      <x:c r="A362" s="88" t="str">
        <x:v>CTA-LCSW-MQB-0361</x:v>
      </x:c>
      <x:c r="B362" s="83" t="str">
        <x:v>LCSW-MQB-FB-IP-031</x:v>
      </x:c>
      <x:c r="C362" s="83" t="str">
        <x:v>Comprehensive Simulation</x:v>
      </x:c>
      <x:c r="D362" s="83" t="str">
        <x:v>Form B</x:v>
      </x:c>
      <x:c r="E362" s="83" t="n">
        <x:v>4</x:v>
      </x:c>
      <x:c r="F362" s="83" t="str">
        <x:v>A community group has been culturally modified, but staff have removed the core practice elements associated with benefit. What should the program social worker do?</x:v>
      </x:c>
      <x:c r="G362" s="83" t="str">
        <x:v>Stop evaluation to avoid criticism.</x:v>
      </x:c>
      <x:c r="H362" s="83" t="str">
        <x:v>Return to the original format without community input.</x:v>
      </x:c>
      <x:c r="I362" s="83" t="str">
        <x:v>Keep every adaptation regardless of effectiveness.</x:v>
      </x:c>
      <x:c r="J362" s="83" t="str">
        <x:v>Identify the intervention’s essential elements, collaborate with the community on acceptable adaptations, and monitor outcomes.</x:v>
      </x:c>
      <x:c r="K362" s="83" t="str">
        <x:v>D</x:v>
      </x:c>
      <x:c r="L362" s="83" t="str">
        <x:v>Incorrect. Evaluation is needed to learn.</x:v>
      </x:c>
      <x:c r="M362" s="83" t="str">
        <x:v>Incorrect. Rigid return may reduce relevance.</x:v>
      </x:c>
      <x:c r="N362" s="83" t="str">
        <x:v>Incorrect. Not every change preserves effectiveness.</x:v>
      </x:c>
      <x:c r="O362" s="83" t="str">
        <x:v>Correct. Good adaptation balances cultural fit with preservation of active ingredients and outcome monitoring.</x:v>
      </x:c>
      <x:c r="P362" s="83" t="str">
        <x:v>A. Incorrect. Evaluation is needed to learn.
B. Incorrect. Rigid return may reduce relevance.
C. Incorrect. Not every change preserves effectiveness.
D. Correct. Good adaptation balances cultural fit with preservation of active ingredients and outcome monitoring.</x:v>
      </x:c>
      <x:c r="Q362" s="83" t="str">
        <x:v>Adapt form thoughtfully while protecting function.</x:v>
      </x:c>
      <x:c r="R362" s="89" t="str">
        <x:v>CTA LCSW WB10; CTA LCSW WB11; ASWB 2026 Clinical Content Area III</x:v>
      </x:c>
    </x:row>
    <x:row r="363">
      <x:c r="A363" s="88" t="str">
        <x:v>CTA-LCSW-MQB-0362</x:v>
      </x:c>
      <x:c r="B363" s="83" t="str">
        <x:v>LCSW-MQB-FB-VE-004</x:v>
      </x:c>
      <x:c r="C363" s="83" t="str">
        <x:v>Comprehensive Simulation</x:v>
      </x:c>
      <x:c r="D363" s="83" t="str">
        <x:v>Form B</x:v>
      </x:c>
      <x:c r="E363" s="83" t="n">
        <x:v>3</x:v>
      </x:c>
      <x:c r="F363" s="83" t="str">
        <x:v>Which professional stance most closely reflects cultural humility in an assessment with a client whose background differs from the social worker’s?</x:v>
      </x:c>
      <x:c r="G363" s="83" t="str">
        <x:v>Memorizing a fixed list of traits for every culture.</x:v>
      </x:c>
      <x:c r="H363" s="83" t="str">
        <x:v>Avoiding discussion of identity to remain neutral.</x:v>
      </x:c>
      <x:c r="I363" s="83" t="str">
        <x:v>Ongoing self-reflection, attention to power, and curiosity about the client’s meanings rather than presumed expertise about a group.</x:v>
      </x:c>
      <x:c r="J363" s="83" t="str"/>
      <x:c r="K363" s="83" t="str">
        <x:v>C</x:v>
      </x:c>
      <x:c r="L363" s="83" t="str">
        <x:v>Incorrect. Group facts cannot substitute for individualized assessment.</x:v>
      </x:c>
      <x:c r="M363" s="83" t="str">
        <x:v>Incorrect. Avoidance can make important context invisible.</x:v>
      </x:c>
      <x:c r="N363" s="83" t="str">
        <x:v>Correct. Cultural humility is a continuing stance rather than mastery of stereotypes.</x:v>
      </x:c>
      <x:c r="O363" s="83" t="str"/>
      <x:c r="P363" s="83" t="str">
        <x:v>A. Incorrect. Group facts cannot substitute for individualized assessment.
B. Incorrect. Avoidance can make important context invisible.
C. Correct. Cultural humility is a continuing stance rather than mastery of stereotypes.</x:v>
      </x:c>
      <x:c r="Q363" s="83" t="str">
        <x:v>Look for openness, reflection, and collaborative meaning-making.</x:v>
      </x:c>
      <x:c r="R363" s="89" t="str">
        <x:v>CTA LCSW WB2; ASWB 2026 Clinical Content Area I</x:v>
      </x:c>
    </x:row>
    <x:row r="364">
      <x:c r="A364" s="88" t="str">
        <x:v>CTA-LCSW-MQB-0363</x:v>
      </x:c>
      <x:c r="B364" s="83" t="str">
        <x:v>LCSW-MQB-FB-VE-043</x:v>
      </x:c>
      <x:c r="C364" s="83" t="str">
        <x:v>Comprehensive Simulation</x:v>
      </x:c>
      <x:c r="D364" s="83" t="str">
        <x:v>Form B</x:v>
      </x:c>
      <x:c r="E364" s="83" t="n">
        <x:v>4</x:v>
      </x:c>
      <x:c r="F364" s="83" t="str">
        <x:v>Years after termination, a former client proposes a joint business venture that would benefit from the social worker’s professional contacts. What should the social worker do?</x:v>
      </x:c>
      <x:c r="G364" s="83" t="str">
        <x:v>Accept because treatment has ended.</x:v>
      </x:c>
      <x:c r="H364" s="83" t="str">
        <x:v>Accept if the former client signs a waiver.</x:v>
      </x:c>
      <x:c r="I364" s="83" t="str">
        <x:v>Evaluate the enduring power imbalance, risk of exploitation, prior treatment issues, and professional standards, and decline when the dual role could harm or exploit.</x:v>
      </x:c>
      <x:c r="J364" s="83" t="str">
        <x:v>Ask current clients to vote on the proposal.</x:v>
      </x:c>
      <x:c r="K364" s="83" t="str">
        <x:v>C</x:v>
      </x:c>
      <x:c r="L364" s="83" t="str">
        <x:v>Incorrect. Past professional power can remain relevant.</x:v>
      </x:c>
      <x:c r="M364" s="83" t="str">
        <x:v>Incorrect. A waiver does not remove ethical risk.</x:v>
      </x:c>
      <x:c r="N364" s="83" t="str">
        <x:v>Correct. Termination does not automatically erase influence, vulnerability, or conflict of interest.</x:v>
      </x:c>
      <x:c r="O364" s="83" t="str">
        <x:v>Incorrect. Other clients have no role in the decision.</x:v>
      </x:c>
      <x:c r="P364" s="83" t="str">
        <x:v>A. Incorrect. Past professional power can remain relevant.
B. Incorrect. A waiver does not remove ethical risk.
C. Correct. Termination does not automatically erase influence, vulnerability, or conflict of interest.
D. Incorrect. Other clients have no role in the decision.</x:v>
      </x:c>
      <x:c r="Q364" s="83" t="str">
        <x:v>Time alone does not neutralize a power imbalance.</x:v>
      </x:c>
      <x:c r="R364" s="89" t="str">
        <x:v>CTA LCSW WB2; CTA LCSW WB12; ASWB 2026 Clinical Content Area I</x:v>
      </x:c>
    </x:row>
    <x:row r="365">
      <x:c r="A365" s="88" t="str">
        <x:v>CTA-LCSW-MQB-0364</x:v>
      </x:c>
      <x:c r="B365" s="83" t="str">
        <x:v>LCSW-MQB-FB-AP-016</x:v>
      </x:c>
      <x:c r="C365" s="83" t="str">
        <x:v>Comprehensive Simulation</x:v>
      </x:c>
      <x:c r="D365" s="83" t="str">
        <x:v>Form B</x:v>
      </x:c>
      <x:c r="E365" s="83" t="n">
        <x:v>3</x:v>
      </x:c>
      <x:c r="F365" s="83" t="str">
        <x:v>A client with chronic pain misses specialty appointments because the accessible transit service is frequently unavailable. How should this information be represented in the assessment?</x:v>
      </x:c>
      <x:c r="G365" s="83" t="str">
        <x:v>Transportation accessibility, disability accommodations, finances, scheduling, support, and the effect of these barriers on health.</x:v>
      </x:c>
      <x:c r="H365" s="83" t="str">
        <x:v>A conclusion that the client is noncompliant.</x:v>
      </x:c>
      <x:c r="I365" s="83" t="str">
        <x:v>Only the medical diagnosis.</x:v>
      </x:c>
      <x:c r="J365" s="83" t="str"/>
      <x:c r="K365" s="83" t="str">
        <x:v>A</x:v>
      </x:c>
      <x:c r="L365" s="83" t="str">
        <x:v>Correct. Person-in-environment assessment includes structural and practical barriers.</x:v>
      </x:c>
      <x:c r="M365" s="83" t="str">
        <x:v>Incorrect. A label can obscure solvable barriers.</x:v>
      </x:c>
      <x:c r="N365" s="83" t="str">
        <x:v>Incorrect. Diagnosis alone does not explain access.</x:v>
      </x:c>
      <x:c r="O365" s="83" t="str"/>
      <x:c r="P365" s="83" t="str">
        <x:v>A. Correct. Person-in-environment assessment includes structural and practical barriers.
B. Incorrect. A label can obscure solvable barriers.
C. Incorrect. Diagnosis alone does not explain access.</x:v>
      </x:c>
      <x:c r="Q365" s="83" t="str">
        <x:v>Before labeling behavior, assess whether the system is usable.</x:v>
      </x:c>
      <x:c r="R365" s="89" t="str">
        <x:v>CTA LCSW WB3–WB7; ASWB 2026 Clinical Content Area II</x:v>
      </x:c>
    </x:row>
    <x:row r="366">
      <x:c r="A366" s="88" t="str">
        <x:v>CTA-LCSW-MQB-0365</x:v>
      </x:c>
      <x:c r="B366" s="83" t="str">
        <x:v>LCSW-MQB-FB-VE-024</x:v>
      </x:c>
      <x:c r="C366" s="83" t="str">
        <x:v>Comprehensive Simulation</x:v>
      </x:c>
      <x:c r="D366" s="83" t="str">
        <x:v>Form B</x:v>
      </x:c>
      <x:c r="E366" s="83" t="n">
        <x:v>3</x:v>
      </x:c>
      <x:c r="F366" s="83" t="str">
        <x:v>After receiving adequate information, a capable voluntary client refuses the recommended program. What should the social worker do next?</x:v>
      </x:c>
      <x:c r="G366" s="83" t="str">
        <x:v>Explore the client’s reasons, confirm understanding, discuss alternatives and risks, and respect the informed decision unless a specific safety or legal limit applies.</x:v>
      </x:c>
      <x:c r="H366" s="83" t="str">
        <x:v>Ask a family member to override the decision.</x:v>
      </x:c>
      <x:c r="I366" s="83" t="str">
        <x:v>Close the case immediately.</x:v>
      </x:c>
      <x:c r="J366" s="83" t="str"/>
      <x:c r="K366" s="83" t="str">
        <x:v>A</x:v>
      </x:c>
      <x:c r="L366" s="83" t="str">
        <x:v>Correct. Respectful exploration and documentation preserve autonomy and care options.</x:v>
      </x:c>
      <x:c r="M366" s="83" t="str">
        <x:v>Incorrect. Family relationship does not create decision authority.</x:v>
      </x:c>
      <x:c r="N366" s="83" t="str">
        <x:v>Incorrect. Refusal of one service does not automatically require termination.</x:v>
      </x:c>
      <x:c r="O366" s="83" t="str"/>
      <x:c r="P366" s="83" t="str">
        <x:v>A. Correct. Respectful exploration and documentation preserve autonomy and care options.
B. Incorrect. Family relationship does not create decision authority.
C. Incorrect. Refusal of one service does not automatically require termination.</x:v>
      </x:c>
      <x:c r="Q366" s="83" t="str">
        <x:v>Before reacting to refusal, verify understanding and identify what choices remain.</x:v>
      </x:c>
      <x:c r="R366" s="89" t="str">
        <x:v>CTA LCSW WB2; ASWB 2026 Clinical Content Area I</x:v>
      </x:c>
    </x:row>
    <x:row r="367">
      <x:c r="A367" s="88" t="str">
        <x:v>CTA-LCSW-MQB-0366</x:v>
      </x:c>
      <x:c r="B367" s="83" t="str">
        <x:v>LCSW-MQB-FB-IP-032</x:v>
      </x:c>
      <x:c r="C367" s="83" t="str">
        <x:v>Comprehensive Simulation</x:v>
      </x:c>
      <x:c r="D367" s="83" t="str">
        <x:v>Form B</x:v>
      </x:c>
      <x:c r="E367" s="83" t="n">
        <x:v>4</x:v>
      </x:c>
      <x:c r="F367" s="83" t="str">
        <x:v>Despite coaching, a supervisee continues overlooking warning signs in high-risk cases. What should the supervisor do?</x:v>
      </x:c>
      <x:c r="G367" s="83" t="str">
        <x:v>Increase direct oversight, review affected cases, provide targeted training, limit independent high-risk work, and evaluate competence progress.</x:v>
      </x:c>
      <x:c r="H367" s="83" t="str">
        <x:v>Document concern but take no action.</x:v>
      </x:c>
      <x:c r="I367" s="83" t="str">
        <x:v>Continue the same supervision plan.</x:v>
      </x:c>
      <x:c r="J367" s="83" t="str">
        <x:v>Assign more high-risk cases for practice.</x:v>
      </x:c>
      <x:c r="K367" s="83" t="str">
        <x:v>A</x:v>
      </x:c>
      <x:c r="L367" s="83" t="str">
        <x:v>Correct. Repeated safety errors require a proportionate competence and client-protection response.</x:v>
      </x:c>
      <x:c r="M367" s="83" t="str">
        <x:v>Incorrect. Documentation alone does not protect clients.</x:v>
      </x:c>
      <x:c r="N367" s="83" t="str">
        <x:v>Incorrect. Unchanged supervision has not corrected the issue.</x:v>
      </x:c>
      <x:c r="O367" s="83" t="str">
        <x:v>Incorrect. More independent exposure may increase harm.</x:v>
      </x:c>
      <x:c r="P367" s="83" t="str">
        <x:v>A. Correct. Repeated safety errors require a proportionate competence and client-protection response.
B. Incorrect. Documentation alone does not protect clients.
C. Incorrect. Unchanged supervision has not corrected the issue.
D. Incorrect. More independent exposure may increase harm.</x:v>
      </x:c>
      <x:c r="Q367" s="83" t="str">
        <x:v>Supervision must change when risk performance does not improve.</x:v>
      </x:c>
      <x:c r="R367" s="89" t="str">
        <x:v>CTA LCSW WB10; CTA LCSW WB11; ASWB 2026 Clinical Content Area III</x:v>
      </x:c>
    </x:row>
    <x:row r="368">
      <x:c r="A368" s="88" t="str">
        <x:v>CTA-LCSW-MQB-0367</x:v>
      </x:c>
      <x:c r="B368" s="83" t="str">
        <x:v>LCSW-MQB-FB-IP-024</x:v>
      </x:c>
      <x:c r="C368" s="83" t="str">
        <x:v>Comprehensive Simulation</x:v>
      </x:c>
      <x:c r="D368" s="83" t="str">
        <x:v>Form B</x:v>
      </x:c>
      <x:c r="E368" s="83" t="n">
        <x:v>4</x:v>
      </x:c>
      <x:c r="F368" s="83" t="str">
        <x:v>A client asks to start intensive trauma exposure despite frequent dissociation and an inability to use grounding skills. What should the social worker do?</x:v>
      </x:c>
      <x:c r="G368" s="83" t="str">
        <x:v>Tell the client dissociation is voluntary.</x:v>
      </x:c>
      <x:c r="H368" s="83" t="str">
        <x:v>Strengthen safety, grounding, and regulation first, then reassess readiness for paced trauma processing.</x:v>
      </x:c>
      <x:c r="I368" s="83" t="str">
        <x:v>Avoid trauma forever.</x:v>
      </x:c>
      <x:c r="J368" s="83" t="str">
        <x:v>Begin intensive exposure immediately.</x:v>
      </x:c>
      <x:c r="K368" s="83" t="str">
        <x:v>B</x:v>
      </x:c>
      <x:c r="L368" s="83" t="str">
        <x:v>Incorrect. Dissociation should not be moralized.</x:v>
      </x:c>
      <x:c r="M368" s="83" t="str">
        <x:v>Correct. Trauma processing requires adequate stability and collaborative pacing.</x:v>
      </x:c>
      <x:c r="N368" s="83" t="str">
        <x:v>Incorrect. Permanent avoidance may maintain symptoms.</x:v>
      </x:c>
      <x:c r="O368" s="83" t="str">
        <x:v>Incorrect. Premature exposure may worsen dysregulation.</x:v>
      </x:c>
      <x:c r="P368" s="83" t="str">
        <x:v>A. Incorrect. Dissociation should not be moralized.
B. Correct. Trauma processing requires adequate stability and collaborative pacing.
C. Incorrect. Permanent avoidance may maintain symptoms.
D. Incorrect. Premature exposure may worsen dysregulation.</x:v>
      </x:c>
      <x:c r="Q368" s="83" t="str">
        <x:v>Readiness is not desire alone; assess capacity to remain present and recover.</x:v>
      </x:c>
      <x:c r="R368" s="89" t="str">
        <x:v>CTA LCSW WB8–WB11; ASWB 2026 Clinical Content Area III</x:v>
      </x:c>
    </x:row>
    <x:row r="369">
      <x:c r="A369" s="88" t="str">
        <x:v>CTA-LCSW-MQB-0368</x:v>
      </x:c>
      <x:c r="B369" s="83" t="str">
        <x:v>LCSW-MQB-FB-VE-007</x:v>
      </x:c>
      <x:c r="C369" s="83" t="str">
        <x:v>Comprehensive Simulation</x:v>
      </x:c>
      <x:c r="D369" s="83" t="str">
        <x:v>Form B</x:v>
      </x:c>
      <x:c r="E369" s="83" t="n">
        <x:v>3</x:v>
      </x:c>
      <x:c r="F369" s="83" t="str">
        <x:v>A client can converse in English but cannot follow the legal and clinical terminology in the service agreement. What should the social worker do?</x:v>
      </x:c>
      <x:c r="G369" s="83" t="str">
        <x:v>Ask a young child in the family to interpret.</x:v>
      </x:c>
      <x:c r="H369" s="83" t="str">
        <x:v>Use qualified language assistance or accessible communication, explain the material plainly, and check understanding.</x:v>
      </x:c>
      <x:c r="I369" s="83" t="str">
        <x:v>Skip the consent topics that are difficult to translate.</x:v>
      </x:c>
      <x:c r="J369" s="83" t="str"/>
      <x:c r="K369" s="83" t="str">
        <x:v>B</x:v>
      </x:c>
      <x:c r="L369" s="83" t="str">
        <x:v>Incorrect. A child interpreter creates accuracy, privacy, and role concerns.</x:v>
      </x:c>
      <x:c r="M369" s="83" t="str">
        <x:v>Correct. Meaningful consent requires accurate, accessible communication and confirmation of comprehension.</x:v>
      </x:c>
      <x:c r="N369" s="83" t="str">
        <x:v>Incorrect. Required information should not be omitted.</x:v>
      </x:c>
      <x:c r="O369" s="83" t="str"/>
      <x:c r="P369" s="83" t="str">
        <x:v>A. Incorrect. A child interpreter creates accuracy, privacy, and role concerns.
B. Correct. Meaningful consent requires accurate, accessible communication and confirmation of comprehension.
C. Incorrect. Required information should not be omitted.</x:v>
      </x:c>
      <x:c r="Q369" s="83" t="str">
        <x:v>When the barrier is comprehension, improve communication rather than merely documenting the barrier.</x:v>
      </x:c>
      <x:c r="R369" s="89" t="str">
        <x:v>CTA LCSW WB2; ASWB 2026 Clinical Content Area I</x:v>
      </x:c>
    </x:row>
    <x:row r="370">
      <x:c r="A370" s="88" t="str">
        <x:v>CTA-LCSW-MQB-0369</x:v>
      </x:c>
      <x:c r="B370" s="83" t="str">
        <x:v>LCSW-MQB-FB-AP-030</x:v>
      </x:c>
      <x:c r="C370" s="83" t="str">
        <x:v>Comprehensive Simulation</x:v>
      </x:c>
      <x:c r="D370" s="83" t="str">
        <x:v>Form B</x:v>
      </x:c>
      <x:c r="E370" s="83" t="n">
        <x:v>4</x:v>
      </x:c>
      <x:c r="F370" s="83" t="str">
        <x:v>Before discussing a pregnancy concern, a 15-year-old asks exactly what may be told to a caregiver. What should the social worker do?</x:v>
      </x:c>
      <x:c r="G370" s="83" t="str">
        <x:v>Explain the service’s confidentiality rules and limits in developmentally understandable language before inviting disclosure.</x:v>
      </x:c>
      <x:c r="H370" s="83" t="str">
        <x:v>Promise total secrecy.</x:v>
      </x:c>
      <x:c r="I370" s="83" t="str">
        <x:v>Ask for the disclosure first and explain later.</x:v>
      </x:c>
      <x:c r="J370" s="83" t="str">
        <x:v>Tell the adolescent caregivers receive everything.</x:v>
      </x:c>
      <x:c r="K370" s="83" t="str">
        <x:v>A</x:v>
      </x:c>
      <x:c r="L370" s="83" t="str">
        <x:v>Correct. Accurate expectations support informed participation and trust.</x:v>
      </x:c>
      <x:c r="M370" s="83" t="str">
        <x:v>Incorrect. Absolute secrecy may be false.</x:v>
      </x:c>
      <x:c r="N370" s="83" t="str">
        <x:v>Incorrect. Consent information should precede sensitive disclosure.</x:v>
      </x:c>
      <x:c r="O370" s="83" t="str">
        <x:v>Incorrect. Disclosure practices vary and should not be overstated.</x:v>
      </x:c>
      <x:c r="P370" s="83" t="str">
        <x:v>A. Correct. Accurate expectations support informed participation and trust.
B. Incorrect. Absolute secrecy may be false.
C. Incorrect. Consent information should precede sensitive disclosure.
D. Incorrect. Disclosure practices vary and should not be overstated.</x:v>
      </x:c>
      <x:c r="Q370" s="83" t="str">
        <x:v>Clarify the privacy container before asking the client to fill it.</x:v>
      </x:c>
      <x:c r="R370" s="89" t="str">
        <x:v>CTA LCSW WB3–WB7; ASWB 2026 Clinical Content Area II</x:v>
      </x:c>
    </x:row>
    <x:row r="371">
      <x:c r="A371" s="88" t="str">
        <x:v>CTA-LCSW-MQB-0370</x:v>
      </x:c>
      <x:c r="B371" s="83" t="str">
        <x:v>LCSW-MQB-FB-IP-021</x:v>
      </x:c>
      <x:c r="C371" s="83" t="str">
        <x:v>Comprehensive Simulation</x:v>
      </x:c>
      <x:c r="D371" s="83" t="str">
        <x:v>Form B</x:v>
      </x:c>
      <x:c r="E371" s="83" t="n">
        <x:v>3</x:v>
      </x:c>
      <x:c r="F371" s="83" t="str">
        <x:v>A survivor of partner violence wants support but is not prepared to separate from the partner. What should the social worker do?</x:v>
      </x:c>
      <x:c r="G371" s="83" t="str">
        <x:v>Order the client to leave.</x:v>
      </x:c>
      <x:c r="H371" s="83" t="str">
        <x:v>Begin conjoint therapy.</x:v>
      </x:c>
      <x:c r="I371" s="83" t="str">
        <x:v>Validate the disclosure, assess danger, support autonomy, and develop a personalized safety and resource plan.</x:v>
      </x:c>
      <x:c r="J371" s="83" t="str"/>
      <x:c r="K371" s="83" t="str">
        <x:v>C</x:v>
      </x:c>
      <x:c r="L371" s="83" t="str">
        <x:v>Incorrect. Leaving may increase danger and is the client’s decision.</x:v>
      </x:c>
      <x:c r="M371" s="83" t="str">
        <x:v>Incorrect. Conjoint treatment may be unsafe.</x:v>
      </x:c>
      <x:c r="N371" s="83" t="str">
        <x:v>Correct. Safety planning should be collaborative and account for coercive control and leaving-related risk.</x:v>
      </x:c>
      <x:c r="O371" s="83" t="str"/>
      <x:c r="P371" s="83" t="str">
        <x:v>A. Incorrect. Leaving may increase danger and is the client’s decision.
B. Incorrect. Conjoint treatment may be unsafe.
C. Correct. Safety planning should be collaborative and account for coercive control and leaving-related risk.</x:v>
      </x:c>
      <x:c r="Q371" s="83" t="str">
        <x:v>Do not confuse safety support with taking over the client’s decision.</x:v>
      </x:c>
      <x:c r="R371" s="89" t="str">
        <x:v>CTA LCSW WB8–WB11; ASWB 2026 Clinical Content Area III</x:v>
      </x:c>
    </x:row>
    <x:row r="372">
      <x:c r="A372" s="88" t="str">
        <x:v>CTA-LCSW-MQB-0371</x:v>
      </x:c>
      <x:c r="B372" s="83" t="str">
        <x:v>LCSW-MQB-FB-VE-005</x:v>
      </x:c>
      <x:c r="C372" s="83" t="str">
        <x:v>Comprehensive Simulation</x:v>
      </x:c>
      <x:c r="D372" s="83" t="str">
        <x:v>Form B</x:v>
      </x:c>
      <x:c r="E372" s="83" t="n">
        <x:v>3</x:v>
      </x:c>
      <x:c r="F372" s="83" t="str">
        <x:v>Before offering a highly specialized intervention, what evidence most strongly supports that the social worker is competent to provide it?</x:v>
      </x:c>
      <x:c r="G372" s="83" t="str">
        <x:v>Possession of a license alone.</x:v>
      </x:c>
      <x:c r="H372" s="83" t="str">
        <x:v>Relevant education, supervised training or consultation, demonstrated skill, and practice within current standards.</x:v>
      </x:c>
      <x:c r="I372" s="83" t="str">
        <x:v>Strong personal interest in the specialty.</x:v>
      </x:c>
      <x:c r="J372" s="83" t="str"/>
      <x:c r="K372" s="83" t="str">
        <x:v>B</x:v>
      </x:c>
      <x:c r="L372" s="83" t="str">
        <x:v>Incorrect. Licensure establishes a broad threshold, not every specialty.</x:v>
      </x:c>
      <x:c r="M372" s="83" t="str">
        <x:v>Correct. Competence is task-specific and must be supported by preparation and current ability.</x:v>
      </x:c>
      <x:c r="N372" s="83" t="str">
        <x:v>Incorrect. Interest does not establish skill.</x:v>
      </x:c>
      <x:c r="O372" s="83" t="str"/>
      <x:c r="P372" s="83" t="str">
        <x:v>A. Incorrect. Licensure establishes a broad threshold, not every specialty.
B. Correct. Competence is task-specific and must be supported by preparation and current ability.
C. Incorrect. Interest does not establish skill.</x:v>
      </x:c>
      <x:c r="Q372" s="83" t="str">
        <x:v>Ask what evidence shows actual preparation for the specific service.</x:v>
      </x:c>
      <x:c r="R372" s="89" t="str">
        <x:v>CTA LCSW WB2; CTA LCSW WB12; ASWB 2026 Clinical Content Area I</x:v>
      </x:c>
    </x:row>
    <x:row r="373">
      <x:c r="A373" s="88" t="str">
        <x:v>CTA-LCSW-MQB-0372</x:v>
      </x:c>
      <x:c r="B373" s="83" t="str">
        <x:v>LCSW-MQB-FB-AP-026</x:v>
      </x:c>
      <x:c r="C373" s="83" t="str">
        <x:v>Comprehensive Simulation</x:v>
      </x:c>
      <x:c r="D373" s="83" t="str">
        <x:v>Form B</x:v>
      </x:c>
      <x:c r="E373" s="83" t="n">
        <x:v>4</x:v>
      </x:c>
      <x:c r="F373" s="83" t="str">
        <x:v>During a traditional mourning period, a client reports brief conversations with a deceased family member that are accepted within the client’s community. What should the social worker do next?</x:v>
      </x:c>
      <x:c r="G373" s="83" t="str">
        <x:v>Assume the experience is harmless and ask no more questions.</x:v>
      </x:c>
      <x:c r="H373" s="83" t="str">
        <x:v>Diagnose psychosis immediately.</x:v>
      </x:c>
      <x:c r="I373" s="83" t="str">
        <x:v>Explore cultural meaning, shared expectations, distress, control, functioning, trauma, and other psychotic symptoms before diagnosing.</x:v>
      </x:c>
      <x:c r="J373" s="83" t="str">
        <x:v>Tell the client the culture is causing symptoms.</x:v>
      </x:c>
      <x:c r="K373" s="83" t="str">
        <x:v>C</x:v>
      </x:c>
      <x:c r="L373" s="83" t="str">
        <x:v>Incorrect. Cultural congruence does not eliminate the need to assess distress and safety.</x:v>
      </x:c>
      <x:c r="M373" s="83" t="str">
        <x:v>Incorrect. Unfamiliar experience is not sufficient for diagnosis.</x:v>
      </x:c>
      <x:c r="N373" s="83" t="str">
        <x:v>Correct. The meaning and clinical significance depend on cultural context and functional impact.</x:v>
      </x:c>
      <x:c r="O373" s="83" t="str">
        <x:v>Incorrect. Blaming culture is stigmatizing and inaccurate.</x:v>
      </x:c>
      <x:c r="P373" s="83" t="str">
        <x:v>A. Incorrect. Cultural congruence does not eliminate the need to assess distress and safety.
B. Incorrect. Unfamiliar experience is not sufficient for diagnosis.
C. Correct. The meaning and clinical significance depend on cultural context and functional impact.
D. Incorrect. Blaming culture is stigmatizing and inaccurate.</x:v>
      </x:c>
      <x:c r="Q373" s="83" t="str">
        <x:v>Cultural context modifies interpretation, not the need for careful assessment.</x:v>
      </x:c>
      <x:c r="R373" s="89" t="str">
        <x:v>CTA LCSW WB3–WB7; ASWB 2026 Clinical Content Area II</x:v>
      </x:c>
    </x:row>
    <x:row r="374">
      <x:c r="A374" s="88" t="str">
        <x:v>CTA-LCSW-MQB-0373</x:v>
      </x:c>
      <x:c r="B374" s="83" t="str">
        <x:v>LCSW-MQB-FB-VE-001</x:v>
      </x:c>
      <x:c r="C374" s="83" t="str">
        <x:v>Comprehensive Simulation</x:v>
      </x:c>
      <x:c r="D374" s="83" t="str">
        <x:v>Form B</x:v>
      </x:c>
      <x:c r="E374" s="83" t="n">
        <x:v>3</x:v>
      </x:c>
      <x:c r="F374" s="83" t="str">
        <x:v>Which statement best describes why social workers protect a capable client’s right to participate in decisions about goals and services?</x:v>
      </x:c>
      <x:c r="G374" s="83" t="str">
        <x:v>To require clients to follow the social worker’s preferred plan.</x:v>
      </x:c>
      <x:c r="H374" s="83" t="str">
        <x:v>To guarantee that every requested service will be provided.</x:v>
      </x:c>
      <x:c r="I374" s="83" t="str">
        <x:v>To support clients in making informed choices about their own goals and services within relevant safety and legal limits.</x:v>
      </x:c>
      <x:c r="J374" s="83" t="str"/>
      <x:c r="K374" s="83" t="str">
        <x:v>C</x:v>
      </x:c>
      <x:c r="L374" s="83" t="str">
        <x:v>Incorrect. Professional authority does not replace client choice.</x:v>
      </x:c>
      <x:c r="M374" s="83" t="str">
        <x:v>Incorrect. Resources, scope, safety, and law may limit what can be offered.</x:v>
      </x:c>
      <x:c r="N374" s="83" t="str">
        <x:v>Correct. Self-determination combines meaningful choice, accurate information, and respect for the client’s role in decisions.</x:v>
      </x:c>
      <x:c r="O374" s="83" t="str"/>
      <x:c r="P374" s="83" t="str">
        <x:v>A. Incorrect. Professional authority does not replace client choice.
B. Incorrect. Resources, scope, safety, and law may limit what can be offered.
C. Correct. Self-determination combines meaningful choice, accurate information, and respect for the client’s role in decisions.</x:v>
      </x:c>
      <x:c r="Q374" s="83" t="str">
        <x:v>Choose the answer that preserves informed choice without erasing professional responsibility.</x:v>
      </x:c>
      <x:c r="R374" s="89" t="str">
        <x:v>CTA LCSW WB2; ASWB 2026 Clinical Content Area I</x:v>
      </x:c>
    </x:row>
    <x:row r="375">
      <x:c r="A375" s="88" t="str">
        <x:v>CTA-LCSW-MQB-0374</x:v>
      </x:c>
      <x:c r="B375" s="83" t="str">
        <x:v>LCSW-MQB-FB-AP-019</x:v>
      </x:c>
      <x:c r="C375" s="83" t="str">
        <x:v>Comprehensive Simulation</x:v>
      </x:c>
      <x:c r="D375" s="83" t="str">
        <x:v>Form B</x:v>
      </x:c>
      <x:c r="E375" s="83" t="n">
        <x:v>3</x:v>
      </x:c>
      <x:c r="F375" s="83" t="str">
        <x:v>A parent caring for two relatives says, “If I stop, everything falls apart,” while reporting anger, fatigue, and no time for medical care. What should be assessed?</x:v>
      </x:c>
      <x:c r="G375" s="83" t="str">
        <x:v>Whether the caregiver is selfish.</x:v>
      </x:c>
      <x:c r="H375" s="83" t="str">
        <x:v>Whether the family can keep the arrangement secret.</x:v>
      </x:c>
      <x:c r="I375" s="83" t="str">
        <x:v>Caregiving demands, role expectations, supports, health, cultural meaning, boundaries, and risk of burnout or neglect.</x:v>
      </x:c>
      <x:c r="J375" s="83" t="str"/>
      <x:c r="K375" s="83" t="str">
        <x:v>C</x:v>
      </x:c>
      <x:c r="L375" s="83" t="str">
        <x:v>Incorrect. Moral labels do not assess capacity or risk.</x:v>
      </x:c>
      <x:c r="M375" s="83" t="str">
        <x:v>Incorrect. Secrecy does not solve burden.</x:v>
      </x:c>
      <x:c r="N375" s="83" t="str">
        <x:v>Correct. Caregiving is shaped by roles, resources, health, and systems, not simply attitude.</x:v>
      </x:c>
      <x:c r="O375" s="83" t="str"/>
      <x:c r="P375" s="83" t="str">
        <x:v>A. Incorrect. Moral labels do not assess capacity or risk.
B. Incorrect. Secrecy does not solve burden.
C. Correct. Caregiving is shaped by roles, resources, health, and systems, not simply attitude.</x:v>
      </x:c>
      <x:c r="Q375" s="83" t="str">
        <x:v>Assess both the care recipient and the caregiving system.</x:v>
      </x:c>
      <x:c r="R375" s="89" t="str">
        <x:v>CTA LCSW WB3–WB7; ASWB 2026 Clinical Content Area II</x:v>
      </x:c>
    </x:row>
    <x:row r="376">
      <x:c r="A376" s="88" t="str">
        <x:v>CTA-LCSW-MQB-0375</x:v>
      </x:c>
      <x:c r="B376" s="83" t="str">
        <x:v>LCSW-MQB-FB-AP-023</x:v>
      </x:c>
      <x:c r="C376" s="83" t="str">
        <x:v>Comprehensive Simulation</x:v>
      </x:c>
      <x:c r="D376" s="83" t="str">
        <x:v>Form B</x:v>
      </x:c>
      <x:c r="E376" s="83" t="n">
        <x:v>3</x:v>
      </x:c>
      <x:c r="F376" s="83" t="str">
        <x:v>A school-age child reports being tied to a chair for hours when homework is incomplete. What should the social worker do?</x:v>
      </x:c>
      <x:c r="G376" s="83" t="str">
        <x:v>Ask the child to confront the caregiver.</x:v>
      </x:c>
      <x:c r="H376" s="83" t="str">
        <x:v>Assess immediate safety and follow applicable mandated-reporting procedures without conducting an exhaustive investigative interview.</x:v>
      </x:c>
      <x:c r="I376" s="83" t="str">
        <x:v>Wait for physical injury.</x:v>
      </x:c>
      <x:c r="J376" s="83" t="str"/>
      <x:c r="K376" s="83" t="str">
        <x:v>B</x:v>
      </x:c>
      <x:c r="L376" s="83" t="str">
        <x:v>Incorrect. Confrontation may increase danger.</x:v>
      </x:c>
      <x:c r="M376" s="83" t="str">
        <x:v>Correct. The disclosure raises a serious safety and reporting concern; the social worker should gather enough information to act, not investigate beyond role.</x:v>
      </x:c>
      <x:c r="N376" s="83" t="str">
        <x:v>Incorrect. Abuse concerns are not limited to visible injury.</x:v>
      </x:c>
      <x:c r="O376" s="83" t="str"/>
      <x:c r="P376" s="83" t="str">
        <x:v>A. Incorrect. Confrontation may increase danger.
B. Correct. The disclosure raises a serious safety and reporting concern; the social worker should gather enough information to act, not investigate beyond role.
C. Incorrect. Abuse concerns are not limited to visible injury.</x:v>
      </x:c>
      <x:c r="Q376" s="83" t="str">
        <x:v>Protect and report as required; do not turn the clinical interview into a forensic interrogation.</x:v>
      </x:c>
      <x:c r="R376" s="89" t="str">
        <x:v>CTA LCSW WB6; ASWB 2026 Clinical Content Area II</x:v>
      </x:c>
    </x:row>
    <x:row r="377">
      <x:c r="A377" s="88" t="str">
        <x:v>CTA-LCSW-MQB-0376</x:v>
      </x:c>
      <x:c r="B377" s="83" t="str">
        <x:v>LCSW-MQB-FB-IP-003</x:v>
      </x:c>
      <x:c r="C377" s="83" t="str">
        <x:v>Comprehensive Simulation</x:v>
      </x:c>
      <x:c r="D377" s="83" t="str">
        <x:v>Form B</x:v>
      </x:c>
      <x:c r="E377" s="83" t="n">
        <x:v>3</x:v>
      </x:c>
      <x:c r="F377" s="83" t="str">
        <x:v>A client says, “I hate what alcohol is doing to my family, but it is the only thing that quiets my mind.” Which response is most therapeutic?</x:v>
      </x:c>
      <x:c r="G377" s="83" t="str">
        <x:v>“You need to stop immediately.”</x:v>
      </x:c>
      <x:c r="H377" s="83" t="str">
        <x:v>“Why are you making bad choices?”</x:v>
      </x:c>
      <x:c r="I377" s="83" t="str">
        <x:v>“Part of you is worried about the cost, and another part is afraid of losing your main way to cope.”</x:v>
      </x:c>
      <x:c r="J377" s="83" t="str"/>
      <x:c r="K377" s="83" t="str">
        <x:v>C</x:v>
      </x:c>
      <x:c r="L377" s="83" t="str">
        <x:v>Incorrect. A directive may provoke resistance.</x:v>
      </x:c>
      <x:c r="M377" s="83" t="str">
        <x:v>Incorrect. Moral judgment undermines collaboration.</x:v>
      </x:c>
      <x:c r="N377" s="83" t="str">
        <x:v>Correct. The response reflects both sides of ambivalence without judgment.</x:v>
      </x:c>
      <x:c r="O377" s="83" t="str"/>
      <x:c r="P377" s="83" t="str">
        <x:v>A. Incorrect. A directive may provoke resistance.
B. Incorrect. Moral judgment undermines collaboration.
C. Correct. The response reflects both sides of ambivalence without judgment.</x:v>
      </x:c>
      <x:c r="Q377" s="83" t="str">
        <x:v>A strong reflection captures both change talk and sustain talk.</x:v>
      </x:c>
      <x:c r="R377" s="89" t="str">
        <x:v>CTA LCSW WB8–WB11; ASWB 2026 Clinical Content Area III</x:v>
      </x:c>
    </x:row>
    <x:row r="378">
      <x:c r="A378" s="88" t="str">
        <x:v>CTA-LCSW-MQB-0377</x:v>
      </x:c>
      <x:c r="B378" s="83" t="str">
        <x:v>LCSW-MQB-FB-VE-044</x:v>
      </x:c>
      <x:c r="C378" s="83" t="str">
        <x:v>Comprehensive Simulation</x:v>
      </x:c>
      <x:c r="D378" s="83" t="str">
        <x:v>Form B</x:v>
      </x:c>
      <x:c r="E378" s="83" t="n">
        <x:v>4</x:v>
      </x:c>
      <x:c r="F378" s="83" t="str">
        <x:v>A case presents conflicting client preferences, possible danger, agency directives, and unclear legal requirements. What decision-making process should the social worker use?</x:v>
      </x:c>
      <x:c r="G378" s="83" t="str">
        <x:v>Follow personal values without consultation.</x:v>
      </x:c>
      <x:c r="H378" s="83" t="str">
        <x:v>Delay indefinitely until every uncertainty disappears.</x:v>
      </x:c>
      <x:c r="I378" s="83" t="str">
        <x:v>Clarify the facts and stakeholders, identify competing duties, consult current standards and qualified resources, consider options and consequences, act proportionately, and document.</x:v>
      </x:c>
      <x:c r="J378" s="83" t="str">
        <x:v>Choose the agency policy automatically.</x:v>
      </x:c>
      <x:c r="K378" s="83" t="str">
        <x:v>C</x:v>
      </x:c>
      <x:c r="L378" s="83" t="str">
        <x:v>Incorrect. Personal values require examination rather than substitution.</x:v>
      </x:c>
      <x:c r="M378" s="83" t="str">
        <x:v>Incorrect. Some decisions must be made under uncertainty.</x:v>
      </x:c>
      <x:c r="N378" s="83" t="str">
        <x:v>Correct. A structured process improves defensibility and reduces impulsive or authority-based decisions.</x:v>
      </x:c>
      <x:c r="O378" s="83" t="str">
        <x:v>Incorrect. Policies do not automatically resolve professional duties.</x:v>
      </x:c>
      <x:c r="P378" s="83" t="str">
        <x:v>A. Incorrect. Personal values require examination rather than substitution.
B. Incorrect. Some decisions must be made under uncertainty.
C. Correct. A structured process improves defensibility and reduces impulsive or authority-based decisions.
D. Incorrect. Policies do not automatically resolve professional duties.</x:v>
      </x:c>
      <x:c r="Q378" s="83" t="str">
        <x:v>Strong ethics answers show a reasoned process, not a slogan.</x:v>
      </x:c>
      <x:c r="R378" s="89" t="str">
        <x:v>CTA LCSW WB2; CTA LCSW WB12; ASWB 2026 Clinical Content Area I</x:v>
      </x:c>
    </x:row>
    <x:row r="379">
      <x:c r="A379" s="88" t="str">
        <x:v>CTA-LCSW-MQB-0378</x:v>
      </x:c>
      <x:c r="B379" s="83" t="str">
        <x:v>LCSW-MQB-FB-IP-011</x:v>
      </x:c>
      <x:c r="C379" s="83" t="str">
        <x:v>Comprehensive Simulation</x:v>
      </x:c>
      <x:c r="D379" s="83" t="str">
        <x:v>Form B</x:v>
      </x:c>
      <x:c r="E379" s="83" t="n">
        <x:v>3</x:v>
      </x:c>
      <x:c r="F379" s="83" t="str">
        <x:v>A nurse believes a client can be discharged today, while the social worker identifies unresolved safety and housing problems. What should the social worker do?</x:v>
      </x:c>
      <x:c r="G379" s="83" t="str">
        <x:v>Refuse further communication.</x:v>
      </x:c>
      <x:c r="H379" s="83" t="str">
        <x:v>Present specific functional and environmental concerns, clarify each discipline’s evidence, and collaborate on a safe plan with the client.</x:v>
      </x:c>
      <x:c r="I379" s="83" t="str">
        <x:v>Ask the client to choose which professional is correct.</x:v>
      </x:c>
      <x:c r="J379" s="83" t="str"/>
      <x:c r="K379" s="83" t="str">
        <x:v>B</x:v>
      </x:c>
      <x:c r="L379" s="83" t="str">
        <x:v>Incorrect. Noncommunication increases fragmentation.</x:v>
      </x:c>
      <x:c r="M379" s="83" t="str">
        <x:v>Correct. Interdisciplinary practice requires respectful advocacy and integration of different expertise.</x:v>
      </x:c>
      <x:c r="N379" s="83" t="str">
        <x:v>Incorrect. The client should participate but should not be forced to resolve professional conflict.</x:v>
      </x:c>
      <x:c r="O379" s="83" t="str"/>
      <x:c r="P379" s="83" t="str">
        <x:v>A. Incorrect. Noncommunication increases fragmentation.
B. Correct. Interdisciplinary practice requires respectful advocacy and integration of different expertise.
C. Incorrect. The client should participate but should not be forced to resolve professional conflict.</x:v>
      </x:c>
      <x:c r="Q379" s="83" t="str">
        <x:v>Bring concrete evidence and the client’s context to the team.</x:v>
      </x:c>
      <x:c r="R379" s="89" t="str">
        <x:v>CTA LCSW WB10; CTA LCSW WB11; ASWB 2026 Clinical Content Area III</x:v>
      </x:c>
    </x:row>
    <x:row r="380">
      <x:c r="A380" s="88" t="str">
        <x:v>CTA-LCSW-MQB-0379</x:v>
      </x:c>
      <x:c r="B380" s="83" t="str">
        <x:v>LCSW-MQB-FB-AP-001</x:v>
      </x:c>
      <x:c r="C380" s="83" t="str">
        <x:v>Comprehensive Simulation</x:v>
      </x:c>
      <x:c r="D380" s="83" t="str">
        <x:v>Form B</x:v>
      </x:c>
      <x:c r="E380" s="83" t="n">
        <x:v>3</x:v>
      </x:c>
      <x:c r="F380" s="83" t="str">
        <x:v>During a home visit, a client correctly states their name but cannot identify the day, the city, or why the social worker is present. Which mental-status domain is most directly affected?</x:v>
      </x:c>
      <x:c r="G380" s="83" t="str">
        <x:v>Insight.</x:v>
      </x:c>
      <x:c r="H380" s="83" t="str">
        <x:v>Orientation.</x:v>
      </x:c>
      <x:c r="I380" s="83" t="str">
        <x:v>Impulse control.</x:v>
      </x:c>
      <x:c r="J380" s="83" t="str"/>
      <x:c r="K380" s="83" t="str">
        <x:v>B</x:v>
      </x:c>
      <x:c r="L380" s="83" t="str">
        <x:v>Incorrect. Insight concerns understanding of one’s condition.</x:v>
      </x:c>
      <x:c r="M380" s="83" t="str">
        <x:v>Correct. Orientation concerns awareness of person, place, time, and situation.</x:v>
      </x:c>
      <x:c r="N380" s="83" t="str">
        <x:v>Incorrect. Impulse control concerns regulation of action.</x:v>
      </x:c>
      <x:c r="O380" s="83" t="str"/>
      <x:c r="P380" s="83" t="str">
        <x:v>A. Incorrect. Insight concerns understanding of one’s condition.
B. Correct. Orientation concerns awareness of person, place, time, and situation.
C. Incorrect. Impulse control concerns regulation of action.</x:v>
      </x:c>
      <x:c r="Q380" s="83" t="str">
        <x:v>Match the question to the specific MSE domain.</x:v>
      </x:c>
      <x:c r="R380" s="89" t="str">
        <x:v>CTA LCSW WB3–WB7; ASWB 2026 Clinical Content Area II</x:v>
      </x:c>
    </x:row>
    <x:row r="381">
      <x:c r="A381" s="88" t="str">
        <x:v>CTA-LCSW-MQB-0380</x:v>
      </x:c>
      <x:c r="B381" s="83" t="str">
        <x:v>LCSW-MQB-FB-IP-033</x:v>
      </x:c>
      <x:c r="C381" s="83" t="str">
        <x:v>Comprehensive Simulation</x:v>
      </x:c>
      <x:c r="D381" s="83" t="str">
        <x:v>Form B</x:v>
      </x:c>
      <x:c r="E381" s="83" t="n">
        <x:v>4</x:v>
      </x:c>
      <x:c r="F381" s="83" t="str">
        <x:v>A client with recent suicidal behavior abruptly stops attending and does not answer usual outreach. What should the social worker do?</x:v>
      </x:c>
      <x:c r="G381" s="83" t="str">
        <x:v>Close the case immediately without review.</x:v>
      </x:c>
      <x:c r="H381" s="83" t="str">
        <x:v>Contact everyone in the client’s life.</x:v>
      </x:c>
      <x:c r="I381" s="83" t="str">
        <x:v>Use the established outreach and risk protocol, consider available supports or welfare procedures when justified, document efforts, and provide reentry or referral information.</x:v>
      </x:c>
      <x:c r="J381" s="83" t="str">
        <x:v>Send a threatening message.</x:v>
      </x:c>
      <x:c r="K381" s="83" t="str">
        <x:v>C</x:v>
      </x:c>
      <x:c r="L381" s="83" t="str">
        <x:v>Incorrect. Immediate closure may ignore risk.</x:v>
      </x:c>
      <x:c r="M381" s="83" t="str">
        <x:v>Incorrect. Broad disclosure may exceed necessity.</x:v>
      </x:c>
      <x:c r="N381" s="83" t="str">
        <x:v>Correct. Response should reflect known risk, consent, policy, and proportionate continuity efforts.</x:v>
      </x:c>
      <x:c r="O381" s="83" t="str">
        <x:v>Incorrect. Threats undermine care and may escalate distress.</x:v>
      </x:c>
      <x:c r="P381" s="83" t="str">
        <x:v>A. Incorrect. Immediate closure may ignore risk.
B. Incorrect. Broad disclosure may exceed necessity.
C. Correct. Response should reflect known risk, consent, policy, and proportionate continuity efforts.
D. Incorrect. Threats undermine care and may escalate distress.</x:v>
      </x:c>
      <x:c r="Q381" s="83" t="str">
        <x:v>Dropout does not erase prior risk information or continuity duties.</x:v>
      </x:c>
      <x:c r="R381" s="89" t="str">
        <x:v>CTA LCSW WB8–WB11; ASWB 2026 Clinical Content Area III</x:v>
      </x:c>
    </x:row>
    <x:row r="382">
      <x:c r="A382" s="88" t="str">
        <x:v>CTA-LCSW-MQB-0381</x:v>
      </x:c>
      <x:c r="B382" s="83" t="str">
        <x:v>LCSW-MQB-FB-IP-010</x:v>
      </x:c>
      <x:c r="C382" s="83" t="str">
        <x:v>Comprehensive Simulation</x:v>
      </x:c>
      <x:c r="D382" s="83" t="str">
        <x:v>Form B</x:v>
      </x:c>
      <x:c r="E382" s="83" t="n">
        <x:v>3</x:v>
      </x:c>
      <x:c r="F382" s="83" t="str">
        <x:v>A client requests a trauma method for which the social worker has no training or supervised experience. What should the social worker do?</x:v>
      </x:c>
      <x:c r="G382" s="83" t="str">
        <x:v>Explain the limitation, identify qualified options, support a warm referral, and maintain appropriate care during transition.</x:v>
      </x:c>
      <x:c r="H382" s="83" t="str">
        <x:v>Give the client a generic directory and end contact.</x:v>
      </x:c>
      <x:c r="I382" s="83" t="str">
        <x:v>Tell the client the specialty is unnecessary.</x:v>
      </x:c>
      <x:c r="J382" s="83" t="str"/>
      <x:c r="K382" s="83" t="str">
        <x:v>A</x:v>
      </x:c>
      <x:c r="L382" s="83" t="str">
        <x:v>Correct. Competence and continuity both matter.</x:v>
      </x:c>
      <x:c r="M382" s="83" t="str">
        <x:v>Incorrect. A cold referral may fail and create abandonment risk.</x:v>
      </x:c>
      <x:c r="N382" s="83" t="str">
        <x:v>Incorrect. Minimizing need avoids the competence issue.</x:v>
      </x:c>
      <x:c r="O382" s="83" t="str"/>
      <x:c r="P382" s="83" t="str">
        <x:v>A. Correct. Competence and continuity both matter.
B. Incorrect. A cold referral may fail and create abandonment risk.
C. Incorrect. Minimizing need avoids the competence issue.</x:v>
      </x:c>
      <x:c r="Q382" s="83" t="str">
        <x:v>A strong referral protects both fit and continuity.</x:v>
      </x:c>
      <x:c r="R382" s="89" t="str">
        <x:v>CTA LCSW WB8–WB11; ASWB 2026 Clinical Content Area III</x:v>
      </x:c>
    </x:row>
    <x:row r="383">
      <x:c r="A383" s="88" t="str">
        <x:v>CTA-LCSW-MQB-0382</x:v>
      </x:c>
      <x:c r="B383" s="83" t="str">
        <x:v>LCSW-MQB-FB-VE-018</x:v>
      </x:c>
      <x:c r="C383" s="83" t="str">
        <x:v>Comprehensive Simulation</x:v>
      </x:c>
      <x:c r="D383" s="83" t="str">
        <x:v>Form B</x:v>
      </x:c>
      <x:c r="E383" s="83" t="n">
        <x:v>3</x:v>
      </x:c>
      <x:c r="F383" s="83" t="str">
        <x:v>A clinician manages a chronic condition with effective treatment and accommodations and continues to practice safely. Which conclusion is most accurate?</x:v>
      </x:c>
      <x:c r="G383" s="83" t="str">
        <x:v>The condition must be disclosed to every client.</x:v>
      </x:c>
      <x:c r="H383" s="83" t="str">
        <x:v>Competence is determined solely by the employer’s opinion.</x:v>
      </x:c>
      <x:c r="I383" s="83" t="str">
        <x:v>The condition alone does not establish professional impairment when functioning remains effective.</x:v>
      </x:c>
      <x:c r="J383" s="83" t="str"/>
      <x:c r="K383" s="83" t="str">
        <x:v>C</x:v>
      </x:c>
      <x:c r="L383" s="83" t="str">
        <x:v>Incorrect. Universal disclosure is not automatically required.</x:v>
      </x:c>
      <x:c r="M383" s="83" t="str">
        <x:v>Incorrect. Employers may assess performance, but professional functioning is the central concern.</x:v>
      </x:c>
      <x:c r="N383" s="83" t="str">
        <x:v>Correct. Impairment is evaluated by functional impact, risk, and ability to meet responsibilities.</x:v>
      </x:c>
      <x:c r="O383" s="83" t="str"/>
      <x:c r="P383" s="83" t="str">
        <x:v>A. Incorrect. Universal disclosure is not automatically required.
B. Incorrect. Employers may assess performance, but professional functioning is the central concern.
C. Correct. Impairment is evaluated by functional impact, risk, and ability to meet responsibilities.</x:v>
      </x:c>
      <x:c r="Q383" s="83" t="str">
        <x:v>Focus on observable functioning, not stigma or labels.</x:v>
      </x:c>
      <x:c r="R383" s="89" t="str">
        <x:v>CTA LCSW WB2; CTA LCSW WB12; ASWB 2026 Clinical Content Area I</x:v>
      </x:c>
    </x:row>
    <x:row r="384">
      <x:c r="A384" s="88" t="str">
        <x:v>CTA-LCSW-MQB-0383</x:v>
      </x:c>
      <x:c r="B384" s="83" t="str">
        <x:v>LCSW-MQB-FB-AP-017</x:v>
      </x:c>
      <x:c r="C384" s="83" t="str">
        <x:v>Comprehensive Simulation</x:v>
      </x:c>
      <x:c r="D384" s="83" t="str">
        <x:v>Form B</x:v>
      </x:c>
      <x:c r="E384" s="83" t="n">
        <x:v>3</x:v>
      </x:c>
      <x:c r="F384" s="83" t="str">
        <x:v>Several months after a spouse’s death, a client experiences waves of sadness and dreams of the spouse while maintaining work, friendships, and reality testing. What is the best next step?</x:v>
      </x:c>
      <x:c r="G384" s="83" t="str">
        <x:v>Tell the client there is a fixed timetable for grief.</x:v>
      </x:c>
      <x:c r="H384" s="83" t="str">
        <x:v>Assume no support is needed because the client works.</x:v>
      </x:c>
      <x:c r="I384" s="83" t="str">
        <x:v>Assess duration, cultural meaning, functioning, risk, and the client’s own view without automatically pathologizing grief.</x:v>
      </x:c>
      <x:c r="J384" s="83" t="str"/>
      <x:c r="K384" s="83" t="str">
        <x:v>C</x:v>
      </x:c>
      <x:c r="L384" s="83" t="str">
        <x:v>Incorrect. There is no universal schedule for grief.</x:v>
      </x:c>
      <x:c r="M384" s="83" t="str">
        <x:v>Incorrect. Preserved functioning does not eliminate distress.</x:v>
      </x:c>
      <x:c r="N384" s="83" t="str">
        <x:v>Correct. Grief varies in expression and should be assessed in cultural and functional context.</x:v>
      </x:c>
      <x:c r="O384" s="83" t="str"/>
      <x:c r="P384" s="83" t="str">
        <x:v>A. Incorrect. There is no universal schedule for grief.
B. Incorrect. Preserved functioning does not eliminate distress.
C. Correct. Grief varies in expression and should be assessed in cultural and functional context.</x:v>
      </x:c>
      <x:c r="Q384" s="83" t="str">
        <x:v>Assess impairment and context rather than treating grief intensity as diagnosis.</x:v>
      </x:c>
      <x:c r="R384" s="89" t="str">
        <x:v>CTA LCSW WB3–WB7; ASWB 2026 Clinical Content Area II</x:v>
      </x:c>
    </x:row>
    <x:row r="385">
      <x:c r="A385" s="88" t="str">
        <x:v>CTA-LCSW-MQB-0384</x:v>
      </x:c>
      <x:c r="B385" s="83" t="str">
        <x:v>LCSW-MQB-FB-IP-017</x:v>
      </x:c>
      <x:c r="C385" s="83" t="str">
        <x:v>Comprehensive Simulation</x:v>
      </x:c>
      <x:c r="D385" s="83" t="str">
        <x:v>Form B</x:v>
      </x:c>
      <x:c r="E385" s="83" t="n">
        <x:v>3</x:v>
      </x:c>
      <x:c r="F385" s="83" t="str">
        <x:v>A supervisee argues with each corrective comment and says the supervisor “does not understand the case.” What should the supervisor do?</x:v>
      </x:c>
      <x:c r="G385" s="83" t="str">
        <x:v>Avoid all future feedback.</x:v>
      </x:c>
      <x:c r="H385" s="83" t="str">
        <x:v>Clarify the specific behavior and impact, invite the supervisee’s perspective, and develop a concrete improvement and monitoring plan.</x:v>
      </x:c>
      <x:c r="I385" s="83" t="str">
        <x:v>Criticize the supervisee’s personality.</x:v>
      </x:c>
      <x:c r="J385" s="83" t="str"/>
      <x:c r="K385" s="83" t="str">
        <x:v>B</x:v>
      </x:c>
      <x:c r="L385" s="83" t="str">
        <x:v>Incorrect. Avoidance prevents development.</x:v>
      </x:c>
      <x:c r="M385" s="83" t="str">
        <x:v>Correct. Effective feedback is behaviorally specific, collaborative, and accountable.</x:v>
      </x:c>
      <x:c r="N385" s="83" t="str">
        <x:v>Incorrect. Personality attacks are not useful supervision.</x:v>
      </x:c>
      <x:c r="O385" s="83" t="str"/>
      <x:c r="P385" s="83" t="str">
        <x:v>A. Incorrect. Avoidance prevents development.
B. Correct. Effective feedback is behaviorally specific, collaborative, and accountable.
C. Incorrect. Personality attacks are not useful supervision.</x:v>
      </x:c>
      <x:c r="Q385" s="83" t="str">
        <x:v>Describe behavior, impact, expectation, and follow-up.</x:v>
      </x:c>
      <x:c r="R385" s="89" t="str">
        <x:v>CTA LCSW WB10; CTA LCSW WB11; ASWB 2026 Clinical Content Area III</x:v>
      </x:c>
    </x:row>
    <x:row r="386">
      <x:c r="A386" s="88" t="str">
        <x:v>CTA-LCSW-MQB-0385</x:v>
      </x:c>
      <x:c r="B386" s="83" t="str">
        <x:v>LCSW-MQB-FB-IP-026</x:v>
      </x:c>
      <x:c r="C386" s="83" t="str">
        <x:v>Comprehensive Simulation</x:v>
      </x:c>
      <x:c r="D386" s="83" t="str">
        <x:v>Form B</x:v>
      </x:c>
      <x:c r="E386" s="83" t="n">
        <x:v>4</x:v>
      </x:c>
      <x:c r="F386" s="83" t="str">
        <x:v>During group, two members stand up, exchange threats, and ignore requests to stop. What should the facilitator do first?</x:v>
      </x:c>
      <x:c r="G386" s="83" t="str">
        <x:v>Interrupt the exchange, establish immediate safety and limits, separate members if needed, and assess whether the group can continue.</x:v>
      </x:c>
      <x:c r="H386" s="83" t="str">
        <x:v>Interpret childhood causes.</x:v>
      </x:c>
      <x:c r="I386" s="83" t="str">
        <x:v>Let the group resolve it alone.</x:v>
      </x:c>
      <x:c r="J386" s="83" t="str">
        <x:v>Ask other members to vote on who is right.</x:v>
      </x:c>
      <x:c r="K386" s="83" t="str">
        <x:v>A</x:v>
      </x:c>
      <x:c r="L386" s="83" t="str">
        <x:v>Correct. Threats require active safety management before processing.</x:v>
      </x:c>
      <x:c r="M386" s="83" t="str">
        <x:v>Incorrect. Interpretation is premature.</x:v>
      </x:c>
      <x:c r="N386" s="83" t="str">
        <x:v>Incorrect. Nonintervention may allow escalation.</x:v>
      </x:c>
      <x:c r="O386" s="83" t="str">
        <x:v>Incorrect. A vote can intensify polarization and does not manage safety.</x:v>
      </x:c>
      <x:c r="P386" s="83" t="str">
        <x:v>A. Correct. Threats require active safety management before processing.
B. Incorrect. Interpretation is premature.
C. Incorrect. Nonintervention may allow escalation.
D. Incorrect. A vote can intensify polarization and does not manage safety.</x:v>
      </x:c>
      <x:c r="Q386" s="83" t="str">
        <x:v>Safety and structure precede insight in a group crisis.</x:v>
      </x:c>
      <x:c r="R386" s="89" t="str">
        <x:v>CTA LCSW WB8–WB11; ASWB 2026 Clinical Content Area III</x:v>
      </x:c>
    </x:row>
    <x:row r="387">
      <x:c r="A387" s="88" t="str">
        <x:v>CTA-LCSW-MQB-0386</x:v>
      </x:c>
      <x:c r="B387" s="83" t="str">
        <x:v>LCSW-MQB-FB-VE-022</x:v>
      </x:c>
      <x:c r="C387" s="83" t="str">
        <x:v>Comprehensive Simulation</x:v>
      </x:c>
      <x:c r="D387" s="83" t="str">
        <x:v>Form B</x:v>
      </x:c>
      <x:c r="E387" s="83" t="n">
        <x:v>3</x:v>
      </x:c>
      <x:c r="F387" s="83" t="str">
        <x:v>A coworker proposes billing for a 60-minute service after only 30 minutes were delivered because the agency needs the revenue. What should the social worker do?</x:v>
      </x:c>
      <x:c r="G387" s="83" t="str">
        <x:v>Use accurate billing and pursue legitimate authorization, appeal, or resource options.</x:v>
      </x:c>
      <x:c r="H387" s="83" t="str">
        <x:v>Use the longer code because the intent is helpful.</x:v>
      </x:c>
      <x:c r="I387" s="83" t="str">
        <x:v>Stop documenting services so billing cannot be reviewed.</x:v>
      </x:c>
      <x:c r="J387" s="83" t="str"/>
      <x:c r="K387" s="83" t="str">
        <x:v>A</x:v>
      </x:c>
      <x:c r="L387" s="83" t="str">
        <x:v>Correct. Advocacy does not justify false claims or inaccurate records.</x:v>
      </x:c>
      <x:c r="M387" s="83" t="str">
        <x:v>Incorrect. Beneficent motives do not make misrepresentation acceptable.</x:v>
      </x:c>
      <x:c r="N387" s="83" t="str">
        <x:v>Incorrect. Omitting documentation creates additional risk.</x:v>
      </x:c>
      <x:c r="O387" s="83" t="str"/>
      <x:c r="P387" s="83" t="str">
        <x:v>A. Correct. Advocacy does not justify false claims or inaccurate records.
B. Incorrect. Beneficent motives do not make misrepresentation acceptable.
C. Incorrect. Omitting documentation creates additional risk.</x:v>
      </x:c>
      <x:c r="Q387" s="83" t="str">
        <x:v>Protect care through lawful advocacy, not distortion.</x:v>
      </x:c>
      <x:c r="R387" s="89" t="str">
        <x:v>CTA LCSW WB2; CTA LCSW WB12; ASWB 2026 Clinical Content Area I</x:v>
      </x:c>
    </x:row>
    <x:row r="388">
      <x:c r="A388" s="88" t="str">
        <x:v>CTA-LCSW-MQB-0387</x:v>
      </x:c>
      <x:c r="B388" s="83" t="str">
        <x:v>LCSW-MQB-FB-IP-028</x:v>
      </x:c>
      <x:c r="C388" s="83" t="str">
        <x:v>Comprehensive Simulation</x:v>
      </x:c>
      <x:c r="D388" s="83" t="str">
        <x:v>Form B</x:v>
      </x:c>
      <x:c r="E388" s="83" t="n">
        <x:v>4</x:v>
      </x:c>
      <x:c r="F388" s="83" t="str">
        <x:v>A rehabilitation hospital proposes discharge to a residence with stairs and no accessible bathroom for a client who uses a wheelchair. What should the social worker do?</x:v>
      </x:c>
      <x:c r="G388" s="83" t="str">
        <x:v>Tell the client to manage the stairs.</x:v>
      </x:c>
      <x:c r="H388" s="83" t="str">
        <x:v>Present the accessibility and safety concerns, involve the client, and advocate for an appropriate discharge option and accommodations.</x:v>
      </x:c>
      <x:c r="I388" s="83" t="str">
        <x:v>Accept the placement because a bed is available.</x:v>
      </x:c>
      <x:c r="J388" s="83" t="str">
        <x:v>Delay without communicating the problem.</x:v>
      </x:c>
      <x:c r="K388" s="83" t="str">
        <x:v>B</x:v>
      </x:c>
      <x:c r="L388" s="83" t="str">
        <x:v>Incorrect. The plan ignores disability access.</x:v>
      </x:c>
      <x:c r="M388" s="83" t="str">
        <x:v>Correct. Discharge planning must be clinically and physically usable.</x:v>
      </x:c>
      <x:c r="N388" s="83" t="str">
        <x:v>Incorrect. Availability alone does not establish safety.</x:v>
      </x:c>
      <x:c r="O388" s="83" t="str">
        <x:v>Incorrect. Silent delay does not create a solution.</x:v>
      </x:c>
      <x:c r="P388" s="83" t="str">
        <x:v>A. Incorrect. The plan ignores disability access.
B. Correct. Discharge planning must be clinically and physically usable.
C. Incorrect. Availability alone does not establish safety.
D. Incorrect. Silent delay does not create a solution.</x:v>
      </x:c>
      <x:c r="Q388" s="83" t="str">
        <x:v>A plan is not safe if the client cannot physically use it.</x:v>
      </x:c>
      <x:c r="R388" s="89" t="str">
        <x:v>CTA LCSW WB10; CTA LCSW WB11; ASWB 2026 Clinical Content Area III</x:v>
      </x:c>
    </x:row>
    <x:row r="389">
      <x:c r="A389" s="88" t="str">
        <x:v>CTA-LCSW-MQB-0388</x:v>
      </x:c>
      <x:c r="B389" s="83" t="str">
        <x:v>LCSW-MQB-FB-AP-002</x:v>
      </x:c>
      <x:c r="C389" s="83" t="str">
        <x:v>Comprehensive Simulation</x:v>
      </x:c>
      <x:c r="D389" s="83" t="str">
        <x:v>Form B</x:v>
      </x:c>
      <x:c r="E389" s="83" t="n">
        <x:v>3</x:v>
      </x:c>
      <x:c r="F389" s="83" t="str">
        <x:v>A client presents with anxiety while also facing eviction, workplace discrimination, caregiving demands, and limited neighborhood supports. Why should these conditions be included in the formulation?</x:v>
      </x:c>
      <x:c r="G389" s="83" t="str">
        <x:v>To understand how individual functioning and social, cultural, economic, and physical environments interact.</x:v>
      </x:c>
      <x:c r="H389" s="83" t="str">
        <x:v>To diagnose without considering context.</x:v>
      </x:c>
      <x:c r="I389" s="83" t="str">
        <x:v>To focus only on community conditions.</x:v>
      </x:c>
      <x:c r="J389" s="83" t="str"/>
      <x:c r="K389" s="83" t="str">
        <x:v>A</x:v>
      </x:c>
      <x:c r="L389" s="83" t="str">
        <x:v>Correct. PIE links personal experience with systems, resources, barriers, and roles.</x:v>
      </x:c>
      <x:c r="M389" s="83" t="str">
        <x:v>Incorrect. Context is central, not optional.</x:v>
      </x:c>
      <x:c r="N389" s="83" t="str">
        <x:v>Incorrect. Both person and environment are considered.</x:v>
      </x:c>
      <x:c r="O389" s="83" t="str"/>
      <x:c r="P389" s="83" t="str">
        <x:v>A. Correct. PIE links personal experience with systems, resources, barriers, and roles.
B. Incorrect. Context is central, not optional.
C. Incorrect. Both person and environment are considered.</x:v>
      </x:c>
      <x:c r="Q389" s="83" t="str">
        <x:v>Look for reciprocal influence between people and systems.</x:v>
      </x:c>
      <x:c r="R389" s="89" t="str">
        <x:v>CTA LCSW WB3–WB7; ASWB 2026 Clinical Content Area II</x:v>
      </x:c>
    </x:row>
    <x:row r="390">
      <x:c r="A390" s="88" t="str">
        <x:v>CTA-LCSW-MQB-0389</x:v>
      </x:c>
      <x:c r="B390" s="83" t="str">
        <x:v>LCSW-MQB-FB-AP-007</x:v>
      </x:c>
      <x:c r="C390" s="83" t="str">
        <x:v>Comprehensive Simulation</x:v>
      </x:c>
      <x:c r="D390" s="83" t="str">
        <x:v>Form B</x:v>
      </x:c>
      <x:c r="E390" s="83" t="n">
        <x:v>3</x:v>
      </x:c>
      <x:c r="F390" s="83" t="str">
        <x:v>A client describes the home as peaceful, while an authorized collateral source reports repeated threats and broken furniture. What should the social worker do before reaching a conclusion?</x:v>
      </x:c>
      <x:c r="G390" s="83" t="str">
        <x:v>End assessment because the reports conflict.</x:v>
      </x:c>
      <x:c r="H390" s="83" t="str">
        <x:v>Explore specific incidents, context, frequency, consequences, safety, and differences in perspective without assuming either account is complete.</x:v>
      </x:c>
      <x:c r="I390" s="83" t="str">
        <x:v>Accept the partner’s account automatically.</x:v>
      </x:c>
      <x:c r="J390" s="83" t="str"/>
      <x:c r="K390" s="83" t="str">
        <x:v>B</x:v>
      </x:c>
      <x:c r="L390" s="83" t="str">
        <x:v>Incorrect. Conflicting accounts are common and assessable.</x:v>
      </x:c>
      <x:c r="M390" s="83" t="str">
        <x:v>Correct. Discrepancy is clinically useful information that calls for focused assessment.</x:v>
      </x:c>
      <x:c r="N390" s="83" t="str">
        <x:v>Incorrect. Collateral information is not automatically superior.</x:v>
      </x:c>
      <x:c r="O390" s="83" t="str"/>
      <x:c r="P390" s="83" t="str">
        <x:v>A. Incorrect. Conflicting accounts are common and assessable.
B. Correct. Discrepancy is clinically useful information that calls for focused assessment.
C. Incorrect. Collateral information is not automatically superior.</x:v>
      </x:c>
      <x:c r="Q390" s="83" t="str">
        <x:v>Treat disagreement as data, not as a reason to choose sides immediately.</x:v>
      </x:c>
      <x:c r="R390" s="89" t="str">
        <x:v>CTA LCSW WB3–WB7; ASWB 2026 Clinical Content Area II</x:v>
      </x:c>
    </x:row>
    <x:row r="391">
      <x:c r="A391" s="88" t="str">
        <x:v>CTA-LCSW-MQB-0390</x:v>
      </x:c>
      <x:c r="B391" s="83" t="str">
        <x:v>LCSW-MQB-FB-VE-028</x:v>
      </x:c>
      <x:c r="C391" s="83" t="str">
        <x:v>Comprehensive Simulation</x:v>
      </x:c>
      <x:c r="D391" s="83" t="str">
        <x:v>Form B</x:v>
      </x:c>
      <x:c r="E391" s="83" t="n">
        <x:v>4</x:v>
      </x:c>
      <x:c r="F391" s="83" t="str">
        <x:v>A client asks to inspect the record, which contains information a collateral source expected would remain private. What should the social worker do next?</x:v>
      </x:c>
      <x:c r="G391" s="83" t="str">
        <x:v>Give the client another person’s separate record.</x:v>
      </x:c>
      <x:c r="H391" s="83" t="str">
        <x:v>Follow applicable access procedures, review the record for lawful limitations or third-party concerns, and respond transparently.</x:v>
      </x:c>
      <x:c r="I391" s="83" t="str">
        <x:v>Destroy the third-party information.</x:v>
      </x:c>
      <x:c r="J391" s="83" t="str">
        <x:v>Deny the entire request automatically.</x:v>
      </x:c>
      <x:c r="K391" s="83" t="str">
        <x:v>B</x:v>
      </x:c>
      <x:c r="L391" s="83" t="str">
        <x:v>Incorrect. Another person’s record should not be disclosed.</x:v>
      </x:c>
      <x:c r="M391" s="83" t="str">
        <x:v>Correct. Access requests require a structured review rather than automatic release or denial.</x:v>
      </x:c>
      <x:c r="N391" s="83" t="str">
        <x:v>Incorrect. Destruction compromises record integrity.</x:v>
      </x:c>
      <x:c r="O391" s="83" t="str">
        <x:v>Incorrect. A blanket denial may be unsupported.</x:v>
      </x:c>
      <x:c r="P391" s="83" t="str">
        <x:v>A. Incorrect. Another person’s record should not be disclosed.
B. Correct. Access requests require a structured review rather than automatic release or denial.
C. Incorrect. Destruction compromises record integrity.
D. Incorrect. A blanket denial may be unsupported.</x:v>
      </x:c>
      <x:c r="Q391" s="83" t="str">
        <x:v>Distinguish the client’s access interest from information that may require special handling.</x:v>
      </x:c>
      <x:c r="R391" s="89" t="str">
        <x:v>CTA LCSW WB2; CTA LCSW WB12; ASWB 2026 Clinical Content Area I</x:v>
      </x:c>
    </x:row>
    <x:row r="392">
      <x:c r="A392" s="88" t="str">
        <x:v>CTA-LCSW-MQB-0391</x:v>
      </x:c>
      <x:c r="B392" s="83" t="str">
        <x:v>LCSW-MQB-FB-IP-025</x:v>
      </x:c>
      <x:c r="C392" s="83" t="str">
        <x:v>Comprehensive Simulation</x:v>
      </x:c>
      <x:c r="D392" s="83" t="str">
        <x:v>Form B</x:v>
      </x:c>
      <x:c r="E392" s="83" t="n">
        <x:v>4</x:v>
      </x:c>
      <x:c r="F392" s="83" t="str">
        <x:v>Before a planned family meeting, one participant privately says speaking honestly at home leads to retaliation. What should the social worker do next?</x:v>
      </x:c>
      <x:c r="G392" s="83" t="str">
        <x:v>Assess coercion and safety privately, reconsider whether conjoint work is appropriate, and establish a safer service plan.</x:v>
      </x:c>
      <x:c r="H392" s="83" t="str">
        <x:v>Proceed with joint disclosure to promote honesty.</x:v>
      </x:c>
      <x:c r="I392" s="83" t="str">
        <x:v>Tell the fearful member to be more assertive.</x:v>
      </x:c>
      <x:c r="J392" s="83" t="str">
        <x:v>Ignore the report because the family requested joint care.</x:v>
      </x:c>
      <x:c r="K392" s="83" t="str">
        <x:v>A</x:v>
      </x:c>
      <x:c r="L392" s="83" t="str">
        <x:v>Correct. Fear of retaliation may make conjoint treatment unsafe or ineffective.</x:v>
      </x:c>
      <x:c r="M392" s="83" t="str">
        <x:v>Incorrect. Disclosure can increase danger.</x:v>
      </x:c>
      <x:c r="N392" s="83" t="str">
        <x:v>Incorrect. Assertiveness is not a substitute for safety.</x:v>
      </x:c>
      <x:c r="O392" s="83" t="str">
        <x:v>Incorrect. The treatment format must remain clinically appropriate.</x:v>
      </x:c>
      <x:c r="P392" s="83" t="str">
        <x:v>A. Correct. Fear of retaliation may make conjoint treatment unsafe or ineffective.
B. Incorrect. Disclosure can increase danger.
C. Incorrect. Assertiveness is not a substitute for safety.
D. Incorrect. The treatment format must remain clinically appropriate.</x:v>
      </x:c>
      <x:c r="Q392" s="83" t="str">
        <x:v>Before encouraging openness, assess what happens after the session.</x:v>
      </x:c>
      <x:c r="R392" s="89" t="str">
        <x:v>CTA LCSW WB8–WB11; ASWB 2026 Clinical Content Area III</x:v>
      </x:c>
    </x:row>
    <x:row r="393">
      <x:c r="A393" s="88" t="str">
        <x:v>CTA-LCSW-MQB-0392</x:v>
      </x:c>
      <x:c r="B393" s="83" t="str">
        <x:v>LCSW-MQB-FB-VE-033</x:v>
      </x:c>
      <x:c r="C393" s="83" t="str">
        <x:v>Comprehensive Simulation</x:v>
      </x:c>
      <x:c r="D393" s="83" t="str">
        <x:v>Form B</x:v>
      </x:c>
      <x:c r="E393" s="83" t="n">
        <x:v>4</x:v>
      </x:c>
      <x:c r="F393" s="83" t="str">
        <x:v>A school asks the same social worker to counsel a student privately and later serve as the decision-maker in the student’s disciplinary hearing. What should the social worker do?</x:v>
      </x:c>
      <x:c r="G393" s="83" t="str">
        <x:v>End all support to the student.</x:v>
      </x:c>
      <x:c r="H393" s="83" t="str">
        <x:v>Accept both roles because the school employs the social worker.</x:v>
      </x:c>
      <x:c r="I393" s="83" t="str">
        <x:v>Use therapy disclosures to strengthen the expulsion case.</x:v>
      </x:c>
      <x:c r="J393" s="83" t="str">
        <x:v>Clarify the conflicting roles and seek separation of treatment and disciplinary decision-making when possible.</x:v>
      </x:c>
      <x:c r="K393" s="83" t="str">
        <x:v>D</x:v>
      </x:c>
      <x:c r="L393" s="83" t="str">
        <x:v>Incorrect. The student may still need appropriate support.</x:v>
      </x:c>
      <x:c r="M393" s="83" t="str">
        <x:v>Incorrect. Employment does not eliminate role conflicts.</x:v>
      </x:c>
      <x:c r="N393" s="83" t="str">
        <x:v>Incorrect. Using confidential treatment information punitively is problematic.</x:v>
      </x:c>
      <x:c r="O393" s="83" t="str">
        <x:v>Correct. Treatment trust and disciplinary authority can create incompatible duties and coercion.</x:v>
      </x:c>
      <x:c r="P393" s="83" t="str">
        <x:v>A. Incorrect. The student may still need appropriate support.
B. Incorrect. Employment does not eliminate role conflicts.
C. Incorrect. Using confidential treatment information punitively is problematic.
D. Correct. Treatment trust and disciplinary authority can create incompatible duties and coercion.</x:v>
      </x:c>
      <x:c r="Q393" s="83" t="str">
        <x:v>Identify who benefits from each role and whether one role undermines the other.</x:v>
      </x:c>
      <x:c r="R393" s="89" t="str">
        <x:v>CTA LCSW WB2; CTA LCSW WB12; ASWB 2026 Clinical Content Area I</x:v>
      </x:c>
    </x:row>
    <x:row r="394">
      <x:c r="A394" s="88" t="str">
        <x:v>CTA-LCSW-MQB-0393</x:v>
      </x:c>
      <x:c r="B394" s="83" t="str">
        <x:v>LCSW-MQB-FB-IP-015</x:v>
      </x:c>
      <x:c r="C394" s="83" t="str">
        <x:v>Comprehensive Simulation</x:v>
      </x:c>
      <x:c r="D394" s="83" t="str">
        <x:v>Form B</x:v>
      </x:c>
      <x:c r="E394" s="83" t="n">
        <x:v>3</x:v>
      </x:c>
      <x:c r="F394" s="83" t="str">
        <x:v>A rating scale shows fewer symptoms, but the client reports losing a job and becoming less able to manage daily tasks. What should the social worker do?</x:v>
      </x:c>
      <x:c r="G394" s="83" t="str">
        <x:v>Explore the discrepancy and integrate the measure with functioning, goals, context, and clinical observation.</x:v>
      </x:c>
      <x:c r="H394" s="83" t="str">
        <x:v>Discard all measures permanently.</x:v>
      </x:c>
      <x:c r="I394" s="83" t="str">
        <x:v>Tell the client the experience is inaccurate.</x:v>
      </x:c>
      <x:c r="J394" s="83" t="str"/>
      <x:c r="K394" s="83" t="str">
        <x:v>A</x:v>
      </x:c>
      <x:c r="L394" s="83" t="str">
        <x:v>Correct. Outcome data must be interpreted in context and against client-defined functioning.</x:v>
      </x:c>
      <x:c r="M394" s="83" t="str">
        <x:v>Incorrect. Measures can still be useful.</x:v>
      </x:c>
      <x:c r="N394" s="83" t="str">
        <x:v>Incorrect. Client report is essential data.</x:v>
      </x:c>
      <x:c r="O394" s="83" t="str"/>
      <x:c r="P394" s="83" t="str">
        <x:v>A. Correct. Outcome data must be interpreted in context and against client-defined functioning.
B. Incorrect. Measures can still be useful.
C. Incorrect. Client report is essential data.</x:v>
      </x:c>
      <x:c r="Q394" s="83" t="str">
        <x:v>When numbers and lived experience differ, investigate rather than choose one automatically.</x:v>
      </x:c>
      <x:c r="R394" s="89" t="str">
        <x:v>CTA LCSW WB10; CTA LCSW WB11; ASWB 2026 Clinical Content Area III</x:v>
      </x:c>
    </x:row>
    <x:row r="395">
      <x:c r="A395" s="88" t="str">
        <x:v>CTA-LCSW-MQB-0394</x:v>
      </x:c>
      <x:c r="B395" s="83" t="str">
        <x:v>LCSW-MQB-FB-VE-023</x:v>
      </x:c>
      <x:c r="C395" s="83" t="str">
        <x:v>Comprehensive Simulation</x:v>
      </x:c>
      <x:c r="D395" s="83" t="str">
        <x:v>Form B</x:v>
      </x:c>
      <x:c r="E395" s="83" t="n">
        <x:v>3</x:v>
      </x:c>
      <x:c r="F395" s="83" t="str">
        <x:v>A new agency rule restricts services in a way that appears harmful and inconsistent with professional obligations. What should the social worker do first?</x:v>
      </x:c>
      <x:c r="G395" s="83" t="str">
        <x:v>Publicly identify clients affected by the policy.</x:v>
      </x:c>
      <x:c r="H395" s="83" t="str">
        <x:v>Follow it automatically because employment overrides ethics.</x:v>
      </x:c>
      <x:c r="I395" s="83" t="str">
        <x:v>Clarify the policy and ethical conflict, consult appropriate standards and leadership, and pursue corrective action while protecting current clients.</x:v>
      </x:c>
      <x:c r="J395" s="83" t="str"/>
      <x:c r="K395" s="83" t="str">
        <x:v>C</x:v>
      </x:c>
      <x:c r="L395" s="83" t="str">
        <x:v>Incorrect. Public disclosure may violate privacy.</x:v>
      </x:c>
      <x:c r="M395" s="83" t="str">
        <x:v>Incorrect. Employment does not erase ethical responsibility.</x:v>
      </x:c>
      <x:c r="N395" s="83" t="str">
        <x:v>Correct. The social worker should analyze, consult, and address the systems issue without abandoning immediate duties.</x:v>
      </x:c>
      <x:c r="O395" s="83" t="str"/>
      <x:c r="P395" s="83" t="str">
        <x:v>A. Incorrect. Public disclosure may violate privacy.
B. Incorrect. Employment does not erase ethical responsibility.
C. Correct. The social worker should analyze, consult, and address the systems issue without abandoning immediate duties.</x:v>
      </x:c>
      <x:c r="Q395" s="83" t="str">
        <x:v>Address both the immediate client impact and the organizational source of the problem.</x:v>
      </x:c>
      <x:c r="R395" s="89" t="str">
        <x:v>CTA LCSW WB2; CTA LCSW WB12; ASWB 2026 Clinical Content Area I</x:v>
      </x:c>
    </x:row>
    <x:row r="396">
      <x:c r="A396" s="88" t="str">
        <x:v>CTA-LCSW-MQB-0395</x:v>
      </x:c>
      <x:c r="B396" s="83" t="str">
        <x:v>LCSW-MQB-FB-VE-034</x:v>
      </x:c>
      <x:c r="C396" s="83" t="str">
        <x:v>Comprehensive Simulation</x:v>
      </x:c>
      <x:c r="D396" s="83" t="str">
        <x:v>Form B</x:v>
      </x:c>
      <x:c r="E396" s="83" t="n">
        <x:v>4</x:v>
      </x:c>
      <x:c r="F396" s="83" t="str">
        <x:v>An administrator instructs staff to enter completed-service notes for appointments that never occurred so performance targets appear met. What should the social worker do?</x:v>
      </x:c>
      <x:c r="G396" s="83" t="str">
        <x:v>Decline to falsify records, preserve accurate documentation, and report the concern through appropriate channels.</x:v>
      </x:c>
      <x:c r="H396" s="83" t="str">
        <x:v>Document the service and add a private note that it did not occur.</x:v>
      </x:c>
      <x:c r="I396" s="83" t="str">
        <x:v>Ask clients to confirm attendance they did not have.</x:v>
      </x:c>
      <x:c r="J396" s="83" t="str">
        <x:v>Comply because the funding supports clients.</x:v>
      </x:c>
      <x:c r="K396" s="83" t="str">
        <x:v>A</x:v>
      </x:c>
      <x:c r="L396" s="83" t="str">
        <x:v>Correct. Funding goals do not justify inaccurate records or fraud.</x:v>
      </x:c>
      <x:c r="M396" s="83" t="str">
        <x:v>Incorrect. A hidden correction does not cure the false official record.</x:v>
      </x:c>
      <x:c r="N396" s="83" t="str">
        <x:v>Incorrect. Client involvement does not legitimize misrepresentation.</x:v>
      </x:c>
      <x:c r="O396" s="83" t="str">
        <x:v>Incorrect. Helpful outcomes do not make falsification ethical.</x:v>
      </x:c>
      <x:c r="P396" s="83" t="str">
        <x:v>A. Correct. Funding goals do not justify inaccurate records or fraud.
B. Incorrect. A hidden correction does not cure the false official record.
C. Incorrect. Client involvement does not legitimize misrepresentation.
D. Incorrect. Helpful outcomes do not make falsification ethical.</x:v>
      </x:c>
      <x:c r="Q396" s="83" t="str">
        <x:v>Never solve a systems problem by making the record false.</x:v>
      </x:c>
      <x:c r="R396" s="89" t="str">
        <x:v>CTA LCSW WB2; CTA LCSW WB12; ASWB 2026 Clinical Content Area I</x:v>
      </x:c>
    </x:row>
    <x:row r="397">
      <x:c r="A397" s="88" t="str">
        <x:v>CTA-LCSW-MQB-0396</x:v>
      </x:c>
      <x:c r="B397" s="83" t="str">
        <x:v>LCSW-MQB-FB-IP-039</x:v>
      </x:c>
      <x:c r="C397" s="83" t="str">
        <x:v>Comprehensive Simulation</x:v>
      </x:c>
      <x:c r="D397" s="83" t="str">
        <x:v>Form B</x:v>
      </x:c>
      <x:c r="E397" s="83" t="n">
        <x:v>4</x:v>
      </x:c>
      <x:c r="F397" s="83" t="str">
        <x:v>An agency’s notes are late across multiple teams, and staff report that the record system freezes repeatedly each day. What should administrators do?</x:v>
      </x:c>
      <x:c r="G397" s="83" t="str">
        <x:v>Protect current client safety, address individual overdue records, repair the system and workflow, provide support and accountability, and monitor improvement.</x:v>
      </x:c>
      <x:c r="H397" s="83" t="str">
        <x:v>Disable documentation requirements.</x:v>
      </x:c>
      <x:c r="I397" s="83" t="str">
        <x:v>Discipline every staff member without examining the system.</x:v>
      </x:c>
      <x:c r="J397" s="83" t="str">
        <x:v>Ignore the delays because technology is responsible.</x:v>
      </x:c>
      <x:c r="K397" s="83" t="str">
        <x:v>A</x:v>
      </x:c>
      <x:c r="L397" s="83" t="str">
        <x:v>Correct. Quality improvement must address both individual duties and organizational causes.</x:v>
      </x:c>
      <x:c r="M397" s="83" t="str">
        <x:v>Incorrect. Removing documentation creates new safety and accountability problems.</x:v>
      </x:c>
      <x:c r="N397" s="83" t="str">
        <x:v>Incorrect. Punishment alone misses the system driver.</x:v>
      </x:c>
      <x:c r="O397" s="83" t="str">
        <x:v>Incorrect. System failure does not erase record responsibilities.</x:v>
      </x:c>
      <x:c r="P397" s="83" t="str">
        <x:v>A. Correct. Quality improvement must address both individual duties and organizational causes.
B. Incorrect. Removing documentation creates new safety and accountability problems.
C. Incorrect. Punishment alone misses the system driver.
D. Incorrect. System failure does not erase record responsibilities.</x:v>
      </x:c>
      <x:c r="Q397" s="83" t="str">
        <x:v>Integrated administration questions require action at person and system levels.</x:v>
      </x:c>
      <x:c r="R397" s="89" t="str">
        <x:v>CTA LCSW WB10; CTA LCSW WB11; ASWB 2026 Clinical Content Area III</x:v>
      </x:c>
    </x:row>
    <x:row r="398">
      <x:c r="A398" s="88" t="str">
        <x:v>CTA-LCSW-MQB-0397</x:v>
      </x:c>
      <x:c r="B398" s="83" t="str">
        <x:v>LCSW-MQB-FB-IP-005</x:v>
      </x:c>
      <x:c r="C398" s="83" t="str">
        <x:v>Comprehensive Simulation</x:v>
      </x:c>
      <x:c r="D398" s="83" t="str">
        <x:v>Form B</x:v>
      </x:c>
      <x:c r="E398" s="83" t="n">
        <x:v>3</x:v>
      </x:c>
      <x:c r="F398" s="83" t="str">
        <x:v>During discussion of a reminder of past trauma, a client becomes highly distressed but remains alert and responsive. Which intervention is appropriate in the moment?</x:v>
      </x:c>
      <x:c r="G398" s="83" t="str">
        <x:v>End treatment because activation occurred.</x:v>
      </x:c>
      <x:c r="H398" s="83" t="str">
        <x:v>Tell the client to suppress all feelings.</x:v>
      </x:c>
      <x:c r="I398" s="83" t="str">
        <x:v>Use present-focused grounding and paced regulation while reinforcing choice and control.</x:v>
      </x:c>
      <x:c r="J398" s="83" t="str"/>
      <x:c r="K398" s="83" t="str">
        <x:v>C</x:v>
      </x:c>
      <x:c r="L398" s="83" t="str">
        <x:v>Incorrect. Activation can often be managed within trauma-informed care.</x:v>
      </x:c>
      <x:c r="M398" s="83" t="str">
        <x:v>Incorrect. Suppression is not a sustainable regulation strategy.</x:v>
      </x:c>
      <x:c r="N398" s="83" t="str">
        <x:v>Correct. Grounding can reduce arousal and restore present-moment orientation.</x:v>
      </x:c>
      <x:c r="O398" s="83" t="str"/>
      <x:c r="P398" s="83" t="str">
        <x:v>A. Incorrect. Activation can often be managed within trauma-informed care.
B. Incorrect. Suppression is not a sustainable regulation strategy.
C. Correct. Grounding can reduce arousal and restore present-moment orientation.</x:v>
      </x:c>
      <x:c r="Q398" s="83" t="str">
        <x:v>Stabilize before processing.</x:v>
      </x:c>
      <x:c r="R398" s="89" t="str">
        <x:v>CTA LCSW WB8–WB11; ASWB 2026 Clinical Content Area III</x:v>
      </x:c>
    </x:row>
    <x:row r="399">
      <x:c r="A399" s="88" t="str">
        <x:v>CTA-LCSW-MQB-0398</x:v>
      </x:c>
      <x:c r="B399" s="83" t="str">
        <x:v>LCSW-MQB-FB-AP-009</x:v>
      </x:c>
      <x:c r="C399" s="83" t="str">
        <x:v>Comprehensive Simulation</x:v>
      </x:c>
      <x:c r="D399" s="83" t="str">
        <x:v>Form B</x:v>
      </x:c>
      <x:c r="E399" s="83" t="n">
        <x:v>3</x:v>
      </x:c>
      <x:c r="F399" s="83" t="str">
        <x:v>An 8-year-old resumes sleeping in a caregiver’s bed after changing schools and learning that a grandparent is seriously ill. What should the social worker assess first?</x:v>
      </x:c>
      <x:c r="G399" s="83" t="str">
        <x:v>Timing, duration, developmental fit, family transitions, impairment, supports, and whether symptoms are improving or worsening.</x:v>
      </x:c>
      <x:c r="H399" s="83" t="str">
        <x:v>Whether the child is manipulating the parents.</x:v>
      </x:c>
      <x:c r="I399" s="83" t="str">
        <x:v>Only school grades.</x:v>
      </x:c>
      <x:c r="J399" s="83" t="str"/>
      <x:c r="K399" s="83" t="str">
        <x:v>A</x:v>
      </x:c>
      <x:c r="L399" s="83" t="str">
        <x:v>Correct. The behavior may be a developmental stress response but still requires contextual assessment.</x:v>
      </x:c>
      <x:c r="M399" s="83" t="str">
        <x:v>Incorrect. Intent should not be assumed.</x:v>
      </x:c>
      <x:c r="N399" s="83" t="str">
        <x:v>Incorrect. School functioning is only one domain.</x:v>
      </x:c>
      <x:c r="O399" s="83" t="str"/>
      <x:c r="P399" s="83" t="str">
        <x:v>A. Correct. The behavior may be a developmental stress response but still requires contextual assessment.
B. Incorrect. Intent should not be assumed.
C. Incorrect. School functioning is only one domain.</x:v>
      </x:c>
      <x:c r="Q399" s="83" t="str">
        <x:v>Compare child behavior with developmental expectations and recent transitions.</x:v>
      </x:c>
      <x:c r="R399" s="89" t="str">
        <x:v>CTA LCSW WB3–WB7; ASWB 2026 Clinical Content Area II</x:v>
      </x:c>
    </x:row>
    <x:row r="400">
      <x:c r="A400" s="88" t="str">
        <x:v>CTA-LCSW-MQB-0399</x:v>
      </x:c>
      <x:c r="B400" s="83" t="str">
        <x:v>LCSW-MQB-FB-VE-017</x:v>
      </x:c>
      <x:c r="C400" s="83" t="str">
        <x:v>Comprehensive Simulation</x:v>
      </x:c>
      <x:c r="D400" s="83" t="str">
        <x:v>Form B</x:v>
      </x:c>
      <x:c r="E400" s="83" t="n">
        <x:v>3</x:v>
      </x:c>
      <x:c r="F400" s="83" t="str">
        <x:v>Before using an AI-generated case summary in assessment and documentation, what should the social worker do?</x:v>
      </x:c>
      <x:c r="G400" s="83" t="str">
        <x:v>Assume the tool is accurate because the agency purchased it.</x:v>
      </x:c>
      <x:c r="H400" s="83" t="str">
        <x:v>Enter any client information without checking vendor practices.</x:v>
      </x:c>
      <x:c r="I400" s="83" t="str">
        <x:v>Understand its limits, privacy risks, error patterns, agency safeguards, and the need for professional review of every output.</x:v>
      </x:c>
      <x:c r="J400" s="83" t="str"/>
      <x:c r="K400" s="83" t="str">
        <x:v>C</x:v>
      </x:c>
      <x:c r="L400" s="83" t="str">
        <x:v>Incorrect. Procurement is not validation.</x:v>
      </x:c>
      <x:c r="M400" s="83" t="str">
        <x:v>Incorrect. Data handling must be evaluated.</x:v>
      </x:c>
      <x:c r="N400" s="83" t="str">
        <x:v>Correct. Technology may assist practice but does not replace competence, privacy analysis, or professional judgment.</x:v>
      </x:c>
      <x:c r="O400" s="83" t="str"/>
      <x:c r="P400" s="83" t="str">
        <x:v>A. Incorrect. Procurement is not validation.
B. Incorrect. Data handling must be evaluated.
C. Correct. Technology may assist practice but does not replace competence, privacy analysis, or professional judgment.</x:v>
      </x:c>
      <x:c r="Q400" s="83" t="str">
        <x:v>Treat automated output as a draft requiring verification, not an authority.</x:v>
      </x:c>
      <x:c r="R400" s="89" t="str">
        <x:v>CTA LCSW WB2; CTA LCSW WB12; ASWB 2026 Clinical Content Area I</x:v>
      </x:c>
    </x:row>
    <x:row r="401">
      <x:c r="A401" s="88" t="str">
        <x:v>CTA-LCSW-MQB-0400</x:v>
      </x:c>
      <x:c r="B401" s="83" t="str">
        <x:v>LCSW-MQB-FB-AP-025</x:v>
      </x:c>
      <x:c r="C401" s="83" t="str">
        <x:v>Comprehensive Simulation</x:v>
      </x:c>
      <x:c r="D401" s="83" t="str">
        <x:v>Form B</x:v>
      </x:c>
      <x:c r="E401" s="83" t="n">
        <x:v>4</x:v>
      </x:c>
      <x:c r="F401" s="83" t="str">
        <x:v>For ten days, a client has slept very little, talked continuously, started several costly projects, and expressed grandiose plans. What should the social worker do first?</x:v>
      </x:c>
      <x:c r="G401" s="83" t="str">
        <x:v>Assess mood episode severity, psychosis, substance or medication causes, safety, functioning, and need for urgent psychiatric evaluation.</x:v>
      </x:c>
      <x:c r="H401" s="83" t="str">
        <x:v>Diagnose anxiety from rapid speech alone.</x:v>
      </x:c>
      <x:c r="I401" s="83" t="str">
        <x:v>Begin long-term insight therapy without safety assessment.</x:v>
      </x:c>
      <x:c r="J401" s="83" t="str">
        <x:v>Praise the increased energy.</x:v>
      </x:c>
      <x:c r="K401" s="83" t="str">
        <x:v>A</x:v>
      </x:c>
      <x:c r="L401" s="83" t="str">
        <x:v>Correct. The cluster suggests a possible manic syndrome with significant risk and differential considerations.</x:v>
      </x:c>
      <x:c r="M401" s="83" t="str">
        <x:v>Incorrect. The full pattern is broader than anxiety.</x:v>
      </x:c>
      <x:c r="N401" s="83" t="str">
        <x:v>Incorrect. Acuity and medical factors require priority.</x:v>
      </x:c>
      <x:c r="O401" s="83" t="str">
        <x:v>Incorrect. The behavior may be dangerous rather than adaptive.</x:v>
      </x:c>
      <x:c r="P401" s="83" t="str">
        <x:v>A. Correct. The cluster suggests a possible manic syndrome with significant risk and differential considerations.
B. Incorrect. The full pattern is broader than anxiety.
C. Incorrect. Acuity and medical factors require priority.
D. Incorrect. The behavior may be dangerous rather than adaptive.</x:v>
      </x:c>
      <x:c r="Q401" s="83" t="str">
        <x:v>Reduced need for sleep plus expansive behavior is an urgency cue.</x:v>
      </x:c>
      <x:c r="R401" s="89" t="str">
        <x:v>CTA LCSW WB5; ASWB 2026 Clinical Content Area II</x:v>
      </x:c>
    </x:row>
    <x:row r="402">
      <x:c r="A402" s="88" t="str">
        <x:v>CTA-LCSW-MQB-0401</x:v>
      </x:c>
      <x:c r="B402" s="83" t="str">
        <x:v>LCSW-MQB-FB-VE-042</x:v>
      </x:c>
      <x:c r="C402" s="83" t="str">
        <x:v>Comprehensive Simulation</x:v>
      </x:c>
      <x:c r="D402" s="83" t="str">
        <x:v>Form B</x:v>
      </x:c>
      <x:c r="E402" s="83" t="n">
        <x:v>4</x:v>
      </x:c>
      <x:c r="F402" s="83" t="str">
        <x:v>Two clients meet the same written criteria for one available crisis-housing placement. What is the best ethical allocation process?</x:v>
      </x:c>
      <x:c r="G402" s="83" t="str">
        <x:v>Promise both clients the placement.</x:v>
      </x:c>
      <x:c r="H402" s="83" t="str">
        <x:v>Give the slot to the client the social worker likes more.</x:v>
      </x:c>
      <x:c r="I402" s="83" t="str">
        <x:v>Hide the criteria to avoid complaints.</x:v>
      </x:c>
      <x:c r="J402" s="83" t="str">
        <x:v>Use transparent, consistently applied criteria, document the decision, communicate honestly, and seek alternatives for the client not selected.</x:v>
      </x:c>
      <x:c r="K402" s="83" t="str">
        <x:v>D</x:v>
      </x:c>
      <x:c r="L402" s="83" t="str">
        <x:v>Incorrect. A false promise harms both clients.</x:v>
      </x:c>
      <x:c r="M402" s="83" t="str">
        <x:v>Incorrect. Personal preference creates inequity.</x:v>
      </x:c>
      <x:c r="N402" s="83" t="str">
        <x:v>Incorrect. Secrecy undermines accountability.</x:v>
      </x:c>
      <x:c r="O402" s="83" t="str">
        <x:v>Correct. Scarce-resource decisions require fairness, transparency, and continued advocacy.</x:v>
      </x:c>
      <x:c r="P402" s="83" t="str">
        <x:v>A. Incorrect. A false promise harms both clients.
B. Incorrect. Personal preference creates inequity.
C. Incorrect. Secrecy undermines accountability.
D. Correct. Scarce-resource decisions require fairness, transparency, and continued advocacy.</x:v>
      </x:c>
      <x:c r="Q402" s="83" t="str">
        <x:v>When resources are scarce, fairness concerns the process as well as the outcome.</x:v>
      </x:c>
      <x:c r="R402" s="89" t="str">
        <x:v>CTA LCSW WB2; ASWB 2026 Clinical Content Area I</x:v>
      </x:c>
    </x:row>
    <x:row r="403">
      <x:c r="A403" s="88" t="str">
        <x:v>CTA-LCSW-MQB-0402</x:v>
      </x:c>
      <x:c r="B403" s="83" t="str">
        <x:v>LCSW-MQB-FB-VE-035</x:v>
      </x:c>
      <x:c r="C403" s="83" t="str">
        <x:v>Comprehensive Simulation</x:v>
      </x:c>
      <x:c r="D403" s="83" t="str">
        <x:v>Form B</x:v>
      </x:c>
      <x:c r="E403" s="83" t="n">
        <x:v>4</x:v>
      </x:c>
      <x:c r="F403" s="83" t="str">
        <x:v>A clinician is unexpectedly leaving a program, and several clients need intensive follow-up and coordinated transfer. What should the social worker do next?</x:v>
      </x:c>
      <x:c r="G403" s="83" t="str">
        <x:v>Coordinate prioritized transition plans, communicate appropriately, arrange coverage or referrals, and document continuity efforts.</x:v>
      </x:c>
      <x:c r="H403" s="83" t="str">
        <x:v>Transfer every client to the same provider without assessment.</x:v>
      </x:c>
      <x:c r="I403" s="83" t="str">
        <x:v>Leave without contact to avoid upsetting clients.</x:v>
      </x:c>
      <x:c r="J403" s="83" t="str">
        <x:v>Give clients the social worker’s personal phone number indefinitely.</x:v>
      </x:c>
      <x:c r="K403" s="83" t="str">
        <x:v>A</x:v>
      </x:c>
      <x:c r="L403" s="83" t="str">
        <x:v>Correct. Termination should protect continuity, boundaries, and individual needs.</x:v>
      </x:c>
      <x:c r="M403" s="83" t="str">
        <x:v>Incorrect. Transitions should be matched to client needs and capacity.</x:v>
      </x:c>
      <x:c r="N403" s="83" t="str">
        <x:v>Incorrect. Silence can create abandonment.</x:v>
      </x:c>
      <x:c r="O403" s="83" t="str">
        <x:v>Incorrect. Unlimited personal access blurs roles.</x:v>
      </x:c>
      <x:c r="P403" s="83" t="str">
        <x:v>A. Correct. Termination should protect continuity, boundaries, and individual needs.
B. Incorrect. Transitions should be matched to client needs and capacity.
C. Incorrect. Silence can create abandonment.
D. Incorrect. Unlimited personal access blurs roles.</x:v>
      </x:c>
      <x:c r="Q403" s="83" t="str">
        <x:v>When time is short, triage continuity rather than abandoning structure.</x:v>
      </x:c>
      <x:c r="R403" s="89" t="str">
        <x:v>CTA LCSW WB2; CTA LCSW WB12; ASWB 2026 Clinical Content Area I</x:v>
      </x:c>
    </x:row>
    <x:row r="404">
      <x:c r="A404" s="88" t="str">
        <x:v>CTA-LCSW-MQB-0403</x:v>
      </x:c>
      <x:c r="B404" s="83" t="str">
        <x:v>LCSW-MQB-FB-IP-001</x:v>
      </x:c>
      <x:c r="C404" s="83" t="str">
        <x:v>Comprehensive Simulation</x:v>
      </x:c>
      <x:c r="D404" s="83" t="str">
        <x:v>Form B</x:v>
      </x:c>
      <x:c r="E404" s="83" t="n">
        <x:v>3</x:v>
      </x:c>
      <x:c r="F404" s="83" t="str">
        <x:v>A client is ambivalent about changing cannabis use. Which social-worker response best reflects the spirit and method of motivational interviewing?</x:v>
      </x:c>
      <x:c r="G404" s="83" t="str">
        <x:v>Giving a long lecture about consequences.</x:v>
      </x:c>
      <x:c r="H404" s="83" t="str">
        <x:v>Eliciting the client’s own reasons for change while reflecting ambivalence without argument.</x:v>
      </x:c>
      <x:c r="I404" s="83" t="str">
        <x:v>Avoiding discussion of change.</x:v>
      </x:c>
      <x:c r="J404" s="83" t="str"/>
      <x:c r="K404" s="83" t="str">
        <x:v>B</x:v>
      </x:c>
      <x:c r="L404" s="83" t="str">
        <x:v>Incorrect. Information may help but does not replace eliciting motivation.</x:v>
      </x:c>
      <x:c r="M404" s="83" t="str">
        <x:v>Correct. Motivational interviewing emphasizes collaboration, evocation, and autonomy.</x:v>
      </x:c>
      <x:c r="N404" s="83" t="str">
        <x:v>Incorrect. Ambivalence should be explored, not ignored.</x:v>
      </x:c>
      <x:c r="O404" s="83" t="str"/>
      <x:c r="P404" s="83" t="str">
        <x:v>A. Incorrect. Information may help but does not replace eliciting motivation.
B. Correct. Motivational interviewing emphasizes collaboration, evocation, and autonomy.
C. Incorrect. Ambivalence should be explored, not ignored.</x:v>
      </x:c>
      <x:c r="Q404" s="83" t="str">
        <x:v>Listen for answers that evoke rather than impose motivation.</x:v>
      </x:c>
      <x:c r="R404" s="89" t="str">
        <x:v>CTA LCSW WB8–WB11; ASWB 2026 Clinical Content Area III</x:v>
      </x:c>
    </x:row>
    <x:row r="405">
      <x:c r="A405" s="88" t="str">
        <x:v>CTA-LCSW-MQB-0404</x:v>
      </x:c>
      <x:c r="B405" s="83" t="str">
        <x:v>LCSW-MQB-FB-AP-020</x:v>
      </x:c>
      <x:c r="C405" s="83" t="str">
        <x:v>Comprehensive Simulation</x:v>
      </x:c>
      <x:c r="D405" s="83" t="str">
        <x:v>Form B</x:v>
      </x:c>
      <x:c r="E405" s="83" t="n">
        <x:v>3</x:v>
      </x:c>
      <x:c r="F405" s="83" t="str">
        <x:v>A client says the main goal is to “get life under control.” What should the social worker do to make the goal useful for treatment planning?</x:v>
      </x:c>
      <x:c r="G405" s="83" t="str">
        <x:v>Translate the goal collaboratively into observable indicators, priorities, supports, and review points.</x:v>
      </x:c>
      <x:c r="H405" s="83" t="str">
        <x:v>Choose the same goal used for all clients.</x:v>
      </x:c>
      <x:c r="I405" s="83" t="str">
        <x:v>Replace it with a diagnosis.</x:v>
      </x:c>
      <x:c r="J405" s="83" t="str"/>
      <x:c r="K405" s="83" t="str">
        <x:v>A</x:v>
      </x:c>
      <x:c r="L405" s="83" t="str">
        <x:v>Correct. Specific indicators make planning and evaluation possible while preserving the client’s language.</x:v>
      </x:c>
      <x:c r="M405" s="83" t="str">
        <x:v>Incorrect. Goals should be individualized.</x:v>
      </x:c>
      <x:c r="N405" s="83" t="str">
        <x:v>Incorrect. Diagnosis is not a substitute for a client goal.</x:v>
      </x:c>
      <x:c r="O405" s="83" t="str"/>
      <x:c r="P405" s="83" t="str">
        <x:v>A. Correct. Specific indicators make planning and evaluation possible while preserving the client’s language.
B. Incorrect. Goals should be individualized.
C. Incorrect. Diagnosis is not a substitute for a client goal.</x:v>
      </x:c>
      <x:c r="Q405" s="83" t="str">
        <x:v>Operationalize the client’s goal without taking ownership away.</x:v>
      </x:c>
      <x:c r="R405" s="89" t="str">
        <x:v>CTA LCSW WB3–WB7; ASWB 2026 Clinical Content Area II</x:v>
      </x:c>
    </x:row>
    <x:row r="406">
      <x:c r="A406" s="88" t="str">
        <x:v>CTA-LCSW-MQB-0405</x:v>
      </x:c>
      <x:c r="B406" s="83" t="str">
        <x:v>LCSW-MQB-FB-AP-012</x:v>
      </x:c>
      <x:c r="C406" s="83" t="str">
        <x:v>Comprehensive Simulation</x:v>
      </x:c>
      <x:c r="D406" s="83" t="str">
        <x:v>Form B</x:v>
      </x:c>
      <x:c r="E406" s="83" t="n">
        <x:v>3</x:v>
      </x:c>
      <x:c r="F406" s="83" t="str">
        <x:v>A client describes sensing an ancestor’s presence during prayer and says the experience is comforting and culturally expected. How should the social worker evaluate it?</x:v>
      </x:c>
      <x:c r="G406" s="83" t="str">
        <x:v>Explore the experiences’ cultural meaning, voluntariness, distress, functioning, shared context, and any other symptoms before interpreting them.</x:v>
      </x:c>
      <x:c r="H406" s="83" t="str">
        <x:v>Avoid the topic.</x:v>
      </x:c>
      <x:c r="I406" s="83" t="str">
        <x:v>Assume unusual beliefs are psychosis.</x:v>
      </x:c>
      <x:c r="J406" s="83" t="str"/>
      <x:c r="K406" s="83" t="str">
        <x:v>A</x:v>
      </x:c>
      <x:c r="L406" s="83" t="str">
        <x:v>Correct. Cultural formulation distinguishes meaningful practices from experiences associated with impairment or loss of reality testing.</x:v>
      </x:c>
      <x:c r="M406" s="83" t="str">
        <x:v>Incorrect. Avoidance prevents accurate assessment.</x:v>
      </x:c>
      <x:c r="N406" s="83" t="str">
        <x:v>Incorrect. Unfamiliarity is not diagnostic evidence.</x:v>
      </x:c>
      <x:c r="O406" s="83" t="str"/>
      <x:c r="P406" s="83" t="str">
        <x:v>A. Correct. Cultural formulation distinguishes meaningful practices from experiences associated with impairment or loss of reality testing.
B. Incorrect. Avoidance prevents accurate assessment.
C. Incorrect. Unfamiliarity is not diagnostic evidence.</x:v>
      </x:c>
      <x:c r="Q406" s="83" t="str">
        <x:v>Assess meaning and function before pathologizing difference.</x:v>
      </x:c>
      <x:c r="R406" s="89" t="str">
        <x:v>CTA LCSW WB3–WB7; ASWB 2026 Clinical Content Area II</x:v>
      </x:c>
    </x:row>
    <x:row r="407">
      <x:c r="A407" s="88" t="str">
        <x:v>CTA-LCSW-MQB-0406</x:v>
      </x:c>
      <x:c r="B407" s="83" t="str">
        <x:v>LCSW-MQB-FB-VE-041</x:v>
      </x:c>
      <x:c r="C407" s="83" t="str">
        <x:v>Comprehensive Simulation</x:v>
      </x:c>
      <x:c r="D407" s="83" t="str">
        <x:v>Form B</x:v>
      </x:c>
      <x:c r="E407" s="83" t="n">
        <x:v>4</x:v>
      </x:c>
      <x:c r="F407" s="83" t="str">
        <x:v>A supervisee reports leaving danger-related facts out of notes after being told that such details make the program look bad. What should the supervising social worker do?</x:v>
      </x:c>
      <x:c r="G407" s="83" t="str">
        <x:v>Tell the supervisee to continue for consistency.</x:v>
      </x:c>
      <x:c r="H407" s="83" t="str">
        <x:v>Focus only on disciplining the supervisee.</x:v>
      </x:c>
      <x:c r="I407" s="83" t="str">
        <x:v>Address current client safety, correct records transparently, assess the supervision failure, and establish accurate documentation expectations and monitoring.</x:v>
      </x:c>
      <x:c r="J407" s="83" t="str">
        <x:v>Delete the affected records.</x:v>
      </x:c>
      <x:c r="K407" s="83" t="str">
        <x:v>C</x:v>
      </x:c>
      <x:c r="L407" s="83" t="str">
        <x:v>Incorrect. Consistency does not justify ongoing inaccuracy.</x:v>
      </x:c>
      <x:c r="M407" s="83" t="str">
        <x:v>Incorrect. Discipline alone does not correct current risk or supervision practices.</x:v>
      </x:c>
      <x:c r="N407" s="83" t="str">
        <x:v>Correct. The response must protect clients, repair records, and correct the supervisory system.</x:v>
      </x:c>
      <x:c r="O407" s="83" t="str">
        <x:v>Incorrect. Deletion can compound record-integrity problems.</x:v>
      </x:c>
      <x:c r="P407" s="83" t="str">
        <x:v>A. Incorrect. Consistency does not justify ongoing inaccuracy.
B. Incorrect. Discipline alone does not correct current risk or supervision practices.
C. Correct. The response must protect clients, repair records, and correct the supervisory system.
D. Incorrect. Deletion can compound record-integrity problems.</x:v>
      </x:c>
      <x:c r="Q407" s="83" t="str">
        <x:v>Integrated supervision questions require repair at client, record, and system levels.</x:v>
      </x:c>
      <x:c r="R407" s="89" t="str">
        <x:v>CTA LCSW WB2; CTA LCSW WB12; ASWB 2026 Clinical Content Area I</x:v>
      </x:c>
    </x:row>
    <x:row r="408">
      <x:c r="A408" s="88" t="str">
        <x:v>CTA-LCSW-MQB-0407</x:v>
      </x:c>
      <x:c r="B408" s="83" t="str">
        <x:v>LCSW-MQB-FB-AP-036</x:v>
      </x:c>
      <x:c r="C408" s="83" t="str">
        <x:v>Comprehensive Simulation</x:v>
      </x:c>
      <x:c r="D408" s="83" t="str">
        <x:v>Form B</x:v>
      </x:c>
      <x:c r="E408" s="83" t="n">
        <x:v>4</x:v>
      </x:c>
      <x:c r="F408" s="83" t="str">
        <x:v>A child begins fighting after a parent is incarcerated, the family moves twice, and contact with supportive relatives is lost. Which formulation is most complete?</x:v>
      </x:c>
      <x:c r="G408" s="83" t="str">
        <x:v>Assume a fixed conduct disorder from aggression alone.</x:v>
      </x:c>
      <x:c r="H408" s="83" t="str">
        <x:v>Ignore environmental changes because the child is the identified client.</x:v>
      </x:c>
      <x:c r="I408" s="83" t="str">
        <x:v>Assess developmental needs, attachment disruptions, family conflict, school context, trauma exposure, strengths, and the behavior’s function across settings.</x:v>
      </x:c>
      <x:c r="J408" s="83" t="str">
        <x:v>Focus only on parenting discipline.</x:v>
      </x:c>
      <x:c r="K408" s="83" t="str">
        <x:v>C</x:v>
      </x:c>
      <x:c r="L408" s="83" t="str">
        <x:v>Incorrect. One behavior does not establish a fixed diagnosis.</x:v>
      </x:c>
      <x:c r="M408" s="83" t="str">
        <x:v>Incorrect. Person-in-environment assessment remains essential.</x:v>
      </x:c>
      <x:c r="N408" s="83" t="str">
        <x:v>Correct. The behavior may reflect multiple interacting developmental and environmental factors.</x:v>
      </x:c>
      <x:c r="O408" s="83" t="str">
        <x:v>Incorrect. Parenting is only one part of the system.</x:v>
      </x:c>
      <x:c r="P408" s="83" t="str">
        <x:v>A. Incorrect. One behavior does not establish a fixed diagnosis.
B. Incorrect. Person-in-environment assessment remains essential.
C. Correct. The behavior may reflect multiple interacting developmental and environmental factors.
D. Incorrect. Parenting is only one part of the system.</x:v>
      </x:c>
      <x:c r="Q408" s="83" t="str">
        <x:v>Formulate across time, relationships, and settings before selecting a label.</x:v>
      </x:c>
      <x:c r="R408" s="89" t="str">
        <x:v>CTA LCSW WB3–WB7; ASWB 2026 Clinical Content Area II</x:v>
      </x:c>
    </x:row>
    <x:row r="409">
      <x:c r="A409" s="88" t="str">
        <x:v>CTA-LCSW-MQB-0408</x:v>
      </x:c>
      <x:c r="B409" s="83" t="str">
        <x:v>LCSW-MQB-FB-VE-003</x:v>
      </x:c>
      <x:c r="C409" s="83" t="str">
        <x:v>Comprehensive Simulation</x:v>
      </x:c>
      <x:c r="D409" s="83" t="str">
        <x:v>Form B</x:v>
      </x:c>
      <x:c r="E409" s="83" t="n">
        <x:v>3</x:v>
      </x:c>
      <x:c r="F409" s="83" t="str">
        <x:v>A social worker is deciding whether to release information routinely and whether to testify in court. Which distinction between confidentiality and privilege is most important?</x:v>
      </x:c>
      <x:c r="G409" s="83" t="str">
        <x:v>Privilege is an agency policy, while confidentiality belongs only to courts.</x:v>
      </x:c>
      <x:c r="H409" s="83" t="str">
        <x:v>Confidentiality is the professional duty to protect information; privilege concerns control of disclosure in certain legal proceedings.</x:v>
      </x:c>
      <x:c r="I409" s="83" t="str">
        <x:v>They are identical terms in every setting.</x:v>
      </x:c>
      <x:c r="J409" s="83" t="str"/>
      <x:c r="K409" s="83" t="str">
        <x:v>B</x:v>
      </x:c>
      <x:c r="L409" s="83" t="str">
        <x:v>Incorrect. The description reverses the concepts.</x:v>
      </x:c>
      <x:c r="M409" s="83" t="str">
        <x:v>Correct. The concepts overlap but arise in different professional and legal contexts.</x:v>
      </x:c>
      <x:c r="N409" s="83" t="str">
        <x:v>Incorrect. They should not be treated as interchangeable.</x:v>
      </x:c>
      <x:c r="O409" s="83" t="str"/>
      <x:c r="P409" s="83" t="str">
        <x:v>A. Incorrect. The description reverses the concepts.
B. Correct. The concepts overlap but arise in different professional and legal contexts.
C. Incorrect. They should not be treated as interchangeable.</x:v>
      </x:c>
      <x:c r="Q409" s="83" t="str">
        <x:v>Identify whether the question concerns ordinary information protection or compelled legal testimony.</x:v>
      </x:c>
      <x:c r="R409" s="89" t="str">
        <x:v>CTA LCSW WB2; CTA LCSW WB12; ASWB 2026 Clinical Content Area I</x:v>
      </x:c>
    </x:row>
    <x:row r="410">
      <x:c r="A410" s="88" t="str">
        <x:v>CTA-LCSW-MQB-0409</x:v>
      </x:c>
      <x:c r="B410" s="83" t="str">
        <x:v>LCSW-MQB-FB-VE-026</x:v>
      </x:c>
      <x:c r="C410" s="83" t="str">
        <x:v>Comprehensive Simulation</x:v>
      </x:c>
      <x:c r="D410" s="83" t="str">
        <x:v>Form B</x:v>
      </x:c>
      <x:c r="E410" s="83" t="n">
        <x:v>3</x:v>
      </x:c>
      <x:c r="F410" s="83" t="str">
        <x:v>In family work, one caregiver sends accusations about another participant and insists that the message remain secret. What should the social worker do next?</x:v>
      </x:c>
      <x:c r="G410" s="83" t="str">
        <x:v>Review the established information policy, assess any immediate safety issue, and avoid promising secrecy that conflicts with the service structure.</x:v>
      </x:c>
      <x:c r="H410" s="83" t="str">
        <x:v>Promise secrecy to preserve the alliance.</x:v>
      </x:c>
      <x:c r="I410" s="83" t="str">
        <x:v>Delete the email without reading it.</x:v>
      </x:c>
      <x:c r="J410" s="83" t="str"/>
      <x:c r="K410" s="83" t="str">
        <x:v>A</x:v>
      </x:c>
      <x:c r="L410" s="83" t="str">
        <x:v>Correct. Multi-person services require consistent role and information-management boundaries.</x:v>
      </x:c>
      <x:c r="M410" s="83" t="str">
        <x:v>Incorrect. A secret alliance may undermine fairness and informed expectations.</x:v>
      </x:c>
      <x:c r="N410" s="83" t="str">
        <x:v>Incorrect. The message may contain safety-relevant information.</x:v>
      </x:c>
      <x:c r="O410" s="83" t="str"/>
      <x:c r="P410" s="83" t="str">
        <x:v>A. Correct. Multi-person services require consistent role and information-management boundaries.
B. Incorrect. A secret alliance may undermine fairness and informed expectations.
C. Incorrect. The message may contain safety-relevant information.</x:v>
      </x:c>
      <x:c r="Q410" s="83" t="str">
        <x:v>Do not invent a new secrecy rule under pressure.</x:v>
      </x:c>
      <x:c r="R410" s="89" t="str">
        <x:v>CTA LCSW WB2; CTA LCSW WB12; ASWB 2026 Clinical Content Area I</x:v>
      </x:c>
    </x:row>
    <x:row r="411">
      <x:c r="A411" s="88" t="str">
        <x:v>CTA-LCSW-MQB-0410</x:v>
      </x:c>
      <x:c r="B411" s="83" t="str">
        <x:v>LCSW-MQB-FB-AP-028</x:v>
      </x:c>
      <x:c r="C411" s="83" t="str">
        <x:v>Comprehensive Simulation</x:v>
      </x:c>
      <x:c r="D411" s="83" t="str">
        <x:v>Form B</x:v>
      </x:c>
      <x:c r="E411" s="83" t="n">
        <x:v>4</x:v>
      </x:c>
      <x:c r="F411" s="83" t="str">
        <x:v>A client reports prolonged food restriction, dizziness on standing, and a recent collapse at work. What should the social worker do next?</x:v>
      </x:c>
      <x:c r="G411" s="83" t="str">
        <x:v>Assume the client is exaggerating.</x:v>
      </x:c>
      <x:c r="H411" s="83" t="str">
        <x:v>Wait for the next routine appointment.</x:v>
      </x:c>
      <x:c r="I411" s="83" t="str">
        <x:v>Begin only body-image journaling.</x:v>
      </x:c>
      <x:c r="J411" s="83" t="str">
        <x:v>Assess immediate medical risk and arrange urgent medical evaluation while continuing a broader eating-disorder and safety assessment.</x:v>
      </x:c>
      <x:c r="K411" s="83" t="str">
        <x:v>D</x:v>
      </x:c>
      <x:c r="L411" s="83" t="str">
        <x:v>Incorrect. Dismissal can delay needed care.</x:v>
      </x:c>
      <x:c r="M411" s="83" t="str">
        <x:v>Incorrect. Routine delay may be unsafe.</x:v>
      </x:c>
      <x:c r="N411" s="83" t="str">
        <x:v>Incorrect. Psychotherapeutic work does not replace medical assessment.</x:v>
      </x:c>
      <x:c r="O411" s="83" t="str">
        <x:v>Correct. Fainting and rapid change may indicate medical instability.</x:v>
      </x:c>
      <x:c r="P411" s="83" t="str">
        <x:v>A. Incorrect. Dismissal can delay needed care.
B. Incorrect. Routine delay may be unsafe.
C. Incorrect. Psychotherapeutic work does not replace medical assessment.
D. Correct. Fainting and rapid change may indicate medical instability.</x:v>
      </x:c>
      <x:c r="Q411" s="83" t="str">
        <x:v>Medical instability outranks a complete outpatient formulation.</x:v>
      </x:c>
      <x:c r="R411" s="89" t="str">
        <x:v>CTA LCSW WB5; ASWB 2026 Clinical Content Area II</x:v>
      </x:c>
    </x:row>
    <x:row r="412">
      <x:c r="A412" s="88" t="str">
        <x:v>CTA-LCSW-MQB-0411</x:v>
      </x:c>
      <x:c r="B412" s="83" t="str">
        <x:v>LCSW-MQB-FB-IP-013</x:v>
      </x:c>
      <x:c r="C412" s="83" t="str">
        <x:v>Comprehensive Simulation</x:v>
      </x:c>
      <x:c r="D412" s="83" t="str">
        <x:v>Form B</x:v>
      </x:c>
      <x:c r="E412" s="83" t="n">
        <x:v>3</x:v>
      </x:c>
      <x:c r="F412" s="83" t="str">
        <x:v>A caregiver asks for help reducing a young child’s explosive behavior. Which initial parenting intervention is most useful?</x:v>
      </x:c>
      <x:c r="G412" s="83" t="str">
        <x:v>Recommend harsh punishment.</x:v>
      </x:c>
      <x:c r="H412" s="83" t="str">
        <x:v>Clarify triggers and patterns, teach consistent developmentally appropriate responses, and reinforce desired behavior.</x:v>
      </x:c>
      <x:c r="I412" s="83" t="str">
        <x:v>Diagnose the child before discussing routines.</x:v>
      </x:c>
      <x:c r="J412" s="83" t="str"/>
      <x:c r="K412" s="83" t="str">
        <x:v>B</x:v>
      </x:c>
      <x:c r="L412" s="83" t="str">
        <x:v>Incorrect. Harsh punishment can increase harm.</x:v>
      </x:c>
      <x:c r="M412" s="83" t="str">
        <x:v>Correct. Behavioral assessment and consistent parenting strategies are practical first steps.</x:v>
      </x:c>
      <x:c r="N412" s="83" t="str">
        <x:v>Incorrect. Diagnosis is not always necessary before intervention.</x:v>
      </x:c>
      <x:c r="O412" s="83" t="str"/>
      <x:c r="P412" s="83" t="str">
        <x:v>A. Incorrect. Harsh punishment can increase harm.
B. Correct. Behavioral assessment and consistent parenting strategies are practical first steps.
C. Incorrect. Diagnosis is not always necessary before intervention.</x:v>
      </x:c>
      <x:c r="Q412" s="83" t="str">
        <x:v>Start with antecedents, responses, and reinforcement.</x:v>
      </x:c>
      <x:c r="R412" s="89" t="str">
        <x:v>CTA LCSW WB8–WB11; ASWB 2026 Clinical Content Area III</x:v>
      </x:c>
    </x:row>
    <x:row r="413">
      <x:c r="A413" s="88" t="str">
        <x:v>CTA-LCSW-MQB-0412</x:v>
      </x:c>
      <x:c r="B413" s="83" t="str">
        <x:v>LCSW-MQB-FB-IP-036</x:v>
      </x:c>
      <x:c r="C413" s="83" t="str">
        <x:v>Comprehensive Simulation</x:v>
      </x:c>
      <x:c r="D413" s="83" t="str">
        <x:v>Form B</x:v>
      </x:c>
      <x:c r="E413" s="83" t="n">
        <x:v>4</x:v>
      </x:c>
      <x:c r="F413" s="83" t="str">
        <x:v>A recommended intervention has strong evidence, but the client associates the setting and method with prior discrimination and says it conflicts with important cultural values. What should the social worker do?</x:v>
      </x:c>
      <x:c r="G413" s="83" t="str">
        <x:v>Reject the evidence entirely.</x:v>
      </x:c>
      <x:c r="H413" s="83" t="str">
        <x:v>Explain the evidence and options, explore the client’s concerns and values, adapt when clinically sound, and collaboratively select an acceptable plan.</x:v>
      </x:c>
      <x:c r="I413" s="83" t="str">
        <x:v>Avoid discussing the conflict.</x:v>
      </x:c>
      <x:c r="J413" s="83" t="str">
        <x:v>Insist on the treatment because evidence overrides preference.</x:v>
      </x:c>
      <x:c r="K413" s="83" t="str">
        <x:v>B</x:v>
      </x:c>
      <x:c r="L413" s="83" t="str">
        <x:v>Incorrect. Evidence remains relevant even when adaptation is needed.</x:v>
      </x:c>
      <x:c r="M413" s="83" t="str">
        <x:v>Correct. Evidence-informed practice integrates research, clinical expertise, context, and client preferences.</x:v>
      </x:c>
      <x:c r="N413" s="83" t="str">
        <x:v>Incorrect. Avoidance prevents informed collaboration.</x:v>
      </x:c>
      <x:c r="O413" s="83" t="str">
        <x:v>Incorrect. Research does not erase consent or cultural fit.</x:v>
      </x:c>
      <x:c r="P413" s="83" t="str">
        <x:v>A. Incorrect. Evidence remains relevant even when adaptation is needed.
B. Correct. Evidence-informed practice integrates research, clinical expertise, context, and client preferences.
C. Incorrect. Avoidance prevents informed collaboration.
D. Incorrect. Research does not erase consent or cultural fit.</x:v>
      </x:c>
      <x:c r="Q413" s="83" t="str">
        <x:v>Evidence informs the conversation; it does not end it.</x:v>
      </x:c>
      <x:c r="R413" s="89" t="str">
        <x:v>CTA LCSW WB8–WB11; ASWB 2026 Clinical Content Area III</x:v>
      </x:c>
    </x:row>
    <x:row r="414">
      <x:c r="A414" s="88" t="str">
        <x:v>CTA-LCSW-MQB-0413</x:v>
      </x:c>
      <x:c r="B414" s="83" t="str">
        <x:v>LCSW-MQB-FB-AP-035</x:v>
      </x:c>
      <x:c r="C414" s="83" t="str">
        <x:v>Comprehensive Simulation</x:v>
      </x:c>
      <x:c r="D414" s="83" t="str">
        <x:v>Form B</x:v>
      </x:c>
      <x:c r="E414" s="83" t="n">
        <x:v>4</x:v>
      </x:c>
      <x:c r="F414" s="83" t="str">
        <x:v>A client discharged from inpatient care reports suicidal thoughts, daily intoxication, a pending lockout, and no reliable way to receive follow-up calls. What should the social worker do?</x:v>
      </x:c>
      <x:c r="G414" s="83" t="str">
        <x:v>Provide a standard hotline card only.</x:v>
      </x:c>
      <x:c r="H414" s="83" t="str">
        <x:v>Complete an immediate suicide and substance-risk assessment, identify a safe level of care, involve supports with appropriate authority, and address communication and housing barriers in the safety plan.</x:v>
      </x:c>
      <x:c r="I414" s="83" t="str">
        <x:v>Focus first on a long-term employment goal.</x:v>
      </x:c>
      <x:c r="J414" s="83" t="str">
        <x:v>Assume discharge means the client is stable.</x:v>
      </x:c>
      <x:c r="K414" s="83" t="str">
        <x:v>B</x:v>
      </x:c>
      <x:c r="L414" s="83" t="str">
        <x:v>Incorrect. A card may be unusable without a phone and is insufficient alone.</x:v>
      </x:c>
      <x:c r="M414" s="83" t="str">
        <x:v>Correct. Risk, intoxication, access, and environmental barriers must be addressed together.</x:v>
      </x:c>
      <x:c r="N414" s="83" t="str">
        <x:v>Incorrect. Long-term goals do not outrank immediate safety.</x:v>
      </x:c>
      <x:c r="O414" s="83" t="str">
        <x:v>Incorrect. Recent discharge can be a vulnerable period.</x:v>
      </x:c>
      <x:c r="P414" s="83" t="str">
        <x:v>A. Incorrect. A card may be unusable without a phone and is insufficient alone.
B. Correct. Risk, intoxication, access, and environmental barriers must be addressed together.
C. Incorrect. Long-term goals do not outrank immediate safety.
D. Incorrect. Recent discharge can be a vulnerable period.</x:v>
      </x:c>
      <x:c r="Q414" s="83" t="str">
        <x:v>A safety plan must work in the client’s actual environment.</x:v>
      </x:c>
      <x:c r="R414" s="89" t="str">
        <x:v>CTA LCSW WB6; ASWB 2026 Clinical Content Area II</x:v>
      </x:c>
    </x:row>
    <x:row r="415">
      <x:c r="A415" s="88" t="str">
        <x:v>CTA-LCSW-MQB-0414</x:v>
      </x:c>
      <x:c r="B415" s="83" t="str">
        <x:v>LCSW-MQB-FB-VE-011</x:v>
      </x:c>
      <x:c r="C415" s="83" t="str">
        <x:v>Comprehensive Simulation</x:v>
      </x:c>
      <x:c r="D415" s="83" t="str">
        <x:v>Form B</x:v>
      </x:c>
      <x:c r="E415" s="83" t="n">
        <x:v>3</x:v>
      </x:c>
      <x:c r="F415" s="83" t="str">
        <x:v>A housing advocate asks for all clinical notes even though only disability-related functional information is needed. What should the social worker do?</x:v>
      </x:c>
      <x:c r="G415" s="83" t="str">
        <x:v>Refuse all coordination regardless of consent.</x:v>
      </x:c>
      <x:c r="H415" s="83" t="str">
        <x:v>Send the entire record because the requester is another professional.</x:v>
      </x:c>
      <x:c r="I415" s="83" t="str">
        <x:v>Confirm authority and share only information reasonably necessary for the stated coordination purpose.</x:v>
      </x:c>
      <x:c r="J415" s="83" t="str"/>
      <x:c r="K415" s="83" t="str">
        <x:v>C</x:v>
      </x:c>
      <x:c r="L415" s="83" t="str">
        <x:v>Incorrect. Appropriate coordination may benefit the client.</x:v>
      </x:c>
      <x:c r="M415" s="83" t="str">
        <x:v>Incorrect. Professional role alone is not blanket access.</x:v>
      </x:c>
      <x:c r="N415" s="83" t="str">
        <x:v>Correct. Interprofessional status does not eliminate purpose, authorization, and minimum-necessary analysis.</x:v>
      </x:c>
      <x:c r="O415" s="83" t="str"/>
      <x:c r="P415" s="83" t="str">
        <x:v>A. Incorrect. Appropriate coordination may benefit the client.
B. Incorrect. Professional role alone is not blanket access.
C. Correct. Interprofessional status does not eliminate purpose, authorization, and minimum-necessary analysis.</x:v>
      </x:c>
      <x:c r="Q415" s="83" t="str">
        <x:v>Match the scope of disclosure to the legitimate purpose.</x:v>
      </x:c>
      <x:c r="R415" s="89" t="str">
        <x:v>CTA LCSW WB2; CTA LCSW WB12; ASWB 2026 Clinical Content Area I</x:v>
      </x:c>
    </x:row>
    <x:row r="416">
      <x:c r="A416" s="88" t="str">
        <x:v>CTA-LCSW-MQB-0415</x:v>
      </x:c>
      <x:c r="B416" s="83" t="str">
        <x:v>LCSW-MQB-FB-VE-014</x:v>
      </x:c>
      <x:c r="C416" s="83" t="str">
        <x:v>Comprehensive Simulation</x:v>
      </x:c>
      <x:c r="D416" s="83" t="str">
        <x:v>Form B</x:v>
      </x:c>
      <x:c r="E416" s="83" t="n">
        <x:v>3</x:v>
      </x:c>
      <x:c r="F416" s="83" t="str">
        <x:v>A client points out that the record lists the wrong employer and an inaccurate date. What should the social worker do?</x:v>
      </x:c>
      <x:c r="G416" s="83" t="str">
        <x:v>Ask the client to rewrite the clinical note.</x:v>
      </x:c>
      <x:c r="H416" s="83" t="str">
        <x:v>Review the concern and make a transparent correction or addendum according to record policy without erasing the original entry improperly.</x:v>
      </x:c>
      <x:c r="I416" s="83" t="str">
        <x:v>Delete the entire note without documentation.</x:v>
      </x:c>
      <x:c r="J416" s="83" t="str"/>
      <x:c r="K416" s="83" t="str">
        <x:v>B</x:v>
      </x:c>
      <x:c r="L416" s="83" t="str">
        <x:v>Incorrect. The clinician remains responsible for the record.</x:v>
      </x:c>
      <x:c r="M416" s="83" t="str">
        <x:v>Correct. Records should be accurate while maintaining a clear audit trail.</x:v>
      </x:c>
      <x:c r="N416" s="83" t="str">
        <x:v>Incorrect. Untraceable deletion can compromise integrity.</x:v>
      </x:c>
      <x:c r="O416" s="83" t="str"/>
      <x:c r="P416" s="83" t="str">
        <x:v>A. Incorrect. The clinician remains responsible for the record.
B. Correct. Records should be accurate while maintaining a clear audit trail.
C. Incorrect. Untraceable deletion can compromise integrity.</x:v>
      </x:c>
      <x:c r="Q416" s="83" t="str">
        <x:v>Correct transparently; do not rewrite history invisibly.</x:v>
      </x:c>
      <x:c r="R416" s="89" t="str">
        <x:v>CTA LCSW WB2; CTA LCSW WB12; ASWB 2026 Clinical Content Area I</x:v>
      </x:c>
    </x:row>
    <x:row r="417">
      <x:c r="A417" s="88" t="str">
        <x:v>CTA-LCSW-MQB-0416</x:v>
      </x:c>
      <x:c r="B417" s="83" t="str">
        <x:v>LCSW-MQB-FB-IP-027</x:v>
      </x:c>
      <x:c r="C417" s="83" t="str">
        <x:v>Comprehensive Simulation</x:v>
      </x:c>
      <x:c r="D417" s="83" t="str">
        <x:v>Form B</x:v>
      </x:c>
      <x:c r="E417" s="83" t="n">
        <x:v>4</x:v>
      </x:c>
      <x:c r="F417" s="83" t="str">
        <x:v>A client repeatedly misses a specialty clinic’s intake because forms, phone menus, and required documents are confusing. What should the social worker do?</x:v>
      </x:c>
      <x:c r="G417" s="83" t="str">
        <x:v>Close the case for noncompliance.</x:v>
      </x:c>
      <x:c r="H417" s="83" t="str">
        <x:v>Keep giving the same phone number.</x:v>
      </x:c>
      <x:c r="I417" s="83" t="str">
        <x:v>Complete the intake while pretending to be the client.</x:v>
      </x:c>
      <x:c r="J417" s="83" t="str">
        <x:v>With permission, help clarify steps, coordinate a warm handoff, troubleshoot barriers, and confirm connection.</x:v>
      </x:c>
      <x:c r="K417" s="83" t="str">
        <x:v>D</x:v>
      </x:c>
      <x:c r="L417" s="83" t="str">
        <x:v>Incorrect. Barriers should be assessed before labeling.</x:v>
      </x:c>
      <x:c r="M417" s="83" t="str">
        <x:v>Incorrect. Repetition without problem-solving is unlikely to help.</x:v>
      </x:c>
      <x:c r="N417" s="83" t="str">
        <x:v>Incorrect. Impersonation is deceptive.</x:v>
      </x:c>
      <x:c r="O417" s="83" t="str">
        <x:v>Correct. Referral effectiveness includes navigation and follow-through while respecting role and client participation.</x:v>
      </x:c>
      <x:c r="P417" s="83" t="str">
        <x:v>A. Incorrect. Barriers should be assessed before labeling.
B. Incorrect. Repetition without problem-solving is unlikely to help.
C. Incorrect. Impersonation is deceptive.
D. Correct. Referral effectiveness includes navigation and follow-through while respecting role and client participation.</x:v>
      </x:c>
      <x:c r="Q417" s="83" t="str">
        <x:v>A referral is successful only when the client can actually reach the service.</x:v>
      </x:c>
      <x:c r="R417" s="89" t="str">
        <x:v>CTA LCSW WB10; CTA LCSW WB11; ASWB 2026 Clinical Content Area III</x:v>
      </x:c>
    </x:row>
    <x:row r="418">
      <x:c r="A418" s="88" t="str">
        <x:v>CTA-LCSW-MQB-0417</x:v>
      </x:c>
      <x:c r="B418" s="83" t="str">
        <x:v>LCSW-MQB-FB-AP-031</x:v>
      </x:c>
      <x:c r="C418" s="83" t="str">
        <x:v>Comprehensive Simulation</x:v>
      </x:c>
      <x:c r="D418" s="83" t="str">
        <x:v>Form B</x:v>
      </x:c>
      <x:c r="E418" s="83" t="n">
        <x:v>4</x:v>
      </x:c>
      <x:c r="F418" s="83" t="str">
        <x:v>A client becomes increasingly suspicious after repeated thefts and assaults in an overcrowded shelter. What should the social worker assess before attributing the symptoms only to a psychiatric disorder?</x:v>
      </x:c>
      <x:c r="G418" s="83" t="str">
        <x:v>Only a psychiatric diagnosis.</x:v>
      </x:c>
      <x:c r="H418" s="83" t="str">
        <x:v>Only housing eligibility.</x:v>
      </x:c>
      <x:c r="I418" s="83" t="str">
        <x:v>Psychotic symptoms, trauma, substance or medical factors, environmental danger, sleep, and housing needs as interacting concerns.</x:v>
      </x:c>
      <x:c r="J418" s="83" t="str">
        <x:v>Whether the client is choosing to be paranoid.</x:v>
      </x:c>
      <x:c r="K418" s="83" t="str">
        <x:v>C</x:v>
      </x:c>
      <x:c r="L418" s="83" t="str">
        <x:v>Incorrect. Diagnosis alone misses environmental drivers.</x:v>
      </x:c>
      <x:c r="M418" s="83" t="str">
        <x:v>Incorrect. Housing alone does not explain all symptoms.</x:v>
      </x:c>
      <x:c r="N418" s="83" t="str">
        <x:v>Correct. The presentation requires integrated person-in-environment and differential assessment.</x:v>
      </x:c>
      <x:c r="O418" s="83" t="str">
        <x:v>Incorrect. Symptoms should not be framed as a moral choice.</x:v>
      </x:c>
      <x:c r="P418" s="83" t="str">
        <x:v>A. Incorrect. Diagnosis alone misses environmental drivers.
B. Incorrect. Housing alone does not explain all symptoms.
C. Correct. The presentation requires integrated person-in-environment and differential assessment.
D. Incorrect. Symptoms should not be framed as a moral choice.</x:v>
      </x:c>
      <x:c r="Q418" s="83" t="str">
        <x:v>Do not force either/or thinking when environment and mental health interact.</x:v>
      </x:c>
      <x:c r="R418" s="89" t="str">
        <x:v>CTA LCSW WB3–WB7; ASWB 2026 Clinical Content Area II</x:v>
      </x:c>
    </x:row>
    <x:row r="419">
      <x:c r="A419" s="88" t="str">
        <x:v>CTA-LCSW-MQB-0418</x:v>
      </x:c>
      <x:c r="B419" s="83" t="str">
        <x:v>LCSW-MQB-FB-IP-020</x:v>
      </x:c>
      <x:c r="C419" s="83" t="str">
        <x:v>Comprehensive Simulation</x:v>
      </x:c>
      <x:c r="D419" s="83" t="str">
        <x:v>Form B</x:v>
      </x:c>
      <x:c r="E419" s="83" t="n">
        <x:v>3</x:v>
      </x:c>
      <x:c r="F419" s="83" t="str">
        <x:v>A client states an intention to die tonight, describes the method, has access to the means, and cannot participate in a safety plan. What should the social worker do?</x:v>
      </x:c>
      <x:c r="G419" s="83" t="str">
        <x:v>Initiate emergency safety procedures and arrange the level of care needed while remaining engaged and using available supports.</x:v>
      </x:c>
      <x:c r="H419" s="83" t="str">
        <x:v>Leave the client alone to preserve autonomy.</x:v>
      </x:c>
      <x:c r="I419" s="83" t="str">
        <x:v>Rely only on a no-harm promise.</x:v>
      </x:c>
      <x:c r="J419" s="83" t="str"/>
      <x:c r="K419" s="83" t="str">
        <x:v>A</x:v>
      </x:c>
      <x:c r="L419" s="83" t="str">
        <x:v>Correct. The combination indicates acute risk requiring immediate protective action.</x:v>
      </x:c>
      <x:c r="M419" s="83" t="str">
        <x:v>Incorrect. Autonomy does not require abandoning a person in imminent danger.</x:v>
      </x:c>
      <x:c r="N419" s="83" t="str">
        <x:v>Incorrect. Promises do not replace assessment and intervention.</x:v>
      </x:c>
      <x:c r="O419" s="83" t="str"/>
      <x:c r="P419" s="83" t="str">
        <x:v>A. Correct. The combination indicates acute risk requiring immediate protective action.
B. Incorrect. Autonomy does not require abandoning a person in imminent danger.
C. Incorrect. Promises do not replace assessment and intervention.</x:v>
      </x:c>
      <x:c r="Q419" s="83" t="str">
        <x:v>High intent, plan, means, and inability to stay safe point to emergency action.</x:v>
      </x:c>
      <x:c r="R419" s="89" t="str">
        <x:v>CTA LCSW WB8–WB11; ASWB 2026 Clinical Content Area III</x:v>
      </x:c>
    </x:row>
    <x:row r="420">
      <x:c r="A420" s="88" t="str">
        <x:v>CTA-LCSW-MQB-0419</x:v>
      </x:c>
      <x:c r="B420" s="83" t="str">
        <x:v>LCSW-MQB-FB-VE-010</x:v>
      </x:c>
      <x:c r="C420" s="83" t="str">
        <x:v>Comprehensive Simulation</x:v>
      </x:c>
      <x:c r="D420" s="83" t="str">
        <x:v>Form B</x:v>
      </x:c>
      <x:c r="E420" s="83" t="n">
        <x:v>3</x:v>
      </x:c>
      <x:c r="F420" s="83" t="str">
        <x:v>Because of productivity pressure, a supervisor directs staff to reuse last month’s risk narrative without reassessing the client. What should the social worker do?</x:v>
      </x:c>
      <x:c r="G420" s="83" t="str">
        <x:v>Remove all risk documentation from the record.</x:v>
      </x:c>
      <x:c r="H420" s="83" t="str">
        <x:v>Copy the prior note because the supervisor requested it.</x:v>
      </x:c>
      <x:c r="I420" s="83" t="str">
        <x:v>Complete an accurate current assessment and raise the workload concern through appropriate channels.</x:v>
      </x:c>
      <x:c r="J420" s="83" t="str"/>
      <x:c r="K420" s="83" t="str">
        <x:v>C</x:v>
      </x:c>
      <x:c r="L420" s="83" t="str">
        <x:v>Incorrect. Omission undermines continuity and accountability.</x:v>
      </x:c>
      <x:c r="M420" s="83" t="str">
        <x:v>Incorrect. Supervision does not authorize inaccurate records.</x:v>
      </x:c>
      <x:c r="N420" s="83" t="str">
        <x:v>Correct. Records must reflect current clinical work; administrative pressure does not justify false or stale documentation.</x:v>
      </x:c>
      <x:c r="O420" s="83" t="str"/>
      <x:c r="P420" s="83" t="str">
        <x:v>A. Incorrect. Omission undermines continuity and accountability.
B. Incorrect. Supervision does not authorize inaccurate records.
C. Correct. Records must reflect current clinical work; administrative pressure does not justify false or stale documentation.</x:v>
      </x:c>
      <x:c r="Q420" s="83" t="str">
        <x:v>When workload conflicts with record accuracy, protect the record and address the system problem separately.</x:v>
      </x:c>
      <x:c r="R420" s="89" t="str">
        <x:v>CTA LCSW WB2; CTA LCSW WB12; ASWB 2026 Clinical Content Area I</x:v>
      </x:c>
    </x:row>
    <x:row r="421">
      <x:c r="A421" s="88" t="str">
        <x:v>CTA-LCSW-MQB-0420</x:v>
      </x:c>
      <x:c r="B421" s="83" t="str">
        <x:v>LCSW-MQB-FB-VE-019</x:v>
      </x:c>
      <x:c r="C421" s="83" t="str">
        <x:v>Comprehensive Simulation</x:v>
      </x:c>
      <x:c r="D421" s="83" t="str">
        <x:v>Form B</x:v>
      </x:c>
      <x:c r="E421" s="83" t="n">
        <x:v>3</x:v>
      </x:c>
      <x:c r="F421" s="83" t="str">
        <x:v>A supervisor assigns a complex forensic task to a new supervisee who has received no relevant training. What should the supervisee do?</x:v>
      </x:c>
      <x:c r="G421" s="83" t="str">
        <x:v>Proceed because supervision removes individual responsibility.</x:v>
      </x:c>
      <x:c r="H421" s="83" t="str">
        <x:v>Identify the competence concern, seek appropriate training or direct support, and protect clients while the issue is resolved.</x:v>
      </x:c>
      <x:c r="I421" s="83" t="str">
        <x:v>Refuse all future assignments.</x:v>
      </x:c>
      <x:c r="J421" s="83" t="str"/>
      <x:c r="K421" s="83" t="str">
        <x:v>B</x:v>
      </x:c>
      <x:c r="L421" s="83" t="str">
        <x:v>Incorrect. Both supervisor and supervisee retain responsibilities.</x:v>
      </x:c>
      <x:c r="M421" s="83" t="str">
        <x:v>Correct. Supervision supports competence but does not make an unprepared task safe.</x:v>
      </x:c>
      <x:c r="N421" s="83" t="str">
        <x:v>Incorrect. A proportionate response is preferable to a blanket refusal.</x:v>
      </x:c>
      <x:c r="O421" s="83" t="str"/>
      <x:c r="P421" s="83" t="str">
        <x:v>A. Incorrect. Both supervisor and supervisee retain responsibilities.
B. Correct. Supervision supports competence but does not make an unprepared task safe.
C. Incorrect. A proportionate response is preferable to a blanket refusal.</x:v>
      </x:c>
      <x:c r="Q421" s="83" t="str">
        <x:v>Raise competence gaps before they become client harm.</x:v>
      </x:c>
      <x:c r="R421" s="89" t="str">
        <x:v>CTA LCSW WB2; CTA LCSW WB12; ASWB 2026 Clinical Content Area I</x:v>
      </x:c>
    </x:row>
    <x:row r="422">
      <x:c r="A422" s="88" t="str">
        <x:v>CTA-LCSW-MQB-0421</x:v>
      </x:c>
      <x:c r="B422" s="83" t="str">
        <x:v>LCSW-MQB-FB-AP-021</x:v>
      </x:c>
      <x:c r="C422" s="83" t="str">
        <x:v>Comprehensive Simulation</x:v>
      </x:c>
      <x:c r="D422" s="83" t="str">
        <x:v>Form B</x:v>
      </x:c>
      <x:c r="E422" s="83" t="n">
        <x:v>3</x:v>
      </x:c>
      <x:c r="F422" s="83" t="str">
        <x:v>After losing a job, a client says, “My family would be better off if I disappeared.” What should the social worker clarify first?</x:v>
      </x:c>
      <x:c r="G422" s="83" t="str">
        <x:v>Reassure the client that the family needs them.</x:v>
      </x:c>
      <x:c r="H422" s="83" t="str">
        <x:v>Ask directly about suicidal thoughts, intent, plan, access to means, timing, and protective factors.</x:v>
      </x:c>
      <x:c r="I422" s="83" t="str">
        <x:v>Schedule a routine follow-up without further assessment.</x:v>
      </x:c>
      <x:c r="J422" s="83" t="str"/>
      <x:c r="K422" s="83" t="str">
        <x:v>B</x:v>
      </x:c>
      <x:c r="L422" s="83" t="str">
        <x:v>Incorrect. Reassurance does not establish risk level.</x:v>
      </x:c>
      <x:c r="M422" s="83" t="str">
        <x:v>Correct. The statement is a cue for direct, structured suicide assessment.</x:v>
      </x:c>
      <x:c r="N422" s="83" t="str">
        <x:v>Incorrect. Delay may miss imminent danger.</x:v>
      </x:c>
      <x:c r="O422" s="83" t="str"/>
      <x:c r="P422" s="83" t="str">
        <x:v>A. Incorrect. Reassurance does not establish risk level.
B. Correct. The statement is a cue for direct, structured suicide assessment.
C. Incorrect. Delay may miss imminent danger.</x:v>
      </x:c>
      <x:c r="Q422" s="83" t="str">
        <x:v>When the client hints at death, assess directly rather than infer.</x:v>
      </x:c>
      <x:c r="R422" s="89" t="str">
        <x:v>CTA LCSW WB6; ASWB 2026 Clinical Content Area II</x:v>
      </x:c>
    </x:row>
    <x:row r="423">
      <x:c r="A423" s="88" t="str">
        <x:v>CTA-LCSW-MQB-0422</x:v>
      </x:c>
      <x:c r="B423" s="83" t="str">
        <x:v>LCSW-MQB-FB-IP-023</x:v>
      </x:c>
      <x:c r="C423" s="83" t="str">
        <x:v>Comprehensive Simulation</x:v>
      </x:c>
      <x:c r="D423" s="83" t="str">
        <x:v>Form B</x:v>
      </x:c>
      <x:c r="E423" s="83" t="n">
        <x:v>4</x:v>
      </x:c>
      <x:c r="F423" s="83" t="str">
        <x:v>A client who uses opioids declines abstinence treatment but asks how to lower the chance of another overdose. What should the social worker do?</x:v>
      </x:c>
      <x:c r="G423" s="83" t="str">
        <x:v>Collaborate on overdose-risk reduction, safer-use strategies, emergency resources, and ongoing motivation for change.</x:v>
      </x:c>
      <x:c r="H423" s="83" t="str">
        <x:v>Ignore substance use.</x:v>
      </x:c>
      <x:c r="I423" s="83" t="str">
        <x:v>Assure the client that reduced use is risk-free.</x:v>
      </x:c>
      <x:c r="J423" s="83" t="str">
        <x:v>Refuse services until abstinent.</x:v>
      </x:c>
      <x:c r="K423" s="83" t="str">
        <x:v>A</x:v>
      </x:c>
      <x:c r="L423" s="83" t="str">
        <x:v>Correct. Harm reduction addresses immediate safety while preserving engagement and future change.</x:v>
      </x:c>
      <x:c r="M423" s="83" t="str">
        <x:v>Incorrect. Avoidance misses a central concern.</x:v>
      </x:c>
      <x:c r="N423" s="83" t="str">
        <x:v>Incorrect. Risk can be reduced but not eliminated.</x:v>
      </x:c>
      <x:c r="O423" s="83" t="str">
        <x:v>Incorrect. Exclusion may increase risk.</x:v>
      </x:c>
      <x:c r="P423" s="83" t="str">
        <x:v>A. Correct. Harm reduction addresses immediate safety while preserving engagement and future change.
B. Incorrect. Avoidance misses a central concern.
C. Incorrect. Risk can be reduced but not eliminated.
D. Incorrect. Exclusion may increase risk.</x:v>
      </x:c>
      <x:c r="Q423" s="83" t="str">
        <x:v>Meet the client at the current change goal while keeping safety explicit.</x:v>
      </x:c>
      <x:c r="R423" s="89" t="str">
        <x:v>CTA LCSW WB8–WB11; ASWB 2026 Clinical Content Area III</x:v>
      </x:c>
    </x:row>
    <x:row r="424">
      <x:c r="A424" s="88" t="str">
        <x:v>CTA-LCSW-MQB-0423</x:v>
      </x:c>
      <x:c r="B424" s="83" t="str">
        <x:v>LCSW-MQB-FB-VE-006</x:v>
      </x:c>
      <x:c r="C424" s="83" t="str">
        <x:v>Comprehensive Simulation</x:v>
      </x:c>
      <x:c r="D424" s="83" t="str">
        <x:v>Form B</x:v>
      </x:c>
      <x:c r="E424" s="83" t="n">
        <x:v>3</x:v>
      </x:c>
      <x:c r="F424" s="83" t="str">
        <x:v>A client wants help returning to work, while the social worker thinks unresolved grief is the more important issue. What should the social worker do?</x:v>
      </x:c>
      <x:c r="G424" s="83" t="str">
        <x:v>Tell the client treatment cannot begin until the social worker’s goal is accepted.</x:v>
      </x:c>
      <x:c r="H424" s="83" t="str">
        <x:v>Replace the client’s goal with the family-conflict goal.</x:v>
      </x:c>
      <x:c r="I424" s="83" t="str">
        <x:v>Explore the relationship between the concerns, explain clinical observations, and collaborate on goals that reflect the client’s priorities.</x:v>
      </x:c>
      <x:c r="J424" s="83" t="str"/>
      <x:c r="K424" s="83" t="str">
        <x:v>C</x:v>
      </x:c>
      <x:c r="L424" s="83" t="str">
        <x:v>Incorrect. An ultimatum is unnecessary and coercive.</x:v>
      </x:c>
      <x:c r="M424" s="83" t="str">
        <x:v>Incorrect. Imposing a goal undermines self-determination.</x:v>
      </x:c>
      <x:c r="N424" s="83" t="str">
        <x:v>Correct. Collaboration permits professional input while preserving the client’s voice and readiness.</x:v>
      </x:c>
      <x:c r="O424" s="83" t="str"/>
      <x:c r="P424" s="83" t="str">
        <x:v>A. Incorrect. An ultimatum is unnecessary and coercive.
B. Incorrect. Imposing a goal undermines self-determination.
C. Correct. Collaboration permits professional input while preserving the client’s voice and readiness.</x:v>
      </x:c>
      <x:c r="Q424" s="83" t="str">
        <x:v>The strongest answer integrates client priorities with professional assessment.</x:v>
      </x:c>
      <x:c r="R424" s="89" t="str">
        <x:v>CTA LCSW WB2; ASWB 2026 Clinical Content Area I</x:v>
      </x:c>
    </x:row>
    <x:row r="425">
      <x:c r="A425" s="88" t="str">
        <x:v>CTA-LCSW-MQB-0424</x:v>
      </x:c>
      <x:c r="B425" s="83" t="str">
        <x:v>LCSW-MQB-FB-IP-004</x:v>
      </x:c>
      <x:c r="C425" s="83" t="str">
        <x:v>Comprehensive Simulation</x:v>
      </x:c>
      <x:c r="D425" s="83" t="str">
        <x:v>Form B</x:v>
      </x:c>
      <x:c r="E425" s="83" t="n">
        <x:v>3</x:v>
      </x:c>
      <x:c r="F425" s="83" t="str">
        <x:v>A client with depression spends nearly every day in bed and has stopped cooking, walking, and contacting friends. What is an appropriate first behavioral-activation task?</x:v>
      </x:c>
      <x:c r="G425" s="83" t="str">
        <x:v>Interpret inactivity only as resistance.</x:v>
      </x:c>
      <x:c r="H425" s="83" t="str">
        <x:v>Assign a full week of demanding tasks.</x:v>
      </x:c>
      <x:c r="I425" s="83" t="str">
        <x:v>Collaboratively schedule one small, specific, feasible activity and review its effect.</x:v>
      </x:c>
      <x:c r="J425" s="83" t="str"/>
      <x:c r="K425" s="83" t="str">
        <x:v>C</x:v>
      </x:c>
      <x:c r="L425" s="83" t="str">
        <x:v>Incorrect. Inactivity is a symptom and behavior pattern, not simply resistance.</x:v>
      </x:c>
      <x:c r="M425" s="83" t="str">
        <x:v>Incorrect. An overwhelming plan may increase failure and shame.</x:v>
      </x:c>
      <x:c r="N425" s="83" t="str">
        <x:v>Correct. Small planned action can precede and build motivation.</x:v>
      </x:c>
      <x:c r="O425" s="83" t="str"/>
      <x:c r="P425" s="83" t="str">
        <x:v>A. Incorrect. Inactivity is a symptom and behavior pattern, not simply resistance.
B. Incorrect. An overwhelming plan may increase failure and shame.
C. Correct. Small planned action can precede and build motivation.</x:v>
      </x:c>
      <x:c r="Q425" s="83" t="str">
        <x:v>Choose a task small enough to complete and specific enough to measure.</x:v>
      </x:c>
      <x:c r="R425" s="89" t="str">
        <x:v>CTA LCSW WB8–WB11; ASWB 2026 Clinical Content Area III</x:v>
      </x:c>
    </x:row>
    <x:row r="426">
      <x:c r="A426" s="88" t="str">
        <x:v>CTA-LCSW-MQB-0425</x:v>
      </x:c>
      <x:c r="B426" s="83" t="str">
        <x:v>LCSW-MQB-FB-VE-037</x:v>
      </x:c>
      <x:c r="C426" s="83" t="str">
        <x:v>Comprehensive Simulation</x:v>
      </x:c>
      <x:c r="D426" s="83" t="str">
        <x:v>Form B</x:v>
      </x:c>
      <x:c r="E426" s="83" t="n">
        <x:v>4</x:v>
      </x:c>
      <x:c r="F426" s="83" t="str">
        <x:v>A social worker learns that a coworker routinely tells recognizable client stories at community gatherings. What should the social worker do?</x:v>
      </x:c>
      <x:c r="G426" s="83" t="str">
        <x:v>Ignore it because the clients are not on the social worker’s caseload.</x:v>
      </x:c>
      <x:c r="H426" s="83" t="str">
        <x:v>Post a public accusation online.</x:v>
      </x:c>
      <x:c r="I426" s="83" t="str">
        <x:v>Join the conversation to learn more.</x:v>
      </x:c>
      <x:c r="J426" s="83" t="str">
        <x:v>Clarify the information, protect clients, and follow applicable supervisory, organizational, and professional reporting processes.</x:v>
      </x:c>
      <x:c r="K426" s="83" t="str">
        <x:v>D</x:v>
      </x:c>
      <x:c r="L426" s="83" t="str">
        <x:v>Incorrect. Client protection is not limited to one’s own caseload.</x:v>
      </x:c>
      <x:c r="M426" s="83" t="str">
        <x:v>Incorrect. Public accusation may be inaccurate and create more disclosure.</x:v>
      </x:c>
      <x:c r="N426" s="83" t="str">
        <x:v>Incorrect. Participation increases the breach.</x:v>
      </x:c>
      <x:c r="O426" s="83" t="str">
        <x:v>Correct. Professional responsibility may require proportionate action when confidentiality is at risk.</x:v>
      </x:c>
      <x:c r="P426" s="83" t="str">
        <x:v>A. Incorrect. Client protection is not limited to one’s own caseload.
B. Incorrect. Public accusation may be inaccurate and create more disclosure.
C. Incorrect. Participation increases the breach.
D. Correct. Professional responsibility may require proportionate action when confidentiality is at risk.</x:v>
      </x:c>
      <x:c r="Q426" s="83" t="str">
        <x:v>Use verified facts and proper channels, not gossip or public escalation.</x:v>
      </x:c>
      <x:c r="R426" s="89" t="str">
        <x:v>CTA LCSW WB2; CTA LCSW WB12; ASWB 2026 Clinical Content Area I</x:v>
      </x:c>
    </x:row>
    <x:row r="427">
      <x:c r="A427" s="88" t="str">
        <x:v>CTA-LCSW-MQB-0426</x:v>
      </x:c>
      <x:c r="B427" s="83" t="str">
        <x:v>LCSW-MQB-FB-IP-019</x:v>
      </x:c>
      <x:c r="C427" s="83" t="str">
        <x:v>Comprehensive Simulation</x:v>
      </x:c>
      <x:c r="D427" s="83" t="str">
        <x:v>Form B</x:v>
      </x:c>
      <x:c r="E427" s="83" t="n">
        <x:v>3</x:v>
      </x:c>
      <x:c r="F427" s="83" t="str">
        <x:v>In a lobby, a distressed client shouts, clenches fists, and moves into another person’s space. What should the social worker do first?</x:v>
      </x:c>
      <x:c r="G427" s="83" t="str">
        <x:v>Begin detailed trauma processing.</x:v>
      </x:c>
      <x:c r="H427" s="83" t="str">
        <x:v>Block the doorway.</x:v>
      </x:c>
      <x:c r="I427" s="83" t="str">
        <x:v>Use calm, simple communication, increase physical space, reduce stimulation, assess immediate danger, and preserve an exit route.</x:v>
      </x:c>
      <x:c r="J427" s="83" t="str"/>
      <x:c r="K427" s="83" t="str">
        <x:v>C</x:v>
      </x:c>
      <x:c r="L427" s="83" t="str">
        <x:v>Incorrect. Complex processing is inappropriate during acute agitation.</x:v>
      </x:c>
      <x:c r="M427" s="83" t="str">
        <x:v>Incorrect. Blocking exit can increase threat.</x:v>
      </x:c>
      <x:c r="N427" s="83" t="str">
        <x:v>Correct. De-escalation prioritizes safety, space, and reduced arousal.</x:v>
      </x:c>
      <x:c r="O427" s="83" t="str"/>
      <x:c r="P427" s="83" t="str">
        <x:v>A. Incorrect. Complex processing is inappropriate during acute agitation.
B. Incorrect. Blocking exit can increase threat.
C. Correct. De-escalation prioritizes safety, space, and reduced arousal.</x:v>
      </x:c>
      <x:c r="Q427" s="83" t="str">
        <x:v>Lower arousal before seeking insight.</x:v>
      </x:c>
      <x:c r="R427" s="89" t="str">
        <x:v>CTA LCSW WB8–WB11; ASWB 2026 Clinical Content Area III</x:v>
      </x:c>
    </x:row>
    <x:row r="428">
      <x:c r="A428" s="88" t="str">
        <x:v>CTA-LCSW-MQB-0427</x:v>
      </x:c>
      <x:c r="B428" s="83" t="str">
        <x:v>LCSW-MQB-FB-VE-016</x:v>
      </x:c>
      <x:c r="C428" s="83" t="str">
        <x:v>Comprehensive Simulation</x:v>
      </x:c>
      <x:c r="D428" s="83" t="str">
        <x:v>Form B</x:v>
      </x:c>
      <x:c r="E428" s="83" t="n">
        <x:v>3</x:v>
      </x:c>
      <x:c r="F428" s="83" t="str">
        <x:v>A client’s manner closely resembles an abusive relative from the social worker’s past, and the social worker notices unusually strong anger. What should the social worker do?</x:v>
      </x:c>
      <x:c r="G428" s="83" t="str">
        <x:v>Disclose the family history in detail.</x:v>
      </x:c>
      <x:c r="H428" s="83" t="str">
        <x:v>Monitor the reaction, use supervision or consultation, and keep the client’s needs central in the session.</x:v>
      </x:c>
      <x:c r="I428" s="83" t="str">
        <x:v>Defend against the criticism immediately.</x:v>
      </x:c>
      <x:c r="J428" s="83" t="str"/>
      <x:c r="K428" s="83" t="str">
        <x:v>B</x:v>
      </x:c>
      <x:c r="L428" s="83" t="str">
        <x:v>Incorrect. Extensive disclosure may burden the client.</x:v>
      </x:c>
      <x:c r="M428" s="83" t="str">
        <x:v>Correct. Self-awareness and consultation help prevent personal reactions from shaping care.</x:v>
      </x:c>
      <x:c r="N428" s="83" t="str">
        <x:v>Incorrect. Defensiveness may shift focus away from the client.</x:v>
      </x:c>
      <x:c r="O428" s="83" t="str"/>
      <x:c r="P428" s="83" t="str">
        <x:v>A. Incorrect. Extensive disclosure may burden the client.
B. Correct. Self-awareness and consultation help prevent personal reactions from shaping care.
C. Incorrect. Defensiveness may shift focus away from the client.</x:v>
      </x:c>
      <x:c r="Q428" s="83" t="str">
        <x:v>Use your reaction as information to manage, not as the client’s responsibility.</x:v>
      </x:c>
      <x:c r="R428" s="89" t="str">
        <x:v>CTA LCSW WB2; CTA LCSW WB12; ASWB 2026 Clinical Content Area I</x:v>
      </x:c>
    </x:row>
    <x:row r="429">
      <x:c r="A429" s="88" t="str">
        <x:v>CTA-LCSW-MQB-0428</x:v>
      </x:c>
      <x:c r="B429" s="83" t="str">
        <x:v>LCSW-MQB-FB-AP-014</x:v>
      </x:c>
      <x:c r="C429" s="83" t="str">
        <x:v>Comprehensive Simulation</x:v>
      </x:c>
      <x:c r="D429" s="83" t="str">
        <x:v>Form B</x:v>
      </x:c>
      <x:c r="E429" s="83" t="n">
        <x:v>3</x:v>
      </x:c>
      <x:c r="F429" s="83" t="str">
        <x:v>A client sees the harms caused by stimulant use but says, “I am not sure I am ready to stop.” Which planning approach best matches the client’s current readiness?</x:v>
      </x:c>
      <x:c r="G429" s="83" t="str">
        <x:v>Avoid discussing consequences.</x:v>
      </x:c>
      <x:c r="H429" s="83" t="str">
        <x:v>Demand immediate commitment to abstinence.</x:v>
      </x:c>
      <x:c r="I429" s="83" t="str">
        <x:v>Explore ambivalence, elicit the client’s own reasons for and against change, and identify a manageable next step.</x:v>
      </x:c>
      <x:c r="J429" s="83" t="str"/>
      <x:c r="K429" s="83" t="str">
        <x:v>C</x:v>
      </x:c>
      <x:c r="L429" s="83" t="str">
        <x:v>Incorrect. Avoidance misses an important planning issue.</x:v>
      </x:c>
      <x:c r="M429" s="83" t="str">
        <x:v>Incorrect. Pressure may strengthen resistance.</x:v>
      </x:c>
      <x:c r="N429" s="83" t="str">
        <x:v>Correct. Ambivalence is a target for collaborative assessment rather than proof of refusal.</x:v>
      </x:c>
      <x:c r="O429" s="83" t="str"/>
      <x:c r="P429" s="83" t="str">
        <x:v>A. Incorrect. Avoidance misses an important planning issue.
B. Incorrect. Pressure may strengthen resistance.
C. Correct. Ambivalence is a target for collaborative assessment rather than proof of refusal.</x:v>
      </x:c>
      <x:c r="Q429" s="83" t="str">
        <x:v>Match the plan to readiness while keeping risk visible.</x:v>
      </x:c>
      <x:c r="R429" s="89" t="str">
        <x:v>CTA LCSW WB3–WB7; ASWB 2026 Clinical Content Area II</x:v>
      </x:c>
    </x:row>
    <x:row r="430">
      <x:c r="A430" s="88" t="str">
        <x:v>CTA-LCSW-MQB-0429</x:v>
      </x:c>
      <x:c r="B430" s="83" t="str">
        <x:v>LCSW-MQB-FB-IP-035</x:v>
      </x:c>
      <x:c r="C430" s="83" t="str">
        <x:v>Comprehensive Simulation</x:v>
      </x:c>
      <x:c r="D430" s="83" t="str">
        <x:v>Form B</x:v>
      </x:c>
      <x:c r="E430" s="83" t="n">
        <x:v>4</x:v>
      </x:c>
      <x:c r="F430" s="83" t="str">
        <x:v>A family asks for conflict-resolution exercises, but one person reports stalking, threats, and control of money by another member. What should the social worker do?</x:v>
      </x:c>
      <x:c r="G430" s="83" t="str">
        <x:v>Prioritize safety and coercive-control assessment, avoid interventions that assume equal power, and develop individual and resource-based safety options.</x:v>
      </x:c>
      <x:c r="H430" s="83" t="str">
        <x:v>Ask both parties to compromise equally.</x:v>
      </x:c>
      <x:c r="I430" s="83" t="str">
        <x:v>Proceed with standard conjoint communication exercises.</x:v>
      </x:c>
      <x:c r="J430" s="83" t="str">
        <x:v>Treat the problem as mutual anger only.</x:v>
      </x:c>
      <x:c r="K430" s="83" t="str">
        <x:v>A</x:v>
      </x:c>
      <x:c r="L430" s="83" t="str">
        <x:v>Correct. Coercive control changes the safety and appropriateness of conjoint intervention.</x:v>
      </x:c>
      <x:c r="M430" s="83" t="str">
        <x:v>Incorrect. Equal-responsibility framing may blame the victim.</x:v>
      </x:c>
      <x:c r="N430" s="83" t="str">
        <x:v>Incorrect. Joint exercises can increase risk or provide information to the abusive partner.</x:v>
      </x:c>
      <x:c r="O430" s="83" t="str">
        <x:v>Incorrect. The pattern is broader than ordinary conflict.</x:v>
      </x:c>
      <x:c r="P430" s="83" t="str">
        <x:v>A. Correct. Coercive control changes the safety and appropriateness of conjoint intervention.
B. Incorrect. Equal-responsibility framing may blame the victim.
C. Incorrect. Joint exercises can increase risk or provide information to the abusive partner.
D. Incorrect. The pattern is broader than ordinary conflict.</x:v>
      </x:c>
      <x:c r="Q430" s="83" t="str">
        <x:v>Do not use symmetry-based interventions in an asymmetric power system.</x:v>
      </x:c>
      <x:c r="R430" s="89" t="str">
        <x:v>CTA LCSW WB8–WB11; ASWB 2026 Clinical Content Area III</x:v>
      </x:c>
    </x:row>
    <x:row r="431">
      <x:c r="A431" s="88" t="str">
        <x:v>CTA-LCSW-MQB-0430</x:v>
      </x:c>
      <x:c r="B431" s="83" t="str">
        <x:v>LCSW-MQB-FB-IP-016</x:v>
      </x:c>
      <x:c r="C431" s="83" t="str">
        <x:v>Comprehensive Simulation</x:v>
      </x:c>
      <x:c r="D431" s="83" t="str">
        <x:v>Form B</x:v>
      </x:c>
      <x:c r="E431" s="83" t="n">
        <x:v>3</x:v>
      </x:c>
      <x:c r="F431" s="83" t="str">
        <x:v>A promising intervention study used only 18 participants from one clinic and lost nearly half before follow-up. How should the social worker use the result?</x:v>
      </x:c>
      <x:c r="G431" s="83" t="str">
        <x:v>View it as preliminary evidence and consider design quality, population fit, harms, and stronger research before changing practice.</x:v>
      </x:c>
      <x:c r="H431" s="83" t="str">
        <x:v>Reject all research with limitations.</x:v>
      </x:c>
      <x:c r="I431" s="83" t="str">
        <x:v>Adopt the treatment as proven.</x:v>
      </x:c>
      <x:c r="J431" s="83" t="str"/>
      <x:c r="K431" s="83" t="str">
        <x:v>A</x:v>
      </x:c>
      <x:c r="L431" s="83" t="str">
        <x:v>Correct. Evidence should be appraised rather than accepted or dismissed categorically.</x:v>
      </x:c>
      <x:c r="M431" s="83" t="str">
        <x:v>Incorrect. All studies have limitations; quality varies.</x:v>
      </x:c>
      <x:c r="N431" s="83" t="str">
        <x:v>Incorrect. One limited study is not definitive.</x:v>
      </x:c>
      <x:c r="O431" s="83" t="str"/>
      <x:c r="P431" s="83" t="str">
        <x:v>A. Correct. Evidence should be appraised rather than accepted or dismissed categorically.
B. Incorrect. All studies have limitations; quality varies.
C. Incorrect. One limited study is not definitive.</x:v>
      </x:c>
      <x:c r="Q431" s="83" t="str">
        <x:v>Ask how strong, relevant, and complete the evidence is.</x:v>
      </x:c>
      <x:c r="R431" s="89" t="str">
        <x:v>CTA LCSW WB10; CTA LCSW WB11; ASWB 2026 Clinical Content Area III</x:v>
      </x:c>
    </x:row>
    <x:row r="432">
      <x:c r="A432" s="88" t="str">
        <x:v>CTA-LCSW-MQB-0431</x:v>
      </x:c>
      <x:c r="B432" s="83" t="str">
        <x:v>LCSW-MQB-FB-AP-006</x:v>
      </x:c>
      <x:c r="C432" s="83" t="str">
        <x:v>Comprehensive Simulation</x:v>
      </x:c>
      <x:c r="D432" s="83" t="str">
        <x:v>Form B</x:v>
      </x:c>
      <x:c r="E432" s="83" t="n">
        <x:v>3</x:v>
      </x:c>
      <x:c r="F432" s="83" t="str">
        <x:v>A client reports feeling “okay,” yet has a constricted facial expression, slowed speech, and tears throughout the interview. How should the mental-status note address this?</x:v>
      </x:c>
      <x:c r="G432" s="83" t="str">
        <x:v>The client has major depressive disorder.</x:v>
      </x:c>
      <x:c r="H432" s="83" t="str">
        <x:v>Mood and affect are normal.</x:v>
      </x:c>
      <x:c r="I432" s="83" t="str">
        <x:v>The client reports a fine mood; observed affect appears sad and constricted.</x:v>
      </x:c>
      <x:c r="J432" s="83" t="str"/>
      <x:c r="K432" s="83" t="str">
        <x:v>C</x:v>
      </x:c>
      <x:c r="L432" s="83" t="str">
        <x:v>Incorrect. Diagnosis requires broader assessment.</x:v>
      </x:c>
      <x:c r="M432" s="83" t="str">
        <x:v>Incorrect. Observed behavior is not fully consistent with the report.</x:v>
      </x:c>
      <x:c r="N432" s="83" t="str">
        <x:v>Correct. The note distinguishes reported internal state from observed expression.</x:v>
      </x:c>
      <x:c r="O432" s="83" t="str"/>
      <x:c r="P432" s="83" t="str">
        <x:v>A. Incorrect. Diagnosis requires broader assessment.
B. Incorrect. Observed behavior is not fully consistent with the report.
C. Correct. The note distinguishes reported internal state from observed expression.</x:v>
      </x:c>
      <x:c r="Q432" s="83" t="str">
        <x:v>Document report and observation separately.</x:v>
      </x:c>
      <x:c r="R432" s="89" t="str">
        <x:v>CTA LCSW WB3–WB7; ASWB 2026 Clinical Content Area II</x:v>
      </x:c>
    </x:row>
    <x:row r="433">
      <x:c r="A433" s="88" t="str">
        <x:v>CTA-LCSW-MQB-0432</x:v>
      </x:c>
      <x:c r="B433" s="83" t="str">
        <x:v>LCSW-MQB-FB-IP-009</x:v>
      </x:c>
      <x:c r="C433" s="83" t="str">
        <x:v>Comprehensive Simulation</x:v>
      </x:c>
      <x:c r="D433" s="83" t="str">
        <x:v>Form B</x:v>
      </x:c>
      <x:c r="E433" s="83" t="n">
        <x:v>3</x:v>
      </x:c>
      <x:c r="F433" s="83" t="str">
        <x:v>A benefits office denies a qualified client’s request because staff applied the wrong eligibility rule. What should the social worker do?</x:v>
      </x:c>
      <x:c r="G433" s="83" t="str">
        <x:v>Speak for the client without consultation.</x:v>
      </x:c>
      <x:c r="H433" s="83" t="str">
        <x:v>Threaten the employee immediately.</x:v>
      </x:c>
      <x:c r="I433" s="83" t="str">
        <x:v>With the client’s permission, clarify the policy, support self-advocacy, and use appropriate appeal or supervisory channels.</x:v>
      </x:c>
      <x:c r="J433" s="83" t="str"/>
      <x:c r="K433" s="83" t="str">
        <x:v>C</x:v>
      </x:c>
      <x:c r="L433" s="83" t="str">
        <x:v>Incorrect. Client participation and permission matter.</x:v>
      </x:c>
      <x:c r="M433" s="83" t="str">
        <x:v>Incorrect. Escalation before clarification may be counterproductive.</x:v>
      </x:c>
      <x:c r="N433" s="83" t="str">
        <x:v>Correct. Advocacy should be accurate, collaborative, and proportionate.</x:v>
      </x:c>
      <x:c r="O433" s="83" t="str"/>
      <x:c r="P433" s="83" t="str">
        <x:v>A. Incorrect. Client participation and permission matter.
B. Incorrect. Escalation before clarification may be counterproductive.
C. Correct. Advocacy should be accurate, collaborative, and proportionate.</x:v>
      </x:c>
      <x:c r="Q433" s="83" t="str">
        <x:v>Advocate with, not automatically for, the client.</x:v>
      </x:c>
      <x:c r="R433" s="89" t="str">
        <x:v>CTA LCSW WB10; CTA LCSW WB11; ASWB 2026 Clinical Content Area III</x:v>
      </x:c>
    </x:row>
    <x:row r="434">
      <x:c r="A434" s="88" t="str">
        <x:v>CTA-LCSW-MQB-0433</x:v>
      </x:c>
      <x:c r="B434" s="83" t="str">
        <x:v>LCSW-MQB-FB-AP-029</x:v>
      </x:c>
      <x:c r="C434" s="83" t="str">
        <x:v>Comprehensive Simulation</x:v>
      </x:c>
      <x:c r="D434" s="83" t="str">
        <x:v>Form B</x:v>
      </x:c>
      <x:c r="E434" s="83" t="n">
        <x:v>4</x:v>
      </x:c>
      <x:c r="F434" s="83" t="str">
        <x:v>An older adult says a new companion changed online banking passwords and becomes angry whenever account statements are requested. What should the social worker do?</x:v>
      </x:c>
      <x:c r="G434" s="83" t="str">
        <x:v>Tell the client to confront the nephew alone.</x:v>
      </x:c>
      <x:c r="H434" s="83" t="str">
        <x:v>Assume family management is appropriate.</x:v>
      </x:c>
      <x:c r="I434" s="83" t="str">
        <x:v>Ignore finances because they are not clinical.</x:v>
      </x:c>
      <x:c r="J434" s="83" t="str">
        <x:v>Assess capacity, coercion, financial exploitation, immediate safety, and applicable protective-reporting or resource options.</x:v>
      </x:c>
      <x:c r="K434" s="83" t="str">
        <x:v>D</x:v>
      </x:c>
      <x:c r="L434" s="83" t="str">
        <x:v>Incorrect. Solo confrontation may increase danger.</x:v>
      </x:c>
      <x:c r="M434" s="83" t="str">
        <x:v>Incorrect. Family status does not eliminate abuse risk.</x:v>
      </x:c>
      <x:c r="N434" s="83" t="str">
        <x:v>Incorrect. Financial control can directly affect safety and functioning.</x:v>
      </x:c>
      <x:c r="O434" s="83" t="str">
        <x:v>Correct. The pattern may indicate exploitation and loss of autonomy.</x:v>
      </x:c>
      <x:c r="P434" s="83" t="str">
        <x:v>A. Incorrect. Solo confrontation may increase danger.
B. Incorrect. Family status does not eliminate abuse risk.
C. Incorrect. Financial control can directly affect safety and functioning.
D. Correct. The pattern may indicate exploitation and loss of autonomy.</x:v>
      </x:c>
      <x:c r="Q434" s="83" t="str">
        <x:v>When control, fear, and money appear together, assess exploitation.</x:v>
      </x:c>
      <x:c r="R434" s="89" t="str">
        <x:v>CTA LCSW WB6; ASWB 2026 Clinical Content Area II</x:v>
      </x:c>
    </x:row>
    <x:row r="435">
      <x:c r="A435" s="88" t="str">
        <x:v>CTA-LCSW-MQB-0434</x:v>
      </x:c>
      <x:c r="B435" s="83" t="str">
        <x:v>LCSW-MQB-FB-VE-027</x:v>
      </x:c>
      <x:c r="C435" s="83" t="str">
        <x:v>Comprehensive Simulation</x:v>
      </x:c>
      <x:c r="D435" s="83" t="str">
        <x:v>Form B</x:v>
      </x:c>
      <x:c r="E435" s="83" t="n">
        <x:v>3</x:v>
      </x:c>
      <x:c r="F435" s="83" t="str">
        <x:v>A legal demand for the complete client file arrives at the agency. What should the social worker do before releasing anything?</x:v>
      </x:c>
      <x:c r="G435" s="83" t="str">
        <x:v>Review the document, preserve confidentiality, and obtain appropriate legal or agency consultation before disclosing.</x:v>
      </x:c>
      <x:c r="H435" s="83" t="str">
        <x:v>Send the record immediately because a subpoena always compels disclosure.</x:v>
      </x:c>
      <x:c r="I435" s="83" t="str">
        <x:v>Ignore the subpoena.</x:v>
      </x:c>
      <x:c r="J435" s="83" t="str"/>
      <x:c r="K435" s="83" t="str">
        <x:v>A</x:v>
      </x:c>
      <x:c r="L435" s="83" t="str">
        <x:v>Correct. Legal demands require careful review; not every request authorizes immediate broad disclosure.</x:v>
      </x:c>
      <x:c r="M435" s="83" t="str">
        <x:v>Incorrect. Automatic disclosure may violate privacy.</x:v>
      </x:c>
      <x:c r="N435" s="83" t="str">
        <x:v>Incorrect. Ignoring a legal document may create serious consequences.</x:v>
      </x:c>
      <x:c r="O435" s="83" t="str"/>
      <x:c r="P435" s="83" t="str">
        <x:v>A. Correct. Legal demands require careful review; not every request authorizes immediate broad disclosure.
B. Incorrect. Automatic disclosure may violate privacy.
C. Incorrect. Ignoring a legal document may create serious consequences.</x:v>
      </x:c>
      <x:c r="Q435" s="83" t="str">
        <x:v>Legal paper is a cue to pause, verify, and consult—not to disclose reflexively.</x:v>
      </x:c>
      <x:c r="R435" s="89" t="str">
        <x:v>CTA LCSW WB2; CTA LCSW WB12; ASWB 2026 Clinical Content Area I</x:v>
      </x:c>
    </x:row>
    <x:row r="436">
      <x:c r="A436" s="88" t="str">
        <x:v>CTA-LCSW-MQB-0435</x:v>
      </x:c>
      <x:c r="B436" s="83" t="str">
        <x:v>LCSW-MQB-FB-IP-030</x:v>
      </x:c>
      <x:c r="C436" s="83" t="str">
        <x:v>Comprehensive Simulation</x:v>
      </x:c>
      <x:c r="D436" s="83" t="str">
        <x:v>Form B</x:v>
      </x:c>
      <x:c r="E436" s="83" t="n">
        <x:v>4</x:v>
      </x:c>
      <x:c r="F436" s="83" t="str">
        <x:v>A family caregiver says, “I am so depleted that sometimes I want to walk away and never return.” What should the social worker do?</x:v>
      </x:c>
      <x:c r="G436" s="83" t="str">
        <x:v>Promise the burden will decrease soon.</x:v>
      </x:c>
      <x:c r="H436" s="83" t="str">
        <x:v>Focus only on the care recipient.</x:v>
      </x:c>
      <x:c r="I436" s="83" t="str">
        <x:v>Shame the caregiver.</x:v>
      </x:c>
      <x:c r="J436" s="83" t="str">
        <x:v>Assess immediate safety and neglect risk, validate burden, mobilize respite and support, and develop a realistic care plan.</x:v>
      </x:c>
      <x:c r="K436" s="83" t="str">
        <x:v>D</x:v>
      </x:c>
      <x:c r="L436" s="83" t="str">
        <x:v>Incorrect. An unsupported promise is misleading.</x:v>
      </x:c>
      <x:c r="M436" s="83" t="str">
        <x:v>Incorrect. The caregiving system includes the caregiver.</x:v>
      </x:c>
      <x:c r="N436" s="83" t="str">
        <x:v>Incorrect. Shame reduces disclosure.</x:v>
      </x:c>
      <x:c r="O436" s="83" t="str">
        <x:v>Correct. Caregiver distress can affect both parties and requires safety and systems intervention.</x:v>
      </x:c>
      <x:c r="P436" s="83" t="str">
        <x:v>A. Incorrect. An unsupported promise is misleading.
B. Incorrect. The caregiving system includes the caregiver.
C. Incorrect. Shame reduces disclosure.
D. Correct. Caregiver distress can affect both parties and requires safety and systems intervention.</x:v>
      </x:c>
      <x:c r="Q436" s="83" t="str">
        <x:v>Support the caregiver to protect the whole care system.</x:v>
      </x:c>
      <x:c r="R436" s="89" t="str">
        <x:v>CTA LCSW WB8–WB11; ASWB 2026 Clinical Content Area III</x:v>
      </x:c>
    </x:row>
    <x:row r="437">
      <x:c r="A437" s="88" t="str">
        <x:v>CTA-LCSW-MQB-0436</x:v>
      </x:c>
      <x:c r="B437" s="83" t="str">
        <x:v>LCSW-MQB-FB-AP-003</x:v>
      </x:c>
      <x:c r="C437" s="83" t="str">
        <x:v>Comprehensive Simulation</x:v>
      </x:c>
      <x:c r="D437" s="83" t="str">
        <x:v>Form B</x:v>
      </x:c>
      <x:c r="E437" s="83" t="n">
        <x:v>3</x:v>
      </x:c>
      <x:c r="F437" s="83" t="str">
        <x:v>In evaluating suicide risk, which finding would most clearly indicate an existing source of protection that can be strengthened in the safety plan?</x:v>
      </x:c>
      <x:c r="G437" s="83" t="str">
        <x:v>Increasing isolation.</x:v>
      </x:c>
      <x:c r="H437" s="83" t="str">
        <x:v>A reliable support person who can participate in a safety plan.</x:v>
      </x:c>
      <x:c r="I437" s="83" t="str">
        <x:v>Recent acquisition of a lethal method.</x:v>
      </x:c>
      <x:c r="J437" s="83" t="str"/>
      <x:c r="K437" s="83" t="str">
        <x:v>B</x:v>
      </x:c>
      <x:c r="L437" s="83" t="str">
        <x:v>Incorrect. Isolation reduces support.</x:v>
      </x:c>
      <x:c r="M437" s="83" t="str">
        <x:v>Correct. Reliable support may increase connection, monitoring, and access to help.</x:v>
      </x:c>
      <x:c r="N437" s="83" t="str">
        <x:v>Incorrect. Method access increases danger.</x:v>
      </x:c>
      <x:c r="O437" s="83" t="str"/>
      <x:c r="P437" s="83" t="str">
        <x:v>A. Incorrect. Isolation reduces support.
B. Correct. Reliable support may increase connection, monitoring, and access to help.
C. Incorrect. Method access increases danger.</x:v>
      </x:c>
      <x:c r="Q437" s="83" t="str">
        <x:v>Protective factors reduce vulnerability but do not erase risk.</x:v>
      </x:c>
      <x:c r="R437" s="89" t="str">
        <x:v>CTA LCSW WB6; ASWB 2026 Clinical Content Area II</x:v>
      </x:c>
    </x:row>
    <x:row r="438">
      <x:c r="A438" s="88" t="str">
        <x:v>CTA-LCSW-MQB-0437</x:v>
      </x:c>
      <x:c r="B438" s="83" t="str">
        <x:v>LCSW-MQB-FB-AP-032</x:v>
      </x:c>
      <x:c r="C438" s="83" t="str">
        <x:v>Comprehensive Simulation</x:v>
      </x:c>
      <x:c r="D438" s="83" t="str">
        <x:v>Form B</x:v>
      </x:c>
      <x:c r="E438" s="83" t="n">
        <x:v>4</x:v>
      </x:c>
      <x:c r="F438" s="83" t="str">
        <x:v>A parent is clinically appropriate for a day program but cannot attend because of shift work and lack of childcare. What should the social worker do next?</x:v>
      </x:c>
      <x:c r="G438" s="83" t="str">
        <x:v>Conclude the client lacks motivation.</x:v>
      </x:c>
      <x:c r="H438" s="83" t="str">
        <x:v>Clarify the clinical need and collaboratively identify accessible alternatives, supports, transportation, childcare, or level-of-care options.</x:v>
      </x:c>
      <x:c r="I438" s="83" t="str">
        <x:v>Enroll the client without discussing barriers.</x:v>
      </x:c>
      <x:c r="J438" s="83" t="str">
        <x:v>Offer no treatment until circumstances change.</x:v>
      </x:c>
      <x:c r="K438" s="83" t="str">
        <x:v>B</x:v>
      </x:c>
      <x:c r="L438" s="83" t="str">
        <x:v>Incorrect. Barriers are not equivalent to unwillingness.</x:v>
      </x:c>
      <x:c r="M438" s="83" t="str">
        <x:v>Correct. Planning must address both clinical indication and practical feasibility.</x:v>
      </x:c>
      <x:c r="N438" s="83" t="str">
        <x:v>Incorrect. An unusable plan is not collaborative care.</x:v>
      </x:c>
      <x:c r="O438" s="83" t="str">
        <x:v>Incorrect. Delay may worsen risk.</x:v>
      </x:c>
      <x:c r="P438" s="83" t="str">
        <x:v>A. Incorrect. Barriers are not equivalent to unwillingness.
B. Correct. Planning must address both clinical indication and practical feasibility.
C. Incorrect. An unusable plan is not collaborative care.
D. Incorrect. Delay may worsen risk.</x:v>
      </x:c>
      <x:c r="Q438" s="83" t="str">
        <x:v>A clinically sound plan must also be reachable.</x:v>
      </x:c>
      <x:c r="R438" s="89" t="str">
        <x:v>CTA LCSW WB3–WB7; ASWB 2026 Clinical Content Area II</x:v>
      </x:c>
    </x:row>
    <x:row r="439">
      <x:c r="A439" s="88" t="str">
        <x:v>CTA-LCSW-MQB-0438</x:v>
      </x:c>
      <x:c r="B439" s="83" t="str">
        <x:v>LCSW-MQB-FB-VE-013</x:v>
      </x:c>
      <x:c r="C439" s="83" t="str">
        <x:v>Comprehensive Simulation</x:v>
      </x:c>
      <x:c r="D439" s="83" t="str">
        <x:v>Form B</x:v>
      </x:c>
      <x:c r="E439" s="83" t="n">
        <x:v>3</x:v>
      </x:c>
      <x:c r="F439" s="83" t="str">
        <x:v>A probation-referred client says mandatory attendance means the agency can disclose anything and decide every treatment detail. What should the social worker explain?</x:v>
      </x:c>
      <x:c r="G439" s="83" t="str">
        <x:v>Threaten additional penalties for asking questions.</x:v>
      </x:c>
      <x:c r="H439" s="83" t="str">
        <x:v>Clarify what is required, what may be reported, the limits of confidentiality, and the choices the client still controls.</x:v>
      </x:c>
      <x:c r="I439" s="83" t="str">
        <x:v>Promise that nothing will be reported.</x:v>
      </x:c>
      <x:c r="J439" s="83" t="str"/>
      <x:c r="K439" s="83" t="str">
        <x:v>B</x:v>
      </x:c>
      <x:c r="L439" s="83" t="str">
        <x:v>Incorrect. Threats are coercive and may exceed the social worker’s role.</x:v>
      </x:c>
      <x:c r="M439" s="83" t="str">
        <x:v>Correct. Mandated participation changes voluntariness but does not erase accurate information or remaining choice.</x:v>
      </x:c>
      <x:c r="N439" s="83" t="str">
        <x:v>Incorrect. Reporting expectations may exist.</x:v>
      </x:c>
      <x:c r="O439" s="83" t="str"/>
      <x:c r="P439" s="83" t="str">
        <x:v>A. Incorrect. Threats are coercive and may exceed the social worker’s role.
B. Correct. Mandated participation changes voluntariness but does not erase accurate information or remaining choice.
C. Incorrect. Reporting expectations may exist.</x:v>
      </x:c>
      <x:c r="Q439" s="83" t="str">
        <x:v>Separate what is required from what remains negotiable.</x:v>
      </x:c>
      <x:c r="R439" s="89" t="str">
        <x:v>CTA LCSW WB2; ASWB 2026 Clinical Content Area I</x:v>
      </x:c>
    </x:row>
    <x:row r="440">
      <x:c r="A440" s="88" t="str">
        <x:v>CTA-LCSW-MQB-0439</x:v>
      </x:c>
      <x:c r="B440" s="83" t="str">
        <x:v>LCSW-MQB-FB-VE-021</x:v>
      </x:c>
      <x:c r="C440" s="83" t="str">
        <x:v>Comprehensive Simulation</x:v>
      </x:c>
      <x:c r="D440" s="83" t="str">
        <x:v>Form B</x:v>
      </x:c>
      <x:c r="E440" s="83" t="n">
        <x:v>3</x:v>
      </x:c>
      <x:c r="F440" s="83" t="str">
        <x:v>Before a therapy group begins, a participant asks the facilitator to promise that no member will ever repeat what is said. What should the social worker explain?</x:v>
      </x:c>
      <x:c r="G440" s="83" t="str">
        <x:v>Explain the group confidentiality expectations and limits while acknowledging that the social worker cannot guarantee every member’s behavior.</x:v>
      </x:c>
      <x:c r="H440" s="83" t="str">
        <x:v>Avoid discussing confidentiality because it may worry members.</x:v>
      </x:c>
      <x:c r="I440" s="83" t="str">
        <x:v>Guarantee complete confidentiality.</x:v>
      </x:c>
      <x:c r="J440" s="83" t="str"/>
      <x:c r="K440" s="83" t="str">
        <x:v>A</x:v>
      </x:c>
      <x:c r="L440" s="83" t="str">
        <x:v>Correct. Accurate informed consent requires both expectations and realistic limits.</x:v>
      </x:c>
      <x:c r="M440" s="83" t="str">
        <x:v>Incorrect. Avoidance prevents informed participation.</x:v>
      </x:c>
      <x:c r="N440" s="83" t="str">
        <x:v>Incorrect. A guarantee would be misleading.</x:v>
      </x:c>
      <x:c r="O440" s="83" t="str"/>
      <x:c r="P440" s="83" t="str">
        <x:v>A. Correct. Accurate informed consent requires both expectations and realistic limits.
B. Incorrect. Avoidance prevents informed participation.
C. Incorrect. A guarantee would be misleading.</x:v>
      </x:c>
      <x:c r="Q440" s="83" t="str">
        <x:v>Do not promise control over people you cannot control.</x:v>
      </x:c>
      <x:c r="R440" s="89" t="str">
        <x:v>CTA LCSW WB2; ASWB 2026 Clinical Content Area I</x:v>
      </x:c>
    </x:row>
    <x:row r="441">
      <x:c r="A441" s="88" t="str">
        <x:v>CTA-LCSW-MQB-0440</x:v>
      </x:c>
      <x:c r="B441" s="83" t="str">
        <x:v>LCSW-MQB-FB-AP-010</x:v>
      </x:c>
      <x:c r="C441" s="83" t="str">
        <x:v>Comprehensive Simulation</x:v>
      </x:c>
      <x:c r="D441" s="83" t="str">
        <x:v>Form B</x:v>
      </x:c>
      <x:c r="E441" s="83" t="n">
        <x:v>3</x:v>
      </x:c>
      <x:c r="F441" s="83" t="str">
        <x:v>Although family members argue frequently, they organize effectively whenever a relative has a medical emergency. How should this pattern inform assessment and planning?</x:v>
      </x:c>
      <x:c r="G441" s="83" t="str">
        <x:v>Ignore it because strengths are not part of assessment.</x:v>
      </x:c>
      <x:c r="H441" s="83" t="str">
        <x:v>Explore what supports cooperation and how those resources might be transferred to recurring conflict.</x:v>
      </x:c>
      <x:c r="I441" s="83" t="str">
        <x:v>Conclude the family has no problem.</x:v>
      </x:c>
      <x:c r="J441" s="83" t="str"/>
      <x:c r="K441" s="83" t="str">
        <x:v>B</x:v>
      </x:c>
      <x:c r="L441" s="83" t="str">
        <x:v>Incorrect. Strengths are essential assessment data.</x:v>
      </x:c>
      <x:c r="M441" s="83" t="str">
        <x:v>Correct. Exceptions can reveal capacities, roles, and conditions that support change.</x:v>
      </x:c>
      <x:c r="N441" s="83" t="str">
        <x:v>Incorrect. A strength does not erase the presenting concern.</x:v>
      </x:c>
      <x:c r="O441" s="83" t="str"/>
      <x:c r="P441" s="83" t="str">
        <x:v>A. Incorrect. Strengths are essential assessment data.
B. Correct. Exceptions can reveal capacities, roles, and conditions that support change.
C. Incorrect. A strength does not erase the presenting concern.</x:v>
      </x:c>
      <x:c r="Q441" s="83" t="str">
        <x:v>Look for successful sequences, not only deficits.</x:v>
      </x:c>
      <x:c r="R441" s="89" t="str">
        <x:v>CTA LCSW WB3–WB7; ASWB 2026 Clinical Content Area II</x:v>
      </x:c>
    </x:row>
    <x:row r="442">
      <x:c r="A442" s="88" t="str">
        <x:v>CTA-LCSW-MQB-0441</x:v>
      </x:c>
      <x:c r="B442" s="83" t="str">
        <x:v>LCSW-MQB-FB-VE-012</x:v>
      </x:c>
      <x:c r="C442" s="83" t="str">
        <x:v>Comprehensive Simulation</x:v>
      </x:c>
      <x:c r="D442" s="83" t="str">
        <x:v>Form B</x:v>
      </x:c>
      <x:c r="E442" s="83" t="n">
        <x:v>3</x:v>
      </x:c>
      <x:c r="F442" s="83" t="str">
        <x:v>While reviewing an application for emergency funds, a social worker discovers that the applicant is a close neighbor and family friend. What should the social worker do?</x:v>
      </x:c>
      <x:c r="G442" s="83" t="str">
        <x:v>Automatically approve the application to avoid harm.</x:v>
      </x:c>
      <x:c r="H442" s="83" t="str">
        <x:v>Disclose the potential conflict through agency procedures and arrange an impartial evaluator when feasible.</x:v>
      </x:c>
      <x:c r="I442" s="83" t="str">
        <x:v>Ask the friend how the evaluation should be handled.</x:v>
      </x:c>
      <x:c r="J442" s="83" t="str"/>
      <x:c r="K442" s="83" t="str">
        <x:v>B</x:v>
      </x:c>
      <x:c r="L442" s="83" t="str">
        <x:v>Incorrect. Favoritism is not an ethical remedy.</x:v>
      </x:c>
      <x:c r="M442" s="83" t="str">
        <x:v>Correct. A personal connection may affect or appear to affect impartial decision-making.</x:v>
      </x:c>
      <x:c r="N442" s="83" t="str">
        <x:v>Incorrect. The friend is not an appropriate decision-maker and disclosure may violate privacy.</x:v>
      </x:c>
      <x:c r="O442" s="83" t="str"/>
      <x:c r="P442" s="83" t="str">
        <x:v>A. Incorrect. Favoritism is not an ethical remedy.
B. Correct. A personal connection may affect or appear to affect impartial decision-making.
C. Incorrect. The friend is not an appropriate decision-maker and disclosure may violate privacy.</x:v>
      </x:c>
      <x:c r="Q442" s="83" t="str">
        <x:v>Protect fairness and public trust, not just actual intent.</x:v>
      </x:c>
      <x:c r="R442" s="89" t="str">
        <x:v>CTA LCSW WB2; CTA LCSW WB12; ASWB 2026 Clinical Content Area I</x:v>
      </x:c>
    </x:row>
    <x:row r="443">
      <x:c r="A443" s="88" t="str">
        <x:v>CTA-LCSW-MQB-0442</x:v>
      </x:c>
      <x:c r="B443" s="83" t="str">
        <x:v>LCSW-MQB-FB-AP-037</x:v>
      </x:c>
      <x:c r="C443" s="83" t="str">
        <x:v>Comprehensive Simulation</x:v>
      </x:c>
      <x:c r="D443" s="83" t="str">
        <x:v>Form B</x:v>
      </x:c>
      <x:c r="E443" s="83" t="n">
        <x:v>4</x:v>
      </x:c>
      <x:c r="F443" s="83" t="str">
        <x:v>Following several medication changes, a client develops feverish sweating, shaking, confusion, and marked agitation. What should the social worker do?</x:v>
      </x:c>
      <x:c r="G443" s="83" t="str">
        <x:v>Recommend an additional medication.</x:v>
      </x:c>
      <x:c r="H443" s="83" t="str">
        <x:v>Wait for a routine psychiatric appointment.</x:v>
      </x:c>
      <x:c r="I443" s="83" t="str">
        <x:v>Arrange urgent medical assessment, identify all prescribed and nonprescribed substances, and coordinate with prescribers while maintaining safety.</x:v>
      </x:c>
      <x:c r="J443" s="83" t="str">
        <x:v>Interpret the symptoms as resistance to therapy.</x:v>
      </x:c>
      <x:c r="K443" s="83" t="str">
        <x:v>C</x:v>
      </x:c>
      <x:c r="L443" s="83" t="str">
        <x:v>Incorrect. Medication recommendations exceed role.</x:v>
      </x:c>
      <x:c r="M443" s="83" t="str">
        <x:v>Incorrect. Urgent symptoms should not be delayed.</x:v>
      </x:c>
      <x:c r="N443" s="83" t="str">
        <x:v>Correct. The combination may reflect a serious medication or medical reaction outside the social worker’s prescribing scope.</x:v>
      </x:c>
      <x:c r="O443" s="83" t="str">
        <x:v>Incorrect. Psychological interpretation is premature.</x:v>
      </x:c>
      <x:c r="P443" s="83" t="str">
        <x:v>A. Incorrect. Medication recommendations exceed role.
B. Incorrect. Urgent symptoms should not be delayed.
C. Correct. The combination may reflect a serious medication or medical reaction outside the social worker’s prescribing scope.
D. Incorrect. Psychological interpretation is premature.</x:v>
      </x:c>
      <x:c r="Q443" s="83" t="str">
        <x:v>When new physical and mental-status changes cluster after medication changes, prioritize medical safety.</x:v>
      </x:c>
      <x:c r="R443" s="89" t="str">
        <x:v>CTA LCSW WB5; ASWB 2026 Clinical Content Area II</x:v>
      </x:c>
    </x:row>
    <x:row r="444">
      <x:c r="A444" s="88" t="str">
        <x:v>CTA-LCSW-MQB-0443</x:v>
      </x:c>
      <x:c r="B444" s="83" t="str">
        <x:v>LCSW-MQB-FB-AP-013</x:v>
      </x:c>
      <x:c r="C444" s="83" t="str">
        <x:v>Comprehensive Simulation</x:v>
      </x:c>
      <x:c r="D444" s="83" t="str">
        <x:v>Form B</x:v>
      </x:c>
      <x:c r="E444" s="83" t="n">
        <x:v>3</x:v>
      </x:c>
      <x:c r="F444" s="83" t="str">
        <x:v>A standardized anxiety screen is elevated, but the client says several items were difficult to read and were guessed. What should the social worker do with the result?</x:v>
      </x:c>
      <x:c r="G444" s="83" t="str">
        <x:v>Treat the score as definitive.</x:v>
      </x:c>
      <x:c r="H444" s="83" t="str">
        <x:v>Diagnose solely from the total.</x:v>
      </x:c>
      <x:c r="I444" s="83" t="str">
        <x:v>Clarify the items using accessible methods and integrate the result with interview, observation, and functioning.</x:v>
      </x:c>
      <x:c r="J444" s="83" t="str"/>
      <x:c r="K444" s="83" t="str">
        <x:v>C</x:v>
      </x:c>
      <x:c r="L444" s="83" t="str">
        <x:v>Incorrect. Standardization does not correct misunderstanding.</x:v>
      </x:c>
      <x:c r="M444" s="83" t="str">
        <x:v>Incorrect. Diagnosis requires broader reasoning.</x:v>
      </x:c>
      <x:c r="N444" s="83" t="str">
        <x:v>Correct. A measure is one source of evidence and depends on valid administration.</x:v>
      </x:c>
      <x:c r="O444" s="83" t="str"/>
      <x:c r="P444" s="83" t="str">
        <x:v>A. Incorrect. Standardization does not correct misunderstanding.
B. Incorrect. Diagnosis requires broader reasoning.
C. Correct. A measure is one source of evidence and depends on valid administration.</x:v>
      </x:c>
      <x:c r="Q444" s="83" t="str">
        <x:v>A score is evidence, not a verdict.</x:v>
      </x:c>
      <x:c r="R444" s="89" t="str">
        <x:v>CTA LCSW WB3–WB7; ASWB 2026 Clinical Content Area II</x:v>
      </x:c>
    </x:row>
    <x:row r="445">
      <x:c r="A445" s="88" t="str">
        <x:v>CTA-LCSW-MQB-0444</x:v>
      </x:c>
      <x:c r="B445" s="83" t="str">
        <x:v>LCSW-MQB-FB-VE-015</x:v>
      </x:c>
      <x:c r="C445" s="83" t="str">
        <x:v>Comprehensive Simulation</x:v>
      </x:c>
      <x:c r="D445" s="83" t="str">
        <x:v>Form B</x:v>
      </x:c>
      <x:c r="E445" s="83" t="n">
        <x:v>3</x:v>
      </x:c>
      <x:c r="F445" s="83" t="str">
        <x:v>A client receives an invoice containing a cancellation fee that was not included in the original fee discussion. What should the social worker do?</x:v>
      </x:c>
      <x:c r="G445" s="83" t="str">
        <x:v>Add more charges to discourage future absences.</x:v>
      </x:c>
      <x:c r="H445" s="83" t="str">
        <x:v>Review the policy, acknowledge the lack of prior disclosure, resolve the charge fairly, and clarify future expectations.</x:v>
      </x:c>
      <x:c r="I445" s="83" t="str">
        <x:v>Insist the client should have known the policy.</x:v>
      </x:c>
      <x:c r="J445" s="83" t="str"/>
      <x:c r="K445" s="83" t="str">
        <x:v>B</x:v>
      </x:c>
      <x:c r="L445" s="83" t="str">
        <x:v>Incorrect. Punitive fees are not a clinical solution.</x:v>
      </x:c>
      <x:c r="M445" s="83" t="str">
        <x:v>Correct. Financial expectations should be disclosed and handled transparently.</x:v>
      </x:c>
      <x:c r="N445" s="83" t="str">
        <x:v>Incorrect. Undisclosed terms should not be treated as obvious.</x:v>
      </x:c>
      <x:c r="O445" s="83" t="str"/>
      <x:c r="P445" s="83" t="str">
        <x:v>A. Incorrect. Punitive fees are not a clinical solution.
B. Correct. Financial expectations should be disclosed and handled transparently.
C. Incorrect. Undisclosed terms should not be treated as obvious.</x:v>
      </x:c>
      <x:c r="Q445" s="83" t="str">
        <x:v>In fee disputes, return to informed expectations and fairness.</x:v>
      </x:c>
      <x:c r="R445" s="89" t="str">
        <x:v>CTA LCSW WB2; CTA LCSW WB12; ASWB 2026 Clinical Content Area I</x:v>
      </x:c>
    </x:row>
    <x:row r="446">
      <x:c r="A446" s="88" t="str">
        <x:v>CTA-LCSW-MQB-0445</x:v>
      </x:c>
      <x:c r="B446" s="83" t="str">
        <x:v>LCSW-MQB-FB-IP-038</x:v>
      </x:c>
      <x:c r="C446" s="83" t="str">
        <x:v>Comprehensive Simulation</x:v>
      </x:c>
      <x:c r="D446" s="83" t="str">
        <x:v>Form B</x:v>
      </x:c>
      <x:c r="E446" s="83" t="n">
        <x:v>4</x:v>
      </x:c>
      <x:c r="F446" s="83" t="str">
        <x:v>A capable client chooses intensive home-based services after the team recommends residential placement. What should the social worker do?</x:v>
      </x:c>
      <x:c r="G446" s="83" t="str">
        <x:v>Ensure the client understands risks and options, present environmental and support data to the team, and collaborate on the safest feasible plan that respects the client’s decision.</x:v>
      </x:c>
      <x:c r="H446" s="83" t="str">
        <x:v>Override the client because the team agrees.</x:v>
      </x:c>
      <x:c r="I446" s="83" t="str">
        <x:v>Withdraw from the case.</x:v>
      </x:c>
      <x:c r="J446" s="83" t="str">
        <x:v>Support the client without discussing risk.</x:v>
      </x:c>
      <x:c r="K446" s="83" t="str">
        <x:v>A</x:v>
      </x:c>
      <x:c r="L446" s="83" t="str">
        <x:v>Correct. The social worker must integrate autonomy, informed risk, team expertise, and real-world supports.</x:v>
      </x:c>
      <x:c r="M446" s="83" t="str">
        <x:v>Incorrect. Consensus does not automatically replace a capable client’s choice.</x:v>
      </x:c>
      <x:c r="N446" s="83" t="str">
        <x:v>Incorrect. Withdrawal abandons collaborative planning.</x:v>
      </x:c>
      <x:c r="O446" s="83" t="str">
        <x:v>Incorrect. Respect requires accurate risk discussion.</x:v>
      </x:c>
      <x:c r="P446" s="83" t="str">
        <x:v>A. Correct. The social worker must integrate autonomy, informed risk, team expertise, and real-world supports.
B. Incorrect. Consensus does not automatically replace a capable client’s choice.
C. Incorrect. Withdrawal abandons collaborative planning.
D. Incorrect. Respect requires accurate risk discussion.</x:v>
      </x:c>
      <x:c r="Q446" s="83" t="str">
        <x:v>The best plan is both informed and feasible, not simply the most restrictive.</x:v>
      </x:c>
      <x:c r="R446" s="89" t="str">
        <x:v>CTA LCSW WB10; CTA LCSW WB11; ASWB 2026 Clinical Content Area III</x:v>
      </x:c>
    </x:row>
    <x:row r="447">
      <x:c r="A447" s="88" t="str">
        <x:v>CTA-LCSW-MQB-0446</x:v>
      </x:c>
      <x:c r="B447" s="83" t="str">
        <x:v>LCSW-MQB-FB-IP-018</x:v>
      </x:c>
      <x:c r="C447" s="83" t="str">
        <x:v>Comprehensive Simulation</x:v>
      </x:c>
      <x:c r="D447" s="83" t="str">
        <x:v>Form B</x:v>
      </x:c>
      <x:c r="E447" s="83" t="n">
        <x:v>3</x:v>
      </x:c>
      <x:c r="F447" s="83" t="str">
        <x:v>Treatment goals have been achieved and a client proposes ending services. What should occur before termination?</x:v>
      </x:c>
      <x:c r="G447" s="83" t="str">
        <x:v>Review gains, warning signs, supports, relapse-prevention steps, future access, and the meaning of ending.</x:v>
      </x:c>
      <x:c r="H447" s="83" t="str">
        <x:v>Create new goals the client did not request.</x:v>
      </x:c>
      <x:c r="I447" s="83" t="str">
        <x:v>Continue indefinitely to preserve the relationship.</x:v>
      </x:c>
      <x:c r="J447" s="83" t="str"/>
      <x:c r="K447" s="83" t="str">
        <x:v>A</x:v>
      </x:c>
      <x:c r="L447" s="83" t="str">
        <x:v>Correct. Planned termination consolidates learning and supports future self-management.</x:v>
      </x:c>
      <x:c r="M447" s="83" t="str">
        <x:v>Incorrect. Goals should remain collaborative.</x:v>
      </x:c>
      <x:c r="N447" s="83" t="str">
        <x:v>Incorrect. Dependency is not a reason for unnecessary care.</x:v>
      </x:c>
      <x:c r="O447" s="83" t="str"/>
      <x:c r="P447" s="83" t="str">
        <x:v>A. Correct. Planned termination consolidates learning and supports future self-management.
B. Incorrect. Goals should remain collaborative.
C. Incorrect. Dependency is not a reason for unnecessary care.</x:v>
      </x:c>
      <x:c r="Q447" s="83" t="str">
        <x:v>Use termination to transfer ownership of progress to the client.</x:v>
      </x:c>
      <x:c r="R447" s="89" t="str">
        <x:v>CTA LCSW WB8–WB11; ASWB 2026 Clinical Content Area III</x:v>
      </x:c>
    </x:row>
    <x:row r="448">
      <x:c r="A448" s="88" t="str">
        <x:v>CTA-LCSW-MQB-0447</x:v>
      </x:c>
      <x:c r="B448" s="83" t="str">
        <x:v>LCSW-MQB-FB-AP-015</x:v>
      </x:c>
      <x:c r="C448" s="83" t="str">
        <x:v>Comprehensive Simulation</x:v>
      </x:c>
      <x:c r="D448" s="83" t="str">
        <x:v>Form B</x:v>
      </x:c>
      <x:c r="E448" s="83" t="n">
        <x:v>3</x:v>
      </x:c>
      <x:c r="F448" s="83" t="str">
        <x:v>A client continues to cut, has no stable place to stay, and cannot reliably follow a crisis plan between weekly visits. What should be considered in service planning?</x:v>
      </x:c>
      <x:c r="G448" s="83" t="str">
        <x:v>Immediate case closure.</x:v>
      </x:c>
      <x:c r="H448" s="83" t="str">
        <x:v>A guarantee that outpatient care will prevent self-harm.</x:v>
      </x:c>
      <x:c r="I448" s="83" t="str">
        <x:v>A higher level of care or additional supports, discussed collaboratively and coordinated without abandonment.</x:v>
      </x:c>
      <x:c r="J448" s="83" t="str"/>
      <x:c r="K448" s="83" t="str">
        <x:v>C</x:v>
      </x:c>
      <x:c r="L448" s="83" t="str">
        <x:v>Incorrect. Closure increases risk.</x:v>
      </x:c>
      <x:c r="M448" s="83" t="str">
        <x:v>Incorrect. No service can guarantee prevention.</x:v>
      </x:c>
      <x:c r="N448" s="83" t="str">
        <x:v>Correct. Client preference matters, but the plan must address acuity and ability to remain safe.</x:v>
      </x:c>
      <x:c r="O448" s="83" t="str"/>
      <x:c r="P448" s="83" t="str">
        <x:v>A. Incorrect. Closure increases risk.
B. Incorrect. No service can guarantee prevention.
C. Correct. Client preference matters, but the plan must address acuity and ability to remain safe.</x:v>
      </x:c>
      <x:c r="Q448" s="83" t="str">
        <x:v>Choose the least restrictive plan that can realistically meet the assessed need.</x:v>
      </x:c>
      <x:c r="R448" s="89" t="str">
        <x:v>CTA LCSW WB6; ASWB 2026 Clinical Content Area II</x:v>
      </x:c>
    </x:row>
    <x:row r="449">
      <x:c r="A449" s="90" t="str">
        <x:v>CTA-LCSW-MQB-0448</x:v>
      </x:c>
      <x:c r="B449" s="91" t="str">
        <x:v>LCSW-MQB-FB-IP-029</x:v>
      </x:c>
      <x:c r="C449" s="91" t="str">
        <x:v>Comprehensive Simulation</x:v>
      </x:c>
      <x:c r="D449" s="91" t="str">
        <x:v>Form B</x:v>
      </x:c>
      <x:c r="E449" s="91" t="n">
        <x:v>4</x:v>
      </x:c>
      <x:c r="F449" s="91" t="str">
        <x:v>A student’s outbursts appear almost exclusively when reading assignments exceed current skill level. What should the school social worker do next?</x:v>
      </x:c>
      <x:c r="G449" s="91" t="str">
        <x:v>Assess academic demands, learning needs, antecedents, consequences, and supports before selecting an intervention.</x:v>
      </x:c>
      <x:c r="H449" s="91" t="str">
        <x:v>Use punishment as the first response.</x:v>
      </x:c>
      <x:c r="I449" s="91" t="str">
        <x:v>Assume intentional defiance.</x:v>
      </x:c>
      <x:c r="J449" s="91" t="str">
        <x:v>Refer for medication without assessment.</x:v>
      </x:c>
      <x:c r="K449" s="91" t="str">
        <x:v>A</x:v>
      </x:c>
      <x:c r="L449" s="91" t="str">
        <x:v>Correct. The behavior may function to escape tasks that exceed current skills or supports.</x:v>
      </x:c>
      <x:c r="M449" s="91" t="str">
        <x:v>Incorrect. Punishment may not address the function.</x:v>
      </x:c>
      <x:c r="N449" s="91" t="str">
        <x:v>Incorrect. Intent is not established.</x:v>
      </x:c>
      <x:c r="O449" s="91" t="str">
        <x:v>Incorrect. Medication referral is premature.</x:v>
      </x:c>
      <x:c r="P449" s="91" t="str">
        <x:v>A. Correct. The behavior may function to escape tasks that exceed current skills or supports.
B. Incorrect. Punishment may not address the function.
C. Incorrect. Intent is not established.
D. Incorrect. Medication referral is premature.</x:v>
      </x:c>
      <x:c r="Q449" s="91" t="str">
        <x:v>Ask what happens before and after the behavior.</x:v>
      </x:c>
      <x:c r="R449" s="92" t="str">
        <x:v>CTA LCSW WB8–WB11; ASWB 2026 Clinical Content Area III</x:v>
      </x:c>
    </x:row>
  </x:sheetData>
  <x:pageMargins left="0.7" right="0.7" top="0.75" bottom="0.75" header="0.3" footer="0.3"/>
  <x:tableParts count="1">
    <x:tablePart xmlns:r="http://schemas.openxmlformats.org/officeDocument/2006/relationships" r:id="R77cd2fc688ff4ee0"/>
  </x:tableParts>
</x:worksheet>
</file>

<file path=xl/worksheets/sheet4.xml><?xml version="1.0" encoding="utf-8"?>
<x:worksheet xmlns:x="http://schemas.openxmlformats.org/spreadsheetml/2006/main">
  <x:sheetFormatPr defaultRowHeight="15"/>
  <x:cols>
    <x:col min="1" max="1" width="42" hidden="0" customWidth="1"/>
    <x:col min="2" max="2" width="11" hidden="0" customWidth="1"/>
    <x:col min="3" max="3" width="11" hidden="0" customWidth="1"/>
    <x:col min="4" max="4" width="11" hidden="0" customWidth="1"/>
    <x:col min="5" max="5" width="11" hidden="0" customWidth="1"/>
    <x:col min="6" max="6" width="13" hidden="0" customWidth="1"/>
    <x:col min="7" max="7" width="14" hidden="0" customWidth="1"/>
    <x:col min="8" max="8" width="11" hidden="0" customWidth="1"/>
    <x:col min="9" max="9" width="30" hidden="0" customWidth="1"/>
    <x:col min="10" max="10" width="11" hidden="0" customWidth="1"/>
    <x:col min="11" max="11" width="11" hidden="0" customWidth="1"/>
    <x:col min="12" max="12" width="11" hidden="0" customWidth="1"/>
  </x:cols>
  <x:sheetData>
    <x:row r="1">
      <x:c r="A1" s="5" t="str">
        <x:v>LCSW 2026 Content Area, Difficulty, Reasoning, Option, and Key Distribution</x:v>
      </x:c>
      <x:c r="B1" s="5"/>
      <x:c r="C1" s="5"/>
      <x:c r="D1" s="5"/>
      <x:c r="E1" s="5"/>
      <x:c r="F1" s="5"/>
      <x:c r="G1" s="5"/>
      <x:c r="H1" s="5"/>
      <x:c r="I1" s="5"/>
      <x:c r="J1" s="5"/>
      <x:c r="K1" s="5"/>
    </x:row>
    <x:row r="3">
      <x:c r="A3" s="34" t="str">
        <x:v>Official Content Area</x:v>
      </x:c>
      <x:c r="B3" s="34" t="str">
        <x:v>Total</x:v>
      </x:c>
      <x:c r="C3" s="34" t="str">
        <x:v>Workbook</x:v>
      </x:c>
      <x:c r="D3" s="34" t="str">
        <x:v>Form A</x:v>
      </x:c>
      <x:c r="E3" s="34" t="str">
        <x:v>Form B</x:v>
      </x:c>
      <x:c r="F3" s="34" t="str">
        <x:v>Scored-Style</x:v>
      </x:c>
      <x:c r="G3" s="34" t="str">
        <x:v>Pretest-Style</x:v>
      </x:c>
      <x:c r="H3" s="34" t="str">
        <x:v>3-Option</x:v>
      </x:c>
      <x:c r="I3" s="34" t="str">
        <x:v>4-Option</x:v>
      </x:c>
      <x:c r="J3" s="34" t="str">
        <x:v>Easy</x:v>
      </x:c>
      <x:c r="K3" s="34" t="str">
        <x:v>Moderate</x:v>
      </x:c>
      <x:c r="L3" s="34" t="str">
        <x:v>Difficult</x:v>
      </x:c>
    </x:row>
    <x:row r="4">
      <x:c r="A4" s="61" t="str">
        <x:v>I. Values and Ethics</x:v>
      </x:c>
      <x:c r="B4" s="62" t="n">
        <x:f>COUNTIF('Master Inventory'!$J$2:$J$449,A4)</x:f>
        <x:v>105</x:v>
      </x:c>
      <x:c r="C4" s="62" t="n">
        <x:f>COUNTIFS('Master Inventory'!$J$2:$J$449,A4,'Master Inventory'!$D$2:$D$449,"Workbook Question Bank")</x:f>
        <x:v>17</x:v>
      </x:c>
      <x:c r="D4" s="62" t="n">
        <x:f>COUNTIFS('Master Inventory'!$J$2:$J$449,A4,'Master Inventory'!$G$2:$G$449,"Form A")</x:f>
        <x:v>44</x:v>
      </x:c>
      <x:c r="E4" s="62" t="n">
        <x:f>COUNTIFS('Master Inventory'!$J$2:$J$449,A4,'Master Inventory'!$G$2:$G$449,"Form B")</x:f>
        <x:v>44</x:v>
      </x:c>
      <x:c r="F4" s="62" t="n">
        <x:f>COUNTIFS('Master Inventory'!$J$2:$J$449,A4,'Master Inventory'!$I$2:$I$449,"Scored-Style")</x:f>
        <x:v>80</x:v>
      </x:c>
      <x:c r="G4" s="62" t="n">
        <x:f>COUNTIFS('Master Inventory'!$J$2:$J$449,A4,'Master Inventory'!$I$2:$I$449,"Pretest-Style")</x:f>
        <x:v>8</x:v>
      </x:c>
      <x:c r="H4" s="62" t="n">
        <x:f>COUNTIFS('Master Inventory'!$J$2:$J$449,A4,'Master Inventory'!$Q$2:$Q$449,3)</x:f>
        <x:v>64</x:v>
      </x:c>
      <x:c r="I4" s="62" t="n">
        <x:f>COUNTIFS('Master Inventory'!$J$2:$J$449,A4,'Master Inventory'!$Q$2:$Q$449,4)</x:f>
        <x:v>41</x:v>
      </x:c>
      <x:c r="J4" s="62" t="n">
        <x:f>COUNTIFS('Master Inventory'!$J$2:$J$449,A4,'Master Inventory'!$N$2:$N$449,"Easy")</x:f>
        <x:v>29</x:v>
      </x:c>
      <x:c r="K4" s="62" t="n">
        <x:f>COUNTIFS('Master Inventory'!$J$2:$J$449,A4,'Master Inventory'!$N$2:$N$449,"Moderate")</x:f>
        <x:v>51</x:v>
      </x:c>
      <x:c r="L4" s="63" t="n">
        <x:f>COUNTIFS('Master Inventory'!$J$2:$J$449,A4,'Master Inventory'!$N$2:$N$449,"Difficult")</x:f>
        <x:v>25</x:v>
      </x:c>
    </x:row>
    <x:row r="5">
      <x:c r="A5" s="64" t="str">
        <x:v>II. Assessment and Planning</x:v>
      </x:c>
      <x:c r="B5" s="10" t="n">
        <x:f>COUNTIF('Master Inventory'!$J$2:$J$449,A5)</x:f>
        <x:v>163</x:v>
      </x:c>
      <x:c r="C5" s="10" t="n">
        <x:f>COUNTIFS('Master Inventory'!$J$2:$J$449,A5,'Master Inventory'!$D$2:$D$449,"Workbook Question Bank")</x:f>
        <x:v>85</x:v>
      </x:c>
      <x:c r="D5" s="10" t="n">
        <x:f>COUNTIFS('Master Inventory'!$J$2:$J$449,A5,'Master Inventory'!$G$2:$G$449,"Form A")</x:f>
        <x:v>39</x:v>
      </x:c>
      <x:c r="E5" s="10" t="n">
        <x:f>COUNTIFS('Master Inventory'!$J$2:$J$449,A5,'Master Inventory'!$G$2:$G$449,"Form B")</x:f>
        <x:v>39</x:v>
      </x:c>
      <x:c r="F5" s="10" t="n">
        <x:f>COUNTIFS('Master Inventory'!$J$2:$J$449,A5,'Master Inventory'!$I$2:$I$449,"Scored-Style")</x:f>
        <x:v>70</x:v>
      </x:c>
      <x:c r="G5" s="10" t="n">
        <x:f>COUNTIFS('Master Inventory'!$J$2:$J$449,A5,'Master Inventory'!$I$2:$I$449,"Pretest-Style")</x:f>
        <x:v>8</x:v>
      </x:c>
      <x:c r="H5" s="10" t="n">
        <x:f>COUNTIFS('Master Inventory'!$J$2:$J$449,A5,'Master Inventory'!$Q$2:$Q$449,3)</x:f>
        <x:v>88</x:v>
      </x:c>
      <x:c r="I5" s="10" t="n">
        <x:f>COUNTIFS('Master Inventory'!$J$2:$J$449,A5,'Master Inventory'!$Q$2:$Q$449,4)</x:f>
        <x:v>75</x:v>
      </x:c>
      <x:c r="J5" s="10" t="n">
        <x:f>COUNTIFS('Master Inventory'!$J$2:$J$449,A5,'Master Inventory'!$N$2:$N$449,"Easy")</x:f>
        <x:v>45</x:v>
      </x:c>
      <x:c r="K5" s="10" t="n">
        <x:f>COUNTIFS('Master Inventory'!$J$2:$J$449,A5,'Master Inventory'!$N$2:$N$449,"Moderate")</x:f>
        <x:v>75</x:v>
      </x:c>
      <x:c r="L5" s="65" t="n">
        <x:f>COUNTIFS('Master Inventory'!$J$2:$J$449,A5,'Master Inventory'!$N$2:$N$449,"Difficult")</x:f>
        <x:v>43</x:v>
      </x:c>
    </x:row>
    <x:row r="6">
      <x:c r="A6" s="64" t="str">
        <x:v>III. Intervention and Practice</x:v>
      </x:c>
      <x:c r="B6" s="10" t="n">
        <x:f>COUNTIF('Master Inventory'!$J$2:$J$449,A6)</x:f>
        <x:v>146</x:v>
      </x:c>
      <x:c r="C6" s="10" t="n">
        <x:f>COUNTIFS('Master Inventory'!$J$2:$J$449,A6,'Master Inventory'!$D$2:$D$449,"Workbook Question Bank")</x:f>
        <x:v>68</x:v>
      </x:c>
      <x:c r="D6" s="10" t="n">
        <x:f>COUNTIFS('Master Inventory'!$J$2:$J$449,A6,'Master Inventory'!$G$2:$G$449,"Form A")</x:f>
        <x:v>39</x:v>
      </x:c>
      <x:c r="E6" s="10" t="n">
        <x:f>COUNTIFS('Master Inventory'!$J$2:$J$449,A6,'Master Inventory'!$G$2:$G$449,"Form B")</x:f>
        <x:v>39</x:v>
      </x:c>
      <x:c r="F6" s="10" t="n">
        <x:f>COUNTIFS('Master Inventory'!$J$2:$J$449,A6,'Master Inventory'!$I$2:$I$449,"Scored-Style")</x:f>
        <x:v>70</x:v>
      </x:c>
      <x:c r="G6" s="10" t="n">
        <x:f>COUNTIFS('Master Inventory'!$J$2:$J$449,A6,'Master Inventory'!$I$2:$I$449,"Pretest-Style")</x:f>
        <x:v>8</x:v>
      </x:c>
      <x:c r="H6" s="10" t="n">
        <x:f>COUNTIFS('Master Inventory'!$J$2:$J$449,A6,'Master Inventory'!$Q$2:$Q$449,3)</x:f>
        <x:v>44</x:v>
      </x:c>
      <x:c r="I6" s="10" t="n">
        <x:f>COUNTIFS('Master Inventory'!$J$2:$J$449,A6,'Master Inventory'!$Q$2:$Q$449,4)</x:f>
        <x:v>102</x:v>
      </x:c>
      <x:c r="J6" s="10" t="n">
        <x:f>COUNTIFS('Master Inventory'!$J$2:$J$449,A6,'Master Inventory'!$N$2:$N$449,"Easy")</x:f>
        <x:v>38</x:v>
      </x:c>
      <x:c r="K6" s="10" t="n">
        <x:f>COUNTIFS('Master Inventory'!$J$2:$J$449,A6,'Master Inventory'!$N$2:$N$449,"Moderate")</x:f>
        <x:v>66</x:v>
      </x:c>
      <x:c r="L6" s="65" t="n">
        <x:f>COUNTIFS('Master Inventory'!$J$2:$J$449,A6,'Master Inventory'!$N$2:$N$449,"Difficult")</x:f>
        <x:v>42</x:v>
      </x:c>
    </x:row>
    <x:row r="7">
      <x:c r="A7" s="64" t="str">
        <x:v>Exam Strategy / Cross-Domain</x:v>
      </x:c>
      <x:c r="B7" s="10" t="n">
        <x:f>COUNTIF('Master Inventory'!$J$2:$J$449,A7)</x:f>
        <x:v>17</x:v>
      </x:c>
      <x:c r="C7" s="10" t="n">
        <x:f>COUNTIFS('Master Inventory'!$J$2:$J$449,A7,'Master Inventory'!$D$2:$D$449,"Workbook Question Bank")</x:f>
        <x:v>17</x:v>
      </x:c>
      <x:c r="D7" s="10" t="n">
        <x:f>COUNTIFS('Master Inventory'!$J$2:$J$449,A7,'Master Inventory'!$G$2:$G$449,"Form A")</x:f>
        <x:v>0</x:v>
      </x:c>
      <x:c r="E7" s="10" t="n">
        <x:f>COUNTIFS('Master Inventory'!$J$2:$J$449,A7,'Master Inventory'!$G$2:$G$449,"Form B")</x:f>
        <x:v>0</x:v>
      </x:c>
      <x:c r="F7" s="10" t="n">
        <x:f>COUNTIFS('Master Inventory'!$J$2:$J$449,A7,'Master Inventory'!$I$2:$I$449,"Scored-Style")</x:f>
        <x:v>0</x:v>
      </x:c>
      <x:c r="G7" s="10" t="n">
        <x:f>COUNTIFS('Master Inventory'!$J$2:$J$449,A7,'Master Inventory'!$I$2:$I$449,"Pretest-Style")</x:f>
        <x:v>0</x:v>
      </x:c>
      <x:c r="H7" s="10" t="n">
        <x:f>COUNTIFS('Master Inventory'!$J$2:$J$449,A7,'Master Inventory'!$Q$2:$Q$449,3)</x:f>
        <x:v>10</x:v>
      </x:c>
      <x:c r="I7" s="10" t="n">
        <x:f>COUNTIFS('Master Inventory'!$J$2:$J$449,A7,'Master Inventory'!$Q$2:$Q$449,4)</x:f>
        <x:v>7</x:v>
      </x:c>
      <x:c r="J7" s="10" t="n">
        <x:f>COUNTIFS('Master Inventory'!$J$2:$J$449,A7,'Master Inventory'!$N$2:$N$449,"Easy")</x:f>
        <x:v>5</x:v>
      </x:c>
      <x:c r="K7" s="10" t="n">
        <x:f>COUNTIFS('Master Inventory'!$J$2:$J$449,A7,'Master Inventory'!$N$2:$N$449,"Moderate")</x:f>
        <x:v>7</x:v>
      </x:c>
      <x:c r="L7" s="65" t="n">
        <x:f>COUNTIFS('Master Inventory'!$J$2:$J$449,A7,'Master Inventory'!$N$2:$N$449,"Difficult")</x:f>
        <x:v>5</x:v>
      </x:c>
    </x:row>
    <x:row r="8">
      <x:c r="A8" s="66" t="str">
        <x:v>Integrated Review / Cross-Domain</x:v>
      </x:c>
      <x:c r="B8" s="67" t="n">
        <x:f>COUNTIF('Master Inventory'!$J$2:$J$449,A8)</x:f>
        <x:v>17</x:v>
      </x:c>
      <x:c r="C8" s="67" t="n">
        <x:f>COUNTIFS('Master Inventory'!$J$2:$J$449,A8,'Master Inventory'!$D$2:$D$449,"Workbook Question Bank")</x:f>
        <x:v>17</x:v>
      </x:c>
      <x:c r="D8" s="67" t="n">
        <x:f>COUNTIFS('Master Inventory'!$J$2:$J$449,A8,'Master Inventory'!$G$2:$G$449,"Form A")</x:f>
        <x:v>0</x:v>
      </x:c>
      <x:c r="E8" s="67" t="n">
        <x:f>COUNTIFS('Master Inventory'!$J$2:$J$449,A8,'Master Inventory'!$G$2:$G$449,"Form B")</x:f>
        <x:v>0</x:v>
      </x:c>
      <x:c r="F8" s="67" t="n">
        <x:f>COUNTIFS('Master Inventory'!$J$2:$J$449,A8,'Master Inventory'!$I$2:$I$449,"Scored-Style")</x:f>
        <x:v>0</x:v>
      </x:c>
      <x:c r="G8" s="67" t="n">
        <x:f>COUNTIFS('Master Inventory'!$J$2:$J$449,A8,'Master Inventory'!$I$2:$I$449,"Pretest-Style")</x:f>
        <x:v>0</x:v>
      </x:c>
      <x:c r="H8" s="67" t="n">
        <x:f>COUNTIFS('Master Inventory'!$J$2:$J$449,A8,'Master Inventory'!$Q$2:$Q$449,3)</x:f>
        <x:v>0</x:v>
      </x:c>
      <x:c r="I8" s="67" t="n">
        <x:f>COUNTIFS('Master Inventory'!$J$2:$J$449,A8,'Master Inventory'!$Q$2:$Q$449,4)</x:f>
        <x:v>17</x:v>
      </x:c>
      <x:c r="J8" s="67" t="n">
        <x:f>COUNTIFS('Master Inventory'!$J$2:$J$449,A8,'Master Inventory'!$N$2:$N$449,"Easy")</x:f>
        <x:v>5</x:v>
      </x:c>
      <x:c r="K8" s="67" t="n">
        <x:f>COUNTIFS('Master Inventory'!$J$2:$J$449,A8,'Master Inventory'!$N$2:$N$449,"Moderate")</x:f>
        <x:v>7</x:v>
      </x:c>
      <x:c r="L8" s="68" t="n">
        <x:f>COUNTIFS('Master Inventory'!$J$2:$J$449,A8,'Master Inventory'!$N$2:$N$449,"Difficult")</x:f>
        <x:v>5</x:v>
      </x:c>
    </x:row>
    <x:row r="11">
      <x:c r="A11" s="34" t="str">
        <x:v>Source / Form</x:v>
      </x:c>
      <x:c r="B11" s="34" t="str">
        <x:v>Total</x:v>
      </x:c>
      <x:c r="C11" s="34" t="str">
        <x:v>3-Option</x:v>
      </x:c>
      <x:c r="D11" s="34" t="str">
        <x:v>4-Option</x:v>
      </x:c>
      <x:c r="E11" s="34" t="str">
        <x:v>Easy</x:v>
      </x:c>
      <x:c r="F11" s="34" t="str">
        <x:v>Moderate</x:v>
      </x:c>
      <x:c r="G11" s="34" t="str">
        <x:v>Difficult</x:v>
      </x:c>
      <x:c r="I11" s="34" t="str">
        <x:v>Reasoning Level</x:v>
      </x:c>
      <x:c r="J11" s="34" t="str">
        <x:v>Count</x:v>
      </x:c>
      <x:c r="K11" s="34" t="str">
        <x:v>Percent</x:v>
      </x:c>
    </x:row>
    <x:row r="12">
      <x:c r="A12" s="44" t="str">
        <x:v>Workbook Question Bank</x:v>
      </x:c>
      <x:c r="B12" s="45" t="n">
        <x:f>COUNTIF('Master Inventory'!$D$2:$D$449,A12)</x:f>
        <x:v>204</x:v>
      </x:c>
      <x:c r="C12" s="45" t="n">
        <x:f>COUNTIFS('Master Inventory'!$D$2:$D$449,A12,'Master Inventory'!$Q$2:$Q$449,3)</x:f>
        <x:v>60</x:v>
      </x:c>
      <x:c r="D12" s="45" t="n">
        <x:f>COUNTIFS('Master Inventory'!$D$2:$D$449,A12,'Master Inventory'!$Q$2:$Q$449,4)</x:f>
        <x:v>144</x:v>
      </x:c>
      <x:c r="E12" s="45" t="n">
        <x:f>COUNTIFS('Master Inventory'!$D$2:$D$449,A12,'Master Inventory'!$N$2:$N$449,"Easy")</x:f>
        <x:v>60</x:v>
      </x:c>
      <x:c r="F12" s="45" t="n">
        <x:f>COUNTIFS('Master Inventory'!$D$2:$D$449,A12,'Master Inventory'!$N$2:$N$449,"Moderate")</x:f>
        <x:v>84</x:v>
      </x:c>
      <x:c r="G12" s="46" t="n">
        <x:f>COUNTIFS('Master Inventory'!$D$2:$D$449,A12,'Master Inventory'!$N$2:$N$449,"Difficult")</x:f>
        <x:v>60</x:v>
      </x:c>
      <x:c r="I12" s="44" t="str">
        <x:v>Knowledge &amp; Recall</x:v>
      </x:c>
      <x:c r="J12" s="45" t="n">
        <x:f>COUNTIF('Master Inventory'!$P$2:$P$449,I12)</x:f>
        <x:v>63</x:v>
      </x:c>
      <x:c r="K12" s="107" t="n">
        <x:f>J12/448</x:f>
        <x:v>0.140625</x:v>
      </x:c>
    </x:row>
    <x:row r="13">
      <x:c r="A13" s="47" t="str">
        <x:v>Form A</x:v>
      </x:c>
      <x:c r="B13" s="48" t="n">
        <x:f>COUNTIF('Master Inventory'!$G$2:$G$449,A13)</x:f>
        <x:v>122</x:v>
      </x:c>
      <x:c r="C13" s="48" t="n">
        <x:f>COUNTIFS('Master Inventory'!$G$2:$G$449,A13,'Master Inventory'!$Q$2:$Q$449,3)</x:f>
        <x:v>73</x:v>
      </x:c>
      <x:c r="D13" s="48" t="n">
        <x:f>COUNTIFS('Master Inventory'!$G$2:$G$449,A13,'Master Inventory'!$Q$2:$Q$449,4)</x:f>
        <x:v>49</x:v>
      </x:c>
      <x:c r="E13" s="48" t="n">
        <x:f>COUNTIFS('Master Inventory'!$G$2:$G$449,A13,'Master Inventory'!$N$2:$N$449,"Easy")</x:f>
        <x:v>31</x:v>
      </x:c>
      <x:c r="F13" s="48" t="n">
        <x:f>COUNTIFS('Master Inventory'!$G$2:$G$449,A13,'Master Inventory'!$N$2:$N$449,"Moderate")</x:f>
        <x:v>61</x:v>
      </x:c>
      <x:c r="G13" s="49" t="n">
        <x:f>COUNTIFS('Master Inventory'!$G$2:$G$449,A13,'Master Inventory'!$N$2:$N$449,"Difficult")</x:f>
        <x:v>30</x:v>
      </x:c>
      <x:c r="I13" s="47" t="str">
        <x:v>Application</x:v>
      </x:c>
      <x:c r="J13" s="48" t="n">
        <x:f>COUNTIF('Master Inventory'!$P$2:$P$449,I13)</x:f>
        <x:v>153</x:v>
      </x:c>
      <x:c r="K13" s="108" t="n">
        <x:f>J13/448</x:f>
        <x:v>0.34151785714285715</x:v>
      </x:c>
    </x:row>
    <x:row r="14">
      <x:c r="A14" s="50" t="str">
        <x:v>Form B</x:v>
      </x:c>
      <x:c r="B14" s="51" t="n">
        <x:f>COUNTIF('Master Inventory'!$G$2:$G$449,A14)</x:f>
        <x:v>122</x:v>
      </x:c>
      <x:c r="C14" s="51" t="n">
        <x:f>COUNTIFS('Master Inventory'!$G$2:$G$449,A14,'Master Inventory'!$Q$2:$Q$449,3)</x:f>
        <x:v>73</x:v>
      </x:c>
      <x:c r="D14" s="51" t="n">
        <x:f>COUNTIFS('Master Inventory'!$G$2:$G$449,A14,'Master Inventory'!$Q$2:$Q$449,4)</x:f>
        <x:v>49</x:v>
      </x:c>
      <x:c r="E14" s="51" t="n">
        <x:f>COUNTIFS('Master Inventory'!$G$2:$G$449,A14,'Master Inventory'!$N$2:$N$449,"Easy")</x:f>
        <x:v>31</x:v>
      </x:c>
      <x:c r="F14" s="51" t="n">
        <x:f>COUNTIFS('Master Inventory'!$G$2:$G$449,A14,'Master Inventory'!$N$2:$N$449,"Moderate")</x:f>
        <x:v>61</x:v>
      </x:c>
      <x:c r="G14" s="52" t="n">
        <x:f>COUNTIFS('Master Inventory'!$G$2:$G$449,A14,'Master Inventory'!$N$2:$N$449,"Difficult")</x:f>
        <x:v>30</x:v>
      </x:c>
      <x:c r="I14" s="47" t="str">
        <x:v>Scenario-Based</x:v>
      </x:c>
      <x:c r="J14" s="48" t="n">
        <x:f>COUNTIF('Master Inventory'!$P$2:$P$449,I14)</x:f>
        <x:v>144</x:v>
      </x:c>
      <x:c r="K14" s="108" t="n">
        <x:f>J14/448</x:f>
        <x:v>0.32142857142857145</x:v>
      </x:c>
    </x:row>
    <x:row r="15">
      <x:c r="I15" s="50" t="str">
        <x:v>Integrated Clinical Reasoning</x:v>
      </x:c>
      <x:c r="J15" s="51" t="n">
        <x:f>COUNTIF('Master Inventory'!$P$2:$P$449,I15)</x:f>
        <x:v>88</x:v>
      </x:c>
      <x:c r="K15" s="109" t="n">
        <x:f>J15/448</x:f>
        <x:v>0.19642857142857142</x:v>
      </x:c>
    </x:row>
  </x:sheetData>
  <x:mergeCells>
    <x:mergeCell ref="A1:K1"/>
  </x:mergeCells>
  <x:pageMargins left="0.7" right="0.7" top="0.75" bottom="0.75" header="0.3" footer="0.3"/>
</x:worksheet>
</file>

<file path=xl/worksheets/sheet5.xml><?xml version="1.0" encoding="utf-8"?>
<x:worksheet xmlns:x="http://schemas.openxmlformats.org/spreadsheetml/2006/main">
  <x:sheetFormatPr defaultRowHeight="15"/>
  <x:cols>
    <x:col min="1" max="1" width="20" hidden="0" customWidth="1"/>
    <x:col min="2" max="2" width="24" hidden="0" customWidth="1"/>
    <x:col min="3" max="3" width="38" hidden="0" customWidth="1"/>
    <x:col min="4" max="4" width="10" hidden="0" customWidth="1"/>
    <x:col min="5" max="5" width="16" hidden="0" customWidth="1"/>
    <x:col min="6" max="6" width="34" hidden="0" customWidth="1"/>
    <x:col min="7" max="7" width="30" hidden="0" customWidth="1"/>
    <x:col min="8" max="8" width="12" hidden="0" customWidth="1"/>
    <x:col min="9" max="9" width="24" hidden="0" customWidth="1"/>
    <x:col min="10" max="10" width="11" hidden="0" customWidth="1"/>
    <x:col min="11" max="11" width="9" hidden="0" customWidth="1"/>
    <x:col min="12" max="12" width="12" hidden="0" customWidth="1"/>
    <x:col min="13" max="13" width="16" hidden="0" customWidth="1"/>
    <x:col min="14" max="14" width="14" hidden="0" customWidth="1"/>
    <x:col min="15" max="15" width="42" hidden="0" customWidth="1"/>
  </x:cols>
  <x:sheetData>
    <x:row r="1">
      <x:c r="A1" s="34" t="str">
        <x:v>Master Question ID</x:v>
      </x:c>
      <x:c r="B1" s="34" t="str">
        <x:v>Original Question ID</x:v>
      </x:c>
      <x:c r="C1" s="34" t="str">
        <x:v>Product / Bank</x:v>
      </x:c>
      <x:c r="D1" s="34" t="str">
        <x:v>Position</x:v>
      </x:c>
      <x:c r="E1" s="34" t="str">
        <x:v>CTA Status</x:v>
      </x:c>
      <x:c r="F1" s="34" t="str">
        <x:v>Official Content Area</x:v>
      </x:c>
      <x:c r="G1" s="34" t="str">
        <x:v>Primary Concept</x:v>
      </x:c>
      <x:c r="H1" s="34" t="str">
        <x:v>Difficulty</x:v>
      </x:c>
      <x:c r="I1" s="34" t="str">
        <x:v>Reasoning Level</x:v>
      </x:c>
      <x:c r="J1" s="34" t="str">
        <x:v>Option Count</x:v>
      </x:c>
      <x:c r="K1" s="34" t="str">
        <x:v>Key</x:v>
      </x:c>
      <x:c r="L1" s="34" t="str">
        <x:v>Exposure Count</x:v>
      </x:c>
      <x:c r="M1" s="34" t="str">
        <x:v>Alternate Form Pair ID</x:v>
      </x:c>
      <x:c r="N1" s="34" t="str">
        <x:v>Release Status</x:v>
      </x:c>
      <x:c r="O1" s="34" t="str">
        <x:v>Future Use Rule</x:v>
      </x:c>
    </x:row>
    <x:row r="2">
      <x:c r="A2" s="85" t="str">
        <x:v>CTA-LCSW-MQB-0001</x:v>
      </x:c>
      <x:c r="B2" s="86" t="str">
        <x:v>LCSW-WB01-QB-Q001</x:v>
      </x:c>
      <x:c r="C2" s="86" t="str">
        <x:v>LCSW Workbook 1 Question Bank</x:v>
      </x:c>
      <x:c r="D2" s="86" t="n">
        <x:v>1</x:v>
      </x:c>
      <x:c r="E2" s="86" t="str">
        <x:v>Workbook Bank</x:v>
      </x:c>
      <x:c r="F2" s="86" t="str">
        <x:v>Exam Strategy / Cross-Domain</x:v>
      </x:c>
      <x:c r="G2" s="86" t="str">
        <x:v>Meaning of MOST appropriate</x:v>
      </x:c>
      <x:c r="H2" s="86" t="str">
        <x:v>Easy</x:v>
      </x:c>
      <x:c r="I2" s="86" t="str">
        <x:v>Knowledge &amp; Recall</x:v>
      </x:c>
      <x:c r="J2" s="86" t="n">
        <x:v>3</x:v>
      </x:c>
      <x:c r="K2" s="86" t="str">
        <x:v>B</x:v>
      </x:c>
      <x:c r="L2" s="86" t="n">
        <x:v>1</x:v>
      </x:c>
      <x:c r="M2" s="86" t="str"/>
      <x:c r="N2" s="86" t="str">
        <x:v>Released</x:v>
      </x:c>
      <x:c r="O2" s="87" t="str">
        <x:v>Workbook bank; reserve pool after controlled review</x:v>
      </x:c>
    </x:row>
    <x:row r="3">
      <x:c r="A3" s="88" t="str">
        <x:v>CTA-LCSW-MQB-0002</x:v>
      </x:c>
      <x:c r="B3" s="83" t="str">
        <x:v>LCSW-WB01-QB-Q002</x:v>
      </x:c>
      <x:c r="C3" s="83" t="str">
        <x:v>LCSW Workbook 1 Question Bank</x:v>
      </x:c>
      <x:c r="D3" s="83" t="n">
        <x:v>2</x:v>
      </x:c>
      <x:c r="E3" s="83" t="str">
        <x:v>Workbook Bank</x:v>
      </x:c>
      <x:c r="F3" s="83" t="str">
        <x:v>Exam Strategy / Cross-Domain</x:v>
      </x:c>
      <x:c r="G3" s="83" t="str">
        <x:v>Meaning of NEXT</x:v>
      </x:c>
      <x:c r="H3" s="83" t="str">
        <x:v>Easy</x:v>
      </x:c>
      <x:c r="I3" s="83" t="str">
        <x:v>Knowledge &amp; Recall</x:v>
      </x:c>
      <x:c r="J3" s="83" t="n">
        <x:v>3</x:v>
      </x:c>
      <x:c r="K3" s="83" t="str">
        <x:v>A</x:v>
      </x:c>
      <x:c r="L3" s="83" t="n">
        <x:v>1</x:v>
      </x:c>
      <x:c r="M3" s="83" t="str"/>
      <x:c r="N3" s="83" t="str">
        <x:v>Released</x:v>
      </x:c>
      <x:c r="O3" s="89" t="str">
        <x:v>Workbook bank; reserve pool after controlled review</x:v>
      </x:c>
    </x:row>
    <x:row r="4">
      <x:c r="A4" s="88" t="str">
        <x:v>CTA-LCSW-MQB-0003</x:v>
      </x:c>
      <x:c r="B4" s="83" t="str">
        <x:v>LCSW-WB01-QB-Q003</x:v>
      </x:c>
      <x:c r="C4" s="83" t="str">
        <x:v>LCSW Workbook 1 Question Bank</x:v>
      </x:c>
      <x:c r="D4" s="83" t="n">
        <x:v>3</x:v>
      </x:c>
      <x:c r="E4" s="83" t="str">
        <x:v>Workbook Bank</x:v>
      </x:c>
      <x:c r="F4" s="83" t="str">
        <x:v>Exam Strategy / Cross-Domain</x:v>
      </x:c>
      <x:c r="G4" s="83" t="str">
        <x:v>2026 exam structure</x:v>
      </x:c>
      <x:c r="H4" s="83" t="str">
        <x:v>Easy</x:v>
      </x:c>
      <x:c r="I4" s="83" t="str">
        <x:v>Knowledge &amp; Recall</x:v>
      </x:c>
      <x:c r="J4" s="83" t="n">
        <x:v>4</x:v>
      </x:c>
      <x:c r="K4" s="83" t="str">
        <x:v>C</x:v>
      </x:c>
      <x:c r="L4" s="83" t="n">
        <x:v>1</x:v>
      </x:c>
      <x:c r="M4" s="83" t="str"/>
      <x:c r="N4" s="83" t="str">
        <x:v>Released</x:v>
      </x:c>
      <x:c r="O4" s="89" t="str">
        <x:v>Workbook bank; reserve pool after controlled review</x:v>
      </x:c>
    </x:row>
    <x:row r="5">
      <x:c r="A5" s="88" t="str">
        <x:v>CTA-LCSW-MQB-0004</x:v>
      </x:c>
      <x:c r="B5" s="83" t="str">
        <x:v>LCSW-WB01-QB-Q004</x:v>
      </x:c>
      <x:c r="C5" s="83" t="str">
        <x:v>LCSW Workbook 1 Question Bank</x:v>
      </x:c>
      <x:c r="D5" s="83" t="n">
        <x:v>4</x:v>
      </x:c>
      <x:c r="E5" s="83" t="str">
        <x:v>Workbook Bank</x:v>
      </x:c>
      <x:c r="F5" s="83" t="str">
        <x:v>Exam Strategy / Cross-Domain</x:v>
      </x:c>
      <x:c r="G5" s="83" t="str">
        <x:v>Person-in-environment purpose</x:v>
      </x:c>
      <x:c r="H5" s="83" t="str">
        <x:v>Easy</x:v>
      </x:c>
      <x:c r="I5" s="83" t="str">
        <x:v>Knowledge &amp; Recall</x:v>
      </x:c>
      <x:c r="J5" s="83" t="n">
        <x:v>4</x:v>
      </x:c>
      <x:c r="K5" s="83" t="str">
        <x:v>D</x:v>
      </x:c>
      <x:c r="L5" s="83" t="n">
        <x:v>1</x:v>
      </x:c>
      <x:c r="M5" s="83" t="str"/>
      <x:c r="N5" s="83" t="str">
        <x:v>Released</x:v>
      </x:c>
      <x:c r="O5" s="89" t="str">
        <x:v>Workbook bank; reserve pool after controlled review</x:v>
      </x:c>
    </x:row>
    <x:row r="6">
      <x:c r="A6" s="88" t="str">
        <x:v>CTA-LCSW-MQB-0005</x:v>
      </x:c>
      <x:c r="B6" s="83" t="str">
        <x:v>LCSW-WB01-QB-Q005</x:v>
      </x:c>
      <x:c r="C6" s="83" t="str">
        <x:v>LCSW Workbook 1 Question Bank</x:v>
      </x:c>
      <x:c r="D6" s="83" t="n">
        <x:v>5</x:v>
      </x:c>
      <x:c r="E6" s="83" t="str">
        <x:v>Workbook Bank</x:v>
      </x:c>
      <x:c r="F6" s="83" t="str">
        <x:v>Exam Strategy / Cross-Domain</x:v>
      </x:c>
      <x:c r="G6" s="83" t="str">
        <x:v>Engaging an involuntary client</x:v>
      </x:c>
      <x:c r="H6" s="83" t="str">
        <x:v>Easy</x:v>
      </x:c>
      <x:c r="I6" s="83" t="str">
        <x:v>Application</x:v>
      </x:c>
      <x:c r="J6" s="83" t="n">
        <x:v>3</x:v>
      </x:c>
      <x:c r="K6" s="83" t="str">
        <x:v>A</x:v>
      </x:c>
      <x:c r="L6" s="83" t="n">
        <x:v>1</x:v>
      </x:c>
      <x:c r="M6" s="83" t="str"/>
      <x:c r="N6" s="83" t="str">
        <x:v>Released</x:v>
      </x:c>
      <x:c r="O6" s="89" t="str">
        <x:v>Workbook bank; reserve pool after controlled review</x:v>
      </x:c>
    </x:row>
    <x:row r="7">
      <x:c r="A7" s="88" t="str">
        <x:v>CTA-LCSW-MQB-0006</x:v>
      </x:c>
      <x:c r="B7" s="83" t="str">
        <x:v>LCSW-WB01-QB-Q006</x:v>
      </x:c>
      <x:c r="C7" s="83" t="str">
        <x:v>LCSW Workbook 1 Question Bank</x:v>
      </x:c>
      <x:c r="D7" s="83" t="n">
        <x:v>6</x:v>
      </x:c>
      <x:c r="E7" s="83" t="str">
        <x:v>Workbook Bank</x:v>
      </x:c>
      <x:c r="F7" s="83" t="str">
        <x:v>Exam Strategy / Cross-Domain</x:v>
      </x:c>
      <x:c r="G7" s="83" t="str">
        <x:v>Client choice about family involvement</x:v>
      </x:c>
      <x:c r="H7" s="83" t="str">
        <x:v>Moderate</x:v>
      </x:c>
      <x:c r="I7" s="83" t="str">
        <x:v>Application</x:v>
      </x:c>
      <x:c r="J7" s="83" t="n">
        <x:v>3</x:v>
      </x:c>
      <x:c r="K7" s="83" t="str">
        <x:v>B</x:v>
      </x:c>
      <x:c r="L7" s="83" t="n">
        <x:v>1</x:v>
      </x:c>
      <x:c r="M7" s="83" t="str"/>
      <x:c r="N7" s="83" t="str">
        <x:v>Released</x:v>
      </x:c>
      <x:c r="O7" s="89" t="str">
        <x:v>Workbook bank; reserve pool after controlled review</x:v>
      </x:c>
    </x:row>
    <x:row r="8">
      <x:c r="A8" s="88" t="str">
        <x:v>CTA-LCSW-MQB-0007</x:v>
      </x:c>
      <x:c r="B8" s="83" t="str">
        <x:v>LCSW-WB01-QB-Q007</x:v>
      </x:c>
      <x:c r="C8" s="83" t="str">
        <x:v>LCSW Workbook 1 Question Bank</x:v>
      </x:c>
      <x:c r="D8" s="83" t="n">
        <x:v>7</x:v>
      </x:c>
      <x:c r="E8" s="83" t="str">
        <x:v>Workbook Bank</x:v>
      </x:c>
      <x:c r="F8" s="83" t="str">
        <x:v>Exam Strategy / Cross-Domain</x:v>
      </x:c>
      <x:c r="G8" s="83" t="str">
        <x:v>Evaluate intervention outcomes</x:v>
      </x:c>
      <x:c r="H8" s="83" t="str">
        <x:v>Moderate</x:v>
      </x:c>
      <x:c r="I8" s="83" t="str">
        <x:v>Application</x:v>
      </x:c>
      <x:c r="J8" s="83" t="n">
        <x:v>4</x:v>
      </x:c>
      <x:c r="K8" s="83" t="str">
        <x:v>C</x:v>
      </x:c>
      <x:c r="L8" s="83" t="n">
        <x:v>1</x:v>
      </x:c>
      <x:c r="M8" s="83" t="str"/>
      <x:c r="N8" s="83" t="str">
        <x:v>Released</x:v>
      </x:c>
      <x:c r="O8" s="89" t="str">
        <x:v>Workbook bank; reserve pool after controlled review</x:v>
      </x:c>
    </x:row>
    <x:row r="9">
      <x:c r="A9" s="88" t="str">
        <x:v>CTA-LCSW-MQB-0008</x:v>
      </x:c>
      <x:c r="B9" s="83" t="str">
        <x:v>LCSW-WB01-QB-Q008</x:v>
      </x:c>
      <x:c r="C9" s="83" t="str">
        <x:v>LCSW Workbook 1 Question Bank</x:v>
      </x:c>
      <x:c r="D9" s="83" t="n">
        <x:v>8</x:v>
      </x:c>
      <x:c r="E9" s="83" t="str">
        <x:v>Workbook Bank</x:v>
      </x:c>
      <x:c r="F9" s="83" t="str">
        <x:v>Exam Strategy / Cross-Domain</x:v>
      </x:c>
      <x:c r="G9" s="83" t="str">
        <x:v>Third-party referral role clarity</x:v>
      </x:c>
      <x:c r="H9" s="83" t="str">
        <x:v>Moderate</x:v>
      </x:c>
      <x:c r="I9" s="83" t="str">
        <x:v>Application</x:v>
      </x:c>
      <x:c r="J9" s="83" t="n">
        <x:v>4</x:v>
      </x:c>
      <x:c r="K9" s="83" t="str">
        <x:v>D</x:v>
      </x:c>
      <x:c r="L9" s="83" t="n">
        <x:v>1</x:v>
      </x:c>
      <x:c r="M9" s="83" t="str"/>
      <x:c r="N9" s="83" t="str">
        <x:v>Released</x:v>
      </x:c>
      <x:c r="O9" s="89" t="str">
        <x:v>Workbook bank; reserve pool after controlled review</x:v>
      </x:c>
    </x:row>
    <x:row r="10">
      <x:c r="A10" s="88" t="str">
        <x:v>CTA-LCSW-MQB-0009</x:v>
      </x:c>
      <x:c r="B10" s="83" t="str">
        <x:v>LCSW-WB01-QB-Q009</x:v>
      </x:c>
      <x:c r="C10" s="83" t="str">
        <x:v>LCSW Workbook 1 Question Bank</x:v>
      </x:c>
      <x:c r="D10" s="83" t="n">
        <x:v>9</x:v>
      </x:c>
      <x:c r="E10" s="83" t="str">
        <x:v>Workbook Bank</x:v>
      </x:c>
      <x:c r="F10" s="83" t="str">
        <x:v>Exam Strategy / Cross-Domain</x:v>
      </x:c>
      <x:c r="G10" s="83" t="str">
        <x:v>Capacity and least restrictive support</x:v>
      </x:c>
      <x:c r="H10" s="83" t="str">
        <x:v>Moderate</x:v>
      </x:c>
      <x:c r="I10" s="83" t="str">
        <x:v>Application</x:v>
      </x:c>
      <x:c r="J10" s="83" t="n">
        <x:v>3</x:v>
      </x:c>
      <x:c r="K10" s="83" t="str">
        <x:v>A</x:v>
      </x:c>
      <x:c r="L10" s="83" t="n">
        <x:v>1</x:v>
      </x:c>
      <x:c r="M10" s="83" t="str"/>
      <x:c r="N10" s="83" t="str">
        <x:v>Released</x:v>
      </x:c>
      <x:c r="O10" s="89" t="str">
        <x:v>Workbook bank; reserve pool after controlled review</x:v>
      </x:c>
    </x:row>
    <x:row r="11">
      <x:c r="A11" s="88" t="str">
        <x:v>CTA-LCSW-MQB-0010</x:v>
      </x:c>
      <x:c r="B11" s="83" t="str">
        <x:v>LCSW-WB01-QB-Q010</x:v>
      </x:c>
      <x:c r="C11" s="83" t="str">
        <x:v>LCSW Workbook 1 Question Bank</x:v>
      </x:c>
      <x:c r="D11" s="83" t="n">
        <x:v>10</x:v>
      </x:c>
      <x:c r="E11" s="83" t="str">
        <x:v>Workbook Bank</x:v>
      </x:c>
      <x:c r="F11" s="83" t="str">
        <x:v>Exam Strategy / Cross-Domain</x:v>
      </x:c>
      <x:c r="G11" s="83" t="str">
        <x:v>Review of competing options</x:v>
      </x:c>
      <x:c r="H11" s="83" t="str">
        <x:v>Moderate</x:v>
      </x:c>
      <x:c r="I11" s="83" t="str">
        <x:v>Application</x:v>
      </x:c>
      <x:c r="J11" s="83" t="n">
        <x:v>3</x:v>
      </x:c>
      <x:c r="K11" s="83" t="str">
        <x:v>B</x:v>
      </x:c>
      <x:c r="L11" s="83" t="n">
        <x:v>1</x:v>
      </x:c>
      <x:c r="M11" s="83" t="str"/>
      <x:c r="N11" s="83" t="str">
        <x:v>Released</x:v>
      </x:c>
      <x:c r="O11" s="89" t="str">
        <x:v>Workbook bank; reserve pool after controlled review</x:v>
      </x:c>
    </x:row>
    <x:row r="12">
      <x:c r="A12" s="88" t="str">
        <x:v>CTA-LCSW-MQB-0011</x:v>
      </x:c>
      <x:c r="B12" s="83" t="str">
        <x:v>LCSW-WB01-QB-Q011</x:v>
      </x:c>
      <x:c r="C12" s="83" t="str">
        <x:v>LCSW Workbook 1 Question Bank</x:v>
      </x:c>
      <x:c r="D12" s="83" t="n">
        <x:v>11</x:v>
      </x:c>
      <x:c r="E12" s="83" t="str">
        <x:v>Workbook Bank</x:v>
      </x:c>
      <x:c r="F12" s="83" t="str">
        <x:v>Exam Strategy / Cross-Domain</x:v>
      </x:c>
      <x:c r="G12" s="83" t="str">
        <x:v>Engagement after confidentiality harm</x:v>
      </x:c>
      <x:c r="H12" s="83" t="str">
        <x:v>Moderate</x:v>
      </x:c>
      <x:c r="I12" s="83" t="str">
        <x:v>Scenario-Based</x:v>
      </x:c>
      <x:c r="J12" s="83" t="n">
        <x:v>3</x:v>
      </x:c>
      <x:c r="K12" s="83" t="str">
        <x:v>C</x:v>
      </x:c>
      <x:c r="L12" s="83" t="n">
        <x:v>1</x:v>
      </x:c>
      <x:c r="M12" s="83" t="str"/>
      <x:c r="N12" s="83" t="str">
        <x:v>Released</x:v>
      </x:c>
      <x:c r="O12" s="89" t="str">
        <x:v>Workbook bank; reserve pool after controlled review</x:v>
      </x:c>
    </x:row>
    <x:row r="13">
      <x:c r="A13" s="88" t="str">
        <x:v>CTA-LCSW-MQB-0012</x:v>
      </x:c>
      <x:c r="B13" s="83" t="str">
        <x:v>LCSW-WB01-QB-Q012</x:v>
      </x:c>
      <x:c r="C13" s="83" t="str">
        <x:v>LCSW Workbook 1 Question Bank</x:v>
      </x:c>
      <x:c r="D13" s="83" t="n">
        <x:v>12</x:v>
      </x:c>
      <x:c r="E13" s="83" t="str">
        <x:v>Workbook Bank</x:v>
      </x:c>
      <x:c r="F13" s="83" t="str">
        <x:v>Exam Strategy / Cross-Domain</x:v>
      </x:c>
      <x:c r="G13" s="83" t="str">
        <x:v>Language access and warm handoff</x:v>
      </x:c>
      <x:c r="H13" s="83" t="str">
        <x:v>Moderate</x:v>
      </x:c>
      <x:c r="I13" s="83" t="str">
        <x:v>Scenario-Based</x:v>
      </x:c>
      <x:c r="J13" s="83" t="n">
        <x:v>4</x:v>
      </x:c>
      <x:c r="K13" s="83" t="str">
        <x:v>D</x:v>
      </x:c>
      <x:c r="L13" s="83" t="n">
        <x:v>1</x:v>
      </x:c>
      <x:c r="M13" s="83" t="str"/>
      <x:c r="N13" s="83" t="str">
        <x:v>Released</x:v>
      </x:c>
      <x:c r="O13" s="89" t="str">
        <x:v>Workbook bank; reserve pool after controlled review</x:v>
      </x:c>
    </x:row>
    <x:row r="14">
      <x:c r="A14" s="88" t="str">
        <x:v>CTA-LCSW-MQB-0013</x:v>
      </x:c>
      <x:c r="B14" s="83" t="str">
        <x:v>LCSW-WB01-QB-Q013</x:v>
      </x:c>
      <x:c r="C14" s="83" t="str">
        <x:v>LCSW Workbook 1 Question Bank</x:v>
      </x:c>
      <x:c r="D14" s="83" t="n">
        <x:v>13</x:v>
      </x:c>
      <x:c r="E14" s="83" t="str">
        <x:v>Workbook Bank</x:v>
      </x:c>
      <x:c r="F14" s="83" t="str">
        <x:v>Exam Strategy / Cross-Domain</x:v>
      </x:c>
      <x:c r="G14" s="83" t="str">
        <x:v>Participatory community assessment</x:v>
      </x:c>
      <x:c r="H14" s="83" t="str">
        <x:v>Difficult</x:v>
      </x:c>
      <x:c r="I14" s="83" t="str">
        <x:v>Scenario-Based</x:v>
      </x:c>
      <x:c r="J14" s="83" t="n">
        <x:v>3</x:v>
      </x:c>
      <x:c r="K14" s="83" t="str">
        <x:v>A</x:v>
      </x:c>
      <x:c r="L14" s="83" t="n">
        <x:v>1</x:v>
      </x:c>
      <x:c r="M14" s="83" t="str"/>
      <x:c r="N14" s="83" t="str">
        <x:v>Released</x:v>
      </x:c>
      <x:c r="O14" s="89" t="str">
        <x:v>Workbook bank; reserve pool after controlled review</x:v>
      </x:c>
    </x:row>
    <x:row r="15">
      <x:c r="A15" s="88" t="str">
        <x:v>CTA-LCSW-MQB-0014</x:v>
      </x:c>
      <x:c r="B15" s="83" t="str">
        <x:v>LCSW-WB01-QB-Q014</x:v>
      </x:c>
      <x:c r="C15" s="83" t="str">
        <x:v>LCSW Workbook 1 Question Bank</x:v>
      </x:c>
      <x:c r="D15" s="83" t="n">
        <x:v>14</x:v>
      </x:c>
      <x:c r="E15" s="83" t="str">
        <x:v>Workbook Bank</x:v>
      </x:c>
      <x:c r="F15" s="83" t="str">
        <x:v>Exam Strategy / Cross-Domain</x:v>
      </x:c>
      <x:c r="G15" s="83" t="str">
        <x:v>Countertransference and supervision</x:v>
      </x:c>
      <x:c r="H15" s="83" t="str">
        <x:v>Difficult</x:v>
      </x:c>
      <x:c r="I15" s="83" t="str">
        <x:v>Scenario-Based</x:v>
      </x:c>
      <x:c r="J15" s="83" t="n">
        <x:v>3</x:v>
      </x:c>
      <x:c r="K15" s="83" t="str">
        <x:v>B</x:v>
      </x:c>
      <x:c r="L15" s="83" t="n">
        <x:v>1</x:v>
      </x:c>
      <x:c r="M15" s="83" t="str"/>
      <x:c r="N15" s="83" t="str">
        <x:v>Released</x:v>
      </x:c>
      <x:c r="O15" s="89" t="str">
        <x:v>Workbook bank; reserve pool after controlled review</x:v>
      </x:c>
    </x:row>
    <x:row r="16">
      <x:c r="A16" s="88" t="str">
        <x:v>CTA-LCSW-MQB-0015</x:v>
      </x:c>
      <x:c r="B16" s="83" t="str">
        <x:v>LCSW-WB01-QB-Q015</x:v>
      </x:c>
      <x:c r="C16" s="83" t="str">
        <x:v>LCSW Workbook 1 Question Bank</x:v>
      </x:c>
      <x:c r="D16" s="83" t="n">
        <x:v>15</x:v>
      </x:c>
      <x:c r="E16" s="83" t="str">
        <x:v>Workbook Bank</x:v>
      </x:c>
      <x:c r="F16" s="83" t="str">
        <x:v>Exam Strategy / Cross-Domain</x:v>
      </x:c>
      <x:c r="G16" s="83" t="str">
        <x:v>Language access, capacity, health, and autonomy</x:v>
      </x:c>
      <x:c r="H16" s="83" t="str">
        <x:v>Difficult</x:v>
      </x:c>
      <x:c r="I16" s="83" t="str">
        <x:v>Integrated Clinical Reasoning</x:v>
      </x:c>
      <x:c r="J16" s="83" t="n">
        <x:v>4</x:v>
      </x:c>
      <x:c r="K16" s="83" t="str">
        <x:v>C</x:v>
      </x:c>
      <x:c r="L16" s="83" t="n">
        <x:v>1</x:v>
      </x:c>
      <x:c r="M16" s="83" t="str"/>
      <x:c r="N16" s="83" t="str">
        <x:v>Released</x:v>
      </x:c>
      <x:c r="O16" s="89" t="str">
        <x:v>Workbook bank; reserve pool after controlled review</x:v>
      </x:c>
    </x:row>
    <x:row r="17">
      <x:c r="A17" s="88" t="str">
        <x:v>CTA-LCSW-MQB-0016</x:v>
      </x:c>
      <x:c r="B17" s="83" t="str">
        <x:v>LCSW-WB01-QB-Q016</x:v>
      </x:c>
      <x:c r="C17" s="83" t="str">
        <x:v>LCSW Workbook 1 Question Bank</x:v>
      </x:c>
      <x:c r="D17" s="83" t="n">
        <x:v>16</x:v>
      </x:c>
      <x:c r="E17" s="83" t="str">
        <x:v>Workbook Bank</x:v>
      </x:c>
      <x:c r="F17" s="83" t="str">
        <x:v>Exam Strategy / Cross-Domain</x:v>
      </x:c>
      <x:c r="G17" s="83" t="str">
        <x:v>Suicide risk and discharge access</x:v>
      </x:c>
      <x:c r="H17" s="83" t="str">
        <x:v>Difficult</x:v>
      </x:c>
      <x:c r="I17" s="83" t="str">
        <x:v>Integrated Clinical Reasoning</x:v>
      </x:c>
      <x:c r="J17" s="83" t="n">
        <x:v>4</x:v>
      </x:c>
      <x:c r="K17" s="83" t="str">
        <x:v>D</x:v>
      </x:c>
      <x:c r="L17" s="83" t="n">
        <x:v>1</x:v>
      </x:c>
      <x:c r="M17" s="83" t="str"/>
      <x:c r="N17" s="83" t="str">
        <x:v>Released</x:v>
      </x:c>
      <x:c r="O17" s="89" t="str">
        <x:v>Workbook bank; reserve pool after controlled review</x:v>
      </x:c>
    </x:row>
    <x:row r="18">
      <x:c r="A18" s="88" t="str">
        <x:v>CTA-LCSW-MQB-0017</x:v>
      </x:c>
      <x:c r="B18" s="83" t="str">
        <x:v>LCSW-WB01-QB-Q017</x:v>
      </x:c>
      <x:c r="C18" s="83" t="str">
        <x:v>LCSW Workbook 1 Question Bank</x:v>
      </x:c>
      <x:c r="D18" s="83" t="n">
        <x:v>17</x:v>
      </x:c>
      <x:c r="E18" s="83" t="str">
        <x:v>Workbook Bank</x:v>
      </x:c>
      <x:c r="F18" s="83" t="str">
        <x:v>Exam Strategy / Cross-Domain</x:v>
      </x:c>
      <x:c r="G18" s="83" t="str">
        <x:v>Agency pressure, suicide risk, and accessibility</x:v>
      </x:c>
      <x:c r="H18" s="83" t="str">
        <x:v>Difficult</x:v>
      </x:c>
      <x:c r="I18" s="83" t="str">
        <x:v>Integrated Clinical Reasoning</x:v>
      </x:c>
      <x:c r="J18" s="83" t="n">
        <x:v>3</x:v>
      </x:c>
      <x:c r="K18" s="83" t="str">
        <x:v>A</x:v>
      </x:c>
      <x:c r="L18" s="83" t="n">
        <x:v>1</x:v>
      </x:c>
      <x:c r="M18" s="83" t="str"/>
      <x:c r="N18" s="83" t="str">
        <x:v>Released</x:v>
      </x:c>
      <x:c r="O18" s="89" t="str">
        <x:v>Workbook bank; reserve pool after controlled review</x:v>
      </x:c>
    </x:row>
    <x:row r="19">
      <x:c r="A19" s="88" t="str">
        <x:v>CTA-LCSW-MQB-0018</x:v>
      </x:c>
      <x:c r="B19" s="83" t="str">
        <x:v>LCSW-WB02-QB-Q001</x:v>
      </x:c>
      <x:c r="C19" s="83" t="str">
        <x:v>LCSW Workbook 2 Question Bank</x:v>
      </x:c>
      <x:c r="D19" s="83" t="n">
        <x:v>1</x:v>
      </x:c>
      <x:c r="E19" s="83" t="str">
        <x:v>Workbook Bank</x:v>
      </x:c>
      <x:c r="F19" s="83" t="str">
        <x:v>I. Values and Ethics</x:v>
      </x:c>
      <x:c r="G19" s="83" t="str">
        <x:v>Dignity and worth in action</x:v>
      </x:c>
      <x:c r="H19" s="83" t="str">
        <x:v>Easy</x:v>
      </x:c>
      <x:c r="I19" s="83" t="str">
        <x:v>Knowledge &amp; Recall</x:v>
      </x:c>
      <x:c r="J19" s="83" t="n">
        <x:v>3</x:v>
      </x:c>
      <x:c r="K19" s="83" t="str">
        <x:v>B</x:v>
      </x:c>
      <x:c r="L19" s="83" t="n">
        <x:v>1</x:v>
      </x:c>
      <x:c r="M19" s="83" t="str"/>
      <x:c r="N19" s="83" t="str">
        <x:v>Released</x:v>
      </x:c>
      <x:c r="O19" s="89" t="str">
        <x:v>Workbook bank; reserve pool after controlled review</x:v>
      </x:c>
    </x:row>
    <x:row r="20">
      <x:c r="A20" s="88" t="str">
        <x:v>CTA-LCSW-MQB-0019</x:v>
      </x:c>
      <x:c r="B20" s="83" t="str">
        <x:v>LCSW-WB02-QB-Q002</x:v>
      </x:c>
      <x:c r="C20" s="83" t="str">
        <x:v>LCSW Workbook 2 Question Bank</x:v>
      </x:c>
      <x:c r="D20" s="83" t="n">
        <x:v>2</x:v>
      </x:c>
      <x:c r="E20" s="83" t="str">
        <x:v>Workbook Bank</x:v>
      </x:c>
      <x:c r="F20" s="83" t="str">
        <x:v>I. Values and Ethics</x:v>
      </x:c>
      <x:c r="G20" s="83" t="str">
        <x:v>Ongoing informed consent</x:v>
      </x:c>
      <x:c r="H20" s="83" t="str">
        <x:v>Easy</x:v>
      </x:c>
      <x:c r="I20" s="83" t="str">
        <x:v>Knowledge &amp; Recall</x:v>
      </x:c>
      <x:c r="J20" s="83" t="n">
        <x:v>3</x:v>
      </x:c>
      <x:c r="K20" s="83" t="str">
        <x:v>A</x:v>
      </x:c>
      <x:c r="L20" s="83" t="n">
        <x:v>1</x:v>
      </x:c>
      <x:c r="M20" s="83" t="str"/>
      <x:c r="N20" s="83" t="str">
        <x:v>Released</x:v>
      </x:c>
      <x:c r="O20" s="89" t="str">
        <x:v>Workbook bank; reserve pool after controlled review</x:v>
      </x:c>
    </x:row>
    <x:row r="21">
      <x:c r="A21" s="88" t="str">
        <x:v>CTA-LCSW-MQB-0020</x:v>
      </x:c>
      <x:c r="B21" s="83" t="str">
        <x:v>LCSW-WB02-QB-Q003</x:v>
      </x:c>
      <x:c r="C21" s="83" t="str">
        <x:v>LCSW Workbook 2 Question Bank</x:v>
      </x:c>
      <x:c r="D21" s="83" t="n">
        <x:v>3</x:v>
      </x:c>
      <x:c r="E21" s="83" t="str">
        <x:v>Workbook Bank</x:v>
      </x:c>
      <x:c r="F21" s="83" t="str">
        <x:v>I. Values and Ethics</x:v>
      </x:c>
      <x:c r="G21" s="83" t="str">
        <x:v>Limits on self-determination</x:v>
      </x:c>
      <x:c r="H21" s="83" t="str">
        <x:v>Easy</x:v>
      </x:c>
      <x:c r="I21" s="83" t="str">
        <x:v>Knowledge &amp; Recall</x:v>
      </x:c>
      <x:c r="J21" s="83" t="n">
        <x:v>4</x:v>
      </x:c>
      <x:c r="K21" s="83" t="str">
        <x:v>C</x:v>
      </x:c>
      <x:c r="L21" s="83" t="n">
        <x:v>1</x:v>
      </x:c>
      <x:c r="M21" s="83" t="str"/>
      <x:c r="N21" s="83" t="str">
        <x:v>Released</x:v>
      </x:c>
      <x:c r="O21" s="89" t="str">
        <x:v>Workbook bank; reserve pool after controlled review</x:v>
      </x:c>
    </x:row>
    <x:row r="22">
      <x:c r="A22" s="88" t="str">
        <x:v>CTA-LCSW-MQB-0021</x:v>
      </x:c>
      <x:c r="B22" s="83" t="str">
        <x:v>LCSW-WB02-QB-Q004</x:v>
      </x:c>
      <x:c r="C22" s="83" t="str">
        <x:v>LCSW Workbook 2 Question Bank</x:v>
      </x:c>
      <x:c r="D22" s="83" t="n">
        <x:v>4</x:v>
      </x:c>
      <x:c r="E22" s="83" t="str">
        <x:v>Workbook Bank</x:v>
      </x:c>
      <x:c r="F22" s="83" t="str">
        <x:v>I. Values and Ethics</x:v>
      </x:c>
      <x:c r="G22" s="83" t="str">
        <x:v>Competence and continuity</x:v>
      </x:c>
      <x:c r="H22" s="83" t="str">
        <x:v>Easy</x:v>
      </x:c>
      <x:c r="I22" s="83" t="str">
        <x:v>Knowledge &amp; Recall</x:v>
      </x:c>
      <x:c r="J22" s="83" t="n">
        <x:v>4</x:v>
      </x:c>
      <x:c r="K22" s="83" t="str">
        <x:v>D</x:v>
      </x:c>
      <x:c r="L22" s="83" t="n">
        <x:v>1</x:v>
      </x:c>
      <x:c r="M22" s="83" t="str"/>
      <x:c r="N22" s="83" t="str">
        <x:v>Released</x:v>
      </x:c>
      <x:c r="O22" s="89" t="str">
        <x:v>Workbook bank; reserve pool after controlled review</x:v>
      </x:c>
    </x:row>
    <x:row r="23">
      <x:c r="A23" s="88" t="str">
        <x:v>CTA-LCSW-MQB-0022</x:v>
      </x:c>
      <x:c r="B23" s="83" t="str">
        <x:v>LCSW-WB02-QB-Q005</x:v>
      </x:c>
      <x:c r="C23" s="83" t="str">
        <x:v>LCSW Workbook 2 Question Bank</x:v>
      </x:c>
      <x:c r="D23" s="83" t="n">
        <x:v>5</x:v>
      </x:c>
      <x:c r="E23" s="83" t="str">
        <x:v>Workbook Bank</x:v>
      </x:c>
      <x:c r="F23" s="83" t="str">
        <x:v>I. Values and Ethics</x:v>
      </x:c>
      <x:c r="G23" s="83" t="str">
        <x:v>Medical self-determination</x:v>
      </x:c>
      <x:c r="H23" s="83" t="str">
        <x:v>Easy</x:v>
      </x:c>
      <x:c r="I23" s="83" t="str">
        <x:v>Application</x:v>
      </x:c>
      <x:c r="J23" s="83" t="n">
        <x:v>3</x:v>
      </x:c>
      <x:c r="K23" s="83" t="str">
        <x:v>A</x:v>
      </x:c>
      <x:c r="L23" s="83" t="n">
        <x:v>1</x:v>
      </x:c>
      <x:c r="M23" s="83" t="str"/>
      <x:c r="N23" s="83" t="str">
        <x:v>Released</x:v>
      </x:c>
      <x:c r="O23" s="89" t="str">
        <x:v>Workbook bank; reserve pool after controlled review</x:v>
      </x:c>
    </x:row>
    <x:row r="24">
      <x:c r="A24" s="88" t="str">
        <x:v>CTA-LCSW-MQB-0023</x:v>
      </x:c>
      <x:c r="B24" s="83" t="str">
        <x:v>LCSW-WB02-QB-Q006</x:v>
      </x:c>
      <x:c r="C24" s="83" t="str">
        <x:v>LCSW Workbook 2 Question Bank</x:v>
      </x:c>
      <x:c r="D24" s="83" t="n">
        <x:v>6</x:v>
      </x:c>
      <x:c r="E24" s="83" t="str">
        <x:v>Workbook Bank</x:v>
      </x:c>
      <x:c r="F24" s="83" t="str">
        <x:v>I. Values and Ethics</x:v>
      </x:c>
      <x:c r="G24" s="83" t="str">
        <x:v>Cultural meaning of gifts</x:v>
      </x:c>
      <x:c r="H24" s="83" t="str">
        <x:v>Moderate</x:v>
      </x:c>
      <x:c r="I24" s="83" t="str">
        <x:v>Application</x:v>
      </x:c>
      <x:c r="J24" s="83" t="n">
        <x:v>3</x:v>
      </x:c>
      <x:c r="K24" s="83" t="str">
        <x:v>B</x:v>
      </x:c>
      <x:c r="L24" s="83" t="n">
        <x:v>1</x:v>
      </x:c>
      <x:c r="M24" s="83" t="str"/>
      <x:c r="N24" s="83" t="str">
        <x:v>Released</x:v>
      </x:c>
      <x:c r="O24" s="89" t="str">
        <x:v>Workbook bank; reserve pool after controlled review</x:v>
      </x:c>
    </x:row>
    <x:row r="25">
      <x:c r="A25" s="88" t="str">
        <x:v>CTA-LCSW-MQB-0024</x:v>
      </x:c>
      <x:c r="B25" s="83" t="str">
        <x:v>LCSW-WB02-QB-Q007</x:v>
      </x:c>
      <x:c r="C25" s="83" t="str">
        <x:v>LCSW Workbook 2 Question Bank</x:v>
      </x:c>
      <x:c r="D25" s="83" t="n">
        <x:v>7</x:v>
      </x:c>
      <x:c r="E25" s="83" t="str">
        <x:v>Workbook Bank</x:v>
      </x:c>
      <x:c r="F25" s="83" t="str">
        <x:v>I. Values and Ethics</x:v>
      </x:c>
      <x:c r="G25" s="83" t="str">
        <x:v>Transparent record correction</x:v>
      </x:c>
      <x:c r="H25" s="83" t="str">
        <x:v>Moderate</x:v>
      </x:c>
      <x:c r="I25" s="83" t="str">
        <x:v>Application</x:v>
      </x:c>
      <x:c r="J25" s="83" t="n">
        <x:v>4</x:v>
      </x:c>
      <x:c r="K25" s="83" t="str">
        <x:v>C</x:v>
      </x:c>
      <x:c r="L25" s="83" t="n">
        <x:v>1</x:v>
      </x:c>
      <x:c r="M25" s="83" t="str"/>
      <x:c r="N25" s="83" t="str">
        <x:v>Released</x:v>
      </x:c>
      <x:c r="O25" s="89" t="str">
        <x:v>Workbook bank; reserve pool after controlled review</x:v>
      </x:c>
    </x:row>
    <x:row r="26">
      <x:c r="A26" s="88" t="str">
        <x:v>CTA-LCSW-MQB-0025</x:v>
      </x:c>
      <x:c r="B26" s="83" t="str">
        <x:v>LCSW-WB02-QB-Q008</x:v>
      </x:c>
      <x:c r="C26" s="83" t="str">
        <x:v>LCSW Workbook 2 Question Bank</x:v>
      </x:c>
      <x:c r="D26" s="83" t="n">
        <x:v>8</x:v>
      </x:c>
      <x:c r="E26" s="83" t="str">
        <x:v>Workbook Bank</x:v>
      </x:c>
      <x:c r="F26" s="83" t="str">
        <x:v>I. Values and Ethics</x:v>
      </x:c>
      <x:c r="G26" s="83" t="str">
        <x:v>Algorithmic bias and professional judgment</x:v>
      </x:c>
      <x:c r="H26" s="83" t="str">
        <x:v>Moderate</x:v>
      </x:c>
      <x:c r="I26" s="83" t="str">
        <x:v>Application</x:v>
      </x:c>
      <x:c r="J26" s="83" t="n">
        <x:v>4</x:v>
      </x:c>
      <x:c r="K26" s="83" t="str">
        <x:v>D</x:v>
      </x:c>
      <x:c r="L26" s="83" t="n">
        <x:v>1</x:v>
      </x:c>
      <x:c r="M26" s="83" t="str"/>
      <x:c r="N26" s="83" t="str">
        <x:v>Released</x:v>
      </x:c>
      <x:c r="O26" s="89" t="str">
        <x:v>Workbook bank; reserve pool after controlled review</x:v>
      </x:c>
    </x:row>
    <x:row r="27">
      <x:c r="A27" s="88" t="str">
        <x:v>CTA-LCSW-MQB-0026</x:v>
      </x:c>
      <x:c r="B27" s="83" t="str">
        <x:v>LCSW-WB02-QB-Q009</x:v>
      </x:c>
      <x:c r="C27" s="83" t="str">
        <x:v>LCSW Workbook 2 Question Bank</x:v>
      </x:c>
      <x:c r="D27" s="83" t="n">
        <x:v>9</x:v>
      </x:c>
      <x:c r="E27" s="83" t="str">
        <x:v>Workbook Bank</x:v>
      </x:c>
      <x:c r="F27" s="83" t="str">
        <x:v>I. Values and Ethics</x:v>
      </x:c>
      <x:c r="G27" s="83" t="str">
        <x:v>Microaggression repair</x:v>
      </x:c>
      <x:c r="H27" s="83" t="str">
        <x:v>Moderate</x:v>
      </x:c>
      <x:c r="I27" s="83" t="str">
        <x:v>Application</x:v>
      </x:c>
      <x:c r="J27" s="83" t="n">
        <x:v>3</x:v>
      </x:c>
      <x:c r="K27" s="83" t="str">
        <x:v>A</x:v>
      </x:c>
      <x:c r="L27" s="83" t="n">
        <x:v>1</x:v>
      </x:c>
      <x:c r="M27" s="83" t="str"/>
      <x:c r="N27" s="83" t="str">
        <x:v>Released</x:v>
      </x:c>
      <x:c r="O27" s="89" t="str">
        <x:v>Workbook bank; reserve pool after controlled review</x:v>
      </x:c>
    </x:row>
    <x:row r="28">
      <x:c r="A28" s="88" t="str">
        <x:v>CTA-LCSW-MQB-0027</x:v>
      </x:c>
      <x:c r="B28" s="83" t="str">
        <x:v>LCSW-WB02-QB-Q010</x:v>
      </x:c>
      <x:c r="C28" s="83" t="str">
        <x:v>LCSW Workbook 2 Question Bank</x:v>
      </x:c>
      <x:c r="D28" s="83" t="n">
        <x:v>10</x:v>
      </x:c>
      <x:c r="E28" s="83" t="str">
        <x:v>Workbook Bank</x:v>
      </x:c>
      <x:c r="F28" s="83" t="str">
        <x:v>I. Values and Ethics</x:v>
      </x:c>
      <x:c r="G28" s="83" t="str">
        <x:v>Discharge self-determination</x:v>
      </x:c>
      <x:c r="H28" s="83" t="str">
        <x:v>Moderate</x:v>
      </x:c>
      <x:c r="I28" s="83" t="str">
        <x:v>Scenario-Based</x:v>
      </x:c>
      <x:c r="J28" s="83" t="n">
        <x:v>3</x:v>
      </x:c>
      <x:c r="K28" s="83" t="str">
        <x:v>B</x:v>
      </x:c>
      <x:c r="L28" s="83" t="n">
        <x:v>1</x:v>
      </x:c>
      <x:c r="M28" s="83" t="str"/>
      <x:c r="N28" s="83" t="str">
        <x:v>Released</x:v>
      </x:c>
      <x:c r="O28" s="89" t="str">
        <x:v>Workbook bank; reserve pool after controlled review</x:v>
      </x:c>
    </x:row>
    <x:row r="29">
      <x:c r="A29" s="88" t="str">
        <x:v>CTA-LCSW-MQB-0028</x:v>
      </x:c>
      <x:c r="B29" s="83" t="str">
        <x:v>LCSW-WB02-QB-Q011</x:v>
      </x:c>
      <x:c r="C29" s="83" t="str">
        <x:v>LCSW Workbook 2 Question Bank</x:v>
      </x:c>
      <x:c r="D29" s="83" t="n">
        <x:v>11</x:v>
      </x:c>
      <x:c r="E29" s="83" t="str">
        <x:v>Workbook Bank</x:v>
      </x:c>
      <x:c r="F29" s="83" t="str">
        <x:v>I. Values and Ethics</x:v>
      </x:c>
      <x:c r="G29" s="83" t="str">
        <x:v>Productivity pressure and inequitable service</x:v>
      </x:c>
      <x:c r="H29" s="83" t="str">
        <x:v>Moderate</x:v>
      </x:c>
      <x:c r="I29" s="83" t="str">
        <x:v>Scenario-Based</x:v>
      </x:c>
      <x:c r="J29" s="83" t="n">
        <x:v>3</x:v>
      </x:c>
      <x:c r="K29" s="83" t="str">
        <x:v>C</x:v>
      </x:c>
      <x:c r="L29" s="83" t="n">
        <x:v>1</x:v>
      </x:c>
      <x:c r="M29" s="83" t="str"/>
      <x:c r="N29" s="83" t="str">
        <x:v>Released</x:v>
      </x:c>
      <x:c r="O29" s="89" t="str">
        <x:v>Workbook bank; reserve pool after controlled review</x:v>
      </x:c>
    </x:row>
    <x:row r="30">
      <x:c r="A30" s="88" t="str">
        <x:v>CTA-LCSW-MQB-0029</x:v>
      </x:c>
      <x:c r="B30" s="83" t="str">
        <x:v>LCSW-WB02-QB-Q012</x:v>
      </x:c>
      <x:c r="C30" s="83" t="str">
        <x:v>LCSW Workbook 2 Question Bank</x:v>
      </x:c>
      <x:c r="D30" s="83" t="n">
        <x:v>12</x:v>
      </x:c>
      <x:c r="E30" s="83" t="str">
        <x:v>Workbook Bank</x:v>
      </x:c>
      <x:c r="F30" s="83" t="str">
        <x:v>I. Values and Ethics</x:v>
      </x:c>
      <x:c r="G30" s="83" t="str">
        <x:v>Discrimination creating service avoidance</x:v>
      </x:c>
      <x:c r="H30" s="83" t="str">
        <x:v>Moderate</x:v>
      </x:c>
      <x:c r="I30" s="83" t="str">
        <x:v>Scenario-Based</x:v>
      </x:c>
      <x:c r="J30" s="83" t="n">
        <x:v>4</x:v>
      </x:c>
      <x:c r="K30" s="83" t="str">
        <x:v>D</x:v>
      </x:c>
      <x:c r="L30" s="83" t="n">
        <x:v>1</x:v>
      </x:c>
      <x:c r="M30" s="83" t="str"/>
      <x:c r="N30" s="83" t="str">
        <x:v>Released</x:v>
      </x:c>
      <x:c r="O30" s="89" t="str">
        <x:v>Workbook bank; reserve pool after controlled review</x:v>
      </x:c>
    </x:row>
    <x:row r="31">
      <x:c r="A31" s="88" t="str">
        <x:v>CTA-LCSW-MQB-0030</x:v>
      </x:c>
      <x:c r="B31" s="83" t="str">
        <x:v>LCSW-WB02-QB-Q013</x:v>
      </x:c>
      <x:c r="C31" s="83" t="str">
        <x:v>LCSW Workbook 2 Question Bank</x:v>
      </x:c>
      <x:c r="D31" s="83" t="n">
        <x:v>13</x:v>
      </x:c>
      <x:c r="E31" s="83" t="str">
        <x:v>Workbook Bank</x:v>
      </x:c>
      <x:c r="F31" s="83" t="str">
        <x:v>I. Values and Ethics</x:v>
      </x:c>
      <x:c r="G31" s="83" t="str">
        <x:v>Self-determination in involuntary care</x:v>
      </x:c>
      <x:c r="H31" s="83" t="str">
        <x:v>Difficult</x:v>
      </x:c>
      <x:c r="I31" s="83" t="str">
        <x:v>Scenario-Based</x:v>
      </x:c>
      <x:c r="J31" s="83" t="n">
        <x:v>3</x:v>
      </x:c>
      <x:c r="K31" s="83" t="str">
        <x:v>A</x:v>
      </x:c>
      <x:c r="L31" s="83" t="n">
        <x:v>1</x:v>
      </x:c>
      <x:c r="M31" s="83" t="str"/>
      <x:c r="N31" s="83" t="str">
        <x:v>Released</x:v>
      </x:c>
      <x:c r="O31" s="89" t="str">
        <x:v>Workbook bank; reserve pool after controlled review</x:v>
      </x:c>
    </x:row>
    <x:row r="32">
      <x:c r="A32" s="88" t="str">
        <x:v>CTA-LCSW-MQB-0031</x:v>
      </x:c>
      <x:c r="B32" s="83" t="str">
        <x:v>LCSW-WB02-QB-Q014</x:v>
      </x:c>
      <x:c r="C32" s="83" t="str">
        <x:v>LCSW Workbook 2 Question Bank</x:v>
      </x:c>
      <x:c r="D32" s="83" t="n">
        <x:v>14</x:v>
      </x:c>
      <x:c r="E32" s="83" t="str">
        <x:v>Workbook Bank</x:v>
      </x:c>
      <x:c r="F32" s="83" t="str">
        <x:v>I. Values and Ethics</x:v>
      </x:c>
      <x:c r="G32" s="83" t="str">
        <x:v>Organizational pressure to falsify services</x:v>
      </x:c>
      <x:c r="H32" s="83" t="str">
        <x:v>Difficult</x:v>
      </x:c>
      <x:c r="I32" s="83" t="str">
        <x:v>Scenario-Based</x:v>
      </x:c>
      <x:c r="J32" s="83" t="n">
        <x:v>3</x:v>
      </x:c>
      <x:c r="K32" s="83" t="str">
        <x:v>B</x:v>
      </x:c>
      <x:c r="L32" s="83" t="n">
        <x:v>1</x:v>
      </x:c>
      <x:c r="M32" s="83" t="str"/>
      <x:c r="N32" s="83" t="str">
        <x:v>Released</x:v>
      </x:c>
      <x:c r="O32" s="89" t="str">
        <x:v>Workbook bank; reserve pool after controlled review</x:v>
      </x:c>
    </x:row>
    <x:row r="33">
      <x:c r="A33" s="88" t="str">
        <x:v>CTA-LCSW-MQB-0032</x:v>
      </x:c>
      <x:c r="B33" s="83" t="str">
        <x:v>LCSW-WB02-QB-Q015</x:v>
      </x:c>
      <x:c r="C33" s="83" t="str">
        <x:v>LCSW Workbook 2 Question Bank</x:v>
      </x:c>
      <x:c r="D33" s="83" t="n">
        <x:v>15</x:v>
      </x:c>
      <x:c r="E33" s="83" t="str">
        <x:v>Workbook Bank</x:v>
      </x:c>
      <x:c r="F33" s="83" t="str">
        <x:v>I. Values and Ethics</x:v>
      </x:c>
      <x:c r="G33" s="83" t="str">
        <x:v>Capacity, coercion, and financial exploitation</x:v>
      </x:c>
      <x:c r="H33" s="83" t="str">
        <x:v>Difficult</x:v>
      </x:c>
      <x:c r="I33" s="83" t="str">
        <x:v>Scenario-Based</x:v>
      </x:c>
      <x:c r="J33" s="83" t="n">
        <x:v>4</x:v>
      </x:c>
      <x:c r="K33" s="83" t="str">
        <x:v>C</x:v>
      </x:c>
      <x:c r="L33" s="83" t="n">
        <x:v>1</x:v>
      </x:c>
      <x:c r="M33" s="83" t="str"/>
      <x:c r="N33" s="83" t="str">
        <x:v>Released</x:v>
      </x:c>
      <x:c r="O33" s="89" t="str">
        <x:v>Workbook bank; reserve pool after controlled review</x:v>
      </x:c>
    </x:row>
    <x:row r="34">
      <x:c r="A34" s="88" t="str">
        <x:v>CTA-LCSW-MQB-0033</x:v>
      </x:c>
      <x:c r="B34" s="83" t="str">
        <x:v>LCSW-WB02-QB-Q016</x:v>
      </x:c>
      <x:c r="C34" s="83" t="str">
        <x:v>LCSW Workbook 2 Question Bank</x:v>
      </x:c>
      <x:c r="D34" s="83" t="n">
        <x:v>16</x:v>
      </x:c>
      <x:c r="E34" s="83" t="str">
        <x:v>Workbook Bank</x:v>
      </x:c>
      <x:c r="F34" s="83" t="str">
        <x:v>I. Values and Ethics</x:v>
      </x:c>
      <x:c r="G34" s="83" t="str">
        <x:v>Integrated housing, health, and immigration coercion</x:v>
      </x:c>
      <x:c r="H34" s="83" t="str">
        <x:v>Difficult</x:v>
      </x:c>
      <x:c r="I34" s="83" t="str">
        <x:v>Integrated Clinical Reasoning</x:v>
      </x:c>
      <x:c r="J34" s="83" t="n">
        <x:v>4</x:v>
      </x:c>
      <x:c r="K34" s="83" t="str">
        <x:v>D</x:v>
      </x:c>
      <x:c r="L34" s="83" t="n">
        <x:v>1</x:v>
      </x:c>
      <x:c r="M34" s="83" t="str"/>
      <x:c r="N34" s="83" t="str">
        <x:v>Released</x:v>
      </x:c>
      <x:c r="O34" s="89" t="str">
        <x:v>Workbook bank; reserve pool after controlled review</x:v>
      </x:c>
    </x:row>
    <x:row r="35">
      <x:c r="A35" s="88" t="str">
        <x:v>CTA-LCSW-MQB-0034</x:v>
      </x:c>
      <x:c r="B35" s="83" t="str">
        <x:v>LCSW-WB02-QB-Q017</x:v>
      </x:c>
      <x:c r="C35" s="83" t="str">
        <x:v>LCSW Workbook 2 Question Bank</x:v>
      </x:c>
      <x:c r="D35" s="83" t="n">
        <x:v>17</x:v>
      </x:c>
      <x:c r="E35" s="83" t="str">
        <x:v>Workbook Bank</x:v>
      </x:c>
      <x:c r="F35" s="83" t="str">
        <x:v>I. Values and Ethics</x:v>
      </x:c>
      <x:c r="G35" s="83" t="str">
        <x:v>Integrated crisis, closure, and community access</x:v>
      </x:c>
      <x:c r="H35" s="83" t="str">
        <x:v>Difficult</x:v>
      </x:c>
      <x:c r="I35" s="83" t="str">
        <x:v>Integrated Clinical Reasoning</x:v>
      </x:c>
      <x:c r="J35" s="83" t="n">
        <x:v>3</x:v>
      </x:c>
      <x:c r="K35" s="83" t="str">
        <x:v>A</x:v>
      </x:c>
      <x:c r="L35" s="83" t="n">
        <x:v>1</x:v>
      </x:c>
      <x:c r="M35" s="83" t="str"/>
      <x:c r="N35" s="83" t="str">
        <x:v>Released</x:v>
      </x:c>
      <x:c r="O35" s="89" t="str">
        <x:v>Workbook bank; reserve pool after controlled review</x:v>
      </x:c>
    </x:row>
    <x:row r="36">
      <x:c r="A36" s="88" t="str">
        <x:v>CTA-LCSW-MQB-0035</x:v>
      </x:c>
      <x:c r="B36" s="83" t="str">
        <x:v>LCSW-WB03-QB-Q001</x:v>
      </x:c>
      <x:c r="C36" s="83" t="str">
        <x:v>LCSW Workbook 3 Question Bank</x:v>
      </x:c>
      <x:c r="D36" s="83" t="n">
        <x:v>1</x:v>
      </x:c>
      <x:c r="E36" s="83" t="str">
        <x:v>Workbook Bank</x:v>
      </x:c>
      <x:c r="F36" s="83" t="str">
        <x:v>II. Assessment and Planning</x:v>
      </x:c>
      <x:c r="G36" s="83" t="str">
        <x:v>Person-in-environment framework</x:v>
      </x:c>
      <x:c r="H36" s="83" t="str">
        <x:v>Easy</x:v>
      </x:c>
      <x:c r="I36" s="83" t="str">
        <x:v>Knowledge &amp; Recall</x:v>
      </x:c>
      <x:c r="J36" s="83" t="n">
        <x:v>3</x:v>
      </x:c>
      <x:c r="K36" s="83" t="str">
        <x:v>B</x:v>
      </x:c>
      <x:c r="L36" s="83" t="n">
        <x:v>1</x:v>
      </x:c>
      <x:c r="M36" s="83" t="str"/>
      <x:c r="N36" s="83" t="str">
        <x:v>Released</x:v>
      </x:c>
      <x:c r="O36" s="89" t="str">
        <x:v>Workbook bank; reserve pool after controlled review</x:v>
      </x:c>
    </x:row>
    <x:row r="37">
      <x:c r="A37" s="88" t="str">
        <x:v>CTA-LCSW-MQB-0036</x:v>
      </x:c>
      <x:c r="B37" s="83" t="str">
        <x:v>LCSW-WB03-QB-Q002</x:v>
      </x:c>
      <x:c r="C37" s="83" t="str">
        <x:v>LCSW Workbook 3 Question Bank</x:v>
      </x:c>
      <x:c r="D37" s="83" t="n">
        <x:v>2</x:v>
      </x:c>
      <x:c r="E37" s="83" t="str">
        <x:v>Workbook Bank</x:v>
      </x:c>
      <x:c r="F37" s="83" t="str">
        <x:v>II. Assessment and Planning</x:v>
      </x:c>
      <x:c r="G37" s="83" t="str">
        <x:v>Intersectionality</x:v>
      </x:c>
      <x:c r="H37" s="83" t="str">
        <x:v>Easy</x:v>
      </x:c>
      <x:c r="I37" s="83" t="str">
        <x:v>Knowledge &amp; Recall</x:v>
      </x:c>
      <x:c r="J37" s="83" t="n">
        <x:v>3</x:v>
      </x:c>
      <x:c r="K37" s="83" t="str">
        <x:v>A</x:v>
      </x:c>
      <x:c r="L37" s="83" t="n">
        <x:v>1</x:v>
      </x:c>
      <x:c r="M37" s="83" t="str"/>
      <x:c r="N37" s="83" t="str">
        <x:v>Released</x:v>
      </x:c>
      <x:c r="O37" s="89" t="str">
        <x:v>Workbook bank; reserve pool after controlled review</x:v>
      </x:c>
    </x:row>
    <x:row r="38">
      <x:c r="A38" s="88" t="str">
        <x:v>CTA-LCSW-MQB-0037</x:v>
      </x:c>
      <x:c r="B38" s="83" t="str">
        <x:v>LCSW-WB03-QB-Q003</x:v>
      </x:c>
      <x:c r="C38" s="83" t="str">
        <x:v>LCSW Workbook 3 Question Bank</x:v>
      </x:c>
      <x:c r="D38" s="83" t="n">
        <x:v>3</x:v>
      </x:c>
      <x:c r="E38" s="83" t="str">
        <x:v>Workbook Bank</x:v>
      </x:c>
      <x:c r="F38" s="83" t="str">
        <x:v>II. Assessment and Planning</x:v>
      </x:c>
      <x:c r="G38" s="83" t="str">
        <x:v>Cultural humility</x:v>
      </x:c>
      <x:c r="H38" s="83" t="str">
        <x:v>Easy</x:v>
      </x:c>
      <x:c r="I38" s="83" t="str">
        <x:v>Knowledge &amp; Recall</x:v>
      </x:c>
      <x:c r="J38" s="83" t="n">
        <x:v>4</x:v>
      </x:c>
      <x:c r="K38" s="83" t="str">
        <x:v>C</x:v>
      </x:c>
      <x:c r="L38" s="83" t="n">
        <x:v>1</x:v>
      </x:c>
      <x:c r="M38" s="83" t="str"/>
      <x:c r="N38" s="83" t="str">
        <x:v>Released</x:v>
      </x:c>
      <x:c r="O38" s="89" t="str">
        <x:v>Workbook bank; reserve pool after controlled review</x:v>
      </x:c>
    </x:row>
    <x:row r="39">
      <x:c r="A39" s="88" t="str">
        <x:v>CTA-LCSW-MQB-0038</x:v>
      </x:c>
      <x:c r="B39" s="83" t="str">
        <x:v>LCSW-WB03-QB-Q004</x:v>
      </x:c>
      <x:c r="C39" s="83" t="str">
        <x:v>LCSW Workbook 3 Question Bank</x:v>
      </x:c>
      <x:c r="D39" s="83" t="n">
        <x:v>4</x:v>
      </x:c>
      <x:c r="E39" s="83" t="str">
        <x:v>Workbook Bank</x:v>
      </x:c>
      <x:c r="F39" s="83" t="str">
        <x:v>II. Assessment and Planning</x:v>
      </x:c>
      <x:c r="G39" s="83" t="str">
        <x:v>Transportation and health-care access</x:v>
      </x:c>
      <x:c r="H39" s="83" t="str">
        <x:v>Easy</x:v>
      </x:c>
      <x:c r="I39" s="83" t="str">
        <x:v>Application</x:v>
      </x:c>
      <x:c r="J39" s="83" t="n">
        <x:v>4</x:v>
      </x:c>
      <x:c r="K39" s="83" t="str">
        <x:v>D</x:v>
      </x:c>
      <x:c r="L39" s="83" t="n">
        <x:v>1</x:v>
      </x:c>
      <x:c r="M39" s="83" t="str"/>
      <x:c r="N39" s="83" t="str">
        <x:v>Released</x:v>
      </x:c>
      <x:c r="O39" s="89" t="str">
        <x:v>Workbook bank; reserve pool after controlled review</x:v>
      </x:c>
    </x:row>
    <x:row r="40">
      <x:c r="A40" s="88" t="str">
        <x:v>CTA-LCSW-MQB-0039</x:v>
      </x:c>
      <x:c r="B40" s="83" t="str">
        <x:v>LCSW-WB03-QB-Q005</x:v>
      </x:c>
      <x:c r="C40" s="83" t="str">
        <x:v>LCSW Workbook 3 Question Bank</x:v>
      </x:c>
      <x:c r="D40" s="83" t="n">
        <x:v>5</x:v>
      </x:c>
      <x:c r="E40" s="83" t="str">
        <x:v>Workbook Bank</x:v>
      </x:c>
      <x:c r="F40" s="83" t="str">
        <x:v>II. Assessment and Planning</x:v>
      </x:c>
      <x:c r="G40" s="83" t="str">
        <x:v>Physical access barrier</x:v>
      </x:c>
      <x:c r="H40" s="83" t="str">
        <x:v>Easy</x:v>
      </x:c>
      <x:c r="I40" s="83" t="str">
        <x:v>Application</x:v>
      </x:c>
      <x:c r="J40" s="83" t="n">
        <x:v>3</x:v>
      </x:c>
      <x:c r="K40" s="83" t="str">
        <x:v>A</x:v>
      </x:c>
      <x:c r="L40" s="83" t="n">
        <x:v>1</x:v>
      </x:c>
      <x:c r="M40" s="83" t="str"/>
      <x:c r="N40" s="83" t="str">
        <x:v>Released</x:v>
      </x:c>
      <x:c r="O40" s="89" t="str">
        <x:v>Workbook bank; reserve pool after controlled review</x:v>
      </x:c>
    </x:row>
    <x:row r="41">
      <x:c r="A41" s="88" t="str">
        <x:v>CTA-LCSW-MQB-0040</x:v>
      </x:c>
      <x:c r="B41" s="83" t="str">
        <x:v>LCSW-WB03-QB-Q006</x:v>
      </x:c>
      <x:c r="C41" s="83" t="str">
        <x:v>LCSW Workbook 3 Question Bank</x:v>
      </x:c>
      <x:c r="D41" s="83" t="n">
        <x:v>6</x:v>
      </x:c>
      <x:c r="E41" s="83" t="str">
        <x:v>Workbook Bank</x:v>
      </x:c>
      <x:c r="F41" s="83" t="str">
        <x:v>II. Assessment and Planning</x:v>
      </x:c>
      <x:c r="G41" s="83" t="str">
        <x:v>Refugee resettlement and trauma</x:v>
      </x:c>
      <x:c r="H41" s="83" t="str">
        <x:v>Moderate</x:v>
      </x:c>
      <x:c r="I41" s="83" t="str">
        <x:v>Application</x:v>
      </x:c>
      <x:c r="J41" s="83" t="n">
        <x:v>3</x:v>
      </x:c>
      <x:c r="K41" s="83" t="str">
        <x:v>B</x:v>
      </x:c>
      <x:c r="L41" s="83" t="n">
        <x:v>1</x:v>
      </x:c>
      <x:c r="M41" s="83" t="str"/>
      <x:c r="N41" s="83" t="str">
        <x:v>Released</x:v>
      </x:c>
      <x:c r="O41" s="89" t="str">
        <x:v>Workbook bank; reserve pool after controlled review</x:v>
      </x:c>
    </x:row>
    <x:row r="42">
      <x:c r="A42" s="88" t="str">
        <x:v>CTA-LCSW-MQB-0041</x:v>
      </x:c>
      <x:c r="B42" s="83" t="str">
        <x:v>LCSW-WB03-QB-Q007</x:v>
      </x:c>
      <x:c r="C42" s="83" t="str">
        <x:v>LCSW Workbook 3 Question Bank</x:v>
      </x:c>
      <x:c r="D42" s="83" t="n">
        <x:v>7</x:v>
      </x:c>
      <x:c r="E42" s="83" t="str">
        <x:v>Workbook Bank</x:v>
      </x:c>
      <x:c r="F42" s="83" t="str">
        <x:v>II. Assessment and Planning</x:v>
      </x:c>
      <x:c r="G42" s="83" t="str">
        <x:v>Housing instability and school attendance</x:v>
      </x:c>
      <x:c r="H42" s="83" t="str">
        <x:v>Moderate</x:v>
      </x:c>
      <x:c r="I42" s="83" t="str">
        <x:v>Application</x:v>
      </x:c>
      <x:c r="J42" s="83" t="n">
        <x:v>4</x:v>
      </x:c>
      <x:c r="K42" s="83" t="str">
        <x:v>C</x:v>
      </x:c>
      <x:c r="L42" s="83" t="n">
        <x:v>1</x:v>
      </x:c>
      <x:c r="M42" s="83" t="str"/>
      <x:c r="N42" s="83" t="str">
        <x:v>Released</x:v>
      </x:c>
      <x:c r="O42" s="89" t="str">
        <x:v>Workbook bank; reserve pool after controlled review</x:v>
      </x:c>
    </x:row>
    <x:row r="43">
      <x:c r="A43" s="88" t="str">
        <x:v>CTA-LCSW-MQB-0042</x:v>
      </x:c>
      <x:c r="B43" s="83" t="str">
        <x:v>LCSW-WB03-QB-Q008</x:v>
      </x:c>
      <x:c r="C43" s="83" t="str">
        <x:v>LCSW Workbook 3 Question Bank</x:v>
      </x:c>
      <x:c r="D43" s="83" t="n">
        <x:v>8</x:v>
      </x:c>
      <x:c r="E43" s="83" t="str">
        <x:v>Workbook Bank</x:v>
      </x:c>
      <x:c r="F43" s="83" t="str">
        <x:v>II. Assessment and Planning</x:v>
      </x:c>
      <x:c r="G43" s="83" t="str">
        <x:v>Food insecurity and chronic illness</x:v>
      </x:c>
      <x:c r="H43" s="83" t="str">
        <x:v>Moderate</x:v>
      </x:c>
      <x:c r="I43" s="83" t="str">
        <x:v>Application</x:v>
      </x:c>
      <x:c r="J43" s="83" t="n">
        <x:v>4</x:v>
      </x:c>
      <x:c r="K43" s="83" t="str">
        <x:v>D</x:v>
      </x:c>
      <x:c r="L43" s="83" t="n">
        <x:v>1</x:v>
      </x:c>
      <x:c r="M43" s="83" t="str"/>
      <x:c r="N43" s="83" t="str">
        <x:v>Released</x:v>
      </x:c>
      <x:c r="O43" s="89" t="str">
        <x:v>Workbook bank; reserve pool after controlled review</x:v>
      </x:c>
    </x:row>
    <x:row r="44">
      <x:c r="A44" s="88" t="str">
        <x:v>CTA-LCSW-MQB-0043</x:v>
      </x:c>
      <x:c r="B44" s="83" t="str">
        <x:v>LCSW-WB03-QB-Q009</x:v>
      </x:c>
      <x:c r="C44" s="83" t="str">
        <x:v>LCSW Workbook 3 Question Bank</x:v>
      </x:c>
      <x:c r="D44" s="83" t="n">
        <x:v>9</x:v>
      </x:c>
      <x:c r="E44" s="83" t="str">
        <x:v>Workbook Bank</x:v>
      </x:c>
      <x:c r="F44" s="83" t="str">
        <x:v>II. Assessment and Planning</x:v>
      </x:c>
      <x:c r="G44" s="83" t="str">
        <x:v>Neurodiversity and service fit</x:v>
      </x:c>
      <x:c r="H44" s="83" t="str">
        <x:v>Moderate</x:v>
      </x:c>
      <x:c r="I44" s="83" t="str">
        <x:v>Application</x:v>
      </x:c>
      <x:c r="J44" s="83" t="n">
        <x:v>3</x:v>
      </x:c>
      <x:c r="K44" s="83" t="str">
        <x:v>A</x:v>
      </x:c>
      <x:c r="L44" s="83" t="n">
        <x:v>1</x:v>
      </x:c>
      <x:c r="M44" s="83" t="str"/>
      <x:c r="N44" s="83" t="str">
        <x:v>Released</x:v>
      </x:c>
      <x:c r="O44" s="89" t="str">
        <x:v>Workbook bank; reserve pool after controlled review</x:v>
      </x:c>
    </x:row>
    <x:row r="45">
      <x:c r="A45" s="88" t="str">
        <x:v>CTA-LCSW-MQB-0044</x:v>
      </x:c>
      <x:c r="B45" s="83" t="str">
        <x:v>LCSW-WB03-QB-Q010</x:v>
      </x:c>
      <x:c r="C45" s="83" t="str">
        <x:v>LCSW Workbook 3 Question Bank</x:v>
      </x:c>
      <x:c r="D45" s="83" t="n">
        <x:v>10</x:v>
      </x:c>
      <x:c r="E45" s="83" t="str">
        <x:v>Workbook Bank</x:v>
      </x:c>
      <x:c r="F45" s="83" t="str">
        <x:v>II. Assessment and Planning</x:v>
      </x:c>
      <x:c r="G45" s="83" t="str">
        <x:v>Housing condition and child health</x:v>
      </x:c>
      <x:c r="H45" s="83" t="str">
        <x:v>Moderate</x:v>
      </x:c>
      <x:c r="I45" s="83" t="str">
        <x:v>Scenario-Based</x:v>
      </x:c>
      <x:c r="J45" s="83" t="n">
        <x:v>3</x:v>
      </x:c>
      <x:c r="K45" s="83" t="str">
        <x:v>B</x:v>
      </x:c>
      <x:c r="L45" s="83" t="n">
        <x:v>1</x:v>
      </x:c>
      <x:c r="M45" s="83" t="str"/>
      <x:c r="N45" s="83" t="str">
        <x:v>Released</x:v>
      </x:c>
      <x:c r="O45" s="89" t="str">
        <x:v>Workbook bank; reserve pool after controlled review</x:v>
      </x:c>
    </x:row>
    <x:row r="46">
      <x:c r="A46" s="88" t="str">
        <x:v>CTA-LCSW-MQB-0045</x:v>
      </x:c>
      <x:c r="B46" s="83" t="str">
        <x:v>LCSW-WB03-QB-Q011</x:v>
      </x:c>
      <x:c r="C46" s="83" t="str">
        <x:v>LCSW Workbook 3 Question Bank</x:v>
      </x:c>
      <x:c r="D46" s="83" t="n">
        <x:v>11</x:v>
      </x:c>
      <x:c r="E46" s="83" t="str">
        <x:v>Workbook Bank</x:v>
      </x:c>
      <x:c r="F46" s="83" t="str">
        <x:v>II. Assessment and Planning</x:v>
      </x:c>
      <x:c r="G46" s="83" t="str">
        <x:v>Supported decision-making and finances</x:v>
      </x:c>
      <x:c r="H46" s="83" t="str">
        <x:v>Moderate</x:v>
      </x:c>
      <x:c r="I46" s="83" t="str">
        <x:v>Scenario-Based</x:v>
      </x:c>
      <x:c r="J46" s="83" t="n">
        <x:v>3</x:v>
      </x:c>
      <x:c r="K46" s="83" t="str">
        <x:v>C</x:v>
      </x:c>
      <x:c r="L46" s="83" t="n">
        <x:v>1</x:v>
      </x:c>
      <x:c r="M46" s="83" t="str"/>
      <x:c r="N46" s="83" t="str">
        <x:v>Released</x:v>
      </x:c>
      <x:c r="O46" s="89" t="str">
        <x:v>Workbook bank; reserve pool after controlled review</x:v>
      </x:c>
    </x:row>
    <x:row r="47">
      <x:c r="A47" s="88" t="str">
        <x:v>CTA-LCSW-MQB-0046</x:v>
      </x:c>
      <x:c r="B47" s="83" t="str">
        <x:v>LCSW-WB03-QB-Q012</x:v>
      </x:c>
      <x:c r="C47" s="83" t="str">
        <x:v>LCSW Workbook 3 Question Bank</x:v>
      </x:c>
      <x:c r="D47" s="83" t="n">
        <x:v>12</x:v>
      </x:c>
      <x:c r="E47" s="83" t="str">
        <x:v>Workbook Bank</x:v>
      </x:c>
      <x:c r="F47" s="83" t="str">
        <x:v>II. Assessment and Planning</x:v>
      </x:c>
      <x:c r="G47" s="83" t="str">
        <x:v>Historical and institutional mistrust</x:v>
      </x:c>
      <x:c r="H47" s="83" t="str">
        <x:v>Moderate</x:v>
      </x:c>
      <x:c r="I47" s="83" t="str">
        <x:v>Scenario-Based</x:v>
      </x:c>
      <x:c r="J47" s="83" t="n">
        <x:v>4</x:v>
      </x:c>
      <x:c r="K47" s="83" t="str">
        <x:v>D</x:v>
      </x:c>
      <x:c r="L47" s="83" t="n">
        <x:v>1</x:v>
      </x:c>
      <x:c r="M47" s="83" t="str"/>
      <x:c r="N47" s="83" t="str">
        <x:v>Released</x:v>
      </x:c>
      <x:c r="O47" s="89" t="str">
        <x:v>Workbook bank; reserve pool after controlled review</x:v>
      </x:c>
    </x:row>
    <x:row r="48">
      <x:c r="A48" s="88" t="str">
        <x:v>CTA-LCSW-MQB-0047</x:v>
      </x:c>
      <x:c r="B48" s="83" t="str">
        <x:v>LCSW-WB03-QB-Q013</x:v>
      </x:c>
      <x:c r="C48" s="83" t="str">
        <x:v>LCSW Workbook 3 Question Bank</x:v>
      </x:c>
      <x:c r="D48" s="83" t="n">
        <x:v>13</x:v>
      </x:c>
      <x:c r="E48" s="83" t="str">
        <x:v>Workbook Bank</x:v>
      </x:c>
      <x:c r="F48" s="83" t="str">
        <x:v>II. Assessment and Planning</x:v>
      </x:c>
      <x:c r="G48" s="83" t="str">
        <x:v>Minor as interpreter in trauma assessment</x:v>
      </x:c>
      <x:c r="H48" s="83" t="str">
        <x:v>Difficult</x:v>
      </x:c>
      <x:c r="I48" s="83" t="str">
        <x:v>Scenario-Based</x:v>
      </x:c>
      <x:c r="J48" s="83" t="n">
        <x:v>3</x:v>
      </x:c>
      <x:c r="K48" s="83" t="str">
        <x:v>A</x:v>
      </x:c>
      <x:c r="L48" s="83" t="n">
        <x:v>1</x:v>
      </x:c>
      <x:c r="M48" s="83" t="str"/>
      <x:c r="N48" s="83" t="str">
        <x:v>Released</x:v>
      </x:c>
      <x:c r="O48" s="89" t="str">
        <x:v>Workbook bank; reserve pool after controlled review</x:v>
      </x:c>
    </x:row>
    <x:row r="49">
      <x:c r="A49" s="88" t="str">
        <x:v>CTA-LCSW-MQB-0048</x:v>
      </x:c>
      <x:c r="B49" s="83" t="str">
        <x:v>LCSW-WB03-QB-Q014</x:v>
      </x:c>
      <x:c r="C49" s="83" t="str">
        <x:v>LCSW Workbook 3 Question Bank</x:v>
      </x:c>
      <x:c r="D49" s="83" t="n">
        <x:v>14</x:v>
      </x:c>
      <x:c r="E49" s="83" t="str">
        <x:v>Workbook Bank</x:v>
      </x:c>
      <x:c r="F49" s="83" t="str">
        <x:v>II. Assessment and Planning</x:v>
      </x:c>
      <x:c r="G49" s="83" t="str">
        <x:v>Acute confusion during housing crisis</x:v>
      </x:c>
      <x:c r="H49" s="83" t="str">
        <x:v>Difficult</x:v>
      </x:c>
      <x:c r="I49" s="83" t="str">
        <x:v>Scenario-Based</x:v>
      </x:c>
      <x:c r="J49" s="83" t="n">
        <x:v>3</x:v>
      </x:c>
      <x:c r="K49" s="83" t="str">
        <x:v>B</x:v>
      </x:c>
      <x:c r="L49" s="83" t="n">
        <x:v>1</x:v>
      </x:c>
      <x:c r="M49" s="83" t="str"/>
      <x:c r="N49" s="83" t="str">
        <x:v>Released</x:v>
      </x:c>
      <x:c r="O49" s="89" t="str">
        <x:v>Workbook bank; reserve pool after controlled review</x:v>
      </x:c>
    </x:row>
    <x:row r="50">
      <x:c r="A50" s="88" t="str">
        <x:v>CTA-LCSW-MQB-0049</x:v>
      </x:c>
      <x:c r="B50" s="83" t="str">
        <x:v>LCSW-WB03-QB-Q015</x:v>
      </x:c>
      <x:c r="C50" s="83" t="str">
        <x:v>LCSW Workbook 3 Question Bank</x:v>
      </x:c>
      <x:c r="D50" s="83" t="n">
        <x:v>15</x:v>
      </x:c>
      <x:c r="E50" s="83" t="str">
        <x:v>Workbook Bank</x:v>
      </x:c>
      <x:c r="F50" s="83" t="str">
        <x:v>II. Assessment and Planning</x:v>
      </x:c>
      <x:c r="G50" s="83" t="str">
        <x:v>Child-welfare access and noncompliance label</x:v>
      </x:c>
      <x:c r="H50" s="83" t="str">
        <x:v>Difficult</x:v>
      </x:c>
      <x:c r="I50" s="83" t="str">
        <x:v>Scenario-Based</x:v>
      </x:c>
      <x:c r="J50" s="83" t="n">
        <x:v>4</x:v>
      </x:c>
      <x:c r="K50" s="83" t="str">
        <x:v>C</x:v>
      </x:c>
      <x:c r="L50" s="83" t="n">
        <x:v>1</x:v>
      </x:c>
      <x:c r="M50" s="83" t="str"/>
      <x:c r="N50" s="83" t="str">
        <x:v>Released</x:v>
      </x:c>
      <x:c r="O50" s="89" t="str">
        <x:v>Workbook bank; reserve pool after controlled review</x:v>
      </x:c>
    </x:row>
    <x:row r="51">
      <x:c r="A51" s="88" t="str">
        <x:v>CTA-LCSW-MQB-0050</x:v>
      </x:c>
      <x:c r="B51" s="83" t="str">
        <x:v>LCSW-WB03-QB-Q016</x:v>
      </x:c>
      <x:c r="C51" s="83" t="str">
        <x:v>LCSW Workbook 3 Question Bank</x:v>
      </x:c>
      <x:c r="D51" s="83" t="n">
        <x:v>16</x:v>
      </x:c>
      <x:c r="E51" s="83" t="str">
        <x:v>Workbook Bank</x:v>
      </x:c>
      <x:c r="F51" s="83" t="str">
        <x:v>II. Assessment and Planning</x:v>
      </x:c>
      <x:c r="G51" s="83" t="str">
        <x:v>Flood displacement and multi-system needs</x:v>
      </x:c>
      <x:c r="H51" s="83" t="str">
        <x:v>Difficult</x:v>
      </x:c>
      <x:c r="I51" s="83" t="str">
        <x:v>Integrated Clinical Reasoning</x:v>
      </x:c>
      <x:c r="J51" s="83" t="n">
        <x:v>4</x:v>
      </x:c>
      <x:c r="K51" s="83" t="str">
        <x:v>D</x:v>
      </x:c>
      <x:c r="L51" s="83" t="n">
        <x:v>1</x:v>
      </x:c>
      <x:c r="M51" s="83" t="str"/>
      <x:c r="N51" s="83" t="str">
        <x:v>Released</x:v>
      </x:c>
      <x:c r="O51" s="89" t="str">
        <x:v>Workbook bank; reserve pool after controlled review</x:v>
      </x:c>
    </x:row>
    <x:row r="52">
      <x:c r="A52" s="88" t="str">
        <x:v>CTA-LCSW-MQB-0051</x:v>
      </x:c>
      <x:c r="B52" s="83" t="str">
        <x:v>LCSW-WB03-QB-Q017</x:v>
      </x:c>
      <x:c r="C52" s="83" t="str">
        <x:v>LCSW Workbook 3 Question Bank</x:v>
      </x:c>
      <x:c r="D52" s="83" t="n">
        <x:v>17</x:v>
      </x:c>
      <x:c r="E52" s="83" t="str">
        <x:v>Workbook Bank</x:v>
      </x:c>
      <x:c r="F52" s="83" t="str">
        <x:v>II. Assessment and Planning</x:v>
      </x:c>
      <x:c r="G52" s="83" t="str">
        <x:v>Environmental justice and community self-determination</x:v>
      </x:c>
      <x:c r="H52" s="83" t="str">
        <x:v>Difficult</x:v>
      </x:c>
      <x:c r="I52" s="83" t="str">
        <x:v>Integrated Clinical Reasoning</x:v>
      </x:c>
      <x:c r="J52" s="83" t="n">
        <x:v>3</x:v>
      </x:c>
      <x:c r="K52" s="83" t="str">
        <x:v>A</x:v>
      </x:c>
      <x:c r="L52" s="83" t="n">
        <x:v>1</x:v>
      </x:c>
      <x:c r="M52" s="83" t="str"/>
      <x:c r="N52" s="83" t="str">
        <x:v>Released</x:v>
      </x:c>
      <x:c r="O52" s="89" t="str">
        <x:v>Workbook bank; reserve pool after controlled review</x:v>
      </x:c>
    </x:row>
    <x:row r="53">
      <x:c r="A53" s="88" t="str">
        <x:v>CTA-LCSW-MQB-0052</x:v>
      </x:c>
      <x:c r="B53" s="83" t="str">
        <x:v>LCSW-WB04-QB-Q001</x:v>
      </x:c>
      <x:c r="C53" s="83" t="str">
        <x:v>LCSW Workbook 4 Question Bank</x:v>
      </x:c>
      <x:c r="D53" s="83" t="n">
        <x:v>1</x:v>
      </x:c>
      <x:c r="E53" s="83" t="str">
        <x:v>Workbook Bank</x:v>
      </x:c>
      <x:c r="F53" s="83" t="str">
        <x:v>II. Assessment and Planning</x:v>
      </x:c>
      <x:c r="G53" s="83" t="str">
        <x:v>Information-source distinctions</x:v>
      </x:c>
      <x:c r="H53" s="83" t="str">
        <x:v>Easy</x:v>
      </x:c>
      <x:c r="I53" s="83" t="str">
        <x:v>Knowledge &amp; Recall</x:v>
      </x:c>
      <x:c r="J53" s="83" t="n">
        <x:v>3</x:v>
      </x:c>
      <x:c r="K53" s="83" t="str">
        <x:v>B</x:v>
      </x:c>
      <x:c r="L53" s="83" t="n">
        <x:v>1</x:v>
      </x:c>
      <x:c r="M53" s="83" t="str"/>
      <x:c r="N53" s="83" t="str">
        <x:v>Released</x:v>
      </x:c>
      <x:c r="O53" s="89" t="str">
        <x:v>Workbook bank; reserve pool after controlled review</x:v>
      </x:c>
    </x:row>
    <x:row r="54">
      <x:c r="A54" s="88" t="str">
        <x:v>CTA-LCSW-MQB-0053</x:v>
      </x:c>
      <x:c r="B54" s="83" t="str">
        <x:v>LCSW-WB04-QB-Q002</x:v>
      </x:c>
      <x:c r="C54" s="83" t="str">
        <x:v>LCSW Workbook 4 Question Bank</x:v>
      </x:c>
      <x:c r="D54" s="83" t="n">
        <x:v>2</x:v>
      </x:c>
      <x:c r="E54" s="83" t="str">
        <x:v>Workbook Bank</x:v>
      </x:c>
      <x:c r="F54" s="83" t="str">
        <x:v>II. Assessment and Planning</x:v>
      </x:c>
      <x:c r="G54" s="83" t="str">
        <x:v>Mood versus affect</x:v>
      </x:c>
      <x:c r="H54" s="83" t="str">
        <x:v>Easy</x:v>
      </x:c>
      <x:c r="I54" s="83" t="str">
        <x:v>Knowledge &amp; Recall</x:v>
      </x:c>
      <x:c r="J54" s="83" t="n">
        <x:v>3</x:v>
      </x:c>
      <x:c r="K54" s="83" t="str">
        <x:v>A</x:v>
      </x:c>
      <x:c r="L54" s="83" t="n">
        <x:v>1</x:v>
      </x:c>
      <x:c r="M54" s="83" t="str"/>
      <x:c r="N54" s="83" t="str">
        <x:v>Released</x:v>
      </x:c>
      <x:c r="O54" s="89" t="str">
        <x:v>Workbook bank; reserve pool after controlled review</x:v>
      </x:c>
    </x:row>
    <x:row r="55">
      <x:c r="A55" s="88" t="str">
        <x:v>CTA-LCSW-MQB-0054</x:v>
      </x:c>
      <x:c r="B55" s="83" t="str">
        <x:v>LCSW-WB04-QB-Q003</x:v>
      </x:c>
      <x:c r="C55" s="83" t="str">
        <x:v>LCSW Workbook 4 Question Bank</x:v>
      </x:c>
      <x:c r="D55" s="83" t="n">
        <x:v>3</x:v>
      </x:c>
      <x:c r="E55" s="83" t="str">
        <x:v>Workbook Bank</x:v>
      </x:c>
      <x:c r="F55" s="83" t="str">
        <x:v>II. Assessment and Planning</x:v>
      </x:c>
      <x:c r="G55" s="83" t="str">
        <x:v>Thought process versus content</x:v>
      </x:c>
      <x:c r="H55" s="83" t="str">
        <x:v>Easy</x:v>
      </x:c>
      <x:c r="I55" s="83" t="str">
        <x:v>Knowledge &amp; Recall</x:v>
      </x:c>
      <x:c r="J55" s="83" t="n">
        <x:v>4</x:v>
      </x:c>
      <x:c r="K55" s="83" t="str">
        <x:v>C</x:v>
      </x:c>
      <x:c r="L55" s="83" t="n">
        <x:v>1</x:v>
      </x:c>
      <x:c r="M55" s="83" t="str"/>
      <x:c r="N55" s="83" t="str">
        <x:v>Released</x:v>
      </x:c>
      <x:c r="O55" s="89" t="str">
        <x:v>Workbook bank; reserve pool after controlled review</x:v>
      </x:c>
    </x:row>
    <x:row r="56">
      <x:c r="A56" s="88" t="str">
        <x:v>CTA-LCSW-MQB-0055</x:v>
      </x:c>
      <x:c r="B56" s="83" t="str">
        <x:v>LCSW-WB04-QB-Q004</x:v>
      </x:c>
      <x:c r="C56" s="83" t="str">
        <x:v>LCSW Workbook 4 Question Bank</x:v>
      </x:c>
      <x:c r="D56" s="83" t="n">
        <x:v>4</x:v>
      </x:c>
      <x:c r="E56" s="83" t="str">
        <x:v>Workbook Bank</x:v>
      </x:c>
      <x:c r="F56" s="83" t="str">
        <x:v>II. Assessment and Planning</x:v>
      </x:c>
      <x:c r="G56" s="83" t="str">
        <x:v>Validation in assessment</x:v>
      </x:c>
      <x:c r="H56" s="83" t="str">
        <x:v>Easy</x:v>
      </x:c>
      <x:c r="I56" s="83" t="str">
        <x:v>Application</x:v>
      </x:c>
      <x:c r="J56" s="83" t="n">
        <x:v>4</x:v>
      </x:c>
      <x:c r="K56" s="83" t="str">
        <x:v>D</x:v>
      </x:c>
      <x:c r="L56" s="83" t="n">
        <x:v>1</x:v>
      </x:c>
      <x:c r="M56" s="83" t="str"/>
      <x:c r="N56" s="83" t="str">
        <x:v>Released</x:v>
      </x:c>
      <x:c r="O56" s="89" t="str">
        <x:v>Workbook bank; reserve pool after controlled review</x:v>
      </x:c>
    </x:row>
    <x:row r="57">
      <x:c r="A57" s="88" t="str">
        <x:v>CTA-LCSW-MQB-0056</x:v>
      </x:c>
      <x:c r="B57" s="83" t="str">
        <x:v>LCSW-WB04-QB-Q005</x:v>
      </x:c>
      <x:c r="C57" s="83" t="str">
        <x:v>LCSW Workbook 4 Question Bank</x:v>
      </x:c>
      <x:c r="D57" s="83" t="n">
        <x:v>5</x:v>
      </x:c>
      <x:c r="E57" s="83" t="str">
        <x:v>Workbook Bank</x:v>
      </x:c>
      <x:c r="F57" s="83" t="str">
        <x:v>II. Assessment and Planning</x:v>
      </x:c>
      <x:c r="G57" s="83" t="str">
        <x:v>Change from baseline</x:v>
      </x:c>
      <x:c r="H57" s="83" t="str">
        <x:v>Easy</x:v>
      </x:c>
      <x:c r="I57" s="83" t="str">
        <x:v>Knowledge &amp; Recall</x:v>
      </x:c>
      <x:c r="J57" s="83" t="n">
        <x:v>3</x:v>
      </x:c>
      <x:c r="K57" s="83" t="str">
        <x:v>A</x:v>
      </x:c>
      <x:c r="L57" s="83" t="n">
        <x:v>1</x:v>
      </x:c>
      <x:c r="M57" s="83" t="str"/>
      <x:c r="N57" s="83" t="str">
        <x:v>Released</x:v>
      </x:c>
      <x:c r="O57" s="89" t="str">
        <x:v>Workbook bank; reserve pool after controlled review</x:v>
      </x:c>
    </x:row>
    <x:row r="58">
      <x:c r="A58" s="88" t="str">
        <x:v>CTA-LCSW-MQB-0057</x:v>
      </x:c>
      <x:c r="B58" s="83" t="str">
        <x:v>LCSW-WB04-QB-Q006</x:v>
      </x:c>
      <x:c r="C58" s="83" t="str">
        <x:v>LCSW Workbook 4 Question Bank</x:v>
      </x:c>
      <x:c r="D58" s="83" t="n">
        <x:v>6</x:v>
      </x:c>
      <x:c r="E58" s="83" t="str">
        <x:v>Workbook Bank</x:v>
      </x:c>
      <x:c r="F58" s="83" t="str">
        <x:v>II. Assessment and Planning</x:v>
      </x:c>
      <x:c r="G58" s="83" t="str">
        <x:v>Mandated role clarity</x:v>
      </x:c>
      <x:c r="H58" s="83" t="str">
        <x:v>Moderate</x:v>
      </x:c>
      <x:c r="I58" s="83" t="str">
        <x:v>Application</x:v>
      </x:c>
      <x:c r="J58" s="83" t="n">
        <x:v>3</x:v>
      </x:c>
      <x:c r="K58" s="83" t="str">
        <x:v>B</x:v>
      </x:c>
      <x:c r="L58" s="83" t="n">
        <x:v>1</x:v>
      </x:c>
      <x:c r="M58" s="83" t="str"/>
      <x:c r="N58" s="83" t="str">
        <x:v>Released</x:v>
      </x:c>
      <x:c r="O58" s="89" t="str">
        <x:v>Workbook bank; reserve pool after controlled review</x:v>
      </x:c>
    </x:row>
    <x:row r="59">
      <x:c r="A59" s="88" t="str">
        <x:v>CTA-LCSW-MQB-0058</x:v>
      </x:c>
      <x:c r="B59" s="83" t="str">
        <x:v>LCSW-WB04-QB-Q007</x:v>
      </x:c>
      <x:c r="C59" s="83" t="str">
        <x:v>LCSW Workbook 4 Question Bank</x:v>
      </x:c>
      <x:c r="D59" s="83" t="n">
        <x:v>7</x:v>
      </x:c>
      <x:c r="E59" s="83" t="str">
        <x:v>Workbook Bank</x:v>
      </x:c>
      <x:c r="F59" s="83" t="str">
        <x:v>II. Assessment and Planning</x:v>
      </x:c>
      <x:c r="G59" s="83" t="str">
        <x:v>Qualified language access</x:v>
      </x:c>
      <x:c r="H59" s="83" t="str">
        <x:v>Moderate</x:v>
      </x:c>
      <x:c r="I59" s="83" t="str">
        <x:v>Application</x:v>
      </x:c>
      <x:c r="J59" s="83" t="n">
        <x:v>4</x:v>
      </x:c>
      <x:c r="K59" s="83" t="str">
        <x:v>C</x:v>
      </x:c>
      <x:c r="L59" s="83" t="n">
        <x:v>1</x:v>
      </x:c>
      <x:c r="M59" s="83" t="str"/>
      <x:c r="N59" s="83" t="str">
        <x:v>Released</x:v>
      </x:c>
      <x:c r="O59" s="89" t="str">
        <x:v>Workbook bank; reserve pool after controlled review</x:v>
      </x:c>
    </x:row>
    <x:row r="60">
      <x:c r="A60" s="88" t="str">
        <x:v>CTA-LCSW-MQB-0059</x:v>
      </x:c>
      <x:c r="B60" s="83" t="str">
        <x:v>LCSW-WB04-QB-Q008</x:v>
      </x:c>
      <x:c r="C60" s="83" t="str">
        <x:v>LCSW Workbook 4 Question Bank</x:v>
      </x:c>
      <x:c r="D60" s="83" t="n">
        <x:v>8</x:v>
      </x:c>
      <x:c r="E60" s="83" t="str">
        <x:v>Workbook Bank</x:v>
      </x:c>
      <x:c r="F60" s="83" t="str">
        <x:v>II. Assessment and Planning</x:v>
      </x:c>
      <x:c r="G60" s="83" t="str">
        <x:v>Current assessment versus prior records</x:v>
      </x:c>
      <x:c r="H60" s="83" t="str">
        <x:v>Moderate</x:v>
      </x:c>
      <x:c r="I60" s="83" t="str">
        <x:v>Application</x:v>
      </x:c>
      <x:c r="J60" s="83" t="n">
        <x:v>4</x:v>
      </x:c>
      <x:c r="K60" s="83" t="str">
        <x:v>D</x:v>
      </x:c>
      <x:c r="L60" s="83" t="n">
        <x:v>1</x:v>
      </x:c>
      <x:c r="M60" s="83" t="str"/>
      <x:c r="N60" s="83" t="str">
        <x:v>Released</x:v>
      </x:c>
      <x:c r="O60" s="89" t="str">
        <x:v>Workbook bank; reserve pool after controlled review</x:v>
      </x:c>
    </x:row>
    <x:row r="61">
      <x:c r="A61" s="88" t="str">
        <x:v>CTA-LCSW-MQB-0060</x:v>
      </x:c>
      <x:c r="B61" s="83" t="str">
        <x:v>LCSW-WB04-QB-Q009</x:v>
      </x:c>
      <x:c r="C61" s="83" t="str">
        <x:v>LCSW Workbook 4 Question Bank</x:v>
      </x:c>
      <x:c r="D61" s="83" t="n">
        <x:v>9</x:v>
      </x:c>
      <x:c r="E61" s="83" t="str">
        <x:v>Workbook Bank</x:v>
      </x:c>
      <x:c r="F61" s="83" t="str">
        <x:v>II. Assessment and Planning</x:v>
      </x:c>
      <x:c r="G61" s="83" t="str">
        <x:v>Acute cognitive change</x:v>
      </x:c>
      <x:c r="H61" s="83" t="str">
        <x:v>Moderate</x:v>
      </x:c>
      <x:c r="I61" s="83" t="str">
        <x:v>Scenario-Based</x:v>
      </x:c>
      <x:c r="J61" s="83" t="n">
        <x:v>3</x:v>
      </x:c>
      <x:c r="K61" s="83" t="str">
        <x:v>A</x:v>
      </x:c>
      <x:c r="L61" s="83" t="n">
        <x:v>1</x:v>
      </x:c>
      <x:c r="M61" s="83" t="str"/>
      <x:c r="N61" s="83" t="str">
        <x:v>Released</x:v>
      </x:c>
      <x:c r="O61" s="89" t="str">
        <x:v>Workbook bank; reserve pool after controlled review</x:v>
      </x:c>
    </x:row>
    <x:row r="62">
      <x:c r="A62" s="88" t="str">
        <x:v>CTA-LCSW-MQB-0061</x:v>
      </x:c>
      <x:c r="B62" s="83" t="str">
        <x:v>LCSW-WB04-QB-Q010</x:v>
      </x:c>
      <x:c r="C62" s="83" t="str">
        <x:v>LCSW Workbook 4 Question Bank</x:v>
      </x:c>
      <x:c r="D62" s="83" t="n">
        <x:v>10</x:v>
      </x:c>
      <x:c r="E62" s="83" t="str">
        <x:v>Workbook Bank</x:v>
      </x:c>
      <x:c r="F62" s="83" t="str">
        <x:v>II. Assessment and Planning</x:v>
      </x:c>
      <x:c r="G62" s="83" t="str">
        <x:v>Medication access and side-effect barriers</x:v>
      </x:c>
      <x:c r="H62" s="83" t="str">
        <x:v>Moderate</x:v>
      </x:c>
      <x:c r="I62" s="83" t="str">
        <x:v>Scenario-Based</x:v>
      </x:c>
      <x:c r="J62" s="83" t="n">
        <x:v>3</x:v>
      </x:c>
      <x:c r="K62" s="83" t="str">
        <x:v>B</x:v>
      </x:c>
      <x:c r="L62" s="83" t="n">
        <x:v>1</x:v>
      </x:c>
      <x:c r="M62" s="83" t="str"/>
      <x:c r="N62" s="83" t="str">
        <x:v>Released</x:v>
      </x:c>
      <x:c r="O62" s="89" t="str">
        <x:v>Workbook bank; reserve pool after controlled review</x:v>
      </x:c>
    </x:row>
    <x:row r="63">
      <x:c r="A63" s="88" t="str">
        <x:v>CTA-LCSW-MQB-0062</x:v>
      </x:c>
      <x:c r="B63" s="83" t="str">
        <x:v>LCSW-WB04-QB-Q011</x:v>
      </x:c>
      <x:c r="C63" s="83" t="str">
        <x:v>LCSW Workbook 4 Question Bank</x:v>
      </x:c>
      <x:c r="D63" s="83" t="n">
        <x:v>11</x:v>
      </x:c>
      <x:c r="E63" s="83" t="str">
        <x:v>Workbook Bank</x:v>
      </x:c>
      <x:c r="F63" s="83" t="str">
        <x:v>II. Assessment and Planning</x:v>
      </x:c>
      <x:c r="G63" s="83" t="str">
        <x:v>Harm reduction and readiness</x:v>
      </x:c>
      <x:c r="H63" s="83" t="str">
        <x:v>Moderate</x:v>
      </x:c>
      <x:c r="I63" s="83" t="str">
        <x:v>Application</x:v>
      </x:c>
      <x:c r="J63" s="83" t="n">
        <x:v>3</x:v>
      </x:c>
      <x:c r="K63" s="83" t="str">
        <x:v>C</x:v>
      </x:c>
      <x:c r="L63" s="83" t="n">
        <x:v>1</x:v>
      </x:c>
      <x:c r="M63" s="83" t="str"/>
      <x:c r="N63" s="83" t="str">
        <x:v>Released</x:v>
      </x:c>
      <x:c r="O63" s="89" t="str">
        <x:v>Workbook bank; reserve pool after controlled review</x:v>
      </x:c>
    </x:row>
    <x:row r="64">
      <x:c r="A64" s="88" t="str">
        <x:v>CTA-LCSW-MQB-0063</x:v>
      </x:c>
      <x:c r="B64" s="83" t="str">
        <x:v>LCSW-WB04-QB-Q012</x:v>
      </x:c>
      <x:c r="C64" s="83" t="str">
        <x:v>LCSW Workbook 4 Question Bank</x:v>
      </x:c>
      <x:c r="D64" s="83" t="n">
        <x:v>12</x:v>
      </x:c>
      <x:c r="E64" s="83" t="str">
        <x:v>Workbook Bank</x:v>
      </x:c>
      <x:c r="F64" s="83" t="str">
        <x:v>II. Assessment and Planning</x:v>
      </x:c>
      <x:c r="G64" s="83" t="str">
        <x:v>Clarifying ambiguous symptoms</x:v>
      </x:c>
      <x:c r="H64" s="83" t="str">
        <x:v>Moderate</x:v>
      </x:c>
      <x:c r="I64" s="83" t="str">
        <x:v>Scenario-Based</x:v>
      </x:c>
      <x:c r="J64" s="83" t="n">
        <x:v>4</x:v>
      </x:c>
      <x:c r="K64" s="83" t="str">
        <x:v>D</x:v>
      </x:c>
      <x:c r="L64" s="83" t="n">
        <x:v>1</x:v>
      </x:c>
      <x:c r="M64" s="83" t="str"/>
      <x:c r="N64" s="83" t="str">
        <x:v>Released</x:v>
      </x:c>
      <x:c r="O64" s="89" t="str">
        <x:v>Workbook bank; reserve pool after controlled review</x:v>
      </x:c>
    </x:row>
    <x:row r="65">
      <x:c r="A65" s="88" t="str">
        <x:v>CTA-LCSW-MQB-0064</x:v>
      </x:c>
      <x:c r="B65" s="83" t="str">
        <x:v>LCSW-WB04-QB-Q013</x:v>
      </x:c>
      <x:c r="C65" s="83" t="str">
        <x:v>LCSW Workbook 4 Question Bank</x:v>
      </x:c>
      <x:c r="D65" s="83" t="n">
        <x:v>13</x:v>
      </x:c>
      <x:c r="E65" s="83" t="str">
        <x:v>Workbook Bank</x:v>
      </x:c>
      <x:c r="F65" s="83" t="str">
        <x:v>II. Assessment and Planning</x:v>
      </x:c>
      <x:c r="G65" s="83" t="str">
        <x:v>Accessible discharge planning</x:v>
      </x:c>
      <x:c r="H65" s="83" t="str">
        <x:v>Difficult</x:v>
      </x:c>
      <x:c r="I65" s="83" t="str">
        <x:v>Integrated Clinical Reasoning</x:v>
      </x:c>
      <x:c r="J65" s="83" t="n">
        <x:v>3</x:v>
      </x:c>
      <x:c r="K65" s="83" t="str">
        <x:v>A</x:v>
      </x:c>
      <x:c r="L65" s="83" t="n">
        <x:v>1</x:v>
      </x:c>
      <x:c r="M65" s="83" t="str"/>
      <x:c r="N65" s="83" t="str">
        <x:v>Released</x:v>
      </x:c>
      <x:c r="O65" s="89" t="str">
        <x:v>Workbook bank; reserve pool after controlled review</x:v>
      </x:c>
    </x:row>
    <x:row r="66">
      <x:c r="A66" s="88" t="str">
        <x:v>CTA-LCSW-MQB-0065</x:v>
      </x:c>
      <x:c r="B66" s="83" t="str">
        <x:v>LCSW-WB04-QB-Q014</x:v>
      </x:c>
      <x:c r="C66" s="83" t="str">
        <x:v>LCSW Workbook 4 Question Bank</x:v>
      </x:c>
      <x:c r="D66" s="83" t="n">
        <x:v>14</x:v>
      </x:c>
      <x:c r="E66" s="83" t="str">
        <x:v>Workbook Bank</x:v>
      </x:c>
      <x:c r="F66" s="83" t="str">
        <x:v>II. Assessment and Planning</x:v>
      </x:c>
      <x:c r="G66" s="83" t="str">
        <x:v>Cultural context and perception</x:v>
      </x:c>
      <x:c r="H66" s="83" t="str">
        <x:v>Difficult</x:v>
      </x:c>
      <x:c r="I66" s="83" t="str">
        <x:v>Scenario-Based</x:v>
      </x:c>
      <x:c r="J66" s="83" t="n">
        <x:v>3</x:v>
      </x:c>
      <x:c r="K66" s="83" t="str">
        <x:v>B</x:v>
      </x:c>
      <x:c r="L66" s="83" t="n">
        <x:v>1</x:v>
      </x:c>
      <x:c r="M66" s="83" t="str"/>
      <x:c r="N66" s="83" t="str">
        <x:v>Released</x:v>
      </x:c>
      <x:c r="O66" s="89" t="str">
        <x:v>Workbook bank; reserve pool after controlled review</x:v>
      </x:c>
    </x:row>
    <x:row r="67">
      <x:c r="A67" s="88" t="str">
        <x:v>CTA-LCSW-MQB-0066</x:v>
      </x:c>
      <x:c r="B67" s="83" t="str">
        <x:v>LCSW-WB04-QB-Q015</x:v>
      </x:c>
      <x:c r="C67" s="83" t="str">
        <x:v>LCSW Workbook 4 Question Bank</x:v>
      </x:c>
      <x:c r="D67" s="83" t="n">
        <x:v>15</x:v>
      </x:c>
      <x:c r="E67" s="83" t="str">
        <x:v>Workbook Bank</x:v>
      </x:c>
      <x:c r="F67" s="83" t="str">
        <x:v>II. Assessment and Planning</x:v>
      </x:c>
      <x:c r="G67" s="83" t="str">
        <x:v>Communication access versus behavior label</x:v>
      </x:c>
      <x:c r="H67" s="83" t="str">
        <x:v>Difficult</x:v>
      </x:c>
      <x:c r="I67" s="83" t="str">
        <x:v>Integrated Clinical Reasoning</x:v>
      </x:c>
      <x:c r="J67" s="83" t="n">
        <x:v>4</x:v>
      </x:c>
      <x:c r="K67" s="83" t="str">
        <x:v>C</x:v>
      </x:c>
      <x:c r="L67" s="83" t="n">
        <x:v>1</x:v>
      </x:c>
      <x:c r="M67" s="83" t="str"/>
      <x:c r="N67" s="83" t="str">
        <x:v>Released</x:v>
      </x:c>
      <x:c r="O67" s="89" t="str">
        <x:v>Workbook bank; reserve pool after controlled review</x:v>
      </x:c>
    </x:row>
    <x:row r="68">
      <x:c r="A68" s="88" t="str">
        <x:v>CTA-LCSW-MQB-0067</x:v>
      </x:c>
      <x:c r="B68" s="83" t="str">
        <x:v>LCSW-WB04-QB-Q016</x:v>
      </x:c>
      <x:c r="C68" s="83" t="str">
        <x:v>LCSW Workbook 4 Question Bank</x:v>
      </x:c>
      <x:c r="D68" s="83" t="n">
        <x:v>16</x:v>
      </x:c>
      <x:c r="E68" s="83" t="str">
        <x:v>Workbook Bank</x:v>
      </x:c>
      <x:c r="F68" s="83" t="str">
        <x:v>II. Assessment and Planning</x:v>
      </x:c>
      <x:c r="G68" s="83" t="str">
        <x:v>Potentially dangerous withdrawal</x:v>
      </x:c>
      <x:c r="H68" s="83" t="str">
        <x:v>Difficult</x:v>
      </x:c>
      <x:c r="I68" s="83" t="str">
        <x:v>Scenario-Based</x:v>
      </x:c>
      <x:c r="J68" s="83" t="n">
        <x:v>4</x:v>
      </x:c>
      <x:c r="K68" s="83" t="str">
        <x:v>D</x:v>
      </x:c>
      <x:c r="L68" s="83" t="n">
        <x:v>1</x:v>
      </x:c>
      <x:c r="M68" s="83" t="str"/>
      <x:c r="N68" s="83" t="str">
        <x:v>Released</x:v>
      </x:c>
      <x:c r="O68" s="89" t="str">
        <x:v>Workbook bank; reserve pool after controlled review</x:v>
      </x:c>
    </x:row>
    <x:row r="69">
      <x:c r="A69" s="88" t="str">
        <x:v>CTA-LCSW-MQB-0068</x:v>
      </x:c>
      <x:c r="B69" s="83" t="str">
        <x:v>LCSW-WB04-QB-Q017</x:v>
      </x:c>
      <x:c r="C69" s="83" t="str">
        <x:v>LCSW Workbook 4 Question Bank</x:v>
      </x:c>
      <x:c r="D69" s="83" t="n">
        <x:v>17</x:v>
      </x:c>
      <x:c r="E69" s="83" t="str">
        <x:v>Workbook Bank</x:v>
      </x:c>
      <x:c r="F69" s="83" t="str">
        <x:v>II. Assessment and Planning</x:v>
      </x:c>
      <x:c r="G69" s="83" t="str">
        <x:v>Integrated person-in-environment priority setting</x:v>
      </x:c>
      <x:c r="H69" s="83" t="str">
        <x:v>Difficult</x:v>
      </x:c>
      <x:c r="I69" s="83" t="str">
        <x:v>Integrated Clinical Reasoning</x:v>
      </x:c>
      <x:c r="J69" s="83" t="n">
        <x:v>3</x:v>
      </x:c>
      <x:c r="K69" s="83" t="str">
        <x:v>A</x:v>
      </x:c>
      <x:c r="L69" s="83" t="n">
        <x:v>1</x:v>
      </x:c>
      <x:c r="M69" s="83" t="str"/>
      <x:c r="N69" s="83" t="str">
        <x:v>Released</x:v>
      </x:c>
      <x:c r="O69" s="89" t="str">
        <x:v>Workbook bank; reserve pool after controlled review</x:v>
      </x:c>
    </x:row>
    <x:row r="70">
      <x:c r="A70" s="88" t="str">
        <x:v>CTA-LCSW-MQB-0069</x:v>
      </x:c>
      <x:c r="B70" s="83" t="str">
        <x:v>LCSW-WB05-QB-Q001</x:v>
      </x:c>
      <x:c r="C70" s="83" t="str">
        <x:v>LCSW Workbook 5 Question Bank</x:v>
      </x:c>
      <x:c r="D70" s="83" t="n">
        <x:v>1</x:v>
      </x:c>
      <x:c r="E70" s="83" t="str">
        <x:v>Workbook Bank</x:v>
      </x:c>
      <x:c r="F70" s="83" t="str">
        <x:v>II. Assessment and Planning</x:v>
      </x:c>
      <x:c r="G70" s="83" t="str">
        <x:v>Differential diagnosis</x:v>
      </x:c>
      <x:c r="H70" s="83" t="str">
        <x:v>Easy</x:v>
      </x:c>
      <x:c r="I70" s="83" t="str">
        <x:v>Knowledge &amp; Recall</x:v>
      </x:c>
      <x:c r="J70" s="83" t="n">
        <x:v>3</x:v>
      </x:c>
      <x:c r="K70" s="83" t="str">
        <x:v>B</x:v>
      </x:c>
      <x:c r="L70" s="83" t="n">
        <x:v>1</x:v>
      </x:c>
      <x:c r="M70" s="83" t="str"/>
      <x:c r="N70" s="83" t="str">
        <x:v>Released</x:v>
      </x:c>
      <x:c r="O70" s="89" t="str">
        <x:v>Workbook bank; reserve pool after controlled review</x:v>
      </x:c>
    </x:row>
    <x:row r="71">
      <x:c r="A71" s="88" t="str">
        <x:v>CTA-LCSW-MQB-0070</x:v>
      </x:c>
      <x:c r="B71" s="83" t="str">
        <x:v>LCSW-WB05-QB-Q002</x:v>
      </x:c>
      <x:c r="C71" s="83" t="str">
        <x:v>LCSW Workbook 5 Question Bank</x:v>
      </x:c>
      <x:c r="D71" s="83" t="n">
        <x:v>2</x:v>
      </x:c>
      <x:c r="E71" s="83" t="str">
        <x:v>Workbook Bank</x:v>
      </x:c>
      <x:c r="F71" s="83" t="str">
        <x:v>II. Assessment and Planning</x:v>
      </x:c>
      <x:c r="G71" s="83" t="str">
        <x:v>Psychopharmacology scope</x:v>
      </x:c>
      <x:c r="H71" s="83" t="str">
        <x:v>Easy</x:v>
      </x:c>
      <x:c r="I71" s="83" t="str">
        <x:v>Knowledge &amp; Recall</x:v>
      </x:c>
      <x:c r="J71" s="83" t="n">
        <x:v>3</x:v>
      </x:c>
      <x:c r="K71" s="83" t="str">
        <x:v>A</x:v>
      </x:c>
      <x:c r="L71" s="83" t="n">
        <x:v>1</x:v>
      </x:c>
      <x:c r="M71" s="83" t="str"/>
      <x:c r="N71" s="83" t="str">
        <x:v>Released</x:v>
      </x:c>
      <x:c r="O71" s="89" t="str">
        <x:v>Workbook bank; reserve pool after controlled review</x:v>
      </x:c>
    </x:row>
    <x:row r="72">
      <x:c r="A72" s="88" t="str">
        <x:v>CTA-LCSW-MQB-0071</x:v>
      </x:c>
      <x:c r="B72" s="83" t="str">
        <x:v>LCSW-WB05-QB-Q003</x:v>
      </x:c>
      <x:c r="C72" s="83" t="str">
        <x:v>LCSW Workbook 5 Question Bank</x:v>
      </x:c>
      <x:c r="D72" s="83" t="n">
        <x:v>3</x:v>
      </x:c>
      <x:c r="E72" s="83" t="str">
        <x:v>Workbook Bank</x:v>
      </x:c>
      <x:c r="F72" s="83" t="str">
        <x:v>II. Assessment and Planning</x:v>
      </x:c>
      <x:c r="G72" s="83" t="str">
        <x:v>Acute cognitive change</x:v>
      </x:c>
      <x:c r="H72" s="83" t="str">
        <x:v>Easy</x:v>
      </x:c>
      <x:c r="I72" s="83" t="str">
        <x:v>Knowledge &amp; Recall</x:v>
      </x:c>
      <x:c r="J72" s="83" t="n">
        <x:v>4</x:v>
      </x:c>
      <x:c r="K72" s="83" t="str">
        <x:v>C</x:v>
      </x:c>
      <x:c r="L72" s="83" t="n">
        <x:v>1</x:v>
      </x:c>
      <x:c r="M72" s="83" t="str"/>
      <x:c r="N72" s="83" t="str">
        <x:v>Released</x:v>
      </x:c>
      <x:c r="O72" s="89" t="str">
        <x:v>Workbook bank; reserve pool after controlled review</x:v>
      </x:c>
    </x:row>
    <x:row r="73">
      <x:c r="A73" s="88" t="str">
        <x:v>CTA-LCSW-MQB-0072</x:v>
      </x:c>
      <x:c r="B73" s="83" t="str">
        <x:v>LCSW-WB05-QB-Q004</x:v>
      </x:c>
      <x:c r="C73" s="83" t="str">
        <x:v>LCSW Workbook 5 Question Bank</x:v>
      </x:c>
      <x:c r="D73" s="83" t="n">
        <x:v>4</x:v>
      </x:c>
      <x:c r="E73" s="83" t="str">
        <x:v>Workbook Bank</x:v>
      </x:c>
      <x:c r="F73" s="83" t="str">
        <x:v>II. Assessment and Planning</x:v>
      </x:c>
      <x:c r="G73" s="83" t="str">
        <x:v>Contextual conditions</x:v>
      </x:c>
      <x:c r="H73" s="83" t="str">
        <x:v>Easy</x:v>
      </x:c>
      <x:c r="I73" s="83" t="str">
        <x:v>Knowledge &amp; Recall</x:v>
      </x:c>
      <x:c r="J73" s="83" t="n">
        <x:v>4</x:v>
      </x:c>
      <x:c r="K73" s="83" t="str">
        <x:v>D</x:v>
      </x:c>
      <x:c r="L73" s="83" t="n">
        <x:v>1</x:v>
      </x:c>
      <x:c r="M73" s="83" t="str"/>
      <x:c r="N73" s="83" t="str">
        <x:v>Released</x:v>
      </x:c>
      <x:c r="O73" s="89" t="str">
        <x:v>Workbook bank; reserve pool after controlled review</x:v>
      </x:c>
    </x:row>
    <x:row r="74">
      <x:c r="A74" s="88" t="str">
        <x:v>CTA-LCSW-MQB-0073</x:v>
      </x:c>
      <x:c r="B74" s="83" t="str">
        <x:v>LCSW-WB05-QB-Q005</x:v>
      </x:c>
      <x:c r="C74" s="83" t="str">
        <x:v>LCSW Workbook 5 Question Bank</x:v>
      </x:c>
      <x:c r="D74" s="83" t="n">
        <x:v>5</x:v>
      </x:c>
      <x:c r="E74" s="83" t="str">
        <x:v>Workbook Bank</x:v>
      </x:c>
      <x:c r="F74" s="83" t="str">
        <x:v>II. Assessment and Planning</x:v>
      </x:c>
      <x:c r="G74" s="83" t="str">
        <x:v>Medication adherence barriers</x:v>
      </x:c>
      <x:c r="H74" s="83" t="str">
        <x:v>Easy</x:v>
      </x:c>
      <x:c r="I74" s="83" t="str">
        <x:v>Knowledge &amp; Recall</x:v>
      </x:c>
      <x:c r="J74" s="83" t="n">
        <x:v>3</x:v>
      </x:c>
      <x:c r="K74" s="83" t="str">
        <x:v>A</x:v>
      </x:c>
      <x:c r="L74" s="83" t="n">
        <x:v>1</x:v>
      </x:c>
      <x:c r="M74" s="83" t="str"/>
      <x:c r="N74" s="83" t="str">
        <x:v>Released</x:v>
      </x:c>
      <x:c r="O74" s="89" t="str">
        <x:v>Workbook bank; reserve pool after controlled review</x:v>
      </x:c>
    </x:row>
    <x:row r="75">
      <x:c r="A75" s="88" t="str">
        <x:v>CTA-LCSW-MQB-0074</x:v>
      </x:c>
      <x:c r="B75" s="83" t="str">
        <x:v>LCSW-WB05-QB-Q006</x:v>
      </x:c>
      <x:c r="C75" s="83" t="str">
        <x:v>LCSW Workbook 5 Question Bank</x:v>
      </x:c>
      <x:c r="D75" s="83" t="n">
        <x:v>6</x:v>
      </x:c>
      <x:c r="E75" s="83" t="str">
        <x:v>Workbook Bank</x:v>
      </x:c>
      <x:c r="F75" s="83" t="str">
        <x:v>II. Assessment and Planning</x:v>
      </x:c>
      <x:c r="G75" s="83" t="str">
        <x:v>Bereavement and depression</x:v>
      </x:c>
      <x:c r="H75" s="83" t="str">
        <x:v>Moderate</x:v>
      </x:c>
      <x:c r="I75" s="83" t="str">
        <x:v>Application</x:v>
      </x:c>
      <x:c r="J75" s="83" t="n">
        <x:v>3</x:v>
      </x:c>
      <x:c r="K75" s="83" t="str">
        <x:v>B</x:v>
      </x:c>
      <x:c r="L75" s="83" t="n">
        <x:v>1</x:v>
      </x:c>
      <x:c r="M75" s="83" t="str"/>
      <x:c r="N75" s="83" t="str">
        <x:v>Released</x:v>
      </x:c>
      <x:c r="O75" s="89" t="str">
        <x:v>Workbook bank; reserve pool after controlled review</x:v>
      </x:c>
    </x:row>
    <x:row r="76">
      <x:c r="A76" s="88" t="str">
        <x:v>CTA-LCSW-MQB-0075</x:v>
      </x:c>
      <x:c r="B76" s="83" t="str">
        <x:v>LCSW-WB05-QB-Q007</x:v>
      </x:c>
      <x:c r="C76" s="83" t="str">
        <x:v>LCSW Workbook 5 Question Bank</x:v>
      </x:c>
      <x:c r="D76" s="83" t="n">
        <x:v>7</x:v>
      </x:c>
      <x:c r="E76" s="83" t="str">
        <x:v>Workbook Bank</x:v>
      </x:c>
      <x:c r="F76" s="83" t="str">
        <x:v>II. Assessment and Planning</x:v>
      </x:c>
      <x:c r="G76" s="83" t="str">
        <x:v>Child attention differential</x:v>
      </x:c>
      <x:c r="H76" s="83" t="str">
        <x:v>Moderate</x:v>
      </x:c>
      <x:c r="I76" s="83" t="str">
        <x:v>Application</x:v>
      </x:c>
      <x:c r="J76" s="83" t="n">
        <x:v>4</x:v>
      </x:c>
      <x:c r="K76" s="83" t="str">
        <x:v>C</x:v>
      </x:c>
      <x:c r="L76" s="83" t="n">
        <x:v>1</x:v>
      </x:c>
      <x:c r="M76" s="83" t="str"/>
      <x:c r="N76" s="83" t="str">
        <x:v>Released</x:v>
      </x:c>
      <x:c r="O76" s="89" t="str">
        <x:v>Workbook bank; reserve pool after controlled review</x:v>
      </x:c>
    </x:row>
    <x:row r="77">
      <x:c r="A77" s="88" t="str">
        <x:v>CTA-LCSW-MQB-0076</x:v>
      </x:c>
      <x:c r="B77" s="83" t="str">
        <x:v>LCSW-WB05-QB-Q008</x:v>
      </x:c>
      <x:c r="C77" s="83" t="str">
        <x:v>LCSW Workbook 5 Question Bank</x:v>
      </x:c>
      <x:c r="D77" s="83" t="n">
        <x:v>8</x:v>
      </x:c>
      <x:c r="E77" s="83" t="str">
        <x:v>Workbook Bank</x:v>
      </x:c>
      <x:c r="F77" s="83" t="str">
        <x:v>II. Assessment and Planning</x:v>
      </x:c>
      <x:c r="G77" s="83" t="str">
        <x:v>Medication access and side effects</x:v>
      </x:c>
      <x:c r="H77" s="83" t="str">
        <x:v>Moderate</x:v>
      </x:c>
      <x:c r="I77" s="83" t="str">
        <x:v>Scenario-Based</x:v>
      </x:c>
      <x:c r="J77" s="83" t="n">
        <x:v>4</x:v>
      </x:c>
      <x:c r="K77" s="83" t="str">
        <x:v>D</x:v>
      </x:c>
      <x:c r="L77" s="83" t="n">
        <x:v>1</x:v>
      </x:c>
      <x:c r="M77" s="83" t="str"/>
      <x:c r="N77" s="83" t="str">
        <x:v>Released</x:v>
      </x:c>
      <x:c r="O77" s="89" t="str">
        <x:v>Workbook bank; reserve pool after controlled review</x:v>
      </x:c>
    </x:row>
    <x:row r="78">
      <x:c r="A78" s="88" t="str">
        <x:v>CTA-LCSW-MQB-0077</x:v>
      </x:c>
      <x:c r="B78" s="83" t="str">
        <x:v>LCSW-WB05-QB-Q009</x:v>
      </x:c>
      <x:c r="C78" s="83" t="str">
        <x:v>LCSW Workbook 5 Question Bank</x:v>
      </x:c>
      <x:c r="D78" s="83" t="n">
        <x:v>9</x:v>
      </x:c>
      <x:c r="E78" s="83" t="str">
        <x:v>Workbook Bank</x:v>
      </x:c>
      <x:c r="F78" s="83" t="str">
        <x:v>II. Assessment and Planning</x:v>
      </x:c>
      <x:c r="G78" s="83" t="str">
        <x:v>Primary versus substance-induced psychosis</x:v>
      </x:c>
      <x:c r="H78" s="83" t="str">
        <x:v>Moderate</x:v>
      </x:c>
      <x:c r="I78" s="83" t="str">
        <x:v>Scenario-Based</x:v>
      </x:c>
      <x:c r="J78" s="83" t="n">
        <x:v>3</x:v>
      </x:c>
      <x:c r="K78" s="83" t="str">
        <x:v>A</x:v>
      </x:c>
      <x:c r="L78" s="83" t="n">
        <x:v>1</x:v>
      </x:c>
      <x:c r="M78" s="83" t="str"/>
      <x:c r="N78" s="83" t="str">
        <x:v>Released</x:v>
      </x:c>
      <x:c r="O78" s="89" t="str">
        <x:v>Workbook bank; reserve pool after controlled review</x:v>
      </x:c>
    </x:row>
    <x:row r="79">
      <x:c r="A79" s="88" t="str">
        <x:v>CTA-LCSW-MQB-0078</x:v>
      </x:c>
      <x:c r="B79" s="83" t="str">
        <x:v>LCSW-WB05-QB-Q010</x:v>
      </x:c>
      <x:c r="C79" s="83" t="str">
        <x:v>LCSW Workbook 5 Question Bank</x:v>
      </x:c>
      <x:c r="D79" s="83" t="n">
        <x:v>10</x:v>
      </x:c>
      <x:c r="E79" s="83" t="str">
        <x:v>Workbook Bank</x:v>
      </x:c>
      <x:c r="F79" s="83" t="str">
        <x:v>II. Assessment and Planning</x:v>
      </x:c>
      <x:c r="G79" s="83" t="str">
        <x:v>Somatic symptom assessment</x:v>
      </x:c>
      <x:c r="H79" s="83" t="str">
        <x:v>Moderate</x:v>
      </x:c>
      <x:c r="I79" s="83" t="str">
        <x:v>Application</x:v>
      </x:c>
      <x:c r="J79" s="83" t="n">
        <x:v>3</x:v>
      </x:c>
      <x:c r="K79" s="83" t="str">
        <x:v>B</x:v>
      </x:c>
      <x:c r="L79" s="83" t="n">
        <x:v>1</x:v>
      </x:c>
      <x:c r="M79" s="83" t="str"/>
      <x:c r="N79" s="83" t="str">
        <x:v>Released</x:v>
      </x:c>
      <x:c r="O79" s="89" t="str">
        <x:v>Workbook bank; reserve pool after controlled review</x:v>
      </x:c>
    </x:row>
    <x:row r="80">
      <x:c r="A80" s="88" t="str">
        <x:v>CTA-LCSW-MQB-0079</x:v>
      </x:c>
      <x:c r="B80" s="83" t="str">
        <x:v>LCSW-WB05-QB-Q011</x:v>
      </x:c>
      <x:c r="C80" s="83" t="str">
        <x:v>LCSW Workbook 5 Question Bank</x:v>
      </x:c>
      <x:c r="D80" s="83" t="n">
        <x:v>11</x:v>
      </x:c>
      <x:c r="E80" s="83" t="str">
        <x:v>Workbook Bank</x:v>
      </x:c>
      <x:c r="F80" s="83" t="str">
        <x:v>II. Assessment and Planning</x:v>
      </x:c>
      <x:c r="G80" s="83" t="str">
        <x:v>Alcohol withdrawal risk</x:v>
      </x:c>
      <x:c r="H80" s="83" t="str">
        <x:v>Moderate</x:v>
      </x:c>
      <x:c r="I80" s="83" t="str">
        <x:v>Scenario-Based</x:v>
      </x:c>
      <x:c r="J80" s="83" t="n">
        <x:v>3</x:v>
      </x:c>
      <x:c r="K80" s="83" t="str">
        <x:v>C</x:v>
      </x:c>
      <x:c r="L80" s="83" t="n">
        <x:v>1</x:v>
      </x:c>
      <x:c r="M80" s="83" t="str"/>
      <x:c r="N80" s="83" t="str">
        <x:v>Released</x:v>
      </x:c>
      <x:c r="O80" s="89" t="str">
        <x:v>Workbook bank; reserve pool after controlled review</x:v>
      </x:c>
    </x:row>
    <x:row r="81">
      <x:c r="A81" s="88" t="str">
        <x:v>CTA-LCSW-MQB-0080</x:v>
      </x:c>
      <x:c r="B81" s="83" t="str">
        <x:v>LCSW-WB05-QB-Q012</x:v>
      </x:c>
      <x:c r="C81" s="83" t="str">
        <x:v>LCSW Workbook 5 Question Bank</x:v>
      </x:c>
      <x:c r="D81" s="83" t="n">
        <x:v>12</x:v>
      </x:c>
      <x:c r="E81" s="83" t="str">
        <x:v>Workbook Bank</x:v>
      </x:c>
      <x:c r="F81" s="83" t="str">
        <x:v>II. Assessment and Planning</x:v>
      </x:c>
      <x:c r="G81" s="83" t="str">
        <x:v>Possible medication side effect</x:v>
      </x:c>
      <x:c r="H81" s="83" t="str">
        <x:v>Moderate</x:v>
      </x:c>
      <x:c r="I81" s="83" t="str">
        <x:v>Scenario-Based</x:v>
      </x:c>
      <x:c r="J81" s="83" t="n">
        <x:v>4</x:v>
      </x:c>
      <x:c r="K81" s="83" t="str">
        <x:v>D</x:v>
      </x:c>
      <x:c r="L81" s="83" t="n">
        <x:v>1</x:v>
      </x:c>
      <x:c r="M81" s="83" t="str"/>
      <x:c r="N81" s="83" t="str">
        <x:v>Released</x:v>
      </x:c>
      <x:c r="O81" s="89" t="str">
        <x:v>Workbook bank; reserve pool after controlled review</x:v>
      </x:c>
    </x:row>
    <x:row r="82">
      <x:c r="A82" s="88" t="str">
        <x:v>CTA-LCSW-MQB-0081</x:v>
      </x:c>
      <x:c r="B82" s="83" t="str">
        <x:v>LCSW-WB05-QB-Q013</x:v>
      </x:c>
      <x:c r="C82" s="83" t="str">
        <x:v>LCSW Workbook 5 Question Bank</x:v>
      </x:c>
      <x:c r="D82" s="83" t="n">
        <x:v>13</x:v>
      </x:c>
      <x:c r="E82" s="83" t="str">
        <x:v>Workbook Bank</x:v>
      </x:c>
      <x:c r="F82" s="83" t="str">
        <x:v>II. Assessment and Planning</x:v>
      </x:c>
      <x:c r="G82" s="83" t="str">
        <x:v>Integrated person-in-environment assessment</x:v>
      </x:c>
      <x:c r="H82" s="83" t="str">
        <x:v>Difficult</x:v>
      </x:c>
      <x:c r="I82" s="83" t="str">
        <x:v>Integrated Clinical Reasoning</x:v>
      </x:c>
      <x:c r="J82" s="83" t="n">
        <x:v>3</x:v>
      </x:c>
      <x:c r="K82" s="83" t="str">
        <x:v>A</x:v>
      </x:c>
      <x:c r="L82" s="83" t="n">
        <x:v>1</x:v>
      </x:c>
      <x:c r="M82" s="83" t="str"/>
      <x:c r="N82" s="83" t="str">
        <x:v>Released</x:v>
      </x:c>
      <x:c r="O82" s="89" t="str">
        <x:v>Workbook bank; reserve pool after controlled review</x:v>
      </x:c>
    </x:row>
    <x:row r="83">
      <x:c r="A83" s="88" t="str">
        <x:v>CTA-LCSW-MQB-0082</x:v>
      </x:c>
      <x:c r="B83" s="83" t="str">
        <x:v>LCSW-WB05-QB-Q014</x:v>
      </x:c>
      <x:c r="C83" s="83" t="str">
        <x:v>LCSW Workbook 5 Question Bank</x:v>
      </x:c>
      <x:c r="D83" s="83" t="n">
        <x:v>14</x:v>
      </x:c>
      <x:c r="E83" s="83" t="str">
        <x:v>Workbook Bank</x:v>
      </x:c>
      <x:c r="F83" s="83" t="str">
        <x:v>II. Assessment and Planning</x:v>
      </x:c>
      <x:c r="G83" s="83" t="str">
        <x:v>Grief, depression, cognition, and placement</x:v>
      </x:c>
      <x:c r="H83" s="83" t="str">
        <x:v>Difficult</x:v>
      </x:c>
      <x:c r="I83" s="83" t="str">
        <x:v>Integrated Clinical Reasoning</x:v>
      </x:c>
      <x:c r="J83" s="83" t="n">
        <x:v>3</x:v>
      </x:c>
      <x:c r="K83" s="83" t="str">
        <x:v>B</x:v>
      </x:c>
      <x:c r="L83" s="83" t="n">
        <x:v>1</x:v>
      </x:c>
      <x:c r="M83" s="83" t="str"/>
      <x:c r="N83" s="83" t="str">
        <x:v>Released</x:v>
      </x:c>
      <x:c r="O83" s="89" t="str">
        <x:v>Workbook bank; reserve pool after controlled review</x:v>
      </x:c>
    </x:row>
    <x:row r="84">
      <x:c r="A84" s="88" t="str">
        <x:v>CTA-LCSW-MQB-0083</x:v>
      </x:c>
      <x:c r="B84" s="83" t="str">
        <x:v>LCSW-WB05-QB-Q015</x:v>
      </x:c>
      <x:c r="C84" s="83" t="str">
        <x:v>LCSW Workbook 5 Question Bank</x:v>
      </x:c>
      <x:c r="D84" s="83" t="n">
        <x:v>15</x:v>
      </x:c>
      <x:c r="E84" s="83" t="str">
        <x:v>Workbook Bank</x:v>
      </x:c>
      <x:c r="F84" s="83" t="str">
        <x:v>II. Assessment and Planning</x:v>
      </x:c>
      <x:c r="G84" s="83" t="str">
        <x:v>Pregnancy and medication coordination</x:v>
      </x:c>
      <x:c r="H84" s="83" t="str">
        <x:v>Difficult</x:v>
      </x:c>
      <x:c r="I84" s="83" t="str">
        <x:v>Integrated Clinical Reasoning</x:v>
      </x:c>
      <x:c r="J84" s="83" t="n">
        <x:v>4</x:v>
      </x:c>
      <x:c r="K84" s="83" t="str">
        <x:v>C</x:v>
      </x:c>
      <x:c r="L84" s="83" t="n">
        <x:v>1</x:v>
      </x:c>
      <x:c r="M84" s="83" t="str"/>
      <x:c r="N84" s="83" t="str">
        <x:v>Released</x:v>
      </x:c>
      <x:c r="O84" s="89" t="str">
        <x:v>Workbook bank; reserve pool after controlled review</x:v>
      </x:c>
    </x:row>
    <x:row r="85">
      <x:c r="A85" s="88" t="str">
        <x:v>CTA-LCSW-MQB-0084</x:v>
      </x:c>
      <x:c r="B85" s="83" t="str">
        <x:v>LCSW-WB05-QB-Q016</x:v>
      </x:c>
      <x:c r="C85" s="83" t="str">
        <x:v>LCSW Workbook 5 Question Bank</x:v>
      </x:c>
      <x:c r="D85" s="83" t="n">
        <x:v>16</x:v>
      </x:c>
      <x:c r="E85" s="83" t="str">
        <x:v>Workbook Bank</x:v>
      </x:c>
      <x:c r="F85" s="83" t="str">
        <x:v>II. Assessment and Planning</x:v>
      </x:c>
      <x:c r="G85" s="83" t="str">
        <x:v>Overdose, parenting, readiness, and concrete needs</x:v>
      </x:c>
      <x:c r="H85" s="83" t="str">
        <x:v>Difficult</x:v>
      </x:c>
      <x:c r="I85" s="83" t="str">
        <x:v>Integrated Clinical Reasoning</x:v>
      </x:c>
      <x:c r="J85" s="83" t="n">
        <x:v>4</x:v>
      </x:c>
      <x:c r="K85" s="83" t="str">
        <x:v>D</x:v>
      </x:c>
      <x:c r="L85" s="83" t="n">
        <x:v>1</x:v>
      </x:c>
      <x:c r="M85" s="83" t="str"/>
      <x:c r="N85" s="83" t="str">
        <x:v>Released</x:v>
      </x:c>
      <x:c r="O85" s="89" t="str">
        <x:v>Workbook bank; reserve pool after controlled review</x:v>
      </x:c>
    </x:row>
    <x:row r="86">
      <x:c r="A86" s="88" t="str">
        <x:v>CTA-LCSW-MQB-0085</x:v>
      </x:c>
      <x:c r="B86" s="83" t="str">
        <x:v>LCSW-WB05-QB-Q017</x:v>
      </x:c>
      <x:c r="C86" s="83" t="str">
        <x:v>LCSW Workbook 5 Question Bank</x:v>
      </x:c>
      <x:c r="D86" s="83" t="n">
        <x:v>17</x:v>
      </x:c>
      <x:c r="E86" s="83" t="str">
        <x:v>Workbook Bank</x:v>
      </x:c>
      <x:c r="F86" s="83" t="str">
        <x:v>II. Assessment and Planning</x:v>
      </x:c>
      <x:c r="G86" s="83" t="str">
        <x:v>Integrated health, depression, and access barriers</x:v>
      </x:c>
      <x:c r="H86" s="83" t="str">
        <x:v>Difficult</x:v>
      </x:c>
      <x:c r="I86" s="83" t="str">
        <x:v>Integrated Clinical Reasoning</x:v>
      </x:c>
      <x:c r="J86" s="83" t="n">
        <x:v>3</x:v>
      </x:c>
      <x:c r="K86" s="83" t="str">
        <x:v>A</x:v>
      </x:c>
      <x:c r="L86" s="83" t="n">
        <x:v>1</x:v>
      </x:c>
      <x:c r="M86" s="83" t="str"/>
      <x:c r="N86" s="83" t="str">
        <x:v>Released</x:v>
      </x:c>
      <x:c r="O86" s="89" t="str">
        <x:v>Workbook bank; reserve pool after controlled review</x:v>
      </x:c>
    </x:row>
    <x:row r="87">
      <x:c r="A87" s="88" t="str">
        <x:v>CTA-LCSW-MQB-0086</x:v>
      </x:c>
      <x:c r="B87" s="83" t="str">
        <x:v>LCSW-WB06-QB-Q001</x:v>
      </x:c>
      <x:c r="C87" s="83" t="str">
        <x:v>LCSW Workbook 6 Question Bank</x:v>
      </x:c>
      <x:c r="D87" s="83" t="n">
        <x:v>1</x:v>
      </x:c>
      <x:c r="E87" s="83" t="str">
        <x:v>Workbook Bank</x:v>
      </x:c>
      <x:c r="F87" s="83" t="str">
        <x:v>II. Assessment and Planning</x:v>
      </x:c>
      <x:c r="G87" s="83" t="str">
        <x:v>National jurisdiction discipline</x:v>
      </x:c>
      <x:c r="H87" s="83" t="str">
        <x:v>Easy</x:v>
      </x:c>
      <x:c r="I87" s="83" t="str">
        <x:v>Knowledge &amp; Recall</x:v>
      </x:c>
      <x:c r="J87" s="83" t="n">
        <x:v>3</x:v>
      </x:c>
      <x:c r="K87" s="83" t="str">
        <x:v>B</x:v>
      </x:c>
      <x:c r="L87" s="83" t="n">
        <x:v>1</x:v>
      </x:c>
      <x:c r="M87" s="83" t="str"/>
      <x:c r="N87" s="83" t="str">
        <x:v>Released</x:v>
      </x:c>
      <x:c r="O87" s="89" t="str">
        <x:v>Workbook bank; reserve pool after controlled review</x:v>
      </x:c>
    </x:row>
    <x:row r="88">
      <x:c r="A88" s="88" t="str">
        <x:v>CTA-LCSW-MQB-0087</x:v>
      </x:c>
      <x:c r="B88" s="83" t="str">
        <x:v>LCSW-WB06-QB-Q002</x:v>
      </x:c>
      <x:c r="C88" s="83" t="str">
        <x:v>LCSW Workbook 6 Question Bank</x:v>
      </x:c>
      <x:c r="D88" s="83" t="n">
        <x:v>2</x:v>
      </x:c>
      <x:c r="E88" s="83" t="str">
        <x:v>Workbook Bank</x:v>
      </x:c>
      <x:c r="F88" s="83" t="str">
        <x:v>II. Assessment and Planning</x:v>
      </x:c>
      <x:c r="G88" s="83" t="str">
        <x:v>Person-in-environment referral feasibility</x:v>
      </x:c>
      <x:c r="H88" s="83" t="str">
        <x:v>Easy</x:v>
      </x:c>
      <x:c r="I88" s="83" t="str">
        <x:v>Application</x:v>
      </x:c>
      <x:c r="J88" s="83" t="n">
        <x:v>3</x:v>
      </x:c>
      <x:c r="K88" s="83" t="str">
        <x:v>A</x:v>
      </x:c>
      <x:c r="L88" s="83" t="n">
        <x:v>1</x:v>
      </x:c>
      <x:c r="M88" s="83" t="str"/>
      <x:c r="N88" s="83" t="str">
        <x:v>Released</x:v>
      </x:c>
      <x:c r="O88" s="89" t="str">
        <x:v>Workbook bank; reserve pool after controlled review</x:v>
      </x:c>
    </x:row>
    <x:row r="89">
      <x:c r="A89" s="88" t="str">
        <x:v>CTA-LCSW-MQB-0088</x:v>
      </x:c>
      <x:c r="B89" s="83" t="str">
        <x:v>LCSW-WB06-QB-Q003</x:v>
      </x:c>
      <x:c r="C89" s="83" t="str">
        <x:v>LCSW Workbook 6 Question Bank</x:v>
      </x:c>
      <x:c r="D89" s="83" t="n">
        <x:v>3</x:v>
      </x:c>
      <x:c r="E89" s="83" t="str">
        <x:v>Workbook Bank</x:v>
      </x:c>
      <x:c r="F89" s="83" t="str">
        <x:v>II. Assessment and Planning</x:v>
      </x:c>
      <x:c r="G89" s="83" t="str">
        <x:v>Least restrictive safe response</x:v>
      </x:c>
      <x:c r="H89" s="83" t="str">
        <x:v>Easy</x:v>
      </x:c>
      <x:c r="I89" s="83" t="str">
        <x:v>Knowledge &amp; Recall</x:v>
      </x:c>
      <x:c r="J89" s="83" t="n">
        <x:v>4</x:v>
      </x:c>
      <x:c r="K89" s="83" t="str">
        <x:v>C</x:v>
      </x:c>
      <x:c r="L89" s="83" t="n">
        <x:v>1</x:v>
      </x:c>
      <x:c r="M89" s="83" t="str"/>
      <x:c r="N89" s="83" t="str">
        <x:v>Released</x:v>
      </x:c>
      <x:c r="O89" s="89" t="str">
        <x:v>Workbook bank; reserve pool after controlled review</x:v>
      </x:c>
    </x:row>
    <x:row r="90">
      <x:c r="A90" s="88" t="str">
        <x:v>CTA-LCSW-MQB-0089</x:v>
      </x:c>
      <x:c r="B90" s="83" t="str">
        <x:v>LCSW-WB06-QB-Q004</x:v>
      </x:c>
      <x:c r="C90" s="83" t="str">
        <x:v>LCSW Workbook 6 Question Bank</x:v>
      </x:c>
      <x:c r="D90" s="83" t="n">
        <x:v>4</x:v>
      </x:c>
      <x:c r="E90" s="83" t="str">
        <x:v>Workbook Bank</x:v>
      </x:c>
      <x:c r="F90" s="83" t="str">
        <x:v>II. Assessment and Planning</x:v>
      </x:c>
      <x:c r="G90" s="83" t="str">
        <x:v>Possible overdose</x:v>
      </x:c>
      <x:c r="H90" s="83" t="str">
        <x:v>Easy</x:v>
      </x:c>
      <x:c r="I90" s="83" t="str">
        <x:v>Application</x:v>
      </x:c>
      <x:c r="J90" s="83" t="n">
        <x:v>4</x:v>
      </x:c>
      <x:c r="K90" s="83" t="str">
        <x:v>D</x:v>
      </x:c>
      <x:c r="L90" s="83" t="n">
        <x:v>1</x:v>
      </x:c>
      <x:c r="M90" s="83" t="str"/>
      <x:c r="N90" s="83" t="str">
        <x:v>Released</x:v>
      </x:c>
      <x:c r="O90" s="89" t="str">
        <x:v>Workbook bank; reserve pool after controlled review</x:v>
      </x:c>
    </x:row>
    <x:row r="91">
      <x:c r="A91" s="88" t="str">
        <x:v>CTA-LCSW-MQB-0090</x:v>
      </x:c>
      <x:c r="B91" s="83" t="str">
        <x:v>LCSW-WB06-QB-Q005</x:v>
      </x:c>
      <x:c r="C91" s="83" t="str">
        <x:v>LCSW Workbook 6 Question Bank</x:v>
      </x:c>
      <x:c r="D91" s="83" t="n">
        <x:v>5</x:v>
      </x:c>
      <x:c r="E91" s="83" t="str">
        <x:v>Workbook Bank</x:v>
      </x:c>
      <x:c r="F91" s="83" t="str">
        <x:v>II. Assessment and Planning</x:v>
      </x:c>
      <x:c r="G91" s="83" t="str">
        <x:v>No-harm promise limitation</x:v>
      </x:c>
      <x:c r="H91" s="83" t="str">
        <x:v>Easy</x:v>
      </x:c>
      <x:c r="I91" s="83" t="str">
        <x:v>Knowledge &amp; Recall</x:v>
      </x:c>
      <x:c r="J91" s="83" t="n">
        <x:v>3</x:v>
      </x:c>
      <x:c r="K91" s="83" t="str">
        <x:v>A</x:v>
      </x:c>
      <x:c r="L91" s="83" t="n">
        <x:v>1</x:v>
      </x:c>
      <x:c r="M91" s="83" t="str"/>
      <x:c r="N91" s="83" t="str">
        <x:v>Released</x:v>
      </x:c>
      <x:c r="O91" s="89" t="str">
        <x:v>Workbook bank; reserve pool after controlled review</x:v>
      </x:c>
    </x:row>
    <x:row r="92">
      <x:c r="A92" s="88" t="str">
        <x:v>CTA-LCSW-MQB-0091</x:v>
      </x:c>
      <x:c r="B92" s="83" t="str">
        <x:v>LCSW-WB06-QB-Q006</x:v>
      </x:c>
      <x:c r="C92" s="83" t="str">
        <x:v>LCSW Workbook 6 Question Bank</x:v>
      </x:c>
      <x:c r="D92" s="83" t="n">
        <x:v>6</x:v>
      </x:c>
      <x:c r="E92" s="83" t="str">
        <x:v>Workbook Bank</x:v>
      </x:c>
      <x:c r="F92" s="83" t="str">
        <x:v>II. Assessment and Planning</x:v>
      </x:c>
      <x:c r="G92" s="83" t="str">
        <x:v>Suicide risk and housing stress</x:v>
      </x:c>
      <x:c r="H92" s="83" t="str">
        <x:v>Moderate</x:v>
      </x:c>
      <x:c r="I92" s="83" t="str">
        <x:v>Scenario-Based</x:v>
      </x:c>
      <x:c r="J92" s="83" t="n">
        <x:v>3</x:v>
      </x:c>
      <x:c r="K92" s="83" t="str">
        <x:v>B</x:v>
      </x:c>
      <x:c r="L92" s="83" t="n">
        <x:v>1</x:v>
      </x:c>
      <x:c r="M92" s="83" t="str"/>
      <x:c r="N92" s="83" t="str">
        <x:v>Released</x:v>
      </x:c>
      <x:c r="O92" s="89" t="str">
        <x:v>Workbook bank; reserve pool after controlled review</x:v>
      </x:c>
    </x:row>
    <x:row r="93">
      <x:c r="A93" s="88" t="str">
        <x:v>CTA-LCSW-MQB-0092</x:v>
      </x:c>
      <x:c r="B93" s="83" t="str">
        <x:v>LCSW-WB06-QB-Q007</x:v>
      </x:c>
      <x:c r="C93" s="83" t="str">
        <x:v>LCSW Workbook 6 Question Bank</x:v>
      </x:c>
      <x:c r="D93" s="83" t="n">
        <x:v>7</x:v>
      </x:c>
      <x:c r="E93" s="83" t="str">
        <x:v>Workbook Bank</x:v>
      </x:c>
      <x:c r="F93" s="83" t="str">
        <x:v>II. Assessment and Planning</x:v>
      </x:c>
      <x:c r="G93" s="83" t="str">
        <x:v>Capacity and medical danger</x:v>
      </x:c>
      <x:c r="H93" s="83" t="str">
        <x:v>Moderate</x:v>
      </x:c>
      <x:c r="I93" s="83" t="str">
        <x:v>Scenario-Based</x:v>
      </x:c>
      <x:c r="J93" s="83" t="n">
        <x:v>4</x:v>
      </x:c>
      <x:c r="K93" s="83" t="str">
        <x:v>C</x:v>
      </x:c>
      <x:c r="L93" s="83" t="n">
        <x:v>1</x:v>
      </x:c>
      <x:c r="M93" s="83" t="str"/>
      <x:c r="N93" s="83" t="str">
        <x:v>Released</x:v>
      </x:c>
      <x:c r="O93" s="89" t="str">
        <x:v>Workbook bank; reserve pool after controlled review</x:v>
      </x:c>
    </x:row>
    <x:row r="94">
      <x:c r="A94" s="88" t="str">
        <x:v>CTA-LCSW-MQB-0093</x:v>
      </x:c>
      <x:c r="B94" s="83" t="str">
        <x:v>LCSW-WB06-QB-Q008</x:v>
      </x:c>
      <x:c r="C94" s="83" t="str">
        <x:v>LCSW Workbook 6 Question Bank</x:v>
      </x:c>
      <x:c r="D94" s="83" t="n">
        <x:v>8</x:v>
      </x:c>
      <x:c r="E94" s="83" t="str">
        <x:v>Workbook Bank</x:v>
      </x:c>
      <x:c r="F94" s="83" t="str">
        <x:v>II. Assessment and Planning</x:v>
      </x:c>
      <x:c r="G94" s="83" t="str">
        <x:v>IPV safety and self-determination</x:v>
      </x:c>
      <x:c r="H94" s="83" t="str">
        <x:v>Moderate</x:v>
      </x:c>
      <x:c r="I94" s="83" t="str">
        <x:v>Application</x:v>
      </x:c>
      <x:c r="J94" s="83" t="n">
        <x:v>4</x:v>
      </x:c>
      <x:c r="K94" s="83" t="str">
        <x:v>D</x:v>
      </x:c>
      <x:c r="L94" s="83" t="n">
        <x:v>1</x:v>
      </x:c>
      <x:c r="M94" s="83" t="str"/>
      <x:c r="N94" s="83" t="str">
        <x:v>Released</x:v>
      </x:c>
      <x:c r="O94" s="89" t="str">
        <x:v>Workbook bank; reserve pool after controlled review</x:v>
      </x:c>
    </x:row>
    <x:row r="95">
      <x:c r="A95" s="88" t="str">
        <x:v>CTA-LCSW-MQB-0094</x:v>
      </x:c>
      <x:c r="B95" s="83" t="str">
        <x:v>LCSW-WB06-QB-Q009</x:v>
      </x:c>
      <x:c r="C95" s="83" t="str">
        <x:v>LCSW Workbook 6 Question Bank</x:v>
      </x:c>
      <x:c r="D95" s="83" t="n">
        <x:v>9</x:v>
      </x:c>
      <x:c r="E95" s="83" t="str">
        <x:v>Workbook Bank</x:v>
      </x:c>
      <x:c r="F95" s="83" t="str">
        <x:v>II. Assessment and Planning</x:v>
      </x:c>
      <x:c r="G95" s="83" t="str">
        <x:v>Supplied child-reporting law</x:v>
      </x:c>
      <x:c r="H95" s="83" t="str">
        <x:v>Moderate</x:v>
      </x:c>
      <x:c r="I95" s="83" t="str">
        <x:v>Application</x:v>
      </x:c>
      <x:c r="J95" s="83" t="n">
        <x:v>3</x:v>
      </x:c>
      <x:c r="K95" s="83" t="str">
        <x:v>A</x:v>
      </x:c>
      <x:c r="L95" s="83" t="n">
        <x:v>1</x:v>
      </x:c>
      <x:c r="M95" s="83" t="str"/>
      <x:c r="N95" s="83" t="str">
        <x:v>Released</x:v>
      </x:c>
      <x:c r="O95" s="89" t="str">
        <x:v>Workbook bank; reserve pool after controlled review</x:v>
      </x:c>
    </x:row>
    <x:row r="96">
      <x:c r="A96" s="88" t="str">
        <x:v>CTA-LCSW-MQB-0095</x:v>
      </x:c>
      <x:c r="B96" s="83" t="str">
        <x:v>LCSW-WB06-QB-Q010</x:v>
      </x:c>
      <x:c r="C96" s="83" t="str">
        <x:v>LCSW Workbook 6 Question Bank</x:v>
      </x:c>
      <x:c r="D96" s="83" t="n">
        <x:v>10</x:v>
      </x:c>
      <x:c r="E96" s="83" t="str">
        <x:v>Workbook Bank</x:v>
      </x:c>
      <x:c r="F96" s="83" t="str">
        <x:v>II. Assessment and Planning</x:v>
      </x:c>
      <x:c r="G96" s="83" t="str">
        <x:v>Psychosis, homelessness, and outreach</x:v>
      </x:c>
      <x:c r="H96" s="83" t="str">
        <x:v>Moderate</x:v>
      </x:c>
      <x:c r="I96" s="83" t="str">
        <x:v>Scenario-Based</x:v>
      </x:c>
      <x:c r="J96" s="83" t="n">
        <x:v>3</x:v>
      </x:c>
      <x:c r="K96" s="83" t="str">
        <x:v>B</x:v>
      </x:c>
      <x:c r="L96" s="83" t="n">
        <x:v>1</x:v>
      </x:c>
      <x:c r="M96" s="83" t="str"/>
      <x:c r="N96" s="83" t="str">
        <x:v>Released</x:v>
      </x:c>
      <x:c r="O96" s="89" t="str">
        <x:v>Workbook bank; reserve pool after controlled review</x:v>
      </x:c>
    </x:row>
    <x:row r="97">
      <x:c r="A97" s="88" t="str">
        <x:v>CTA-LCSW-MQB-0096</x:v>
      </x:c>
      <x:c r="B97" s="83" t="str">
        <x:v>LCSW-WB06-QB-Q011</x:v>
      </x:c>
      <x:c r="C97" s="83" t="str">
        <x:v>LCSW Workbook 6 Question Bank</x:v>
      </x:c>
      <x:c r="D97" s="83" t="n">
        <x:v>11</x:v>
      </x:c>
      <x:c r="E97" s="83" t="str">
        <x:v>Workbook Bank</x:v>
      </x:c>
      <x:c r="F97" s="83" t="str">
        <x:v>II. Assessment and Planning</x:v>
      </x:c>
      <x:c r="G97" s="83" t="str">
        <x:v>Sexual violence, housing, and client choice</x:v>
      </x:c>
      <x:c r="H97" s="83" t="str">
        <x:v>Moderate</x:v>
      </x:c>
      <x:c r="I97" s="83" t="str">
        <x:v>Scenario-Based</x:v>
      </x:c>
      <x:c r="J97" s="83" t="n">
        <x:v>3</x:v>
      </x:c>
      <x:c r="K97" s="83" t="str">
        <x:v>C</x:v>
      </x:c>
      <x:c r="L97" s="83" t="n">
        <x:v>1</x:v>
      </x:c>
      <x:c r="M97" s="83" t="str"/>
      <x:c r="N97" s="83" t="str">
        <x:v>Released</x:v>
      </x:c>
      <x:c r="O97" s="89" t="str">
        <x:v>Workbook bank; reserve pool after controlled review</x:v>
      </x:c>
    </x:row>
    <x:row r="98">
      <x:c r="A98" s="88" t="str">
        <x:v>CTA-LCSW-MQB-0097</x:v>
      </x:c>
      <x:c r="B98" s="83" t="str">
        <x:v>LCSW-WB06-QB-Q012</x:v>
      </x:c>
      <x:c r="C98" s="83" t="str">
        <x:v>LCSW Workbook 6 Question Bank</x:v>
      </x:c>
      <x:c r="D98" s="83" t="n">
        <x:v>12</x:v>
      </x:c>
      <x:c r="E98" s="83" t="str">
        <x:v>Workbook Bank</x:v>
      </x:c>
      <x:c r="F98" s="83" t="str">
        <x:v>II. Assessment and Planning</x:v>
      </x:c>
      <x:c r="G98" s="83" t="str">
        <x:v>Disaster response and basic needs</x:v>
      </x:c>
      <x:c r="H98" s="83" t="str">
        <x:v>Moderate</x:v>
      </x:c>
      <x:c r="I98" s="83" t="str">
        <x:v>Scenario-Based</x:v>
      </x:c>
      <x:c r="J98" s="83" t="n">
        <x:v>4</x:v>
      </x:c>
      <x:c r="K98" s="83" t="str">
        <x:v>D</x:v>
      </x:c>
      <x:c r="L98" s="83" t="n">
        <x:v>1</x:v>
      </x:c>
      <x:c r="M98" s="83" t="str"/>
      <x:c r="N98" s="83" t="str">
        <x:v>Released</x:v>
      </x:c>
      <x:c r="O98" s="89" t="str">
        <x:v>Workbook bank; reserve pool after controlled review</x:v>
      </x:c>
    </x:row>
    <x:row r="99">
      <x:c r="A99" s="88" t="str">
        <x:v>CTA-LCSW-MQB-0098</x:v>
      </x:c>
      <x:c r="B99" s="83" t="str">
        <x:v>LCSW-WB06-QB-Q013</x:v>
      </x:c>
      <x:c r="C99" s="83" t="str">
        <x:v>LCSW Workbook 6 Question Bank</x:v>
      </x:c>
      <x:c r="D99" s="83" t="n">
        <x:v>13</x:v>
      </x:c>
      <x:c r="E99" s="83" t="str">
        <x:v>Workbook Bank</x:v>
      </x:c>
      <x:c r="F99" s="83" t="str">
        <x:v>II. Assessment and Planning</x:v>
      </x:c>
      <x:c r="G99" s="83" t="str">
        <x:v>Accessible refugee crisis planning</x:v>
      </x:c>
      <x:c r="H99" s="83" t="str">
        <x:v>Difficult</x:v>
      </x:c>
      <x:c r="I99" s="83" t="str">
        <x:v>Integrated Clinical Reasoning</x:v>
      </x:c>
      <x:c r="J99" s="83" t="n">
        <x:v>3</x:v>
      </x:c>
      <x:c r="K99" s="83" t="str">
        <x:v>A</x:v>
      </x:c>
      <x:c r="L99" s="83" t="n">
        <x:v>1</x:v>
      </x:c>
      <x:c r="M99" s="83" t="str"/>
      <x:c r="N99" s="83" t="str">
        <x:v>Released</x:v>
      </x:c>
      <x:c r="O99" s="89" t="str">
        <x:v>Workbook bank; reserve pool after controlled review</x:v>
      </x:c>
    </x:row>
    <x:row r="100">
      <x:c r="A100" s="88" t="str">
        <x:v>CTA-LCSW-MQB-0099</x:v>
      </x:c>
      <x:c r="B100" s="83" t="str">
        <x:v>LCSW-WB06-QB-Q014</x:v>
      </x:c>
      <x:c r="C100" s="83" t="str">
        <x:v>LCSW Workbook 6 Question Bank</x:v>
      </x:c>
      <x:c r="D100" s="83" t="n">
        <x:v>14</x:v>
      </x:c>
      <x:c r="E100" s="83" t="str">
        <x:v>Workbook Bank</x:v>
      </x:c>
      <x:c r="F100" s="83" t="str">
        <x:v>II. Assessment and Planning</x:v>
      </x:c>
      <x:c r="G100" s="83" t="str">
        <x:v>Medical emergency with suicidal statement</x:v>
      </x:c>
      <x:c r="H100" s="83" t="str">
        <x:v>Difficult</x:v>
      </x:c>
      <x:c r="I100" s="83" t="str">
        <x:v>Integrated Clinical Reasoning</x:v>
      </x:c>
      <x:c r="J100" s="83" t="n">
        <x:v>3</x:v>
      </x:c>
      <x:c r="K100" s="83" t="str">
        <x:v>B</x:v>
      </x:c>
      <x:c r="L100" s="83" t="n">
        <x:v>1</x:v>
      </x:c>
      <x:c r="M100" s="83" t="str"/>
      <x:c r="N100" s="83" t="str">
        <x:v>Released</x:v>
      </x:c>
      <x:c r="O100" s="89" t="str">
        <x:v>Workbook bank; reserve pool after controlled review</x:v>
      </x:c>
    </x:row>
    <x:row r="101">
      <x:c r="A101" s="88" t="str">
        <x:v>CTA-LCSW-MQB-0100</x:v>
      </x:c>
      <x:c r="B101" s="83" t="str">
        <x:v>LCSW-WB06-QB-Q015</x:v>
      </x:c>
      <x:c r="C101" s="83" t="str">
        <x:v>LCSW Workbook 6 Question Bank</x:v>
      </x:c>
      <x:c r="D101" s="83" t="n">
        <x:v>15</x:v>
      </x:c>
      <x:c r="E101" s="83" t="str">
        <x:v>Workbook Bank</x:v>
      </x:c>
      <x:c r="F101" s="83" t="str">
        <x:v>II. Assessment and Planning</x:v>
      </x:c>
      <x:c r="G101" s="83" t="str">
        <x:v>Possible financial exploitation</x:v>
      </x:c>
      <x:c r="H101" s="83" t="str">
        <x:v>Difficult</x:v>
      </x:c>
      <x:c r="I101" s="83" t="str">
        <x:v>Integrated Clinical Reasoning</x:v>
      </x:c>
      <x:c r="J101" s="83" t="n">
        <x:v>4</x:v>
      </x:c>
      <x:c r="K101" s="83" t="str">
        <x:v>C</x:v>
      </x:c>
      <x:c r="L101" s="83" t="n">
        <x:v>1</x:v>
      </x:c>
      <x:c r="M101" s="83" t="str"/>
      <x:c r="N101" s="83" t="str">
        <x:v>Released</x:v>
      </x:c>
      <x:c r="O101" s="89" t="str">
        <x:v>Workbook bank; reserve pool after controlled review</x:v>
      </x:c>
    </x:row>
    <x:row r="102">
      <x:c r="A102" s="88" t="str">
        <x:v>CTA-LCSW-MQB-0101</x:v>
      </x:c>
      <x:c r="B102" s="83" t="str">
        <x:v>LCSW-WB06-QB-Q016</x:v>
      </x:c>
      <x:c r="C102" s="83" t="str">
        <x:v>LCSW Workbook 6 Question Bank</x:v>
      </x:c>
      <x:c r="D102" s="83" t="n">
        <x:v>16</x:v>
      </x:c>
      <x:c r="E102" s="83" t="str">
        <x:v>Workbook Bank</x:v>
      </x:c>
      <x:c r="F102" s="83" t="str">
        <x:v>II. Assessment and Planning</x:v>
      </x:c>
      <x:c r="G102" s="83" t="str">
        <x:v>Threat assessment without supplied jurisdiction</x:v>
      </x:c>
      <x:c r="H102" s="83" t="str">
        <x:v>Difficult</x:v>
      </x:c>
      <x:c r="I102" s="83" t="str">
        <x:v>Integrated Clinical Reasoning</x:v>
      </x:c>
      <x:c r="J102" s="83" t="n">
        <x:v>4</x:v>
      </x:c>
      <x:c r="K102" s="83" t="str">
        <x:v>D</x:v>
      </x:c>
      <x:c r="L102" s="83" t="n">
        <x:v>1</x:v>
      </x:c>
      <x:c r="M102" s="83" t="str"/>
      <x:c r="N102" s="83" t="str">
        <x:v>Released</x:v>
      </x:c>
      <x:c r="O102" s="89" t="str">
        <x:v>Workbook bank; reserve pool after controlled review</x:v>
      </x:c>
    </x:row>
    <x:row r="103">
      <x:c r="A103" s="88" t="str">
        <x:v>CTA-LCSW-MQB-0102</x:v>
      </x:c>
      <x:c r="B103" s="83" t="str">
        <x:v>LCSW-WB06-QB-Q017</x:v>
      </x:c>
      <x:c r="C103" s="83" t="str">
        <x:v>LCSW Workbook 6 Question Bank</x:v>
      </x:c>
      <x:c r="D103" s="83" t="n">
        <x:v>17</x:v>
      </x:c>
      <x:c r="E103" s="83" t="str">
        <x:v>Workbook Bank</x:v>
      </x:c>
      <x:c r="F103" s="83" t="str">
        <x:v>II. Assessment and Planning</x:v>
      </x:c>
      <x:c r="G103" s="83" t="str">
        <x:v>Caregiving and access in safety planning</x:v>
      </x:c>
      <x:c r="H103" s="83" t="str">
        <x:v>Difficult</x:v>
      </x:c>
      <x:c r="I103" s="83" t="str">
        <x:v>Integrated Clinical Reasoning</x:v>
      </x:c>
      <x:c r="J103" s="83" t="n">
        <x:v>3</x:v>
      </x:c>
      <x:c r="K103" s="83" t="str">
        <x:v>A</x:v>
      </x:c>
      <x:c r="L103" s="83" t="n">
        <x:v>1</x:v>
      </x:c>
      <x:c r="M103" s="83" t="str"/>
      <x:c r="N103" s="83" t="str">
        <x:v>Released</x:v>
      </x:c>
      <x:c r="O103" s="89" t="str">
        <x:v>Workbook bank; reserve pool after controlled review</x:v>
      </x:c>
    </x:row>
    <x:row r="104">
      <x:c r="A104" s="88" t="str">
        <x:v>CTA-LCSW-MQB-0103</x:v>
      </x:c>
      <x:c r="B104" s="83" t="str">
        <x:v>LCSW-WB07-QB-Q001</x:v>
      </x:c>
      <x:c r="C104" s="83" t="str">
        <x:v>LCSW Workbook 7 Question Bank</x:v>
      </x:c>
      <x:c r="D104" s="83" t="n">
        <x:v>1</x:v>
      </x:c>
      <x:c r="E104" s="83" t="str">
        <x:v>Workbook Bank</x:v>
      </x:c>
      <x:c r="F104" s="83" t="str">
        <x:v>II. Assessment and Planning</x:v>
      </x:c>
      <x:c r="G104" s="83" t="str">
        <x:v>PLAN-ER sequence</x:v>
      </x:c>
      <x:c r="H104" s="83" t="str">
        <x:v>Easy</x:v>
      </x:c>
      <x:c r="I104" s="83" t="str">
        <x:v>Knowledge &amp; Recall</x:v>
      </x:c>
      <x:c r="J104" s="83" t="n">
        <x:v>4</x:v>
      </x:c>
      <x:c r="K104" s="83" t="str">
        <x:v>A</x:v>
      </x:c>
      <x:c r="L104" s="83" t="n">
        <x:v>1</x:v>
      </x:c>
      <x:c r="M104" s="83" t="str"/>
      <x:c r="N104" s="83" t="str">
        <x:v>Released</x:v>
      </x:c>
      <x:c r="O104" s="89" t="str">
        <x:v>Workbook bank; reserve pool after controlled review</x:v>
      </x:c>
    </x:row>
    <x:row r="105">
      <x:c r="A105" s="88" t="str">
        <x:v>CTA-LCSW-MQB-0104</x:v>
      </x:c>
      <x:c r="B105" s="83" t="str">
        <x:v>LCSW-WB07-QB-Q002</x:v>
      </x:c>
      <x:c r="C105" s="83" t="str">
        <x:v>LCSW Workbook 7 Question Bank</x:v>
      </x:c>
      <x:c r="D105" s="83" t="n">
        <x:v>2</x:v>
      </x:c>
      <x:c r="E105" s="83" t="str">
        <x:v>Workbook Bank</x:v>
      </x:c>
      <x:c r="F105" s="83" t="str">
        <x:v>II. Assessment and Planning</x:v>
      </x:c>
      <x:c r="G105" s="83" t="str">
        <x:v>Person-in-environment priority setting</x:v>
      </x:c>
      <x:c r="H105" s="83" t="str">
        <x:v>Easy</x:v>
      </x:c>
      <x:c r="I105" s="83" t="str">
        <x:v>Application</x:v>
      </x:c>
      <x:c r="J105" s="83" t="n">
        <x:v>4</x:v>
      </x:c>
      <x:c r="K105" s="83" t="str">
        <x:v>B</x:v>
      </x:c>
      <x:c r="L105" s="83" t="n">
        <x:v>1</x:v>
      </x:c>
      <x:c r="M105" s="83" t="str"/>
      <x:c r="N105" s="83" t="str">
        <x:v>Released</x:v>
      </x:c>
      <x:c r="O105" s="89" t="str">
        <x:v>Workbook bank; reserve pool after controlled review</x:v>
      </x:c>
    </x:row>
    <x:row r="106">
      <x:c r="A106" s="88" t="str">
        <x:v>CTA-LCSW-MQB-0105</x:v>
      </x:c>
      <x:c r="B106" s="83" t="str">
        <x:v>LCSW-WB07-QB-Q003</x:v>
      </x:c>
      <x:c r="C106" s="83" t="str">
        <x:v>LCSW Workbook 7 Question Bank</x:v>
      </x:c>
      <x:c r="D106" s="83" t="n">
        <x:v>3</x:v>
      </x:c>
      <x:c r="E106" s="83" t="str">
        <x:v>Workbook Bank</x:v>
      </x:c>
      <x:c r="F106" s="83" t="str">
        <x:v>II. Assessment and Planning</x:v>
      </x:c>
      <x:c r="G106" s="83" t="str">
        <x:v>Measurable objectives</x:v>
      </x:c>
      <x:c r="H106" s="83" t="str">
        <x:v>Easy</x:v>
      </x:c>
      <x:c r="I106" s="83" t="str">
        <x:v>Knowledge &amp; Recall</x:v>
      </x:c>
      <x:c r="J106" s="83" t="n">
        <x:v>4</x:v>
      </x:c>
      <x:c r="K106" s="83" t="str">
        <x:v>C</x:v>
      </x:c>
      <x:c r="L106" s="83" t="n">
        <x:v>1</x:v>
      </x:c>
      <x:c r="M106" s="83" t="str"/>
      <x:c r="N106" s="83" t="str">
        <x:v>Released</x:v>
      </x:c>
      <x:c r="O106" s="89" t="str">
        <x:v>Workbook bank; reserve pool after controlled review</x:v>
      </x:c>
    </x:row>
    <x:row r="107">
      <x:c r="A107" s="88" t="str">
        <x:v>CTA-LCSW-MQB-0106</x:v>
      </x:c>
      <x:c r="B107" s="83" t="str">
        <x:v>LCSW-WB07-QB-Q004</x:v>
      </x:c>
      <x:c r="C107" s="83" t="str">
        <x:v>LCSW Workbook 7 Question Bank</x:v>
      </x:c>
      <x:c r="D107" s="83" t="n">
        <x:v>4</x:v>
      </x:c>
      <x:c r="E107" s="83" t="str">
        <x:v>Workbook Bank</x:v>
      </x:c>
      <x:c r="F107" s="83" t="str">
        <x:v>II. Assessment and Planning</x:v>
      </x:c>
      <x:c r="G107" s="83" t="str">
        <x:v>Self-determination</x:v>
      </x:c>
      <x:c r="H107" s="83" t="str">
        <x:v>Easy</x:v>
      </x:c>
      <x:c r="I107" s="83" t="str">
        <x:v>Scenario-Based</x:v>
      </x:c>
      <x:c r="J107" s="83" t="n">
        <x:v>4</x:v>
      </x:c>
      <x:c r="K107" s="83" t="str">
        <x:v>D</x:v>
      </x:c>
      <x:c r="L107" s="83" t="n">
        <x:v>1</x:v>
      </x:c>
      <x:c r="M107" s="83" t="str"/>
      <x:c r="N107" s="83" t="str">
        <x:v>Released</x:v>
      </x:c>
      <x:c r="O107" s="89" t="str">
        <x:v>Workbook bank; reserve pool after controlled review</x:v>
      </x:c>
    </x:row>
    <x:row r="108">
      <x:c r="A108" s="88" t="str">
        <x:v>CTA-LCSW-MQB-0107</x:v>
      </x:c>
      <x:c r="B108" s="83" t="str">
        <x:v>LCSW-WB07-QB-Q005</x:v>
      </x:c>
      <x:c r="C108" s="83" t="str">
        <x:v>LCSW Workbook 7 Question Bank</x:v>
      </x:c>
      <x:c r="D108" s="83" t="n">
        <x:v>5</x:v>
      </x:c>
      <x:c r="E108" s="83" t="str">
        <x:v>Workbook Bank</x:v>
      </x:c>
      <x:c r="F108" s="83" t="str">
        <x:v>II. Assessment and Planning</x:v>
      </x:c>
      <x:c r="G108" s="83" t="str">
        <x:v>Resource fit</x:v>
      </x:c>
      <x:c r="H108" s="83" t="str">
        <x:v>Easy</x:v>
      </x:c>
      <x:c r="I108" s="83" t="str">
        <x:v>Application</x:v>
      </x:c>
      <x:c r="J108" s="83" t="n">
        <x:v>4</x:v>
      </x:c>
      <x:c r="K108" s="83" t="str">
        <x:v>A</x:v>
      </x:c>
      <x:c r="L108" s="83" t="n">
        <x:v>1</x:v>
      </x:c>
      <x:c r="M108" s="83" t="str"/>
      <x:c r="N108" s="83" t="str">
        <x:v>Released</x:v>
      </x:c>
      <x:c r="O108" s="89" t="str">
        <x:v>Workbook bank; reserve pool after controlled review</x:v>
      </x:c>
    </x:row>
    <x:row r="109">
      <x:c r="A109" s="88" t="str">
        <x:v>CTA-LCSW-MQB-0108</x:v>
      </x:c>
      <x:c r="B109" s="83" t="str">
        <x:v>LCSW-WB07-QB-Q006</x:v>
      </x:c>
      <x:c r="C109" s="83" t="str">
        <x:v>LCSW Workbook 7 Question Bank</x:v>
      </x:c>
      <x:c r="D109" s="83" t="n">
        <x:v>6</x:v>
      </x:c>
      <x:c r="E109" s="83" t="str">
        <x:v>Workbook Bank</x:v>
      </x:c>
      <x:c r="F109" s="83" t="str">
        <x:v>II. Assessment and Planning</x:v>
      </x:c>
      <x:c r="G109" s="83" t="str">
        <x:v>Warm handoff</x:v>
      </x:c>
      <x:c r="H109" s="83" t="str">
        <x:v>Moderate</x:v>
      </x:c>
      <x:c r="I109" s="83" t="str">
        <x:v>Scenario-Based</x:v>
      </x:c>
      <x:c r="J109" s="83" t="n">
        <x:v>4</x:v>
      </x:c>
      <x:c r="K109" s="83" t="str">
        <x:v>D</x:v>
      </x:c>
      <x:c r="L109" s="83" t="n">
        <x:v>1</x:v>
      </x:c>
      <x:c r="M109" s="83" t="str"/>
      <x:c r="N109" s="83" t="str">
        <x:v>Released</x:v>
      </x:c>
      <x:c r="O109" s="89" t="str">
        <x:v>Workbook bank; reserve pool after controlled review</x:v>
      </x:c>
    </x:row>
    <x:row r="110">
      <x:c r="A110" s="88" t="str">
        <x:v>CTA-LCSW-MQB-0109</x:v>
      </x:c>
      <x:c r="B110" s="83" t="str">
        <x:v>LCSW-WB07-QB-Q007</x:v>
      </x:c>
      <x:c r="C110" s="83" t="str">
        <x:v>LCSW Workbook 7 Question Bank</x:v>
      </x:c>
      <x:c r="D110" s="83" t="n">
        <x:v>7</x:v>
      </x:c>
      <x:c r="E110" s="83" t="str">
        <x:v>Workbook Bank</x:v>
      </x:c>
      <x:c r="F110" s="83" t="str">
        <x:v>II. Assessment and Planning</x:v>
      </x:c>
      <x:c r="G110" s="83" t="str">
        <x:v>Outcome monitoring</x:v>
      </x:c>
      <x:c r="H110" s="83" t="str">
        <x:v>Moderate</x:v>
      </x:c>
      <x:c r="I110" s="83" t="str">
        <x:v>Application</x:v>
      </x:c>
      <x:c r="J110" s="83" t="n">
        <x:v>4</x:v>
      </x:c>
      <x:c r="K110" s="83" t="str">
        <x:v>B</x:v>
      </x:c>
      <x:c r="L110" s="83" t="n">
        <x:v>1</x:v>
      </x:c>
      <x:c r="M110" s="83" t="str"/>
      <x:c r="N110" s="83" t="str">
        <x:v>Released</x:v>
      </x:c>
      <x:c r="O110" s="89" t="str">
        <x:v>Workbook bank; reserve pool after controlled review</x:v>
      </x:c>
    </x:row>
    <x:row r="111">
      <x:c r="A111" s="88" t="str">
        <x:v>CTA-LCSW-MQB-0110</x:v>
      </x:c>
      <x:c r="B111" s="83" t="str">
        <x:v>LCSW-WB07-QB-Q008</x:v>
      </x:c>
      <x:c r="C111" s="83" t="str">
        <x:v>LCSW Workbook 7 Question Bank</x:v>
      </x:c>
      <x:c r="D111" s="83" t="n">
        <x:v>8</x:v>
      </x:c>
      <x:c r="E111" s="83" t="str">
        <x:v>Workbook Bank</x:v>
      </x:c>
      <x:c r="F111" s="83" t="str">
        <x:v>II. Assessment and Planning</x:v>
      </x:c>
      <x:c r="G111" s="83" t="str">
        <x:v>Plan revision</x:v>
      </x:c>
      <x:c r="H111" s="83" t="str">
        <x:v>Moderate</x:v>
      </x:c>
      <x:c r="I111" s="83" t="str">
        <x:v>Scenario-Based</x:v>
      </x:c>
      <x:c r="J111" s="83" t="n">
        <x:v>4</x:v>
      </x:c>
      <x:c r="K111" s="83" t="str">
        <x:v>C</x:v>
      </x:c>
      <x:c r="L111" s="83" t="n">
        <x:v>1</x:v>
      </x:c>
      <x:c r="M111" s="83" t="str"/>
      <x:c r="N111" s="83" t="str">
        <x:v>Released</x:v>
      </x:c>
      <x:c r="O111" s="89" t="str">
        <x:v>Workbook bank; reserve pool after controlled review</x:v>
      </x:c>
    </x:row>
    <x:row r="112">
      <x:c r="A112" s="88" t="str">
        <x:v>CTA-LCSW-MQB-0111</x:v>
      </x:c>
      <x:c r="B112" s="83" t="str">
        <x:v>LCSW-WB07-QB-Q009</x:v>
      </x:c>
      <x:c r="C112" s="83" t="str">
        <x:v>LCSW Workbook 7 Question Bank</x:v>
      </x:c>
      <x:c r="D112" s="83" t="n">
        <x:v>9</x:v>
      </x:c>
      <x:c r="E112" s="83" t="str">
        <x:v>Workbook Bank</x:v>
      </x:c>
      <x:c r="F112" s="83" t="str">
        <x:v>II. Assessment and Planning</x:v>
      </x:c>
      <x:c r="G112" s="83" t="str">
        <x:v>Modality selection</x:v>
      </x:c>
      <x:c r="H112" s="83" t="str">
        <x:v>Moderate</x:v>
      </x:c>
      <x:c r="I112" s="83" t="str">
        <x:v>Scenario-Based</x:v>
      </x:c>
      <x:c r="J112" s="83" t="n">
        <x:v>4</x:v>
      </x:c>
      <x:c r="K112" s="83" t="str">
        <x:v>A</x:v>
      </x:c>
      <x:c r="L112" s="83" t="n">
        <x:v>1</x:v>
      </x:c>
      <x:c r="M112" s="83" t="str"/>
      <x:c r="N112" s="83" t="str">
        <x:v>Released</x:v>
      </x:c>
      <x:c r="O112" s="89" t="str">
        <x:v>Workbook bank; reserve pool after controlled review</x:v>
      </x:c>
    </x:row>
    <x:row r="113">
      <x:c r="A113" s="88" t="str">
        <x:v>CTA-LCSW-MQB-0112</x:v>
      </x:c>
      <x:c r="B113" s="83" t="str">
        <x:v>LCSW-WB07-QB-Q010</x:v>
      </x:c>
      <x:c r="C113" s="83" t="str">
        <x:v>LCSW Workbook 7 Question Bank</x:v>
      </x:c>
      <x:c r="D113" s="83" t="n">
        <x:v>10</x:v>
      </x:c>
      <x:c r="E113" s="83" t="str">
        <x:v>Workbook Bank</x:v>
      </x:c>
      <x:c r="F113" s="83" t="str">
        <x:v>II. Assessment and Planning</x:v>
      </x:c>
      <x:c r="G113" s="83" t="str">
        <x:v>Service-plan coordination</x:v>
      </x:c>
      <x:c r="H113" s="83" t="str">
        <x:v>Moderate</x:v>
      </x:c>
      <x:c r="I113" s="83" t="str">
        <x:v>Application</x:v>
      </x:c>
      <x:c r="J113" s="83" t="n">
        <x:v>4</x:v>
      </x:c>
      <x:c r="K113" s="83" t="str">
        <x:v>C</x:v>
      </x:c>
      <x:c r="L113" s="83" t="n">
        <x:v>1</x:v>
      </x:c>
      <x:c r="M113" s="83" t="str"/>
      <x:c r="N113" s="83" t="str">
        <x:v>Released</x:v>
      </x:c>
      <x:c r="O113" s="89" t="str">
        <x:v>Workbook bank; reserve pool after controlled review</x:v>
      </x:c>
    </x:row>
    <x:row r="114">
      <x:c r="A114" s="88" t="str">
        <x:v>CTA-LCSW-MQB-0113</x:v>
      </x:c>
      <x:c r="B114" s="83" t="str">
        <x:v>LCSW-WB07-QB-Q011</x:v>
      </x:c>
      <x:c r="C114" s="83" t="str">
        <x:v>LCSW Workbook 7 Question Bank</x:v>
      </x:c>
      <x:c r="D114" s="83" t="n">
        <x:v>11</x:v>
      </x:c>
      <x:c r="E114" s="83" t="str">
        <x:v>Workbook Bank</x:v>
      </x:c>
      <x:c r="F114" s="83" t="str">
        <x:v>II. Assessment and Planning</x:v>
      </x:c>
      <x:c r="G114" s="83" t="str">
        <x:v>Program closure and continuity</x:v>
      </x:c>
      <x:c r="H114" s="83" t="str">
        <x:v>Moderate</x:v>
      </x:c>
      <x:c r="I114" s="83" t="str">
        <x:v>Scenario-Based</x:v>
      </x:c>
      <x:c r="J114" s="83" t="n">
        <x:v>4</x:v>
      </x:c>
      <x:c r="K114" s="83" t="str">
        <x:v>D</x:v>
      </x:c>
      <x:c r="L114" s="83" t="n">
        <x:v>1</x:v>
      </x:c>
      <x:c r="M114" s="83" t="str"/>
      <x:c r="N114" s="83" t="str">
        <x:v>Released</x:v>
      </x:c>
      <x:c r="O114" s="89" t="str">
        <x:v>Workbook bank; reserve pool after controlled review</x:v>
      </x:c>
    </x:row>
    <x:row r="115">
      <x:c r="A115" s="88" t="str">
        <x:v>CTA-LCSW-MQB-0114</x:v>
      </x:c>
      <x:c r="B115" s="83" t="str">
        <x:v>LCSW-WB07-QB-Q012</x:v>
      </x:c>
      <x:c r="C115" s="83" t="str">
        <x:v>LCSW Workbook 7 Question Bank</x:v>
      </x:c>
      <x:c r="D115" s="83" t="n">
        <x:v>12</x:v>
      </x:c>
      <x:c r="E115" s="83" t="str">
        <x:v>Workbook Bank</x:v>
      </x:c>
      <x:c r="F115" s="83" t="str">
        <x:v>II. Assessment and Planning</x:v>
      </x:c>
      <x:c r="G115" s="83" t="str">
        <x:v>Termination readiness</x:v>
      </x:c>
      <x:c r="H115" s="83" t="str">
        <x:v>Moderate</x:v>
      </x:c>
      <x:c r="I115" s="83" t="str">
        <x:v>Knowledge &amp; Recall</x:v>
      </x:c>
      <x:c r="J115" s="83" t="n">
        <x:v>4</x:v>
      </x:c>
      <x:c r="K115" s="83" t="str">
        <x:v>B</x:v>
      </x:c>
      <x:c r="L115" s="83" t="n">
        <x:v>1</x:v>
      </x:c>
      <x:c r="M115" s="83" t="str"/>
      <x:c r="N115" s="83" t="str">
        <x:v>Released</x:v>
      </x:c>
      <x:c r="O115" s="89" t="str">
        <x:v>Workbook bank; reserve pool after controlled review</x:v>
      </x:c>
    </x:row>
    <x:row r="116">
      <x:c r="A116" s="88" t="str">
        <x:v>CTA-LCSW-MQB-0115</x:v>
      </x:c>
      <x:c r="B116" s="83" t="str">
        <x:v>LCSW-WB07-QB-Q013</x:v>
      </x:c>
      <x:c r="C116" s="83" t="str">
        <x:v>LCSW Workbook 7 Question Bank</x:v>
      </x:c>
      <x:c r="D116" s="83" t="n">
        <x:v>13</x:v>
      </x:c>
      <x:c r="E116" s="83" t="str">
        <x:v>Workbook Bank</x:v>
      </x:c>
      <x:c r="F116" s="83" t="str">
        <x:v>II. Assessment and Planning</x:v>
      </x:c>
      <x:c r="G116" s="83" t="str">
        <x:v>Integrated housing, mental health, and access planning</x:v>
      </x:c>
      <x:c r="H116" s="83" t="str">
        <x:v>Difficult</x:v>
      </x:c>
      <x:c r="I116" s="83" t="str">
        <x:v>Integrated Clinical Reasoning</x:v>
      </x:c>
      <x:c r="J116" s="83" t="n">
        <x:v>4</x:v>
      </x:c>
      <x:c r="K116" s="83" t="str">
        <x:v>A</x:v>
      </x:c>
      <x:c r="L116" s="83" t="n">
        <x:v>1</x:v>
      </x:c>
      <x:c r="M116" s="83" t="str"/>
      <x:c r="N116" s="83" t="str">
        <x:v>Released</x:v>
      </x:c>
      <x:c r="O116" s="89" t="str">
        <x:v>Workbook bank; reserve pool after controlled review</x:v>
      </x:c>
    </x:row>
    <x:row r="117">
      <x:c r="A117" s="88" t="str">
        <x:v>CTA-LCSW-MQB-0116</x:v>
      </x:c>
      <x:c r="B117" s="83" t="str">
        <x:v>LCSW-WB07-QB-Q014</x:v>
      </x:c>
      <x:c r="C117" s="83" t="str">
        <x:v>LCSW Workbook 7 Question Bank</x:v>
      </x:c>
      <x:c r="D117" s="83" t="n">
        <x:v>14</x:v>
      </x:c>
      <x:c r="E117" s="83" t="str">
        <x:v>Workbook Bank</x:v>
      </x:c>
      <x:c r="F117" s="83" t="str">
        <x:v>II. Assessment and Planning</x:v>
      </x:c>
      <x:c r="G117" s="83" t="str">
        <x:v>Integrated self-determination and risk</x:v>
      </x:c>
      <x:c r="H117" s="83" t="str">
        <x:v>Difficult</x:v>
      </x:c>
      <x:c r="I117" s="83" t="str">
        <x:v>Integrated Clinical Reasoning</x:v>
      </x:c>
      <x:c r="J117" s="83" t="n">
        <x:v>4</x:v>
      </x:c>
      <x:c r="K117" s="83" t="str">
        <x:v>D</x:v>
      </x:c>
      <x:c r="L117" s="83" t="n">
        <x:v>1</x:v>
      </x:c>
      <x:c r="M117" s="83" t="str"/>
      <x:c r="N117" s="83" t="str">
        <x:v>Released</x:v>
      </x:c>
      <x:c r="O117" s="89" t="str">
        <x:v>Workbook bank; reserve pool after controlled review</x:v>
      </x:c>
    </x:row>
    <x:row r="118">
      <x:c r="A118" s="88" t="str">
        <x:v>CTA-LCSW-MQB-0117</x:v>
      </x:c>
      <x:c r="B118" s="83" t="str">
        <x:v>LCSW-WB07-QB-Q015</x:v>
      </x:c>
      <x:c r="C118" s="83" t="str">
        <x:v>LCSW Workbook 7 Question Bank</x:v>
      </x:c>
      <x:c r="D118" s="83" t="n">
        <x:v>15</x:v>
      </x:c>
      <x:c r="E118" s="83" t="str">
        <x:v>Workbook Bank</x:v>
      </x:c>
      <x:c r="F118" s="83" t="str">
        <x:v>II. Assessment and Planning</x:v>
      </x:c>
      <x:c r="G118" s="83" t="str">
        <x:v>Integrated discharge after missed visits</x:v>
      </x:c>
      <x:c r="H118" s="83" t="str">
        <x:v>Difficult</x:v>
      </x:c>
      <x:c r="I118" s="83" t="str">
        <x:v>Integrated Clinical Reasoning</x:v>
      </x:c>
      <x:c r="J118" s="83" t="n">
        <x:v>4</x:v>
      </x:c>
      <x:c r="K118" s="83" t="str">
        <x:v>B</x:v>
      </x:c>
      <x:c r="L118" s="83" t="n">
        <x:v>1</x:v>
      </x:c>
      <x:c r="M118" s="83" t="str"/>
      <x:c r="N118" s="83" t="str">
        <x:v>Released</x:v>
      </x:c>
      <x:c r="O118" s="89" t="str">
        <x:v>Workbook bank; reserve pool after controlled review</x:v>
      </x:c>
    </x:row>
    <x:row r="119">
      <x:c r="A119" s="88" t="str">
        <x:v>CTA-LCSW-MQB-0118</x:v>
      </x:c>
      <x:c r="B119" s="83" t="str">
        <x:v>LCSW-WB07-QB-Q016</x:v>
      </x:c>
      <x:c r="C119" s="83" t="str">
        <x:v>LCSW Workbook 7 Question Bank</x:v>
      </x:c>
      <x:c r="D119" s="83" t="n">
        <x:v>16</x:v>
      </x:c>
      <x:c r="E119" s="83" t="str">
        <x:v>Workbook Bank</x:v>
      </x:c>
      <x:c r="F119" s="83" t="str">
        <x:v>II. Assessment and Planning</x:v>
      </x:c>
      <x:c r="G119" s="83" t="str">
        <x:v>Integrated medical and psychopharmacology coordination</x:v>
      </x:c>
      <x:c r="H119" s="83" t="str">
        <x:v>Difficult</x:v>
      </x:c>
      <x:c r="I119" s="83" t="str">
        <x:v>Integrated Clinical Reasoning</x:v>
      </x:c>
      <x:c r="J119" s="83" t="n">
        <x:v>4</x:v>
      </x:c>
      <x:c r="K119" s="83" t="str">
        <x:v>C</x:v>
      </x:c>
      <x:c r="L119" s="83" t="n">
        <x:v>1</x:v>
      </x:c>
      <x:c r="M119" s="83" t="str"/>
      <x:c r="N119" s="83" t="str">
        <x:v>Released</x:v>
      </x:c>
      <x:c r="O119" s="89" t="str">
        <x:v>Workbook bank; reserve pool after controlled review</x:v>
      </x:c>
    </x:row>
    <x:row r="120">
      <x:c r="A120" s="88" t="str">
        <x:v>CTA-LCSW-MQB-0119</x:v>
      </x:c>
      <x:c r="B120" s="83" t="str">
        <x:v>LCSW-WB07-QB-Q017</x:v>
      </x:c>
      <x:c r="C120" s="83" t="str">
        <x:v>LCSW Workbook 7 Question Bank</x:v>
      </x:c>
      <x:c r="D120" s="83" t="n">
        <x:v>17</x:v>
      </x:c>
      <x:c r="E120" s="83" t="str">
        <x:v>Workbook Bank</x:v>
      </x:c>
      <x:c r="F120" s="83" t="str">
        <x:v>II. Assessment and Planning</x:v>
      </x:c>
      <x:c r="G120" s="83" t="str">
        <x:v>Integrated transition from intensive services</x:v>
      </x:c>
      <x:c r="H120" s="83" t="str">
        <x:v>Difficult</x:v>
      </x:c>
      <x:c r="I120" s="83" t="str">
        <x:v>Integrated Clinical Reasoning</x:v>
      </x:c>
      <x:c r="J120" s="83" t="n">
        <x:v>4</x:v>
      </x:c>
      <x:c r="K120" s="83" t="str">
        <x:v>A</x:v>
      </x:c>
      <x:c r="L120" s="83" t="n">
        <x:v>1</x:v>
      </x:c>
      <x:c r="M120" s="83" t="str"/>
      <x:c r="N120" s="83" t="str">
        <x:v>Released</x:v>
      </x:c>
      <x:c r="O120" s="89" t="str">
        <x:v>Workbook bank; reserve pool after controlled review</x:v>
      </x:c>
    </x:row>
    <x:row r="121">
      <x:c r="A121" s="88" t="str">
        <x:v>CTA-LCSW-MQB-0120</x:v>
      </x:c>
      <x:c r="B121" s="83" t="str">
        <x:v>LCSW-WB08-QB-Q001</x:v>
      </x:c>
      <x:c r="C121" s="83" t="str">
        <x:v>LCSW Workbook 8 Question Bank</x:v>
      </x:c>
      <x:c r="D121" s="83" t="n">
        <x:v>1</x:v>
      </x:c>
      <x:c r="E121" s="83" t="str">
        <x:v>Workbook Bank</x:v>
      </x:c>
      <x:c r="F121" s="83" t="str">
        <x:v>III. Intervention and Practice</x:v>
      </x:c>
      <x:c r="G121" s="83" t="str">
        <x:v>FITS suitability</x:v>
      </x:c>
      <x:c r="H121" s="83" t="str">
        <x:v>Easy</x:v>
      </x:c>
      <x:c r="I121" s="83" t="str">
        <x:v>Knowledge &amp; Recall</x:v>
      </x:c>
      <x:c r="J121" s="83" t="n">
        <x:v>4</x:v>
      </x:c>
      <x:c r="K121" s="83" t="str">
        <x:v>B</x:v>
      </x:c>
      <x:c r="L121" s="83" t="n">
        <x:v>1</x:v>
      </x:c>
      <x:c r="M121" s="83" t="str"/>
      <x:c r="N121" s="83" t="str">
        <x:v>Released</x:v>
      </x:c>
      <x:c r="O121" s="89" t="str">
        <x:v>Workbook bank; reserve pool after controlled review</x:v>
      </x:c>
    </x:row>
    <x:row r="122">
      <x:c r="A122" s="88" t="str">
        <x:v>CTA-LCSW-MQB-0121</x:v>
      </x:c>
      <x:c r="B122" s="83" t="str">
        <x:v>LCSW-WB08-QB-Q002</x:v>
      </x:c>
      <x:c r="C122" s="83" t="str">
        <x:v>LCSW Workbook 8 Question Bank</x:v>
      </x:c>
      <x:c r="D122" s="83" t="n">
        <x:v>2</x:v>
      </x:c>
      <x:c r="E122" s="83" t="str">
        <x:v>Workbook Bank</x:v>
      </x:c>
      <x:c r="F122" s="83" t="str">
        <x:v>III. Intervention and Practice</x:v>
      </x:c>
      <x:c r="G122" s="83" t="str">
        <x:v>Teach-back and health literacy</x:v>
      </x:c>
      <x:c r="H122" s="83" t="str">
        <x:v>Easy</x:v>
      </x:c>
      <x:c r="I122" s="83" t="str">
        <x:v>Application</x:v>
      </x:c>
      <x:c r="J122" s="83" t="n">
        <x:v>4</x:v>
      </x:c>
      <x:c r="K122" s="83" t="str">
        <x:v>A</x:v>
      </x:c>
      <x:c r="L122" s="83" t="n">
        <x:v>1</x:v>
      </x:c>
      <x:c r="M122" s="83" t="str"/>
      <x:c r="N122" s="83" t="str">
        <x:v>Released</x:v>
      </x:c>
      <x:c r="O122" s="89" t="str">
        <x:v>Workbook bank; reserve pool after controlled review</x:v>
      </x:c>
    </x:row>
    <x:row r="123">
      <x:c r="A123" s="88" t="str">
        <x:v>CTA-LCSW-MQB-0122</x:v>
      </x:c>
      <x:c r="B123" s="83" t="str">
        <x:v>LCSW-WB08-QB-Q003</x:v>
      </x:c>
      <x:c r="C123" s="83" t="str">
        <x:v>LCSW Workbook 8 Question Bank</x:v>
      </x:c>
      <x:c r="D123" s="83" t="n">
        <x:v>3</x:v>
      </x:c>
      <x:c r="E123" s="83" t="str">
        <x:v>Workbook Bank</x:v>
      </x:c>
      <x:c r="F123" s="83" t="str">
        <x:v>III. Intervention and Practice</x:v>
      </x:c>
      <x:c r="G123" s="83" t="str">
        <x:v>Behavioral activation</x:v>
      </x:c>
      <x:c r="H123" s="83" t="str">
        <x:v>Easy</x:v>
      </x:c>
      <x:c r="I123" s="83" t="str">
        <x:v>Knowledge &amp; Recall</x:v>
      </x:c>
      <x:c r="J123" s="83" t="n">
        <x:v>4</x:v>
      </x:c>
      <x:c r="K123" s="83" t="str">
        <x:v>C</x:v>
      </x:c>
      <x:c r="L123" s="83" t="n">
        <x:v>1</x:v>
      </x:c>
      <x:c r="M123" s="83" t="str"/>
      <x:c r="N123" s="83" t="str">
        <x:v>Released</x:v>
      </x:c>
      <x:c r="O123" s="89" t="str">
        <x:v>Workbook bank; reserve pool after controlled review</x:v>
      </x:c>
    </x:row>
    <x:row r="124">
      <x:c r="A124" s="88" t="str">
        <x:v>CTA-LCSW-MQB-0123</x:v>
      </x:c>
      <x:c r="B124" s="83" t="str">
        <x:v>LCSW-WB08-QB-Q004</x:v>
      </x:c>
      <x:c r="C124" s="83" t="str">
        <x:v>LCSW Workbook 8 Question Bank</x:v>
      </x:c>
      <x:c r="D124" s="83" t="n">
        <x:v>4</x:v>
      </x:c>
      <x:c r="E124" s="83" t="str">
        <x:v>Workbook Bank</x:v>
      </x:c>
      <x:c r="F124" s="83" t="str">
        <x:v>III. Intervention and Practice</x:v>
      </x:c>
      <x:c r="G124" s="83" t="str">
        <x:v>Cognitive and behavioral formulation</x:v>
      </x:c>
      <x:c r="H124" s="83" t="str">
        <x:v>Easy</x:v>
      </x:c>
      <x:c r="I124" s="83" t="str">
        <x:v>Scenario-Based</x:v>
      </x:c>
      <x:c r="J124" s="83" t="n">
        <x:v>4</x:v>
      </x:c>
      <x:c r="K124" s="83" t="str">
        <x:v>D</x:v>
      </x:c>
      <x:c r="L124" s="83" t="n">
        <x:v>1</x:v>
      </x:c>
      <x:c r="M124" s="83" t="str"/>
      <x:c r="N124" s="83" t="str">
        <x:v>Released</x:v>
      </x:c>
      <x:c r="O124" s="89" t="str">
        <x:v>Workbook bank; reserve pool after controlled review</x:v>
      </x:c>
    </x:row>
    <x:row r="125">
      <x:c r="A125" s="88" t="str">
        <x:v>CTA-LCSW-MQB-0124</x:v>
      </x:c>
      <x:c r="B125" s="83" t="str">
        <x:v>LCSW-WB08-QB-Q005</x:v>
      </x:c>
      <x:c r="C125" s="83" t="str">
        <x:v>LCSW Workbook 8 Question Bank</x:v>
      </x:c>
      <x:c r="D125" s="83" t="n">
        <x:v>5</x:v>
      </x:c>
      <x:c r="E125" s="83" t="str">
        <x:v>Workbook Bank</x:v>
      </x:c>
      <x:c r="F125" s="83" t="str">
        <x:v>III. Intervention and Practice</x:v>
      </x:c>
      <x:c r="G125" s="83" t="str">
        <x:v>Motivational interviewing reflection</x:v>
      </x:c>
      <x:c r="H125" s="83" t="str">
        <x:v>Easy</x:v>
      </x:c>
      <x:c r="I125" s="83" t="str">
        <x:v>Application</x:v>
      </x:c>
      <x:c r="J125" s="83" t="n">
        <x:v>4</x:v>
      </x:c>
      <x:c r="K125" s="83" t="str">
        <x:v>A</x:v>
      </x:c>
      <x:c r="L125" s="83" t="n">
        <x:v>1</x:v>
      </x:c>
      <x:c r="M125" s="83" t="str"/>
      <x:c r="N125" s="83" t="str">
        <x:v>Released</x:v>
      </x:c>
      <x:c r="O125" s="89" t="str">
        <x:v>Workbook bank; reserve pool after controlled review</x:v>
      </x:c>
    </x:row>
    <x:row r="126">
      <x:c r="A126" s="88" t="str">
        <x:v>CTA-LCSW-MQB-0125</x:v>
      </x:c>
      <x:c r="B126" s="83" t="str">
        <x:v>LCSW-WB08-QB-Q006</x:v>
      </x:c>
      <x:c r="C126" s="83" t="str">
        <x:v>LCSW Workbook 8 Question Bank</x:v>
      </x:c>
      <x:c r="D126" s="83" t="n">
        <x:v>6</x:v>
      </x:c>
      <x:c r="E126" s="83" t="str">
        <x:v>Workbook Bank</x:v>
      </x:c>
      <x:c r="F126" s="83" t="str">
        <x:v>III. Intervention and Practice</x:v>
      </x:c>
      <x:c r="G126" s="83" t="str">
        <x:v>Trauma-informed stabilization</x:v>
      </x:c>
      <x:c r="H126" s="83" t="str">
        <x:v>Moderate</x:v>
      </x:c>
      <x:c r="I126" s="83" t="str">
        <x:v>Scenario-Based</x:v>
      </x:c>
      <x:c r="J126" s="83" t="n">
        <x:v>4</x:v>
      </x:c>
      <x:c r="K126" s="83" t="str">
        <x:v>D</x:v>
      </x:c>
      <x:c r="L126" s="83" t="n">
        <x:v>1</x:v>
      </x:c>
      <x:c r="M126" s="83" t="str"/>
      <x:c r="N126" s="83" t="str">
        <x:v>Released</x:v>
      </x:c>
      <x:c r="O126" s="89" t="str">
        <x:v>Workbook bank; reserve pool after controlled review</x:v>
      </x:c>
    </x:row>
    <x:row r="127">
      <x:c r="A127" s="88" t="str">
        <x:v>CTA-LCSW-MQB-0126</x:v>
      </x:c>
      <x:c r="B127" s="83" t="str">
        <x:v>LCSW-WB08-QB-Q007</x:v>
      </x:c>
      <x:c r="C127" s="83" t="str">
        <x:v>LCSW Workbook 8 Question Bank</x:v>
      </x:c>
      <x:c r="D127" s="83" t="n">
        <x:v>7</x:v>
      </x:c>
      <x:c r="E127" s="83" t="str">
        <x:v>Workbook Bank</x:v>
      </x:c>
      <x:c r="F127" s="83" t="str">
        <x:v>III. Intervention and Practice</x:v>
      </x:c>
      <x:c r="G127" s="83" t="str">
        <x:v>Behavior chain analysis</x:v>
      </x:c>
      <x:c r="H127" s="83" t="str">
        <x:v>Moderate</x:v>
      </x:c>
      <x:c r="I127" s="83" t="str">
        <x:v>Application</x:v>
      </x:c>
      <x:c r="J127" s="83" t="n">
        <x:v>4</x:v>
      </x:c>
      <x:c r="K127" s="83" t="str">
        <x:v>C</x:v>
      </x:c>
      <x:c r="L127" s="83" t="n">
        <x:v>1</x:v>
      </x:c>
      <x:c r="M127" s="83" t="str"/>
      <x:c r="N127" s="83" t="str">
        <x:v>Released</x:v>
      </x:c>
      <x:c r="O127" s="89" t="str">
        <x:v>Workbook bank; reserve pool after controlled review</x:v>
      </x:c>
    </x:row>
    <x:row r="128">
      <x:c r="A128" s="88" t="str">
        <x:v>CTA-LCSW-MQB-0127</x:v>
      </x:c>
      <x:c r="B128" s="83" t="str">
        <x:v>LCSW-WB08-QB-Q008</x:v>
      </x:c>
      <x:c r="C128" s="83" t="str">
        <x:v>LCSW Workbook 8 Question Bank</x:v>
      </x:c>
      <x:c r="D128" s="83" t="n">
        <x:v>8</x:v>
      </x:c>
      <x:c r="E128" s="83" t="str">
        <x:v>Workbook Bank</x:v>
      </x:c>
      <x:c r="F128" s="83" t="str">
        <x:v>III. Intervention and Practice</x:v>
      </x:c>
      <x:c r="G128" s="83" t="str">
        <x:v>Withdrawal and medical priority</x:v>
      </x:c>
      <x:c r="H128" s="83" t="str">
        <x:v>Moderate</x:v>
      </x:c>
      <x:c r="I128" s="83" t="str">
        <x:v>Scenario-Based</x:v>
      </x:c>
      <x:c r="J128" s="83" t="n">
        <x:v>4</x:v>
      </x:c>
      <x:c r="K128" s="83" t="str">
        <x:v>B</x:v>
      </x:c>
      <x:c r="L128" s="83" t="n">
        <x:v>1</x:v>
      </x:c>
      <x:c r="M128" s="83" t="str"/>
      <x:c r="N128" s="83" t="str">
        <x:v>Released</x:v>
      </x:c>
      <x:c r="O128" s="89" t="str">
        <x:v>Workbook bank; reserve pool after controlled review</x:v>
      </x:c>
    </x:row>
    <x:row r="129">
      <x:c r="A129" s="88" t="str">
        <x:v>CTA-LCSW-MQB-0128</x:v>
      </x:c>
      <x:c r="B129" s="83" t="str">
        <x:v>LCSW-WB08-QB-Q009</x:v>
      </x:c>
      <x:c r="C129" s="83" t="str">
        <x:v>LCSW Workbook 8 Question Bank</x:v>
      </x:c>
      <x:c r="D129" s="83" t="n">
        <x:v>9</x:v>
      </x:c>
      <x:c r="E129" s="83" t="str">
        <x:v>Workbook Bank</x:v>
      </x:c>
      <x:c r="F129" s="83" t="str">
        <x:v>III. Intervention and Practice</x:v>
      </x:c>
      <x:c r="G129" s="83" t="str">
        <x:v>Accessible skills intervention</x:v>
      </x:c>
      <x:c r="H129" s="83" t="str">
        <x:v>Moderate</x:v>
      </x:c>
      <x:c r="I129" s="83" t="str">
        <x:v>Scenario-Based</x:v>
      </x:c>
      <x:c r="J129" s="83" t="n">
        <x:v>4</x:v>
      </x:c>
      <x:c r="K129" s="83" t="str">
        <x:v>A</x:v>
      </x:c>
      <x:c r="L129" s="83" t="n">
        <x:v>1</x:v>
      </x:c>
      <x:c r="M129" s="83" t="str"/>
      <x:c r="N129" s="83" t="str">
        <x:v>Released</x:v>
      </x:c>
      <x:c r="O129" s="89" t="str">
        <x:v>Workbook bank; reserve pool after controlled review</x:v>
      </x:c>
    </x:row>
    <x:row r="130">
      <x:c r="A130" s="88" t="str">
        <x:v>CTA-LCSW-MQB-0129</x:v>
      </x:c>
      <x:c r="B130" s="83" t="str">
        <x:v>LCSW-WB08-QB-Q010</x:v>
      </x:c>
      <x:c r="C130" s="83" t="str">
        <x:v>LCSW Workbook 8 Question Bank</x:v>
      </x:c>
      <x:c r="D130" s="83" t="n">
        <x:v>10</x:v>
      </x:c>
      <x:c r="E130" s="83" t="str">
        <x:v>Workbook Bank</x:v>
      </x:c>
      <x:c r="F130" s="83" t="str">
        <x:v>III. Intervention and Practice</x:v>
      </x:c>
      <x:c r="G130" s="83" t="str">
        <x:v>Person-in-environment intervention</x:v>
      </x:c>
      <x:c r="H130" s="83" t="str">
        <x:v>Moderate</x:v>
      </x:c>
      <x:c r="I130" s="83" t="str">
        <x:v>Application</x:v>
      </x:c>
      <x:c r="J130" s="83" t="n">
        <x:v>4</x:v>
      </x:c>
      <x:c r="K130" s="83" t="str">
        <x:v>C</x:v>
      </x:c>
      <x:c r="L130" s="83" t="n">
        <x:v>1</x:v>
      </x:c>
      <x:c r="M130" s="83" t="str"/>
      <x:c r="N130" s="83" t="str">
        <x:v>Released</x:v>
      </x:c>
      <x:c r="O130" s="89" t="str">
        <x:v>Workbook bank; reserve pool after controlled review</x:v>
      </x:c>
    </x:row>
    <x:row r="131">
      <x:c r="A131" s="88" t="str">
        <x:v>CTA-LCSW-MQB-0130</x:v>
      </x:c>
      <x:c r="B131" s="83" t="str">
        <x:v>LCSW-WB08-QB-Q011</x:v>
      </x:c>
      <x:c r="C131" s="83" t="str">
        <x:v>LCSW Workbook 8 Question Bank</x:v>
      </x:c>
      <x:c r="D131" s="83" t="n">
        <x:v>11</x:v>
      </x:c>
      <x:c r="E131" s="83" t="str">
        <x:v>Workbook Bank</x:v>
      </x:c>
      <x:c r="F131" s="83" t="str">
        <x:v>III. Intervention and Practice</x:v>
      </x:c>
      <x:c r="G131" s="83" t="str">
        <x:v>Intervention response review</x:v>
      </x:c>
      <x:c r="H131" s="83" t="str">
        <x:v>Moderate</x:v>
      </x:c>
      <x:c r="I131" s="83" t="str">
        <x:v>Scenario-Based</x:v>
      </x:c>
      <x:c r="J131" s="83" t="n">
        <x:v>4</x:v>
      </x:c>
      <x:c r="K131" s="83" t="str">
        <x:v>D</x:v>
      </x:c>
      <x:c r="L131" s="83" t="n">
        <x:v>1</x:v>
      </x:c>
      <x:c r="M131" s="83" t="str"/>
      <x:c r="N131" s="83" t="str">
        <x:v>Released</x:v>
      </x:c>
      <x:c r="O131" s="89" t="str">
        <x:v>Workbook bank; reserve pool after controlled review</x:v>
      </x:c>
    </x:row>
    <x:row r="132">
      <x:c r="A132" s="88" t="str">
        <x:v>CTA-LCSW-MQB-0131</x:v>
      </x:c>
      <x:c r="B132" s="83" t="str">
        <x:v>LCSW-WB08-QB-Q012</x:v>
      </x:c>
      <x:c r="C132" s="83" t="str">
        <x:v>LCSW Workbook 8 Question Bank</x:v>
      </x:c>
      <x:c r="D132" s="83" t="n">
        <x:v>12</x:v>
      </x:c>
      <x:c r="E132" s="83" t="str">
        <x:v>Workbook Bank</x:v>
      </x:c>
      <x:c r="F132" s="83" t="str">
        <x:v>III. Intervention and Practice</x:v>
      </x:c>
      <x:c r="G132" s="83" t="str">
        <x:v>Harm reduction and recovery continuum</x:v>
      </x:c>
      <x:c r="H132" s="83" t="str">
        <x:v>Moderate</x:v>
      </x:c>
      <x:c r="I132" s="83" t="str">
        <x:v>Knowledge &amp; Recall</x:v>
      </x:c>
      <x:c r="J132" s="83" t="n">
        <x:v>4</x:v>
      </x:c>
      <x:c r="K132" s="83" t="str">
        <x:v>B</x:v>
      </x:c>
      <x:c r="L132" s="83" t="n">
        <x:v>1</x:v>
      </x:c>
      <x:c r="M132" s="83" t="str"/>
      <x:c r="N132" s="83" t="str">
        <x:v>Released</x:v>
      </x:c>
      <x:c r="O132" s="89" t="str">
        <x:v>Workbook bank; reserve pool after controlled review</x:v>
      </x:c>
    </x:row>
    <x:row r="133">
      <x:c r="A133" s="88" t="str">
        <x:v>CTA-LCSW-MQB-0132</x:v>
      </x:c>
      <x:c r="B133" s="83" t="str">
        <x:v>LCSW-WB08-QB-Q013</x:v>
      </x:c>
      <x:c r="C133" s="83" t="str">
        <x:v>LCSW Workbook 8 Question Bank</x:v>
      </x:c>
      <x:c r="D133" s="83" t="n">
        <x:v>13</x:v>
      </x:c>
      <x:c r="E133" s="83" t="str">
        <x:v>Workbook Bank</x:v>
      </x:c>
      <x:c r="F133" s="83" t="str">
        <x:v>III. Intervention and Practice</x:v>
      </x:c>
      <x:c r="G133" s="83" t="str">
        <x:v>Integrated trauma, housing, and access plan</x:v>
      </x:c>
      <x:c r="H133" s="83" t="str">
        <x:v>Difficult</x:v>
      </x:c>
      <x:c r="I133" s="83" t="str">
        <x:v>Integrated Clinical Reasoning</x:v>
      </x:c>
      <x:c r="J133" s="83" t="n">
        <x:v>4</x:v>
      </x:c>
      <x:c r="K133" s="83" t="str">
        <x:v>A</x:v>
      </x:c>
      <x:c r="L133" s="83" t="n">
        <x:v>1</x:v>
      </x:c>
      <x:c r="M133" s="83" t="str"/>
      <x:c r="N133" s="83" t="str">
        <x:v>Released</x:v>
      </x:c>
      <x:c r="O133" s="89" t="str">
        <x:v>Workbook bank; reserve pool after controlled review</x:v>
      </x:c>
    </x:row>
    <x:row r="134">
      <x:c r="A134" s="88" t="str">
        <x:v>CTA-LCSW-MQB-0133</x:v>
      </x:c>
      <x:c r="B134" s="83" t="str">
        <x:v>LCSW-WB08-QB-Q014</x:v>
      </x:c>
      <x:c r="C134" s="83" t="str">
        <x:v>LCSW Workbook 8 Question Bank</x:v>
      </x:c>
      <x:c r="D134" s="83" t="n">
        <x:v>14</x:v>
      </x:c>
      <x:c r="E134" s="83" t="str">
        <x:v>Workbook Bank</x:v>
      </x:c>
      <x:c r="F134" s="83" t="str">
        <x:v>III. Intervention and Practice</x:v>
      </x:c>
      <x:c r="G134" s="83" t="str">
        <x:v>Integrated motivational work with mandate</x:v>
      </x:c>
      <x:c r="H134" s="83" t="str">
        <x:v>Difficult</x:v>
      </x:c>
      <x:c r="I134" s="83" t="str">
        <x:v>Integrated Clinical Reasoning</x:v>
      </x:c>
      <x:c r="J134" s="83" t="n">
        <x:v>4</x:v>
      </x:c>
      <x:c r="K134" s="83" t="str">
        <x:v>D</x:v>
      </x:c>
      <x:c r="L134" s="83" t="n">
        <x:v>1</x:v>
      </x:c>
      <x:c r="M134" s="83" t="str"/>
      <x:c r="N134" s="83" t="str">
        <x:v>Released</x:v>
      </x:c>
      <x:c r="O134" s="89" t="str">
        <x:v>Workbook bank; reserve pool after controlled review</x:v>
      </x:c>
    </x:row>
    <x:row r="135">
      <x:c r="A135" s="88" t="str">
        <x:v>CTA-LCSW-MQB-0134</x:v>
      </x:c>
      <x:c r="B135" s="83" t="str">
        <x:v>LCSW-WB08-QB-Q015</x:v>
      </x:c>
      <x:c r="C135" s="83" t="str">
        <x:v>LCSW Workbook 8 Question Bank</x:v>
      </x:c>
      <x:c r="D135" s="83" t="n">
        <x:v>15</x:v>
      </x:c>
      <x:c r="E135" s="83" t="str">
        <x:v>Workbook Bank</x:v>
      </x:c>
      <x:c r="F135" s="83" t="str">
        <x:v>III. Intervention and Practice</x:v>
      </x:c>
      <x:c r="G135" s="83" t="str">
        <x:v>Integrated grief, medication, and functioning</x:v>
      </x:c>
      <x:c r="H135" s="83" t="str">
        <x:v>Difficult</x:v>
      </x:c>
      <x:c r="I135" s="83" t="str">
        <x:v>Integrated Clinical Reasoning</x:v>
      </x:c>
      <x:c r="J135" s="83" t="n">
        <x:v>4</x:v>
      </x:c>
      <x:c r="K135" s="83" t="str">
        <x:v>C</x:v>
      </x:c>
      <x:c r="L135" s="83" t="n">
        <x:v>1</x:v>
      </x:c>
      <x:c r="M135" s="83" t="str"/>
      <x:c r="N135" s="83" t="str">
        <x:v>Released</x:v>
      </x:c>
      <x:c r="O135" s="89" t="str">
        <x:v>Workbook bank; reserve pool after controlled review</x:v>
      </x:c>
    </x:row>
    <x:row r="136">
      <x:c r="A136" s="88" t="str">
        <x:v>CTA-LCSW-MQB-0135</x:v>
      </x:c>
      <x:c r="B136" s="83" t="str">
        <x:v>LCSW-WB08-QB-Q016</x:v>
      </x:c>
      <x:c r="C136" s="83" t="str">
        <x:v>LCSW Workbook 8 Question Bank</x:v>
      </x:c>
      <x:c r="D136" s="83" t="n">
        <x:v>16</x:v>
      </x:c>
      <x:c r="E136" s="83" t="str">
        <x:v>Workbook Bank</x:v>
      </x:c>
      <x:c r="F136" s="83" t="str">
        <x:v>III. Intervention and Practice</x:v>
      </x:c>
      <x:c r="G136" s="83" t="str">
        <x:v>Integrated competence and service scarcity</x:v>
      </x:c>
      <x:c r="H136" s="83" t="str">
        <x:v>Difficult</x:v>
      </x:c>
      <x:c r="I136" s="83" t="str">
        <x:v>Integrated Clinical Reasoning</x:v>
      </x:c>
      <x:c r="J136" s="83" t="n">
        <x:v>4</x:v>
      </x:c>
      <x:c r="K136" s="83" t="str">
        <x:v>B</x:v>
      </x:c>
      <x:c r="L136" s="83" t="n">
        <x:v>1</x:v>
      </x:c>
      <x:c r="M136" s="83" t="str"/>
      <x:c r="N136" s="83" t="str">
        <x:v>Released</x:v>
      </x:c>
      <x:c r="O136" s="89" t="str">
        <x:v>Workbook bank; reserve pool after controlled review</x:v>
      </x:c>
    </x:row>
    <x:row r="137">
      <x:c r="A137" s="88" t="str">
        <x:v>CTA-LCSW-MQB-0136</x:v>
      </x:c>
      <x:c r="B137" s="83" t="str">
        <x:v>LCSW-WB08-QB-Q017</x:v>
      </x:c>
      <x:c r="C137" s="83" t="str">
        <x:v>LCSW Workbook 8 Question Bank</x:v>
      </x:c>
      <x:c r="D137" s="83" t="n">
        <x:v>17</x:v>
      </x:c>
      <x:c r="E137" s="83" t="str">
        <x:v>Workbook Bank</x:v>
      </x:c>
      <x:c r="F137" s="83" t="str">
        <x:v>III. Intervention and Practice</x:v>
      </x:c>
      <x:c r="G137" s="83" t="str">
        <x:v>Integrated crisis, culture, language, and choice</x:v>
      </x:c>
      <x:c r="H137" s="83" t="str">
        <x:v>Difficult</x:v>
      </x:c>
      <x:c r="I137" s="83" t="str">
        <x:v>Integrated Clinical Reasoning</x:v>
      </x:c>
      <x:c r="J137" s="83" t="n">
        <x:v>4</x:v>
      </x:c>
      <x:c r="K137" s="83" t="str">
        <x:v>A</x:v>
      </x:c>
      <x:c r="L137" s="83" t="n">
        <x:v>1</x:v>
      </x:c>
      <x:c r="M137" s="83" t="str"/>
      <x:c r="N137" s="83" t="str">
        <x:v>Released</x:v>
      </x:c>
      <x:c r="O137" s="89" t="str">
        <x:v>Workbook bank; reserve pool after controlled review</x:v>
      </x:c>
    </x:row>
    <x:row r="138">
      <x:c r="A138" s="88" t="str">
        <x:v>CTA-LCSW-MQB-0137</x:v>
      </x:c>
      <x:c r="B138" s="83" t="str">
        <x:v>LCSW-WB09-QB-Q001</x:v>
      </x:c>
      <x:c r="C138" s="83" t="str">
        <x:v>LCSW Workbook 9 Question Bank</x:v>
      </x:c>
      <x:c r="D138" s="83" t="n">
        <x:v>1</x:v>
      </x:c>
      <x:c r="E138" s="83" t="str">
        <x:v>Workbook Bank</x:v>
      </x:c>
      <x:c r="F138" s="83" t="str">
        <x:v>III. Intervention and Practice</x:v>
      </x:c>
      <x:c r="G138" s="83" t="str">
        <x:v>Smallest sufficient client-system level</x:v>
      </x:c>
      <x:c r="H138" s="83" t="str">
        <x:v>Easy</x:v>
      </x:c>
      <x:c r="I138" s="83" t="str">
        <x:v>Knowledge &amp; Recall</x:v>
      </x:c>
      <x:c r="J138" s="83" t="n">
        <x:v>4</x:v>
      </x:c>
      <x:c r="K138" s="83" t="str">
        <x:v>A</x:v>
      </x:c>
      <x:c r="L138" s="83" t="n">
        <x:v>1</x:v>
      </x:c>
      <x:c r="M138" s="83" t="str"/>
      <x:c r="N138" s="83" t="str">
        <x:v>Released</x:v>
      </x:c>
      <x:c r="O138" s="89" t="str">
        <x:v>Workbook bank; reserve pool after controlled review</x:v>
      </x:c>
    </x:row>
    <x:row r="139">
      <x:c r="A139" s="88" t="str">
        <x:v>CTA-LCSW-MQB-0138</x:v>
      </x:c>
      <x:c r="B139" s="83" t="str">
        <x:v>LCSW-WB09-QB-Q002</x:v>
      </x:c>
      <x:c r="C139" s="83" t="str">
        <x:v>LCSW Workbook 9 Question Bank</x:v>
      </x:c>
      <x:c r="D139" s="83" t="n">
        <x:v>2</x:v>
      </x:c>
      <x:c r="E139" s="83" t="str">
        <x:v>Workbook Bank</x:v>
      </x:c>
      <x:c r="F139" s="83" t="str">
        <x:v>III. Intervention and Practice</x:v>
      </x:c>
      <x:c r="G139" s="83" t="str">
        <x:v>Family assessment and basic needs</x:v>
      </x:c>
      <x:c r="H139" s="83" t="str">
        <x:v>Easy</x:v>
      </x:c>
      <x:c r="I139" s="83" t="str">
        <x:v>Application</x:v>
      </x:c>
      <x:c r="J139" s="83" t="n">
        <x:v>4</x:v>
      </x:c>
      <x:c r="K139" s="83" t="str">
        <x:v>B</x:v>
      </x:c>
      <x:c r="L139" s="83" t="n">
        <x:v>1</x:v>
      </x:c>
      <x:c r="M139" s="83" t="str"/>
      <x:c r="N139" s="83" t="str">
        <x:v>Released</x:v>
      </x:c>
      <x:c r="O139" s="89" t="str">
        <x:v>Workbook bank; reserve pool after controlled review</x:v>
      </x:c>
    </x:row>
    <x:row r="140">
      <x:c r="A140" s="88" t="str">
        <x:v>CTA-LCSW-MQB-0139</x:v>
      </x:c>
      <x:c r="B140" s="83" t="str">
        <x:v>LCSW-WB09-QB-Q003</x:v>
      </x:c>
      <x:c r="C140" s="83" t="str">
        <x:v>LCSW Workbook 9 Question Bank</x:v>
      </x:c>
      <x:c r="D140" s="83" t="n">
        <x:v>3</x:v>
      </x:c>
      <x:c r="E140" s="83" t="str">
        <x:v>Workbook Bank</x:v>
      </x:c>
      <x:c r="F140" s="83" t="str">
        <x:v>III. Intervention and Practice</x:v>
      </x:c>
      <x:c r="G140" s="83" t="str">
        <x:v>Client choice in family involvement</x:v>
      </x:c>
      <x:c r="H140" s="83" t="str">
        <x:v>Easy</x:v>
      </x:c>
      <x:c r="I140" s="83" t="str">
        <x:v>Knowledge &amp; Recall</x:v>
      </x:c>
      <x:c r="J140" s="83" t="n">
        <x:v>4</x:v>
      </x:c>
      <x:c r="K140" s="83" t="str">
        <x:v>C</x:v>
      </x:c>
      <x:c r="L140" s="83" t="n">
        <x:v>1</x:v>
      </x:c>
      <x:c r="M140" s="83" t="str"/>
      <x:c r="N140" s="83" t="str">
        <x:v>Released</x:v>
      </x:c>
      <x:c r="O140" s="89" t="str">
        <x:v>Workbook bank; reserve pool after controlled review</x:v>
      </x:c>
    </x:row>
    <x:row r="141">
      <x:c r="A141" s="88" t="str">
        <x:v>CTA-LCSW-MQB-0140</x:v>
      </x:c>
      <x:c r="B141" s="83" t="str">
        <x:v>LCSW-WB09-QB-Q004</x:v>
      </x:c>
      <x:c r="C141" s="83" t="str">
        <x:v>LCSW Workbook 9 Question Bank</x:v>
      </x:c>
      <x:c r="D141" s="83" t="n">
        <x:v>4</x:v>
      </x:c>
      <x:c r="E141" s="83" t="str">
        <x:v>Workbook Bank</x:v>
      </x:c>
      <x:c r="F141" s="83" t="str">
        <x:v>III. Intervention and Practice</x:v>
      </x:c>
      <x:c r="G141" s="83" t="str">
        <x:v>Parenting intervention fit</x:v>
      </x:c>
      <x:c r="H141" s="83" t="str">
        <x:v>Easy</x:v>
      </x:c>
      <x:c r="I141" s="83" t="str">
        <x:v>Scenario-Based</x:v>
      </x:c>
      <x:c r="J141" s="83" t="n">
        <x:v>4</x:v>
      </x:c>
      <x:c r="K141" s="83" t="str">
        <x:v>D</x:v>
      </x:c>
      <x:c r="L141" s="83" t="n">
        <x:v>1</x:v>
      </x:c>
      <x:c r="M141" s="83" t="str"/>
      <x:c r="N141" s="83" t="str">
        <x:v>Released</x:v>
      </x:c>
      <x:c r="O141" s="89" t="str">
        <x:v>Workbook bank; reserve pool after controlled review</x:v>
      </x:c>
    </x:row>
    <x:row r="142">
      <x:c r="A142" s="88" t="str">
        <x:v>CTA-LCSW-MQB-0141</x:v>
      </x:c>
      <x:c r="B142" s="83" t="str">
        <x:v>LCSW-WB09-QB-Q005</x:v>
      </x:c>
      <x:c r="C142" s="83" t="str">
        <x:v>LCSW Workbook 9 Question Bank</x:v>
      </x:c>
      <x:c r="D142" s="83" t="n">
        <x:v>5</x:v>
      </x:c>
      <x:c r="E142" s="83" t="str">
        <x:v>Workbook Bank</x:v>
      </x:c>
      <x:c r="F142" s="83" t="str">
        <x:v>III. Intervention and Practice</x:v>
      </x:c>
      <x:c r="G142" s="83" t="str">
        <x:v>Couple and family safety</x:v>
      </x:c>
      <x:c r="H142" s="83" t="str">
        <x:v>Easy</x:v>
      </x:c>
      <x:c r="I142" s="83" t="str">
        <x:v>Application</x:v>
      </x:c>
      <x:c r="J142" s="83" t="n">
        <x:v>4</x:v>
      </x:c>
      <x:c r="K142" s="83" t="str">
        <x:v>A</x:v>
      </x:c>
      <x:c r="L142" s="83" t="n">
        <x:v>1</x:v>
      </x:c>
      <x:c r="M142" s="83" t="str"/>
      <x:c r="N142" s="83" t="str">
        <x:v>Released</x:v>
      </x:c>
      <x:c r="O142" s="89" t="str">
        <x:v>Workbook bank; reserve pool after controlled review</x:v>
      </x:c>
    </x:row>
    <x:row r="143">
      <x:c r="A143" s="88" t="str">
        <x:v>CTA-LCSW-MQB-0142</x:v>
      </x:c>
      <x:c r="B143" s="83" t="str">
        <x:v>LCSW-WB09-QB-Q006</x:v>
      </x:c>
      <x:c r="C143" s="83" t="str">
        <x:v>LCSW Workbook 9 Question Bank</x:v>
      </x:c>
      <x:c r="D143" s="83" t="n">
        <x:v>6</x:v>
      </x:c>
      <x:c r="E143" s="83" t="str">
        <x:v>Workbook Bank</x:v>
      </x:c>
      <x:c r="F143" s="83" t="str">
        <x:v>III. Intervention and Practice</x:v>
      </x:c>
      <x:c r="G143" s="83" t="str">
        <x:v>Group screening and fit</x:v>
      </x:c>
      <x:c r="H143" s="83" t="str">
        <x:v>Moderate</x:v>
      </x:c>
      <x:c r="I143" s="83" t="str">
        <x:v>Scenario-Based</x:v>
      </x:c>
      <x:c r="J143" s="83" t="n">
        <x:v>4</x:v>
      </x:c>
      <x:c r="K143" s="83" t="str">
        <x:v>B</x:v>
      </x:c>
      <x:c r="L143" s="83" t="n">
        <x:v>1</x:v>
      </x:c>
      <x:c r="M143" s="83" t="str"/>
      <x:c r="N143" s="83" t="str">
        <x:v>Released</x:v>
      </x:c>
      <x:c r="O143" s="89" t="str">
        <x:v>Workbook bank; reserve pool after controlled review</x:v>
      </x:c>
    </x:row>
    <x:row r="144">
      <x:c r="A144" s="88" t="str">
        <x:v>CTA-LCSW-MQB-0143</x:v>
      </x:c>
      <x:c r="B144" s="83" t="str">
        <x:v>LCSW-WB09-QB-Q007</x:v>
      </x:c>
      <x:c r="C144" s="83" t="str">
        <x:v>LCSW Workbook 9 Question Bank</x:v>
      </x:c>
      <x:c r="D144" s="83" t="n">
        <x:v>7</x:v>
      </x:c>
      <x:c r="E144" s="83" t="str">
        <x:v>Workbook Bank</x:v>
      </x:c>
      <x:c r="F144" s="83" t="str">
        <x:v>III. Intervention and Practice</x:v>
      </x:c>
      <x:c r="G144" s="83" t="str">
        <x:v>Group process facilitation</x:v>
      </x:c>
      <x:c r="H144" s="83" t="str">
        <x:v>Moderate</x:v>
      </x:c>
      <x:c r="I144" s="83" t="str">
        <x:v>Application</x:v>
      </x:c>
      <x:c r="J144" s="83" t="n">
        <x:v>4</x:v>
      </x:c>
      <x:c r="K144" s="83" t="str">
        <x:v>C</x:v>
      </x:c>
      <x:c r="L144" s="83" t="n">
        <x:v>1</x:v>
      </x:c>
      <x:c r="M144" s="83" t="str"/>
      <x:c r="N144" s="83" t="str">
        <x:v>Released</x:v>
      </x:c>
      <x:c r="O144" s="89" t="str">
        <x:v>Workbook bank; reserve pool after controlled review</x:v>
      </x:c>
    </x:row>
    <x:row r="145">
      <x:c r="A145" s="88" t="str">
        <x:v>CTA-LCSW-MQB-0144</x:v>
      </x:c>
      <x:c r="B145" s="83" t="str">
        <x:v>LCSW-WB09-QB-Q008</x:v>
      </x:c>
      <x:c r="C145" s="83" t="str">
        <x:v>LCSW Workbook 9 Question Bank</x:v>
      </x:c>
      <x:c r="D145" s="83" t="n">
        <x:v>8</x:v>
      </x:c>
      <x:c r="E145" s="83" t="str">
        <x:v>Workbook Bank</x:v>
      </x:c>
      <x:c r="F145" s="83" t="str">
        <x:v>III. Intervention and Practice</x:v>
      </x:c>
      <x:c r="G145" s="83" t="str">
        <x:v>Accessible warm handoff</x:v>
      </x:c>
      <x:c r="H145" s="83" t="str">
        <x:v>Moderate</x:v>
      </x:c>
      <x:c r="I145" s="83" t="str">
        <x:v>Scenario-Based</x:v>
      </x:c>
      <x:c r="J145" s="83" t="n">
        <x:v>4</x:v>
      </x:c>
      <x:c r="K145" s="83" t="str">
        <x:v>D</x:v>
      </x:c>
      <x:c r="L145" s="83" t="n">
        <x:v>1</x:v>
      </x:c>
      <x:c r="M145" s="83" t="str"/>
      <x:c r="N145" s="83" t="str">
        <x:v>Released</x:v>
      </x:c>
      <x:c r="O145" s="89" t="str">
        <x:v>Workbook bank; reserve pool after controlled review</x:v>
      </x:c>
    </x:row>
    <x:row r="146">
      <x:c r="A146" s="88" t="str">
        <x:v>CTA-LCSW-MQB-0145</x:v>
      </x:c>
      <x:c r="B146" s="83" t="str">
        <x:v>LCSW-WB09-QB-Q009</x:v>
      </x:c>
      <x:c r="C146" s="83" t="str">
        <x:v>LCSW Workbook 9 Question Bank</x:v>
      </x:c>
      <x:c r="D146" s="83" t="n">
        <x:v>9</x:v>
      </x:c>
      <x:c r="E146" s="83" t="str">
        <x:v>Workbook Bank</x:v>
      </x:c>
      <x:c r="F146" s="83" t="str">
        <x:v>III. Intervention and Practice</x:v>
      </x:c>
      <x:c r="G146" s="83" t="str">
        <x:v>Case-management role clarity</x:v>
      </x:c>
      <x:c r="H146" s="83" t="str">
        <x:v>Moderate</x:v>
      </x:c>
      <x:c r="I146" s="83" t="str">
        <x:v>Scenario-Based</x:v>
      </x:c>
      <x:c r="J146" s="83" t="n">
        <x:v>4</x:v>
      </x:c>
      <x:c r="K146" s="83" t="str">
        <x:v>A</x:v>
      </x:c>
      <x:c r="L146" s="83" t="n">
        <x:v>1</x:v>
      </x:c>
      <x:c r="M146" s="83" t="str"/>
      <x:c r="N146" s="83" t="str">
        <x:v>Released</x:v>
      </x:c>
      <x:c r="O146" s="89" t="str">
        <x:v>Workbook bank; reserve pool after controlled review</x:v>
      </x:c>
    </x:row>
    <x:row r="147">
      <x:c r="A147" s="88" t="str">
        <x:v>CTA-LCSW-MQB-0146</x:v>
      </x:c>
      <x:c r="B147" s="83" t="str">
        <x:v>LCSW-WB09-QB-Q010</x:v>
      </x:c>
      <x:c r="C147" s="83" t="str">
        <x:v>LCSW Workbook 9 Question Bank</x:v>
      </x:c>
      <x:c r="D147" s="83" t="n">
        <x:v>10</x:v>
      </x:c>
      <x:c r="E147" s="83" t="str">
        <x:v>Workbook Bank</x:v>
      </x:c>
      <x:c r="F147" s="83" t="str">
        <x:v>III. Intervention and Practice</x:v>
      </x:c>
      <x:c r="G147" s="83" t="str">
        <x:v>Interdisciplinary client participation</x:v>
      </x:c>
      <x:c r="H147" s="83" t="str">
        <x:v>Moderate</x:v>
      </x:c>
      <x:c r="I147" s="83" t="str">
        <x:v>Application</x:v>
      </x:c>
      <x:c r="J147" s="83" t="n">
        <x:v>4</x:v>
      </x:c>
      <x:c r="K147" s="83" t="str">
        <x:v>B</x:v>
      </x:c>
      <x:c r="L147" s="83" t="n">
        <x:v>1</x:v>
      </x:c>
      <x:c r="M147" s="83" t="str"/>
      <x:c r="N147" s="83" t="str">
        <x:v>Released</x:v>
      </x:c>
      <x:c r="O147" s="89" t="str">
        <x:v>Workbook bank; reserve pool after controlled review</x:v>
      </x:c>
    </x:row>
    <x:row r="148">
      <x:c r="A148" s="88" t="str">
        <x:v>CTA-LCSW-MQB-0147</x:v>
      </x:c>
      <x:c r="B148" s="83" t="str">
        <x:v>LCSW-WB09-QB-Q011</x:v>
      </x:c>
      <x:c r="C148" s="83" t="str">
        <x:v>LCSW Workbook 9 Question Bank</x:v>
      </x:c>
      <x:c r="D148" s="83" t="n">
        <x:v>11</x:v>
      </x:c>
      <x:c r="E148" s="83" t="str">
        <x:v>Workbook Bank</x:v>
      </x:c>
      <x:c r="F148" s="83" t="str">
        <x:v>III. Intervention and Practice</x:v>
      </x:c>
      <x:c r="G148" s="83" t="str">
        <x:v>Permanency and identity</x:v>
      </x:c>
      <x:c r="H148" s="83" t="str">
        <x:v>Moderate</x:v>
      </x:c>
      <x:c r="I148" s="83" t="str">
        <x:v>Scenario-Based</x:v>
      </x:c>
      <x:c r="J148" s="83" t="n">
        <x:v>4</x:v>
      </x:c>
      <x:c r="K148" s="83" t="str">
        <x:v>C</x:v>
      </x:c>
      <x:c r="L148" s="83" t="n">
        <x:v>1</x:v>
      </x:c>
      <x:c r="M148" s="83" t="str"/>
      <x:c r="N148" s="83" t="str">
        <x:v>Released</x:v>
      </x:c>
      <x:c r="O148" s="89" t="str">
        <x:v>Workbook bank; reserve pool after controlled review</x:v>
      </x:c>
    </x:row>
    <x:row r="149">
      <x:c r="A149" s="88" t="str">
        <x:v>CTA-LCSW-MQB-0148</x:v>
      </x:c>
      <x:c r="B149" s="83" t="str">
        <x:v>LCSW-WB09-QB-Q012</x:v>
      </x:c>
      <x:c r="C149" s="83" t="str">
        <x:v>LCSW Workbook 9 Question Bank</x:v>
      </x:c>
      <x:c r="D149" s="83" t="n">
        <x:v>12</x:v>
      </x:c>
      <x:c r="E149" s="83" t="str">
        <x:v>Workbook Bank</x:v>
      </x:c>
      <x:c r="F149" s="83" t="str">
        <x:v>III. Intervention and Practice</x:v>
      </x:c>
      <x:c r="G149" s="83" t="str">
        <x:v>Community participation</x:v>
      </x:c>
      <x:c r="H149" s="83" t="str">
        <x:v>Moderate</x:v>
      </x:c>
      <x:c r="I149" s="83" t="str">
        <x:v>Knowledge &amp; Recall</x:v>
      </x:c>
      <x:c r="J149" s="83" t="n">
        <x:v>4</x:v>
      </x:c>
      <x:c r="K149" s="83" t="str">
        <x:v>D</x:v>
      </x:c>
      <x:c r="L149" s="83" t="n">
        <x:v>1</x:v>
      </x:c>
      <x:c r="M149" s="83" t="str"/>
      <x:c r="N149" s="83" t="str">
        <x:v>Released</x:v>
      </x:c>
      <x:c r="O149" s="89" t="str">
        <x:v>Workbook bank; reserve pool after controlled review</x:v>
      </x:c>
    </x:row>
    <x:row r="150">
      <x:c r="A150" s="88" t="str">
        <x:v>CTA-LCSW-MQB-0149</x:v>
      </x:c>
      <x:c r="B150" s="83" t="str">
        <x:v>LCSW-WB09-QB-Q013</x:v>
      </x:c>
      <x:c r="C150" s="83" t="str">
        <x:v>LCSW Workbook 9 Question Bank</x:v>
      </x:c>
      <x:c r="D150" s="83" t="n">
        <x:v>13</x:v>
      </x:c>
      <x:c r="E150" s="83" t="str">
        <x:v>Workbook Bank</x:v>
      </x:c>
      <x:c r="F150" s="83" t="str">
        <x:v>III. Intervention and Practice</x:v>
      </x:c>
      <x:c r="G150" s="83" t="str">
        <x:v>Integrated family choice and safety</x:v>
      </x:c>
      <x:c r="H150" s="83" t="str">
        <x:v>Difficult</x:v>
      </x:c>
      <x:c r="I150" s="83" t="str">
        <x:v>Integrated Clinical Reasoning</x:v>
      </x:c>
      <x:c r="J150" s="83" t="n">
        <x:v>4</x:v>
      </x:c>
      <x:c r="K150" s="83" t="str">
        <x:v>A</x:v>
      </x:c>
      <x:c r="L150" s="83" t="n">
        <x:v>1</x:v>
      </x:c>
      <x:c r="M150" s="83" t="str"/>
      <x:c r="N150" s="83" t="str">
        <x:v>Released</x:v>
      </x:c>
      <x:c r="O150" s="89" t="str">
        <x:v>Workbook bank; reserve pool after controlled review</x:v>
      </x:c>
    </x:row>
    <x:row r="151">
      <x:c r="A151" s="88" t="str">
        <x:v>CTA-LCSW-MQB-0150</x:v>
      </x:c>
      <x:c r="B151" s="83" t="str">
        <x:v>LCSW-WB09-QB-Q014</x:v>
      </x:c>
      <x:c r="C151" s="83" t="str">
        <x:v>LCSW Workbook 9 Question Bank</x:v>
      </x:c>
      <x:c r="D151" s="83" t="n">
        <x:v>14</x:v>
      </x:c>
      <x:c r="E151" s="83" t="str">
        <x:v>Workbook Bank</x:v>
      </x:c>
      <x:c r="F151" s="83" t="str">
        <x:v>III. Intervention and Practice</x:v>
      </x:c>
      <x:c r="G151" s="83" t="str">
        <x:v>Integrated group access and mandate</x:v>
      </x:c>
      <x:c r="H151" s="83" t="str">
        <x:v>Difficult</x:v>
      </x:c>
      <x:c r="I151" s="83" t="str">
        <x:v>Integrated Clinical Reasoning</x:v>
      </x:c>
      <x:c r="J151" s="83" t="n">
        <x:v>4</x:v>
      </x:c>
      <x:c r="K151" s="83" t="str">
        <x:v>B</x:v>
      </x:c>
      <x:c r="L151" s="83" t="n">
        <x:v>1</x:v>
      </x:c>
      <x:c r="M151" s="83" t="str"/>
      <x:c r="N151" s="83" t="str">
        <x:v>Released</x:v>
      </x:c>
      <x:c r="O151" s="89" t="str">
        <x:v>Workbook bank; reserve pool after controlled review</x:v>
      </x:c>
    </x:row>
    <x:row r="152">
      <x:c r="A152" s="88" t="str">
        <x:v>CTA-LCSW-MQB-0151</x:v>
      </x:c>
      <x:c r="B152" s="83" t="str">
        <x:v>LCSW-WB09-QB-Q015</x:v>
      </x:c>
      <x:c r="C152" s="83" t="str">
        <x:v>LCSW Workbook 9 Question Bank</x:v>
      </x:c>
      <x:c r="D152" s="83" t="n">
        <x:v>15</x:v>
      </x:c>
      <x:c r="E152" s="83" t="str">
        <x:v>Workbook Bank</x:v>
      </x:c>
      <x:c r="F152" s="83" t="str">
        <x:v>III. Intervention and Practice</x:v>
      </x:c>
      <x:c r="G152" s="83" t="str">
        <x:v>Integrated service-network troubleshooting</x:v>
      </x:c>
      <x:c r="H152" s="83" t="str">
        <x:v>Difficult</x:v>
      </x:c>
      <x:c r="I152" s="83" t="str">
        <x:v>Integrated Clinical Reasoning</x:v>
      </x:c>
      <x:c r="J152" s="83" t="n">
        <x:v>4</x:v>
      </x:c>
      <x:c r="K152" s="83" t="str">
        <x:v>C</x:v>
      </x:c>
      <x:c r="L152" s="83" t="n">
        <x:v>1</x:v>
      </x:c>
      <x:c r="M152" s="83" t="str"/>
      <x:c r="N152" s="83" t="str">
        <x:v>Released</x:v>
      </x:c>
      <x:c r="O152" s="89" t="str">
        <x:v>Workbook bank; reserve pool after controlled review</x:v>
      </x:c>
    </x:row>
    <x:row r="153">
      <x:c r="A153" s="88" t="str">
        <x:v>CTA-LCSW-MQB-0152</x:v>
      </x:c>
      <x:c r="B153" s="83" t="str">
        <x:v>LCSW-WB09-QB-Q016</x:v>
      </x:c>
      <x:c r="C153" s="83" t="str">
        <x:v>LCSW Workbook 9 Question Bank</x:v>
      </x:c>
      <x:c r="D153" s="83" t="n">
        <x:v>16</x:v>
      </x:c>
      <x:c r="E153" s="83" t="str">
        <x:v>Workbook Bank</x:v>
      </x:c>
      <x:c r="F153" s="83" t="str">
        <x:v>III. Intervention and Practice</x:v>
      </x:c>
      <x:c r="G153" s="83" t="str">
        <x:v>Integrated school-team advocacy</x:v>
      </x:c>
      <x:c r="H153" s="83" t="str">
        <x:v>Difficult</x:v>
      </x:c>
      <x:c r="I153" s="83" t="str">
        <x:v>Integrated Clinical Reasoning</x:v>
      </x:c>
      <x:c r="J153" s="83" t="n">
        <x:v>4</x:v>
      </x:c>
      <x:c r="K153" s="83" t="str">
        <x:v>D</x:v>
      </x:c>
      <x:c r="L153" s="83" t="n">
        <x:v>1</x:v>
      </x:c>
      <x:c r="M153" s="83" t="str"/>
      <x:c r="N153" s="83" t="str">
        <x:v>Released</x:v>
      </x:c>
      <x:c r="O153" s="89" t="str">
        <x:v>Workbook bank; reserve pool after controlled review</x:v>
      </x:c>
    </x:row>
    <x:row r="154">
      <x:c r="A154" s="88" t="str">
        <x:v>CTA-LCSW-MQB-0153</x:v>
      </x:c>
      <x:c r="B154" s="83" t="str">
        <x:v>LCSW-WB09-QB-Q017</x:v>
      </x:c>
      <x:c r="C154" s="83" t="str">
        <x:v>LCSW Workbook 9 Question Bank</x:v>
      </x:c>
      <x:c r="D154" s="83" t="n">
        <x:v>17</x:v>
      </x:c>
      <x:c r="E154" s="83" t="str">
        <x:v>Workbook Bank</x:v>
      </x:c>
      <x:c r="F154" s="83" t="str">
        <x:v>III. Intervention and Practice</x:v>
      </x:c>
      <x:c r="G154" s="83" t="str">
        <x:v>Integrated community power and evaluation</x:v>
      </x:c>
      <x:c r="H154" s="83" t="str">
        <x:v>Difficult</x:v>
      </x:c>
      <x:c r="I154" s="83" t="str">
        <x:v>Integrated Clinical Reasoning</x:v>
      </x:c>
      <x:c r="J154" s="83" t="n">
        <x:v>4</x:v>
      </x:c>
      <x:c r="K154" s="83" t="str">
        <x:v>A</x:v>
      </x:c>
      <x:c r="L154" s="83" t="n">
        <x:v>1</x:v>
      </x:c>
      <x:c r="M154" s="83" t="str"/>
      <x:c r="N154" s="83" t="str">
        <x:v>Released</x:v>
      </x:c>
      <x:c r="O154" s="89" t="str">
        <x:v>Workbook bank; reserve pool after controlled review</x:v>
      </x:c>
    </x:row>
    <x:row r="155">
      <x:c r="A155" s="88" t="str">
        <x:v>CTA-LCSW-MQB-0154</x:v>
      </x:c>
      <x:c r="B155" s="83" t="str">
        <x:v>LCSW-WB10-QB-Q001</x:v>
      </x:c>
      <x:c r="C155" s="83" t="str">
        <x:v>LCSW Workbook 10 Question Bank</x:v>
      </x:c>
      <x:c r="D155" s="83" t="n">
        <x:v>1</x:v>
      </x:c>
      <x:c r="E155" s="83" t="str">
        <x:v>Workbook Bank</x:v>
      </x:c>
      <x:c r="F155" s="83" t="str">
        <x:v>III. Intervention and Practice</x:v>
      </x:c>
      <x:c r="G155" s="83" t="str">
        <x:v>BRIDGE coordination sequence</x:v>
      </x:c>
      <x:c r="H155" s="83" t="str">
        <x:v>Easy</x:v>
      </x:c>
      <x:c r="I155" s="83" t="str">
        <x:v>Knowledge &amp; Recall</x:v>
      </x:c>
      <x:c r="J155" s="83" t="n">
        <x:v>4</x:v>
      </x:c>
      <x:c r="K155" s="83" t="str">
        <x:v>A</x:v>
      </x:c>
      <x:c r="L155" s="83" t="n">
        <x:v>1</x:v>
      </x:c>
      <x:c r="M155" s="83" t="str"/>
      <x:c r="N155" s="83" t="str">
        <x:v>Released</x:v>
      </x:c>
      <x:c r="O155" s="89" t="str">
        <x:v>Workbook bank; reserve pool after controlled review</x:v>
      </x:c>
    </x:row>
    <x:row r="156">
      <x:c r="A156" s="88" t="str">
        <x:v>CTA-LCSW-MQB-0155</x:v>
      </x:c>
      <x:c r="B156" s="83" t="str">
        <x:v>LCSW-WB10-QB-Q002</x:v>
      </x:c>
      <x:c r="C156" s="83" t="str">
        <x:v>LCSW Workbook 10 Question Bank</x:v>
      </x:c>
      <x:c r="D156" s="83" t="n">
        <x:v>2</x:v>
      </x:c>
      <x:c r="E156" s="83" t="str">
        <x:v>Workbook Bank</x:v>
      </x:c>
      <x:c r="F156" s="83" t="str">
        <x:v>III. Intervention and Practice</x:v>
      </x:c>
      <x:c r="G156" s="83" t="str">
        <x:v>Case management as integrated clinical practice</x:v>
      </x:c>
      <x:c r="H156" s="83" t="str">
        <x:v>Easy</x:v>
      </x:c>
      <x:c r="I156" s="83" t="str">
        <x:v>Knowledge &amp; Recall</x:v>
      </x:c>
      <x:c r="J156" s="83" t="n">
        <x:v>4</x:v>
      </x:c>
      <x:c r="K156" s="83" t="str">
        <x:v>B</x:v>
      </x:c>
      <x:c r="L156" s="83" t="n">
        <x:v>1</x:v>
      </x:c>
      <x:c r="M156" s="83" t="str"/>
      <x:c r="N156" s="83" t="str">
        <x:v>Released</x:v>
      </x:c>
      <x:c r="O156" s="89" t="str">
        <x:v>Workbook bank; reserve pool after controlled review</x:v>
      </x:c>
    </x:row>
    <x:row r="157">
      <x:c r="A157" s="88" t="str">
        <x:v>CTA-LCSW-MQB-0156</x:v>
      </x:c>
      <x:c r="B157" s="83" t="str">
        <x:v>LCSW-WB10-QB-Q003</x:v>
      </x:c>
      <x:c r="C157" s="83" t="str">
        <x:v>LCSW Workbook 10 Question Bank</x:v>
      </x:c>
      <x:c r="D157" s="83" t="n">
        <x:v>3</x:v>
      </x:c>
      <x:c r="E157" s="83" t="str">
        <x:v>Workbook Bank</x:v>
      </x:c>
      <x:c r="F157" s="83" t="str">
        <x:v>III. Intervention and Practice</x:v>
      </x:c>
      <x:c r="G157" s="83" t="str">
        <x:v>Resource fit, eligibility, access, and choice</x:v>
      </x:c>
      <x:c r="H157" s="83" t="str">
        <x:v>Easy</x:v>
      </x:c>
      <x:c r="I157" s="83" t="str">
        <x:v>Application</x:v>
      </x:c>
      <x:c r="J157" s="83" t="n">
        <x:v>4</x:v>
      </x:c>
      <x:c r="K157" s="83" t="str">
        <x:v>C</x:v>
      </x:c>
      <x:c r="L157" s="83" t="n">
        <x:v>1</x:v>
      </x:c>
      <x:c r="M157" s="83" t="str"/>
      <x:c r="N157" s="83" t="str">
        <x:v>Released</x:v>
      </x:c>
      <x:c r="O157" s="89" t="str">
        <x:v>Workbook bank; reserve pool after controlled review</x:v>
      </x:c>
    </x:row>
    <x:row r="158">
      <x:c r="A158" s="88" t="str">
        <x:v>CTA-LCSW-MQB-0157</x:v>
      </x:c>
      <x:c r="B158" s="83" t="str">
        <x:v>LCSW-WB10-QB-Q004</x:v>
      </x:c>
      <x:c r="C158" s="83" t="str">
        <x:v>LCSW Workbook 10 Question Bank</x:v>
      </x:c>
      <x:c r="D158" s="83" t="n">
        <x:v>4</x:v>
      </x:c>
      <x:c r="E158" s="83" t="str">
        <x:v>Workbook Bank</x:v>
      </x:c>
      <x:c r="F158" s="83" t="str">
        <x:v>III. Intervention and Practice</x:v>
      </x:c>
      <x:c r="G158" s="83" t="str">
        <x:v>Warm handoff and continuity</x:v>
      </x:c>
      <x:c r="H158" s="83" t="str">
        <x:v>Easy</x:v>
      </x:c>
      <x:c r="I158" s="83" t="str">
        <x:v>Knowledge &amp; Recall</x:v>
      </x:c>
      <x:c r="J158" s="83" t="n">
        <x:v>4</x:v>
      </x:c>
      <x:c r="K158" s="83" t="str">
        <x:v>D</x:v>
      </x:c>
      <x:c r="L158" s="83" t="n">
        <x:v>1</x:v>
      </x:c>
      <x:c r="M158" s="83" t="str"/>
      <x:c r="N158" s="83" t="str">
        <x:v>Released</x:v>
      </x:c>
      <x:c r="O158" s="89" t="str">
        <x:v>Workbook bank; reserve pool after controlled review</x:v>
      </x:c>
    </x:row>
    <x:row r="159">
      <x:c r="A159" s="88" t="str">
        <x:v>CTA-LCSW-MQB-0158</x:v>
      </x:c>
      <x:c r="B159" s="83" t="str">
        <x:v>LCSW-WB10-QB-Q005</x:v>
      </x:c>
      <x:c r="C159" s="83" t="str">
        <x:v>LCSW Workbook 10 Question Bank</x:v>
      </x:c>
      <x:c r="D159" s="83" t="n">
        <x:v>5</x:v>
      </x:c>
      <x:c r="E159" s="83" t="str">
        <x:v>Workbook Bank</x:v>
      </x:c>
      <x:c r="F159" s="83" t="str">
        <x:v>III. Intervention and Practice</x:v>
      </x:c>
      <x:c r="G159" s="83" t="str">
        <x:v>Accountable coordination documentation</x:v>
      </x:c>
      <x:c r="H159" s="83" t="str">
        <x:v>Easy</x:v>
      </x:c>
      <x:c r="I159" s="83" t="str">
        <x:v>Application</x:v>
      </x:c>
      <x:c r="J159" s="83" t="n">
        <x:v>4</x:v>
      </x:c>
      <x:c r="K159" s="83" t="str">
        <x:v>A</x:v>
      </x:c>
      <x:c r="L159" s="83" t="n">
        <x:v>1</x:v>
      </x:c>
      <x:c r="M159" s="83" t="str"/>
      <x:c r="N159" s="83" t="str">
        <x:v>Released</x:v>
      </x:c>
      <x:c r="O159" s="89" t="str">
        <x:v>Workbook bank; reserve pool after controlled review</x:v>
      </x:c>
    </x:row>
    <x:row r="160">
      <x:c r="A160" s="88" t="str">
        <x:v>CTA-LCSW-MQB-0159</x:v>
      </x:c>
      <x:c r="B160" s="83" t="str">
        <x:v>LCSW-WB10-QB-Q006</x:v>
      </x:c>
      <x:c r="C160" s="83" t="str">
        <x:v>LCSW Workbook 10 Question Bank</x:v>
      </x:c>
      <x:c r="D160" s="83" t="n">
        <x:v>6</x:v>
      </x:c>
      <x:c r="E160" s="83" t="str">
        <x:v>Workbook Bank</x:v>
      </x:c>
      <x:c r="F160" s="83" t="str">
        <x:v>III. Intervention and Practice</x:v>
      </x:c>
      <x:c r="G160" s="83" t="str">
        <x:v>Prioritization of urgent and time-sensitive needs</x:v>
      </x:c>
      <x:c r="H160" s="83" t="str">
        <x:v>Moderate</x:v>
      </x:c>
      <x:c r="I160" s="83" t="str">
        <x:v>Application</x:v>
      </x:c>
      <x:c r="J160" s="83" t="n">
        <x:v>4</x:v>
      </x:c>
      <x:c r="K160" s="83" t="str">
        <x:v>B</x:v>
      </x:c>
      <x:c r="L160" s="83" t="n">
        <x:v>1</x:v>
      </x:c>
      <x:c r="M160" s="83" t="str"/>
      <x:c r="N160" s="83" t="str">
        <x:v>Released</x:v>
      </x:c>
      <x:c r="O160" s="89" t="str">
        <x:v>Workbook bank; reserve pool after controlled review</x:v>
      </x:c>
    </x:row>
    <x:row r="161">
      <x:c r="A161" s="88" t="str">
        <x:v>CTA-LCSW-MQB-0160</x:v>
      </x:c>
      <x:c r="B161" s="83" t="str">
        <x:v>LCSW-WB10-QB-Q007</x:v>
      </x:c>
      <x:c r="C161" s="83" t="str">
        <x:v>LCSW Workbook 10 Question Bank</x:v>
      </x:c>
      <x:c r="D161" s="83" t="n">
        <x:v>7</x:v>
      </x:c>
      <x:c r="E161" s="83" t="str">
        <x:v>Workbook Bank</x:v>
      </x:c>
      <x:c r="F161" s="83" t="str">
        <x:v>III. Intervention and Practice</x:v>
      </x:c>
      <x:c r="G161" s="83" t="str">
        <x:v>Barrier assessment before labeling nonadherence</x:v>
      </x:c>
      <x:c r="H161" s="83" t="str">
        <x:v>Moderate</x:v>
      </x:c>
      <x:c r="I161" s="83" t="str">
        <x:v>Scenario-Based</x:v>
      </x:c>
      <x:c r="J161" s="83" t="n">
        <x:v>4</x:v>
      </x:c>
      <x:c r="K161" s="83" t="str">
        <x:v>C</x:v>
      </x:c>
      <x:c r="L161" s="83" t="n">
        <x:v>1</x:v>
      </x:c>
      <x:c r="M161" s="83" t="str"/>
      <x:c r="N161" s="83" t="str">
        <x:v>Released</x:v>
      </x:c>
      <x:c r="O161" s="89" t="str">
        <x:v>Workbook bank; reserve pool after controlled review</x:v>
      </x:c>
    </x:row>
    <x:row r="162">
      <x:c r="A162" s="88" t="str">
        <x:v>CTA-LCSW-MQB-0161</x:v>
      </x:c>
      <x:c r="B162" s="83" t="str">
        <x:v>LCSW-WB10-QB-Q008</x:v>
      </x:c>
      <x:c r="C162" s="83" t="str">
        <x:v>LCSW Workbook 10 Question Bank</x:v>
      </x:c>
      <x:c r="D162" s="83" t="n">
        <x:v>8</x:v>
      </x:c>
      <x:c r="E162" s="83" t="str">
        <x:v>Workbook Bank</x:v>
      </x:c>
      <x:c r="F162" s="83" t="str">
        <x:v>III. Intervention and Practice</x:v>
      </x:c>
      <x:c r="G162" s="83" t="str">
        <x:v>Interdisciplinary role clarity and authority</x:v>
      </x:c>
      <x:c r="H162" s="83" t="str">
        <x:v>Moderate</x:v>
      </x:c>
      <x:c r="I162" s="83" t="str">
        <x:v>Scenario-Based</x:v>
      </x:c>
      <x:c r="J162" s="83" t="n">
        <x:v>4</x:v>
      </x:c>
      <x:c r="K162" s="83" t="str">
        <x:v>D</x:v>
      </x:c>
      <x:c r="L162" s="83" t="n">
        <x:v>1</x:v>
      </x:c>
      <x:c r="M162" s="83" t="str"/>
      <x:c r="N162" s="83" t="str">
        <x:v>Released</x:v>
      </x:c>
      <x:c r="O162" s="89" t="str">
        <x:v>Workbook bank; reserve pool after controlled review</x:v>
      </x:c>
    </x:row>
    <x:row r="163">
      <x:c r="A163" s="88" t="str">
        <x:v>CTA-LCSW-MQB-0162</x:v>
      </x:c>
      <x:c r="B163" s="83" t="str">
        <x:v>LCSW-WB10-QB-Q009</x:v>
      </x:c>
      <x:c r="C163" s="83" t="str">
        <x:v>LCSW Workbook 10 Question Bank</x:v>
      </x:c>
      <x:c r="D163" s="83" t="n">
        <x:v>9</x:v>
      </x:c>
      <x:c r="E163" s="83" t="str">
        <x:v>Workbook Bank</x:v>
      </x:c>
      <x:c r="F163" s="83" t="str">
        <x:v>III. Intervention and Practice</x:v>
      </x:c>
      <x:c r="G163" s="83" t="str">
        <x:v>Selecting the correct advocacy level</x:v>
      </x:c>
      <x:c r="H163" s="83" t="str">
        <x:v>Moderate</x:v>
      </x:c>
      <x:c r="I163" s="83" t="str">
        <x:v>Application</x:v>
      </x:c>
      <x:c r="J163" s="83" t="n">
        <x:v>4</x:v>
      </x:c>
      <x:c r="K163" s="83" t="str">
        <x:v>A</x:v>
      </x:c>
      <x:c r="L163" s="83" t="n">
        <x:v>1</x:v>
      </x:c>
      <x:c r="M163" s="83" t="str"/>
      <x:c r="N163" s="83" t="str">
        <x:v>Released</x:v>
      </x:c>
      <x:c r="O163" s="89" t="str">
        <x:v>Workbook bank; reserve pool after controlled review</x:v>
      </x:c>
    </x:row>
    <x:row r="164">
      <x:c r="A164" s="88" t="str">
        <x:v>CTA-LCSW-MQB-0163</x:v>
      </x:c>
      <x:c r="B164" s="83" t="str">
        <x:v>LCSW-WB10-QB-Q010</x:v>
      </x:c>
      <x:c r="C164" s="83" t="str">
        <x:v>LCSW Workbook 10 Question Bank</x:v>
      </x:c>
      <x:c r="D164" s="83" t="n">
        <x:v>10</x:v>
      </x:c>
      <x:c r="E164" s="83" t="str">
        <x:v>Workbook Bank</x:v>
      </x:c>
      <x:c r="F164" s="83" t="str">
        <x:v>III. Intervention and Practice</x:v>
      </x:c>
      <x:c r="G164" s="83" t="str">
        <x:v>Time-sensitive benefits access and literacy support</x:v>
      </x:c>
      <x:c r="H164" s="83" t="str">
        <x:v>Moderate</x:v>
      </x:c>
      <x:c r="I164" s="83" t="str">
        <x:v>Scenario-Based</x:v>
      </x:c>
      <x:c r="J164" s="83" t="n">
        <x:v>4</x:v>
      </x:c>
      <x:c r="K164" s="83" t="str">
        <x:v>B</x:v>
      </x:c>
      <x:c r="L164" s="83" t="n">
        <x:v>1</x:v>
      </x:c>
      <x:c r="M164" s="83" t="str"/>
      <x:c r="N164" s="83" t="str">
        <x:v>Released</x:v>
      </x:c>
      <x:c r="O164" s="89" t="str">
        <x:v>Workbook bank; reserve pool after controlled review</x:v>
      </x:c>
    </x:row>
    <x:row r="165">
      <x:c r="A165" s="88" t="str">
        <x:v>CTA-LCSW-MQB-0164</x:v>
      </x:c>
      <x:c r="B165" s="83" t="str">
        <x:v>LCSW-WB10-QB-Q011</x:v>
      </x:c>
      <x:c r="C165" s="83" t="str">
        <x:v>LCSW Workbook 10 Question Bank</x:v>
      </x:c>
      <x:c r="D165" s="83" t="n">
        <x:v>11</x:v>
      </x:c>
      <x:c r="E165" s="83" t="str">
        <x:v>Workbook Bank</x:v>
      </x:c>
      <x:c r="F165" s="83" t="str">
        <x:v>III. Intervention and Practice</x:v>
      </x:c>
      <x:c r="G165" s="83" t="str">
        <x:v>Minimum necessary information in collaboration</x:v>
      </x:c>
      <x:c r="H165" s="83" t="str">
        <x:v>Moderate</x:v>
      </x:c>
      <x:c r="I165" s="83" t="str">
        <x:v>Scenario-Based</x:v>
      </x:c>
      <x:c r="J165" s="83" t="n">
        <x:v>4</x:v>
      </x:c>
      <x:c r="K165" s="83" t="str">
        <x:v>C</x:v>
      </x:c>
      <x:c r="L165" s="83" t="n">
        <x:v>1</x:v>
      </x:c>
      <x:c r="M165" s="83" t="str"/>
      <x:c r="N165" s="83" t="str">
        <x:v>Released</x:v>
      </x:c>
      <x:c r="O165" s="89" t="str">
        <x:v>Workbook bank; reserve pool after controlled review</x:v>
      </x:c>
    </x:row>
    <x:row r="166">
      <x:c r="A166" s="88" t="str">
        <x:v>CTA-LCSW-MQB-0165</x:v>
      </x:c>
      <x:c r="B166" s="83" t="str">
        <x:v>LCSW-WB10-QB-Q012</x:v>
      </x:c>
      <x:c r="C166" s="83" t="str">
        <x:v>LCSW Workbook 10 Question Bank</x:v>
      </x:c>
      <x:c r="D166" s="83" t="n">
        <x:v>12</x:v>
      </x:c>
      <x:c r="E166" s="83" t="str">
        <x:v>Workbook Bank</x:v>
      </x:c>
      <x:c r="F166" s="83" t="str">
        <x:v>III. Intervention and Practice</x:v>
      </x:c>
      <x:c r="G166" s="83" t="str">
        <x:v>School collaboration, language access, and client participation</x:v>
      </x:c>
      <x:c r="H166" s="83" t="str">
        <x:v>Moderate</x:v>
      </x:c>
      <x:c r="I166" s="83" t="str">
        <x:v>Integrated Clinical Reasoning</x:v>
      </x:c>
      <x:c r="J166" s="83" t="n">
        <x:v>4</x:v>
      </x:c>
      <x:c r="K166" s="83" t="str">
        <x:v>D</x:v>
      </x:c>
      <x:c r="L166" s="83" t="n">
        <x:v>1</x:v>
      </x:c>
      <x:c r="M166" s="83" t="str"/>
      <x:c r="N166" s="83" t="str">
        <x:v>Released</x:v>
      </x:c>
      <x:c r="O166" s="89" t="str">
        <x:v>Workbook bank; reserve pool after controlled review</x:v>
      </x:c>
    </x:row>
    <x:row r="167">
      <x:c r="A167" s="88" t="str">
        <x:v>CTA-LCSW-MQB-0166</x:v>
      </x:c>
      <x:c r="B167" s="83" t="str">
        <x:v>LCSW-WB10-QB-Q013</x:v>
      </x:c>
      <x:c r="C167" s="83" t="str">
        <x:v>LCSW Workbook 10 Question Bank</x:v>
      </x:c>
      <x:c r="D167" s="83" t="n">
        <x:v>13</x:v>
      </x:c>
      <x:c r="E167" s="83" t="str">
        <x:v>Workbook Bank</x:v>
      </x:c>
      <x:c r="F167" s="83" t="str">
        <x:v>III. Intervention and Practice</x:v>
      </x:c>
      <x:c r="G167" s="83" t="str">
        <x:v>Integrated medical, suicide, housing, and communication triage</x:v>
      </x:c>
      <x:c r="H167" s="83" t="str">
        <x:v>Difficult</x:v>
      </x:c>
      <x:c r="I167" s="83" t="str">
        <x:v>Scenario-Based</x:v>
      </x:c>
      <x:c r="J167" s="83" t="n">
        <x:v>4</x:v>
      </x:c>
      <x:c r="K167" s="83" t="str">
        <x:v>A</x:v>
      </x:c>
      <x:c r="L167" s="83" t="n">
        <x:v>1</x:v>
      </x:c>
      <x:c r="M167" s="83" t="str"/>
      <x:c r="N167" s="83" t="str">
        <x:v>Released</x:v>
      </x:c>
      <x:c r="O167" s="89" t="str">
        <x:v>Workbook bank; reserve pool after controlled review</x:v>
      </x:c>
    </x:row>
    <x:row r="168">
      <x:c r="A168" s="88" t="str">
        <x:v>CTA-LCSW-MQB-0167</x:v>
      </x:c>
      <x:c r="B168" s="83" t="str">
        <x:v>LCSW-WB10-QB-Q014</x:v>
      </x:c>
      <x:c r="C168" s="83" t="str">
        <x:v>LCSW Workbook 10 Question Bank</x:v>
      </x:c>
      <x:c r="D168" s="83" t="n">
        <x:v>14</x:v>
      </x:c>
      <x:c r="E168" s="83" t="str">
        <x:v>Workbook Bank</x:v>
      </x:c>
      <x:c r="F168" s="83" t="str">
        <x:v>III. Intervention and Practice</x:v>
      </x:c>
      <x:c r="G168" s="83" t="str">
        <x:v>Immigration-related benefit concern and professional competence</x:v>
      </x:c>
      <x:c r="H168" s="83" t="str">
        <x:v>Difficult</x:v>
      </x:c>
      <x:c r="I168" s="83" t="str">
        <x:v>Integrated Clinical Reasoning</x:v>
      </x:c>
      <x:c r="J168" s="83" t="n">
        <x:v>4</x:v>
      </x:c>
      <x:c r="K168" s="83" t="str">
        <x:v>B</x:v>
      </x:c>
      <x:c r="L168" s="83" t="n">
        <x:v>1</x:v>
      </x:c>
      <x:c r="M168" s="83" t="str"/>
      <x:c r="N168" s="83" t="str">
        <x:v>Released</x:v>
      </x:c>
      <x:c r="O168" s="89" t="str">
        <x:v>Workbook bank; reserve pool after controlled review</x:v>
      </x:c>
    </x:row>
    <x:row r="169">
      <x:c r="A169" s="88" t="str">
        <x:v>CTA-LCSW-MQB-0168</x:v>
      </x:c>
      <x:c r="B169" s="83" t="str">
        <x:v>LCSW-WB10-QB-Q015</x:v>
      </x:c>
      <x:c r="C169" s="83" t="str">
        <x:v>LCSW Workbook 10 Question Bank</x:v>
      </x:c>
      <x:c r="D169" s="83" t="n">
        <x:v>15</x:v>
      </x:c>
      <x:c r="E169" s="83" t="str">
        <x:v>Workbook Bank</x:v>
      </x:c>
      <x:c r="F169" s="83" t="str">
        <x:v>III. Intervention and Practice</x:v>
      </x:c>
      <x:c r="G169" s="83" t="str">
        <x:v>Self-determination, capacity, and family involvement</x:v>
      </x:c>
      <x:c r="H169" s="83" t="str">
        <x:v>Difficult</x:v>
      </x:c>
      <x:c r="I169" s="83" t="str">
        <x:v>Integrated Clinical Reasoning</x:v>
      </x:c>
      <x:c r="J169" s="83" t="n">
        <x:v>4</x:v>
      </x:c>
      <x:c r="K169" s="83" t="str">
        <x:v>C</x:v>
      </x:c>
      <x:c r="L169" s="83" t="n">
        <x:v>1</x:v>
      </x:c>
      <x:c r="M169" s="83" t="str"/>
      <x:c r="N169" s="83" t="str">
        <x:v>Released</x:v>
      </x:c>
      <x:c r="O169" s="89" t="str">
        <x:v>Workbook bank; reserve pool after controlled review</x:v>
      </x:c>
    </x:row>
    <x:row r="170">
      <x:c r="A170" s="88" t="str">
        <x:v>CTA-LCSW-MQB-0169</x:v>
      </x:c>
      <x:c r="B170" s="83" t="str">
        <x:v>LCSW-WB10-QB-Q016</x:v>
      </x:c>
      <x:c r="C170" s="83" t="str">
        <x:v>LCSW Workbook 10 Question Bank</x:v>
      </x:c>
      <x:c r="D170" s="83" t="n">
        <x:v>16</x:v>
      </x:c>
      <x:c r="E170" s="83" t="str">
        <x:v>Workbook Bank</x:v>
      </x:c>
      <x:c r="F170" s="83" t="str">
        <x:v>III. Intervention and Practice</x:v>
      </x:c>
      <x:c r="G170" s="83" t="str">
        <x:v>Organizational disability-access advocacy</x:v>
      </x:c>
      <x:c r="H170" s="83" t="str">
        <x:v>Difficult</x:v>
      </x:c>
      <x:c r="I170" s="83" t="str">
        <x:v>Integrated Clinical Reasoning</x:v>
      </x:c>
      <x:c r="J170" s="83" t="n">
        <x:v>4</x:v>
      </x:c>
      <x:c r="K170" s="83" t="str">
        <x:v>D</x:v>
      </x:c>
      <x:c r="L170" s="83" t="n">
        <x:v>1</x:v>
      </x:c>
      <x:c r="M170" s="83" t="str"/>
      <x:c r="N170" s="83" t="str">
        <x:v>Released</x:v>
      </x:c>
      <x:c r="O170" s="89" t="str">
        <x:v>Workbook bank; reserve pool after controlled review</x:v>
      </x:c>
    </x:row>
    <x:row r="171">
      <x:c r="A171" s="88" t="str">
        <x:v>CTA-LCSW-MQB-0170</x:v>
      </x:c>
      <x:c r="B171" s="83" t="str">
        <x:v>LCSW-WB10-QB-Q017</x:v>
      </x:c>
      <x:c r="C171" s="83" t="str">
        <x:v>LCSW Workbook 10 Question Bank</x:v>
      </x:c>
      <x:c r="D171" s="83" t="n">
        <x:v>17</x:v>
      </x:c>
      <x:c r="E171" s="83" t="str">
        <x:v>Workbook Bank</x:v>
      </x:c>
      <x:c r="F171" s="83" t="str">
        <x:v>III. Intervention and Practice</x:v>
      </x:c>
      <x:c r="G171" s="83" t="str">
        <x:v>Failed service plan, role mapping, and continuity</x:v>
      </x:c>
      <x:c r="H171" s="83" t="str">
        <x:v>Difficult</x:v>
      </x:c>
      <x:c r="I171" s="83" t="str">
        <x:v>Integrated Clinical Reasoning</x:v>
      </x:c>
      <x:c r="J171" s="83" t="n">
        <x:v>4</x:v>
      </x:c>
      <x:c r="K171" s="83" t="str">
        <x:v>A</x:v>
      </x:c>
      <x:c r="L171" s="83" t="n">
        <x:v>1</x:v>
      </x:c>
      <x:c r="M171" s="83" t="str"/>
      <x:c r="N171" s="83" t="str">
        <x:v>Released</x:v>
      </x:c>
      <x:c r="O171" s="89" t="str">
        <x:v>Workbook bank; reserve pool after controlled review</x:v>
      </x:c>
    </x:row>
    <x:row r="172">
      <x:c r="A172" s="88" t="str">
        <x:v>CTA-LCSW-MQB-0171</x:v>
      </x:c>
      <x:c r="B172" s="83" t="str">
        <x:v>LCSW-WB11-QB-Q001</x:v>
      </x:c>
      <x:c r="C172" s="83" t="str">
        <x:v>LCSW Workbook 11 Question Bank</x:v>
      </x:c>
      <x:c r="D172" s="83" t="n">
        <x:v>1</x:v>
      </x:c>
      <x:c r="E172" s="83" t="str">
        <x:v>Workbook Bank</x:v>
      </x:c>
      <x:c r="F172" s="83" t="str">
        <x:v>III. Intervention and Practice</x:v>
      </x:c>
      <x:c r="G172" s="83" t="str">
        <x:v>Sensitivity to change</x:v>
      </x:c>
      <x:c r="H172" s="83" t="str">
        <x:v>Easy</x:v>
      </x:c>
      <x:c r="I172" s="83" t="str">
        <x:v>Knowledge &amp; Recall</x:v>
      </x:c>
      <x:c r="J172" s="83" t="n">
        <x:v>4</x:v>
      </x:c>
      <x:c r="K172" s="83" t="str">
        <x:v>A</x:v>
      </x:c>
      <x:c r="L172" s="83" t="n">
        <x:v>1</x:v>
      </x:c>
      <x:c r="M172" s="83" t="str"/>
      <x:c r="N172" s="83" t="str">
        <x:v>Released</x:v>
      </x:c>
      <x:c r="O172" s="89" t="str">
        <x:v>Workbook bank; reserve pool after controlled review</x:v>
      </x:c>
    </x:row>
    <x:row r="173">
      <x:c r="A173" s="88" t="str">
        <x:v>CTA-LCSW-MQB-0172</x:v>
      </x:c>
      <x:c r="B173" s="83" t="str">
        <x:v>LCSW-WB11-QB-Q002</x:v>
      </x:c>
      <x:c r="C173" s="83" t="str">
        <x:v>LCSW Workbook 11 Question Bank</x:v>
      </x:c>
      <x:c r="D173" s="83" t="n">
        <x:v>2</x:v>
      </x:c>
      <x:c r="E173" s="83" t="str">
        <x:v>Workbook Bank</x:v>
      </x:c>
      <x:c r="F173" s="83" t="str">
        <x:v>III. Intervention and Practice</x:v>
      </x:c>
      <x:c r="G173" s="83" t="str">
        <x:v>Process versus outcome evaluation</x:v>
      </x:c>
      <x:c r="H173" s="83" t="str">
        <x:v>Easy</x:v>
      </x:c>
      <x:c r="I173" s="83" t="str">
        <x:v>Knowledge &amp; Recall</x:v>
      </x:c>
      <x:c r="J173" s="83" t="n">
        <x:v>4</x:v>
      </x:c>
      <x:c r="K173" s="83" t="str">
        <x:v>B</x:v>
      </x:c>
      <x:c r="L173" s="83" t="n">
        <x:v>1</x:v>
      </x:c>
      <x:c r="M173" s="83" t="str"/>
      <x:c r="N173" s="83" t="str">
        <x:v>Released</x:v>
      </x:c>
      <x:c r="O173" s="89" t="str">
        <x:v>Workbook bank; reserve pool after controlled review</x:v>
      </x:c>
    </x:row>
    <x:row r="174">
      <x:c r="A174" s="88" t="str">
        <x:v>CTA-LCSW-MQB-0173</x:v>
      </x:c>
      <x:c r="B174" s="83" t="str">
        <x:v>LCSW-WB11-QB-Q003</x:v>
      </x:c>
      <x:c r="C174" s="83" t="str">
        <x:v>LCSW Workbook 11 Question Bank</x:v>
      </x:c>
      <x:c r="D174" s="83" t="n">
        <x:v>3</x:v>
      </x:c>
      <x:c r="E174" s="83" t="str">
        <x:v>Workbook Bank</x:v>
      </x:c>
      <x:c r="F174" s="83" t="str">
        <x:v>III. Intervention and Practice</x:v>
      </x:c>
      <x:c r="G174" s="83" t="str">
        <x:v>Measurable objective</x:v>
      </x:c>
      <x:c r="H174" s="83" t="str">
        <x:v>Easy</x:v>
      </x:c>
      <x:c r="I174" s="83" t="str">
        <x:v>Application</x:v>
      </x:c>
      <x:c r="J174" s="83" t="n">
        <x:v>4</x:v>
      </x:c>
      <x:c r="K174" s="83" t="str">
        <x:v>C</x:v>
      </x:c>
      <x:c r="L174" s="83" t="n">
        <x:v>1</x:v>
      </x:c>
      <x:c r="M174" s="83" t="str"/>
      <x:c r="N174" s="83" t="str">
        <x:v>Released</x:v>
      </x:c>
      <x:c r="O174" s="89" t="str">
        <x:v>Workbook bank; reserve pool after controlled review</x:v>
      </x:c>
    </x:row>
    <x:row r="175">
      <x:c r="A175" s="88" t="str">
        <x:v>CTA-LCSW-MQB-0174</x:v>
      </x:c>
      <x:c r="B175" s="83" t="str">
        <x:v>LCSW-WB11-QB-Q004</x:v>
      </x:c>
      <x:c r="C175" s="83" t="str">
        <x:v>LCSW Workbook 11 Question Bank</x:v>
      </x:c>
      <x:c r="D175" s="83" t="n">
        <x:v>4</x:v>
      </x:c>
      <x:c r="E175" s="83" t="str">
        <x:v>Workbook Bank</x:v>
      </x:c>
      <x:c r="F175" s="83" t="str">
        <x:v>III. Intervention and Practice</x:v>
      </x:c>
      <x:c r="G175" s="83" t="str">
        <x:v>Function of clinical supervision</x:v>
      </x:c>
      <x:c r="H175" s="83" t="str">
        <x:v>Easy</x:v>
      </x:c>
      <x:c r="I175" s="83" t="str">
        <x:v>Knowledge &amp; Recall</x:v>
      </x:c>
      <x:c r="J175" s="83" t="n">
        <x:v>4</x:v>
      </x:c>
      <x:c r="K175" s="83" t="str">
        <x:v>D</x:v>
      </x:c>
      <x:c r="L175" s="83" t="n">
        <x:v>1</x:v>
      </x:c>
      <x:c r="M175" s="83" t="str"/>
      <x:c r="N175" s="83" t="str">
        <x:v>Released</x:v>
      </x:c>
      <x:c r="O175" s="89" t="str">
        <x:v>Workbook bank; reserve pool after controlled review</x:v>
      </x:c>
    </x:row>
    <x:row r="176">
      <x:c r="A176" s="88" t="str">
        <x:v>CTA-LCSW-MQB-0175</x:v>
      </x:c>
      <x:c r="B176" s="83" t="str">
        <x:v>LCSW-WB11-QB-Q005</x:v>
      </x:c>
      <x:c r="C176" s="83" t="str">
        <x:v>LCSW Workbook 11 Question Bank</x:v>
      </x:c>
      <x:c r="D176" s="83" t="n">
        <x:v>5</x:v>
      </x:c>
      <x:c r="E176" s="83" t="str">
        <x:v>Workbook Bank</x:v>
      </x:c>
      <x:c r="F176" s="83" t="str">
        <x:v>III. Intervention and Practice</x:v>
      </x:c>
      <x:c r="G176" s="83" t="str">
        <x:v>Quality improvement versus research</x:v>
      </x:c>
      <x:c r="H176" s="83" t="str">
        <x:v>Easy</x:v>
      </x:c>
      <x:c r="I176" s="83" t="str">
        <x:v>Application</x:v>
      </x:c>
      <x:c r="J176" s="83" t="n">
        <x:v>4</x:v>
      </x:c>
      <x:c r="K176" s="83" t="str">
        <x:v>A</x:v>
      </x:c>
      <x:c r="L176" s="83" t="n">
        <x:v>1</x:v>
      </x:c>
      <x:c r="M176" s="83" t="str"/>
      <x:c r="N176" s="83" t="str">
        <x:v>Released</x:v>
      </x:c>
      <x:c r="O176" s="89" t="str">
        <x:v>Workbook bank; reserve pool after controlled review</x:v>
      </x:c>
    </x:row>
    <x:row r="177">
      <x:c r="A177" s="88" t="str">
        <x:v>CTA-LCSW-MQB-0176</x:v>
      </x:c>
      <x:c r="B177" s="83" t="str">
        <x:v>LCSW-WB11-QB-Q006</x:v>
      </x:c>
      <x:c r="C177" s="83" t="str">
        <x:v>LCSW Workbook 11 Question Bank</x:v>
      </x:c>
      <x:c r="D177" s="83" t="n">
        <x:v>6</x:v>
      </x:c>
      <x:c r="E177" s="83" t="str">
        <x:v>Workbook Bank</x:v>
      </x:c>
      <x:c r="F177" s="83" t="str">
        <x:v>III. Intervention and Practice</x:v>
      </x:c>
      <x:c r="G177" s="83" t="str">
        <x:v>Needs assessment before program selection</x:v>
      </x:c>
      <x:c r="H177" s="83" t="str">
        <x:v>Moderate</x:v>
      </x:c>
      <x:c r="I177" s="83" t="str">
        <x:v>Scenario-Based</x:v>
      </x:c>
      <x:c r="J177" s="83" t="n">
        <x:v>4</x:v>
      </x:c>
      <x:c r="K177" s="83" t="str">
        <x:v>B</x:v>
      </x:c>
      <x:c r="L177" s="83" t="n">
        <x:v>1</x:v>
      </x:c>
      <x:c r="M177" s="83" t="str"/>
      <x:c r="N177" s="83" t="str">
        <x:v>Released</x:v>
      </x:c>
      <x:c r="O177" s="89" t="str">
        <x:v>Workbook bank; reserve pool after controlled review</x:v>
      </x:c>
    </x:row>
    <x:row r="178">
      <x:c r="A178" s="88" t="str">
        <x:v>CTA-LCSW-MQB-0177</x:v>
      </x:c>
      <x:c r="B178" s="83" t="str">
        <x:v>LCSW-WB11-QB-Q007</x:v>
      </x:c>
      <x:c r="C178" s="83" t="str">
        <x:v>LCSW Workbook 11 Question Bank</x:v>
      </x:c>
      <x:c r="D178" s="83" t="n">
        <x:v>7</x:v>
      </x:c>
      <x:c r="E178" s="83" t="str">
        <x:v>Workbook Bank</x:v>
      </x:c>
      <x:c r="F178" s="83" t="str">
        <x:v>III. Intervention and Practice</x:v>
      </x:c>
      <x:c r="G178" s="83" t="str">
        <x:v>Sampling and digital-access bias</x:v>
      </x:c>
      <x:c r="H178" s="83" t="str">
        <x:v>Moderate</x:v>
      </x:c>
      <x:c r="I178" s="83" t="str">
        <x:v>Application</x:v>
      </x:c>
      <x:c r="J178" s="83" t="n">
        <x:v>4</x:v>
      </x:c>
      <x:c r="K178" s="83" t="str">
        <x:v>C</x:v>
      </x:c>
      <x:c r="L178" s="83" t="n">
        <x:v>1</x:v>
      </x:c>
      <x:c r="M178" s="83" t="str"/>
      <x:c r="N178" s="83" t="str">
        <x:v>Released</x:v>
      </x:c>
      <x:c r="O178" s="89" t="str">
        <x:v>Workbook bank; reserve pool after controlled review</x:v>
      </x:c>
    </x:row>
    <x:row r="179">
      <x:c r="A179" s="88" t="str">
        <x:v>CTA-LCSW-MQB-0178</x:v>
      </x:c>
      <x:c r="B179" s="83" t="str">
        <x:v>LCSW-WB11-QB-Q008</x:v>
      </x:c>
      <x:c r="C179" s="83" t="str">
        <x:v>LCSW Workbook 11 Question Bank</x:v>
      </x:c>
      <x:c r="D179" s="83" t="n">
        <x:v>8</x:v>
      </x:c>
      <x:c r="E179" s="83" t="str">
        <x:v>Workbook Bank</x:v>
      </x:c>
      <x:c r="F179" s="83" t="str">
        <x:v>III. Intervention and Practice</x:v>
      </x:c>
      <x:c r="G179" s="83" t="str">
        <x:v>Voluntariness in research recruitment</x:v>
      </x:c>
      <x:c r="H179" s="83" t="str">
        <x:v>Moderate</x:v>
      </x:c>
      <x:c r="I179" s="83" t="str">
        <x:v>Scenario-Based</x:v>
      </x:c>
      <x:c r="J179" s="83" t="n">
        <x:v>4</x:v>
      </x:c>
      <x:c r="K179" s="83" t="str">
        <x:v>D</x:v>
      </x:c>
      <x:c r="L179" s="83" t="n">
        <x:v>1</x:v>
      </x:c>
      <x:c r="M179" s="83" t="str"/>
      <x:c r="N179" s="83" t="str">
        <x:v>Released</x:v>
      </x:c>
      <x:c r="O179" s="89" t="str">
        <x:v>Workbook bank; reserve pool after controlled review</x:v>
      </x:c>
    </x:row>
    <x:row r="180">
      <x:c r="A180" s="88" t="str">
        <x:v>CTA-LCSW-MQB-0179</x:v>
      </x:c>
      <x:c r="B180" s="83" t="str">
        <x:v>LCSW-WB11-QB-Q009</x:v>
      </x:c>
      <x:c r="C180" s="83" t="str">
        <x:v>LCSW Workbook 11 Question Bank</x:v>
      </x:c>
      <x:c r="D180" s="83" t="n">
        <x:v>9</x:v>
      </x:c>
      <x:c r="E180" s="83" t="str">
        <x:v>Workbook Bank</x:v>
      </x:c>
      <x:c r="F180" s="83" t="str">
        <x:v>III. Intervention and Practice</x:v>
      </x:c>
      <x:c r="G180" s="83" t="str">
        <x:v>Countertransference and supervision</x:v>
      </x:c>
      <x:c r="H180" s="83" t="str">
        <x:v>Moderate</x:v>
      </x:c>
      <x:c r="I180" s="83" t="str">
        <x:v>Scenario-Based</x:v>
      </x:c>
      <x:c r="J180" s="83" t="n">
        <x:v>4</x:v>
      </x:c>
      <x:c r="K180" s="83" t="str">
        <x:v>A</x:v>
      </x:c>
      <x:c r="L180" s="83" t="n">
        <x:v>1</x:v>
      </x:c>
      <x:c r="M180" s="83" t="str"/>
      <x:c r="N180" s="83" t="str">
        <x:v>Released</x:v>
      </x:c>
      <x:c r="O180" s="89" t="str">
        <x:v>Workbook bank; reserve pool after controlled review</x:v>
      </x:c>
    </x:row>
    <x:row r="181">
      <x:c r="A181" s="88" t="str">
        <x:v>CTA-LCSW-MQB-0180</x:v>
      </x:c>
      <x:c r="B181" s="83" t="str">
        <x:v>LCSW-WB11-QB-Q010</x:v>
      </x:c>
      <x:c r="C181" s="83" t="str">
        <x:v>LCSW Workbook 11 Question Bank</x:v>
      </x:c>
      <x:c r="D181" s="83" t="n">
        <x:v>10</x:v>
      </x:c>
      <x:c r="E181" s="83" t="str">
        <x:v>Workbook Bank</x:v>
      </x:c>
      <x:c r="F181" s="83" t="str">
        <x:v>III. Intervention and Practice</x:v>
      </x:c>
      <x:c r="G181" s="83" t="str">
        <x:v>Supervisor competence and specialized practice</x:v>
      </x:c>
      <x:c r="H181" s="83" t="str">
        <x:v>Moderate</x:v>
      </x:c>
      <x:c r="I181" s="83" t="str">
        <x:v>Application</x:v>
      </x:c>
      <x:c r="J181" s="83" t="n">
        <x:v>4</x:v>
      </x:c>
      <x:c r="K181" s="83" t="str">
        <x:v>B</x:v>
      </x:c>
      <x:c r="L181" s="83" t="n">
        <x:v>1</x:v>
      </x:c>
      <x:c r="M181" s="83" t="str"/>
      <x:c r="N181" s="83" t="str">
        <x:v>Released</x:v>
      </x:c>
      <x:c r="O181" s="89" t="str">
        <x:v>Workbook bank; reserve pool after controlled review</x:v>
      </x:c>
    </x:row>
    <x:row r="182">
      <x:c r="A182" s="88" t="str">
        <x:v>CTA-LCSW-MQB-0181</x:v>
      </x:c>
      <x:c r="B182" s="83" t="str">
        <x:v>LCSW-WB11-QB-Q011</x:v>
      </x:c>
      <x:c r="C182" s="83" t="str">
        <x:v>LCSW Workbook 11 Question Bank</x:v>
      </x:c>
      <x:c r="D182" s="83" t="n">
        <x:v>11</x:v>
      </x:c>
      <x:c r="E182" s="83" t="str">
        <x:v>Workbook Bank</x:v>
      </x:c>
      <x:c r="F182" s="83" t="str">
        <x:v>III. Intervention and Practice</x:v>
      </x:c>
      <x:c r="G182" s="83" t="str">
        <x:v>Quality assurance and systems analysis</x:v>
      </x:c>
      <x:c r="H182" s="83" t="str">
        <x:v>Moderate</x:v>
      </x:c>
      <x:c r="I182" s="83" t="str">
        <x:v>Scenario-Based</x:v>
      </x:c>
      <x:c r="J182" s="83" t="n">
        <x:v>4</x:v>
      </x:c>
      <x:c r="K182" s="83" t="str">
        <x:v>C</x:v>
      </x:c>
      <x:c r="L182" s="83" t="n">
        <x:v>1</x:v>
      </x:c>
      <x:c r="M182" s="83" t="str"/>
      <x:c r="N182" s="83" t="str">
        <x:v>Released</x:v>
      </x:c>
      <x:c r="O182" s="89" t="str">
        <x:v>Workbook bank; reserve pool after controlled review</x:v>
      </x:c>
    </x:row>
    <x:row r="183">
      <x:c r="A183" s="88" t="str">
        <x:v>CTA-LCSW-MQB-0182</x:v>
      </x:c>
      <x:c r="B183" s="83" t="str">
        <x:v>LCSW-WB11-QB-Q012</x:v>
      </x:c>
      <x:c r="C183" s="83" t="str">
        <x:v>LCSW Workbook 11 Question Bank</x:v>
      </x:c>
      <x:c r="D183" s="83" t="n">
        <x:v>12</x:v>
      </x:c>
      <x:c r="E183" s="83" t="str">
        <x:v>Workbook Bank</x:v>
      </x:c>
      <x:c r="F183" s="83" t="str">
        <x:v>III. Intervention and Practice</x:v>
      </x:c>
      <x:c r="G183" s="83" t="str">
        <x:v>Participatory implementation of policy</x:v>
      </x:c>
      <x:c r="H183" s="83" t="str">
        <x:v>Moderate</x:v>
      </x:c>
      <x:c r="I183" s="83" t="str">
        <x:v>Scenario-Based</x:v>
      </x:c>
      <x:c r="J183" s="83" t="n">
        <x:v>4</x:v>
      </x:c>
      <x:c r="K183" s="83" t="str">
        <x:v>D</x:v>
      </x:c>
      <x:c r="L183" s="83" t="n">
        <x:v>1</x:v>
      </x:c>
      <x:c r="M183" s="83" t="str"/>
      <x:c r="N183" s="83" t="str">
        <x:v>Released</x:v>
      </x:c>
      <x:c r="O183" s="89" t="str">
        <x:v>Workbook bank; reserve pool after controlled review</x:v>
      </x:c>
    </x:row>
    <x:row r="184">
      <x:c r="A184" s="88" t="str">
        <x:v>CTA-LCSW-MQB-0183</x:v>
      </x:c>
      <x:c r="B184" s="83" t="str">
        <x:v>LCSW-WB11-QB-Q013</x:v>
      </x:c>
      <x:c r="C184" s="83" t="str">
        <x:v>LCSW Workbook 11 Question Bank</x:v>
      </x:c>
      <x:c r="D184" s="83" t="n">
        <x:v>13</x:v>
      </x:c>
      <x:c r="E184" s="83" t="str">
        <x:v>Workbook Bank</x:v>
      </x:c>
      <x:c r="F184" s="83" t="str">
        <x:v>III. Intervention and Practice</x:v>
      </x:c>
      <x:c r="G184" s="83" t="str">
        <x:v>Measurement validity across language groups</x:v>
      </x:c>
      <x:c r="H184" s="83" t="str">
        <x:v>Difficult</x:v>
      </x:c>
      <x:c r="I184" s="83" t="str">
        <x:v>Integrated Clinical Reasoning</x:v>
      </x:c>
      <x:c r="J184" s="83" t="n">
        <x:v>4</x:v>
      </x:c>
      <x:c r="K184" s="83" t="str">
        <x:v>A</x:v>
      </x:c>
      <x:c r="L184" s="83" t="n">
        <x:v>1</x:v>
      </x:c>
      <x:c r="M184" s="83" t="str"/>
      <x:c r="N184" s="83" t="str">
        <x:v>Released</x:v>
      </x:c>
      <x:c r="O184" s="89" t="str">
        <x:v>Workbook bank; reserve pool after controlled review</x:v>
      </x:c>
    </x:row>
    <x:row r="185">
      <x:c r="A185" s="88" t="str">
        <x:v>CTA-LCSW-MQB-0184</x:v>
      </x:c>
      <x:c r="B185" s="83" t="str">
        <x:v>LCSW-WB11-QB-Q014</x:v>
      </x:c>
      <x:c r="C185" s="83" t="str">
        <x:v>LCSW Workbook 11 Question Bank</x:v>
      </x:c>
      <x:c r="D185" s="83" t="n">
        <x:v>14</x:v>
      </x:c>
      <x:c r="E185" s="83" t="str">
        <x:v>Workbook Bank</x:v>
      </x:c>
      <x:c r="F185" s="83" t="str">
        <x:v>III. Intervention and Practice</x:v>
      </x:c>
      <x:c r="G185" s="83" t="str">
        <x:v>Self-selection and causal claims</x:v>
      </x:c>
      <x:c r="H185" s="83" t="str">
        <x:v>Difficult</x:v>
      </x:c>
      <x:c r="I185" s="83" t="str">
        <x:v>Integrated Clinical Reasoning</x:v>
      </x:c>
      <x:c r="J185" s="83" t="n">
        <x:v>4</x:v>
      </x:c>
      <x:c r="K185" s="83" t="str">
        <x:v>B</x:v>
      </x:c>
      <x:c r="L185" s="83" t="n">
        <x:v>1</x:v>
      </x:c>
      <x:c r="M185" s="83" t="str"/>
      <x:c r="N185" s="83" t="str">
        <x:v>Released</x:v>
      </x:c>
      <x:c r="O185" s="89" t="str">
        <x:v>Workbook bank; reserve pool after controlled review</x:v>
      </x:c>
    </x:row>
    <x:row r="186">
      <x:c r="A186" s="88" t="str">
        <x:v>CTA-LCSW-MQB-0185</x:v>
      </x:c>
      <x:c r="B186" s="83" t="str">
        <x:v>LCSW-WB11-QB-Q015</x:v>
      </x:c>
      <x:c r="C186" s="83" t="str">
        <x:v>LCSW Workbook 11 Question Bank</x:v>
      </x:c>
      <x:c r="D186" s="83" t="n">
        <x:v>15</x:v>
      </x:c>
      <x:c r="E186" s="83" t="str">
        <x:v>Workbook Bank</x:v>
      </x:c>
      <x:c r="F186" s="83" t="str">
        <x:v>III. Intervention and Practice</x:v>
      </x:c>
      <x:c r="G186" s="83" t="str">
        <x:v>Ethical retrospective record review</x:v>
      </x:c>
      <x:c r="H186" s="83" t="str">
        <x:v>Difficult</x:v>
      </x:c>
      <x:c r="I186" s="83" t="str">
        <x:v>Integrated Clinical Reasoning</x:v>
      </x:c>
      <x:c r="J186" s="83" t="n">
        <x:v>4</x:v>
      </x:c>
      <x:c r="K186" s="83" t="str">
        <x:v>C</x:v>
      </x:c>
      <x:c r="L186" s="83" t="n">
        <x:v>1</x:v>
      </x:c>
      <x:c r="M186" s="83" t="str"/>
      <x:c r="N186" s="83" t="str">
        <x:v>Released</x:v>
      </x:c>
      <x:c r="O186" s="89" t="str">
        <x:v>Workbook bank; reserve pool after controlled review</x:v>
      </x:c>
    </x:row>
    <x:row r="187">
      <x:c r="A187" s="88" t="str">
        <x:v>CTA-LCSW-MQB-0186</x:v>
      </x:c>
      <x:c r="B187" s="83" t="str">
        <x:v>LCSW-WB11-QB-Q016</x:v>
      </x:c>
      <x:c r="C187" s="83" t="str">
        <x:v>LCSW Workbook 11 Question Bank</x:v>
      </x:c>
      <x:c r="D187" s="83" t="n">
        <x:v>16</x:v>
      </x:c>
      <x:c r="E187" s="83" t="str">
        <x:v>Workbook Bank</x:v>
      </x:c>
      <x:c r="F187" s="83" t="str">
        <x:v>III. Intervention and Practice</x:v>
      </x:c>
      <x:c r="G187" s="83" t="str">
        <x:v>Urgent risk in supervision</x:v>
      </x:c>
      <x:c r="H187" s="83" t="str">
        <x:v>Difficult</x:v>
      </x:c>
      <x:c r="I187" s="83" t="str">
        <x:v>Integrated Clinical Reasoning</x:v>
      </x:c>
      <x:c r="J187" s="83" t="n">
        <x:v>4</x:v>
      </x:c>
      <x:c r="K187" s="83" t="str">
        <x:v>D</x:v>
      </x:c>
      <x:c r="L187" s="83" t="n">
        <x:v>1</x:v>
      </x:c>
      <x:c r="M187" s="83" t="str"/>
      <x:c r="N187" s="83" t="str">
        <x:v>Released</x:v>
      </x:c>
      <x:c r="O187" s="89" t="str">
        <x:v>Workbook bank; reserve pool after controlled review</x:v>
      </x:c>
    </x:row>
    <x:row r="188">
      <x:c r="A188" s="88" t="str">
        <x:v>CTA-LCSW-MQB-0187</x:v>
      </x:c>
      <x:c r="B188" s="83" t="str">
        <x:v>LCSW-WB11-QB-Q017</x:v>
      </x:c>
      <x:c r="C188" s="83" t="str">
        <x:v>LCSW Workbook 11 Question Bank</x:v>
      </x:c>
      <x:c r="D188" s="83" t="n">
        <x:v>17</x:v>
      </x:c>
      <x:c r="E188" s="83" t="str">
        <x:v>Workbook Bank</x:v>
      </x:c>
      <x:c r="F188" s="83" t="str">
        <x:v>III. Intervention and Practice</x:v>
      </x:c>
      <x:c r="G188" s="83" t="str">
        <x:v>Equity-focused organizational improvement</x:v>
      </x:c>
      <x:c r="H188" s="83" t="str">
        <x:v>Difficult</x:v>
      </x:c>
      <x:c r="I188" s="83" t="str">
        <x:v>Integrated Clinical Reasoning</x:v>
      </x:c>
      <x:c r="J188" s="83" t="n">
        <x:v>4</x:v>
      </x:c>
      <x:c r="K188" s="83" t="str">
        <x:v>A</x:v>
      </x:c>
      <x:c r="L188" s="83" t="n">
        <x:v>1</x:v>
      </x:c>
      <x:c r="M188" s="83" t="str"/>
      <x:c r="N188" s="83" t="str">
        <x:v>Released</x:v>
      </x:c>
      <x:c r="O188" s="89" t="str">
        <x:v>Workbook bank; reserve pool after controlled review</x:v>
      </x:c>
    </x:row>
    <x:row r="189">
      <x:c r="A189" s="88" t="str">
        <x:v>CTA-LCSW-MQB-0188</x:v>
      </x:c>
      <x:c r="B189" s="83" t="str">
        <x:v>LCSW-WB12-QB-Q001</x:v>
      </x:c>
      <x:c r="C189" s="83" t="str">
        <x:v>LCSW Workbook 12 Question Bank</x:v>
      </x:c>
      <x:c r="D189" s="83" t="n">
        <x:v>1</x:v>
      </x:c>
      <x:c r="E189" s="83" t="str">
        <x:v>Workbook Bank</x:v>
      </x:c>
      <x:c r="F189" s="83" t="str">
        <x:v>Integrated Review / Cross-Domain</x:v>
      </x:c>
      <x:c r="G189" s="83" t="str">
        <x:v>CLINIC integrated reasoning sequence</x:v>
      </x:c>
      <x:c r="H189" s="83" t="str">
        <x:v>Easy</x:v>
      </x:c>
      <x:c r="I189" s="83" t="str">
        <x:v>Knowledge &amp; Recall</x:v>
      </x:c>
      <x:c r="J189" s="83" t="n">
        <x:v>4</x:v>
      </x:c>
      <x:c r="K189" s="83" t="str">
        <x:v>A</x:v>
      </x:c>
      <x:c r="L189" s="83" t="n">
        <x:v>1</x:v>
      </x:c>
      <x:c r="M189" s="83" t="str"/>
      <x:c r="N189" s="83" t="str">
        <x:v>Released</x:v>
      </x:c>
      <x:c r="O189" s="89" t="str">
        <x:v>Workbook bank; reserve pool after controlled review</x:v>
      </x:c>
    </x:row>
    <x:row r="190">
      <x:c r="A190" s="88" t="str">
        <x:v>CTA-LCSW-MQB-0189</x:v>
      </x:c>
      <x:c r="B190" s="83" t="str">
        <x:v>LCSW-WB12-QB-Q002</x:v>
      </x:c>
      <x:c r="C190" s="83" t="str">
        <x:v>LCSW Workbook 12 Question Bank</x:v>
      </x:c>
      <x:c r="D190" s="83" t="n">
        <x:v>2</x:v>
      </x:c>
      <x:c r="E190" s="83" t="str">
        <x:v>Workbook Bank</x:v>
      </x:c>
      <x:c r="F190" s="83" t="str">
        <x:v>Integrated Review / Cross-Domain</x:v>
      </x:c>
      <x:c r="G190" s="83" t="str">
        <x:v>Decision words and sequencing</x:v>
      </x:c>
      <x:c r="H190" s="83" t="str">
        <x:v>Easy</x:v>
      </x:c>
      <x:c r="I190" s="83" t="str">
        <x:v>Knowledge &amp; Recall</x:v>
      </x:c>
      <x:c r="J190" s="83" t="n">
        <x:v>4</x:v>
      </x:c>
      <x:c r="K190" s="83" t="str">
        <x:v>B</x:v>
      </x:c>
      <x:c r="L190" s="83" t="n">
        <x:v>1</x:v>
      </x:c>
      <x:c r="M190" s="83" t="str"/>
      <x:c r="N190" s="83" t="str">
        <x:v>Released</x:v>
      </x:c>
      <x:c r="O190" s="89" t="str">
        <x:v>Workbook bank; reserve pool after controlled review</x:v>
      </x:c>
    </x:row>
    <x:row r="191">
      <x:c r="A191" s="88" t="str">
        <x:v>CTA-LCSW-MQB-0190</x:v>
      </x:c>
      <x:c r="B191" s="83" t="str">
        <x:v>LCSW-WB12-QB-Q003</x:v>
      </x:c>
      <x:c r="C191" s="83" t="str">
        <x:v>LCSW Workbook 12 Question Bank</x:v>
      </x:c>
      <x:c r="D191" s="83" t="n">
        <x:v>3</x:v>
      </x:c>
      <x:c r="E191" s="83" t="str">
        <x:v>Workbook Bank</x:v>
      </x:c>
      <x:c r="F191" s="83" t="str">
        <x:v>Integrated Review / Cross-Domain</x:v>
      </x:c>
      <x:c r="G191" s="83" t="str">
        <x:v>Self-determination and informed choice</x:v>
      </x:c>
      <x:c r="H191" s="83" t="str">
        <x:v>Easy</x:v>
      </x:c>
      <x:c r="I191" s="83" t="str">
        <x:v>Application</x:v>
      </x:c>
      <x:c r="J191" s="83" t="n">
        <x:v>4</x:v>
      </x:c>
      <x:c r="K191" s="83" t="str">
        <x:v>C</x:v>
      </x:c>
      <x:c r="L191" s="83" t="n">
        <x:v>1</x:v>
      </x:c>
      <x:c r="M191" s="83" t="str"/>
      <x:c r="N191" s="83" t="str">
        <x:v>Released</x:v>
      </x:c>
      <x:c r="O191" s="89" t="str">
        <x:v>Workbook bank; reserve pool after controlled review</x:v>
      </x:c>
    </x:row>
    <x:row r="192">
      <x:c r="A192" s="88" t="str">
        <x:v>CTA-LCSW-MQB-0191</x:v>
      </x:c>
      <x:c r="B192" s="83" t="str">
        <x:v>LCSW-WB12-QB-Q004</x:v>
      </x:c>
      <x:c r="C192" s="83" t="str">
        <x:v>LCSW Workbook 12 Question Bank</x:v>
      </x:c>
      <x:c r="D192" s="83" t="n">
        <x:v>4</x:v>
      </x:c>
      <x:c r="E192" s="83" t="str">
        <x:v>Workbook Bank</x:v>
      </x:c>
      <x:c r="F192" s="83" t="str">
        <x:v>Integrated Review / Cross-Domain</x:v>
      </x:c>
      <x:c r="G192" s="83" t="str">
        <x:v>Person-in-environment formulation</x:v>
      </x:c>
      <x:c r="H192" s="83" t="str">
        <x:v>Easy</x:v>
      </x:c>
      <x:c r="I192" s="83" t="str">
        <x:v>Knowledge &amp; Recall</x:v>
      </x:c>
      <x:c r="J192" s="83" t="n">
        <x:v>4</x:v>
      </x:c>
      <x:c r="K192" s="83" t="str">
        <x:v>D</x:v>
      </x:c>
      <x:c r="L192" s="83" t="n">
        <x:v>1</x:v>
      </x:c>
      <x:c r="M192" s="83" t="str"/>
      <x:c r="N192" s="83" t="str">
        <x:v>Released</x:v>
      </x:c>
      <x:c r="O192" s="89" t="str">
        <x:v>Workbook bank; reserve pool after controlled review</x:v>
      </x:c>
    </x:row>
    <x:row r="193">
      <x:c r="A193" s="88" t="str">
        <x:v>CTA-LCSW-MQB-0192</x:v>
      </x:c>
      <x:c r="B193" s="83" t="str">
        <x:v>LCSW-WB12-QB-Q005</x:v>
      </x:c>
      <x:c r="C193" s="83" t="str">
        <x:v>LCSW Workbook 12 Question Bank</x:v>
      </x:c>
      <x:c r="D193" s="83" t="n">
        <x:v>5</x:v>
      </x:c>
      <x:c r="E193" s="83" t="str">
        <x:v>Workbook Bank</x:v>
      </x:c>
      <x:c r="F193" s="83" t="str">
        <x:v>Integrated Review / Cross-Domain</x:v>
      </x:c>
      <x:c r="G193" s="83" t="str">
        <x:v>Answer-change discipline</x:v>
      </x:c>
      <x:c r="H193" s="83" t="str">
        <x:v>Easy</x:v>
      </x:c>
      <x:c r="I193" s="83" t="str">
        <x:v>Application</x:v>
      </x:c>
      <x:c r="J193" s="83" t="n">
        <x:v>4</x:v>
      </x:c>
      <x:c r="K193" s="83" t="str">
        <x:v>A</x:v>
      </x:c>
      <x:c r="L193" s="83" t="n">
        <x:v>1</x:v>
      </x:c>
      <x:c r="M193" s="83" t="str"/>
      <x:c r="N193" s="83" t="str">
        <x:v>Released</x:v>
      </x:c>
      <x:c r="O193" s="89" t="str">
        <x:v>Workbook bank; reserve pool after controlled review</x:v>
      </x:c>
    </x:row>
    <x:row r="194">
      <x:c r="A194" s="88" t="str">
        <x:v>CTA-LCSW-MQB-0193</x:v>
      </x:c>
      <x:c r="B194" s="83" t="str">
        <x:v>LCSW-WB12-QB-Q006</x:v>
      </x:c>
      <x:c r="C194" s="83" t="str">
        <x:v>LCSW Workbook 12 Question Bank</x:v>
      </x:c>
      <x:c r="D194" s="83" t="n">
        <x:v>6</x:v>
      </x:c>
      <x:c r="E194" s="83" t="str">
        <x:v>Workbook Bank</x:v>
      </x:c>
      <x:c r="F194" s="83" t="str">
        <x:v>Integrated Review / Cross-Domain</x:v>
      </x:c>
      <x:c r="G194" s="83" t="str">
        <x:v>Direct risk assessment before routine intervention</x:v>
      </x:c>
      <x:c r="H194" s="83" t="str">
        <x:v>Moderate</x:v>
      </x:c>
      <x:c r="I194" s="83" t="str">
        <x:v>Scenario-Based</x:v>
      </x:c>
      <x:c r="J194" s="83" t="n">
        <x:v>4</x:v>
      </x:c>
      <x:c r="K194" s="83" t="str">
        <x:v>B</x:v>
      </x:c>
      <x:c r="L194" s="83" t="n">
        <x:v>1</x:v>
      </x:c>
      <x:c r="M194" s="83" t="str"/>
      <x:c r="N194" s="83" t="str">
        <x:v>Released</x:v>
      </x:c>
      <x:c r="O194" s="89" t="str">
        <x:v>Workbook bank; reserve pool after controlled review</x:v>
      </x:c>
    </x:row>
    <x:row r="195">
      <x:c r="A195" s="88" t="str">
        <x:v>CTA-LCSW-MQB-0194</x:v>
      </x:c>
      <x:c r="B195" s="83" t="str">
        <x:v>LCSW-WB12-QB-Q007</x:v>
      </x:c>
      <x:c r="C195" s="83" t="str">
        <x:v>LCSW Workbook 12 Question Bank</x:v>
      </x:c>
      <x:c r="D195" s="83" t="n">
        <x:v>7</x:v>
      </x:c>
      <x:c r="E195" s="83" t="str">
        <x:v>Workbook Bank</x:v>
      </x:c>
      <x:c r="F195" s="83" t="str">
        <x:v>Integrated Review / Cross-Domain</x:v>
      </x:c>
      <x:c r="G195" s="83" t="str">
        <x:v>Language access and informed participation</x:v>
      </x:c>
      <x:c r="H195" s="83" t="str">
        <x:v>Moderate</x:v>
      </x:c>
      <x:c r="I195" s="83" t="str">
        <x:v>Application</x:v>
      </x:c>
      <x:c r="J195" s="83" t="n">
        <x:v>4</x:v>
      </x:c>
      <x:c r="K195" s="83" t="str">
        <x:v>C</x:v>
      </x:c>
      <x:c r="L195" s="83" t="n">
        <x:v>1</x:v>
      </x:c>
      <x:c r="M195" s="83" t="str"/>
      <x:c r="N195" s="83" t="str">
        <x:v>Released</x:v>
      </x:c>
      <x:c r="O195" s="89" t="str">
        <x:v>Workbook bank; reserve pool after controlled review</x:v>
      </x:c>
    </x:row>
    <x:row r="196">
      <x:c r="A196" s="88" t="str">
        <x:v>CTA-LCSW-MQB-0195</x:v>
      </x:c>
      <x:c r="B196" s="83" t="str">
        <x:v>LCSW-WB12-QB-Q008</x:v>
      </x:c>
      <x:c r="C196" s="83" t="str">
        <x:v>LCSW Workbook 12 Question Bank</x:v>
      </x:c>
      <x:c r="D196" s="83" t="n">
        <x:v>8</x:v>
      </x:c>
      <x:c r="E196" s="83" t="str">
        <x:v>Workbook Bank</x:v>
      </x:c>
      <x:c r="F196" s="83" t="str">
        <x:v>Integrated Review / Cross-Domain</x:v>
      </x:c>
      <x:c r="G196" s="83" t="str">
        <x:v>Medical and substance differential assessment</x:v>
      </x:c>
      <x:c r="H196" s="83" t="str">
        <x:v>Moderate</x:v>
      </x:c>
      <x:c r="I196" s="83" t="str">
        <x:v>Scenario-Based</x:v>
      </x:c>
      <x:c r="J196" s="83" t="n">
        <x:v>4</x:v>
      </x:c>
      <x:c r="K196" s="83" t="str">
        <x:v>D</x:v>
      </x:c>
      <x:c r="L196" s="83" t="n">
        <x:v>1</x:v>
      </x:c>
      <x:c r="M196" s="83" t="str"/>
      <x:c r="N196" s="83" t="str">
        <x:v>Released</x:v>
      </x:c>
      <x:c r="O196" s="89" t="str">
        <x:v>Workbook bank; reserve pool after controlled review</x:v>
      </x:c>
    </x:row>
    <x:row r="197">
      <x:c r="A197" s="88" t="str">
        <x:v>CTA-LCSW-MQB-0196</x:v>
      </x:c>
      <x:c r="B197" s="83" t="str">
        <x:v>LCSW-WB12-QB-Q009</x:v>
      </x:c>
      <x:c r="C197" s="83" t="str">
        <x:v>LCSW Workbook 12 Question Bank</x:v>
      </x:c>
      <x:c r="D197" s="83" t="n">
        <x:v>9</x:v>
      </x:c>
      <x:c r="E197" s="83" t="str">
        <x:v>Workbook Bank</x:v>
      </x:c>
      <x:c r="F197" s="83" t="str">
        <x:v>Integrated Review / Cross-Domain</x:v>
      </x:c>
      <x:c r="G197" s="83" t="str">
        <x:v>Collaborative measurable planning</x:v>
      </x:c>
      <x:c r="H197" s="83" t="str">
        <x:v>Moderate</x:v>
      </x:c>
      <x:c r="I197" s="83" t="str">
        <x:v>Scenario-Based</x:v>
      </x:c>
      <x:c r="J197" s="83" t="n">
        <x:v>4</x:v>
      </x:c>
      <x:c r="K197" s="83" t="str">
        <x:v>A</x:v>
      </x:c>
      <x:c r="L197" s="83" t="n">
        <x:v>1</x:v>
      </x:c>
      <x:c r="M197" s="83" t="str"/>
      <x:c r="N197" s="83" t="str">
        <x:v>Released</x:v>
      </x:c>
      <x:c r="O197" s="89" t="str">
        <x:v>Workbook bank; reserve pool after controlled review</x:v>
      </x:c>
    </x:row>
    <x:row r="198">
      <x:c r="A198" s="88" t="str">
        <x:v>CTA-LCSW-MQB-0197</x:v>
      </x:c>
      <x:c r="B198" s="83" t="str">
        <x:v>LCSW-WB12-QB-Q010</x:v>
      </x:c>
      <x:c r="C198" s="83" t="str">
        <x:v>LCSW Workbook 12 Question Bank</x:v>
      </x:c>
      <x:c r="D198" s="83" t="n">
        <x:v>10</x:v>
      </x:c>
      <x:c r="E198" s="83" t="str">
        <x:v>Workbook Bank</x:v>
      </x:c>
      <x:c r="F198" s="83" t="str">
        <x:v>Integrated Review / Cross-Domain</x:v>
      </x:c>
      <x:c r="G198" s="83" t="str">
        <x:v>Motivational interviewing and ambivalence</x:v>
      </x:c>
      <x:c r="H198" s="83" t="str">
        <x:v>Moderate</x:v>
      </x:c>
      <x:c r="I198" s="83" t="str">
        <x:v>Application</x:v>
      </x:c>
      <x:c r="J198" s="83" t="n">
        <x:v>4</x:v>
      </x:c>
      <x:c r="K198" s="83" t="str">
        <x:v>B</x:v>
      </x:c>
      <x:c r="L198" s="83" t="n">
        <x:v>1</x:v>
      </x:c>
      <x:c r="M198" s="83" t="str"/>
      <x:c r="N198" s="83" t="str">
        <x:v>Released</x:v>
      </x:c>
      <x:c r="O198" s="89" t="str">
        <x:v>Workbook bank; reserve pool after controlled review</x:v>
      </x:c>
    </x:row>
    <x:row r="199">
      <x:c r="A199" s="88" t="str">
        <x:v>CTA-LCSW-MQB-0198</x:v>
      </x:c>
      <x:c r="B199" s="83" t="str">
        <x:v>LCSW-WB12-QB-Q011</x:v>
      </x:c>
      <x:c r="C199" s="83" t="str">
        <x:v>LCSW Workbook 12 Question Bank</x:v>
      </x:c>
      <x:c r="D199" s="83" t="n">
        <x:v>11</x:v>
      </x:c>
      <x:c r="E199" s="83" t="str">
        <x:v>Workbook Bank</x:v>
      </x:c>
      <x:c r="F199" s="83" t="str">
        <x:v>Integrated Review / Cross-Domain</x:v>
      </x:c>
      <x:c r="G199" s="83" t="str">
        <x:v>Interdisciplinary confidentiality and role clarity</x:v>
      </x:c>
      <x:c r="H199" s="83" t="str">
        <x:v>Moderate</x:v>
      </x:c>
      <x:c r="I199" s="83" t="str">
        <x:v>Scenario-Based</x:v>
      </x:c>
      <x:c r="J199" s="83" t="n">
        <x:v>4</x:v>
      </x:c>
      <x:c r="K199" s="83" t="str">
        <x:v>C</x:v>
      </x:c>
      <x:c r="L199" s="83" t="n">
        <x:v>1</x:v>
      </x:c>
      <x:c r="M199" s="83" t="str"/>
      <x:c r="N199" s="83" t="str">
        <x:v>Released</x:v>
      </x:c>
      <x:c r="O199" s="89" t="str">
        <x:v>Workbook bank; reserve pool after controlled review</x:v>
      </x:c>
    </x:row>
    <x:row r="200">
      <x:c r="A200" s="88" t="str">
        <x:v>CTA-LCSW-MQB-0199</x:v>
      </x:c>
      <x:c r="B200" s="83" t="str">
        <x:v>LCSW-WB12-QB-Q012</x:v>
      </x:c>
      <x:c r="C200" s="83" t="str">
        <x:v>LCSW Workbook 12 Question Bank</x:v>
      </x:c>
      <x:c r="D200" s="83" t="n">
        <x:v>12</x:v>
      </x:c>
      <x:c r="E200" s="83" t="str">
        <x:v>Workbook Bank</x:v>
      </x:c>
      <x:c r="F200" s="83" t="str">
        <x:v>Integrated Review / Cross-Domain</x:v>
      </x:c>
      <x:c r="G200" s="83" t="str">
        <x:v>Warm handoff and resource coordination</x:v>
      </x:c>
      <x:c r="H200" s="83" t="str">
        <x:v>Moderate</x:v>
      </x:c>
      <x:c r="I200" s="83" t="str">
        <x:v>Scenario-Based</x:v>
      </x:c>
      <x:c r="J200" s="83" t="n">
        <x:v>4</x:v>
      </x:c>
      <x:c r="K200" s="83" t="str">
        <x:v>D</x:v>
      </x:c>
      <x:c r="L200" s="83" t="n">
        <x:v>1</x:v>
      </x:c>
      <x:c r="M200" s="83" t="str"/>
      <x:c r="N200" s="83" t="str">
        <x:v>Released</x:v>
      </x:c>
      <x:c r="O200" s="89" t="str">
        <x:v>Workbook bank; reserve pool after controlled review</x:v>
      </x:c>
    </x:row>
    <x:row r="201">
      <x:c r="A201" s="88" t="str">
        <x:v>CTA-LCSW-MQB-0200</x:v>
      </x:c>
      <x:c r="B201" s="83" t="str">
        <x:v>LCSW-WB12-QB-Q013</x:v>
      </x:c>
      <x:c r="C201" s="83" t="str">
        <x:v>LCSW Workbook 12 Question Bank</x:v>
      </x:c>
      <x:c r="D201" s="83" t="n">
        <x:v>13</x:v>
      </x:c>
      <x:c r="E201" s="83" t="str">
        <x:v>Workbook Bank</x:v>
      </x:c>
      <x:c r="F201" s="83" t="str">
        <x:v>Integrated Review / Cross-Domain</x:v>
      </x:c>
      <x:c r="G201" s="83" t="str">
        <x:v>Acute confusion and priority ladder</x:v>
      </x:c>
      <x:c r="H201" s="83" t="str">
        <x:v>Difficult</x:v>
      </x:c>
      <x:c r="I201" s="83" t="str">
        <x:v>Integrated Clinical Reasoning</x:v>
      </x:c>
      <x:c r="J201" s="83" t="n">
        <x:v>4</x:v>
      </x:c>
      <x:c r="K201" s="83" t="str">
        <x:v>A</x:v>
      </x:c>
      <x:c r="L201" s="83" t="n">
        <x:v>1</x:v>
      </x:c>
      <x:c r="M201" s="83" t="str"/>
      <x:c r="N201" s="83" t="str">
        <x:v>Released</x:v>
      </x:c>
      <x:c r="O201" s="89" t="str">
        <x:v>Workbook bank; reserve pool after controlled review</x:v>
      </x:c>
    </x:row>
    <x:row r="202">
      <x:c r="A202" s="88" t="str">
        <x:v>CTA-LCSW-MQB-0201</x:v>
      </x:c>
      <x:c r="B202" s="83" t="str">
        <x:v>LCSW-WB12-QB-Q014</x:v>
      </x:c>
      <x:c r="C202" s="83" t="str">
        <x:v>LCSW Workbook 12 Question Bank</x:v>
      </x:c>
      <x:c r="D202" s="83" t="n">
        <x:v>14</x:v>
      </x:c>
      <x:c r="E202" s="83" t="str">
        <x:v>Workbook Bank</x:v>
      </x:c>
      <x:c r="F202" s="83" t="str">
        <x:v>Integrated Review / Cross-Domain</x:v>
      </x:c>
      <x:c r="G202" s="83" t="str">
        <x:v>Conjoint treatment and interpersonal safety</x:v>
      </x:c>
      <x:c r="H202" s="83" t="str">
        <x:v>Difficult</x:v>
      </x:c>
      <x:c r="I202" s="83" t="str">
        <x:v>Integrated Clinical Reasoning</x:v>
      </x:c>
      <x:c r="J202" s="83" t="n">
        <x:v>4</x:v>
      </x:c>
      <x:c r="K202" s="83" t="str">
        <x:v>B</x:v>
      </x:c>
      <x:c r="L202" s="83" t="n">
        <x:v>1</x:v>
      </x:c>
      <x:c r="M202" s="83" t="str"/>
      <x:c r="N202" s="83" t="str">
        <x:v>Released</x:v>
      </x:c>
      <x:c r="O202" s="89" t="str">
        <x:v>Workbook bank; reserve pool after controlled review</x:v>
      </x:c>
    </x:row>
    <x:row r="203">
      <x:c r="A203" s="88" t="str">
        <x:v>CTA-LCSW-MQB-0202</x:v>
      </x:c>
      <x:c r="B203" s="83" t="str">
        <x:v>LCSW-WB12-QB-Q015</x:v>
      </x:c>
      <x:c r="C203" s="83" t="str">
        <x:v>LCSW Workbook 12 Question Bank</x:v>
      </x:c>
      <x:c r="D203" s="83" t="n">
        <x:v>15</x:v>
      </x:c>
      <x:c r="E203" s="83" t="str">
        <x:v>Workbook Bank</x:v>
      </x:c>
      <x:c r="F203" s="83" t="str">
        <x:v>Integrated Review / Cross-Domain</x:v>
      </x:c>
      <x:c r="G203" s="83" t="str">
        <x:v>Countertransference, supervision, and continuity</x:v>
      </x:c>
      <x:c r="H203" s="83" t="str">
        <x:v>Difficult</x:v>
      </x:c>
      <x:c r="I203" s="83" t="str">
        <x:v>Integrated Clinical Reasoning</x:v>
      </x:c>
      <x:c r="J203" s="83" t="n">
        <x:v>4</x:v>
      </x:c>
      <x:c r="K203" s="83" t="str">
        <x:v>C</x:v>
      </x:c>
      <x:c r="L203" s="83" t="n">
        <x:v>1</x:v>
      </x:c>
      <x:c r="M203" s="83" t="str"/>
      <x:c r="N203" s="83" t="str">
        <x:v>Released</x:v>
      </x:c>
      <x:c r="O203" s="89" t="str">
        <x:v>Workbook bank; reserve pool after controlled review</x:v>
      </x:c>
    </x:row>
    <x:row r="204">
      <x:c r="A204" s="88" t="str">
        <x:v>CTA-LCSW-MQB-0203</x:v>
      </x:c>
      <x:c r="B204" s="83" t="str">
        <x:v>LCSW-WB12-QB-Q016</x:v>
      </x:c>
      <x:c r="C204" s="83" t="str">
        <x:v>LCSW Workbook 12 Question Bank</x:v>
      </x:c>
      <x:c r="D204" s="83" t="n">
        <x:v>16</x:v>
      </x:c>
      <x:c r="E204" s="83" t="str">
        <x:v>Workbook Bank</x:v>
      </x:c>
      <x:c r="F204" s="83" t="str">
        <x:v>Integrated Review / Cross-Domain</x:v>
      </x:c>
      <x:c r="G204" s="83" t="str">
        <x:v>Equity-focused program improvement</x:v>
      </x:c>
      <x:c r="H204" s="83" t="str">
        <x:v>Difficult</x:v>
      </x:c>
      <x:c r="I204" s="83" t="str">
        <x:v>Integrated Clinical Reasoning</x:v>
      </x:c>
      <x:c r="J204" s="83" t="n">
        <x:v>4</x:v>
      </x:c>
      <x:c r="K204" s="83" t="str">
        <x:v>D</x:v>
      </x:c>
      <x:c r="L204" s="83" t="n">
        <x:v>1</x:v>
      </x:c>
      <x:c r="M204" s="83" t="str"/>
      <x:c r="N204" s="83" t="str">
        <x:v>Released</x:v>
      </x:c>
      <x:c r="O204" s="89" t="str">
        <x:v>Workbook bank; reserve pool after controlled review</x:v>
      </x:c>
    </x:row>
    <x:row r="205">
      <x:c r="A205" s="88" t="str">
        <x:v>CTA-LCSW-MQB-0204</x:v>
      </x:c>
      <x:c r="B205" s="83" t="str">
        <x:v>LCSW-WB12-QB-Q017</x:v>
      </x:c>
      <x:c r="C205" s="83" t="str">
        <x:v>LCSW Workbook 12 Question Bank</x:v>
      </x:c>
      <x:c r="D205" s="83" t="n">
        <x:v>17</x:v>
      </x:c>
      <x:c r="E205" s="83" t="str">
        <x:v>Workbook Bank</x:v>
      </x:c>
      <x:c r="F205" s="83" t="str">
        <x:v>Integrated Review / Cross-Domain</x:v>
      </x:c>
      <x:c r="G205" s="83" t="str">
        <x:v>Nonresponse and plan revision</x:v>
      </x:c>
      <x:c r="H205" s="83" t="str">
        <x:v>Difficult</x:v>
      </x:c>
      <x:c r="I205" s="83" t="str">
        <x:v>Integrated Clinical Reasoning</x:v>
      </x:c>
      <x:c r="J205" s="83" t="n">
        <x:v>4</x:v>
      </x:c>
      <x:c r="K205" s="83" t="str">
        <x:v>A</x:v>
      </x:c>
      <x:c r="L205" s="83" t="n">
        <x:v>1</x:v>
      </x:c>
      <x:c r="M205" s="83" t="str"/>
      <x:c r="N205" s="83" t="str">
        <x:v>Released</x:v>
      </x:c>
      <x:c r="O205" s="89" t="str">
        <x:v>Workbook bank; reserve pool after controlled review</x:v>
      </x:c>
    </x:row>
    <x:row r="206">
      <x:c r="A206" s="88" t="str">
        <x:v>CTA-LCSW-MQB-0205</x:v>
      </x:c>
      <x:c r="B206" s="83" t="str">
        <x:v>LCSW-MQB-FA-IP-029</x:v>
      </x:c>
      <x:c r="C206" s="83" t="str">
        <x:v>LCSW 2026 Comprehensive Simulation Form A</x:v>
      </x:c>
      <x:c r="D206" s="83" t="n">
        <x:v>1</x:v>
      </x:c>
      <x:c r="E206" s="83" t="str">
        <x:v>Pretest-Style</x:v>
      </x:c>
      <x:c r="F206" s="83" t="str">
        <x:v>III. Intervention and Practice</x:v>
      </x:c>
      <x:c r="G206" s="83" t="str">
        <x:v>Child behavioral intervention</x:v>
      </x:c>
      <x:c r="H206" s="83" t="str">
        <x:v>Difficult</x:v>
      </x:c>
      <x:c r="I206" s="83" t="str">
        <x:v>Scenario-Based</x:v>
      </x:c>
      <x:c r="J206" s="83" t="n">
        <x:v>4</x:v>
      </x:c>
      <x:c r="K206" s="83" t="str">
        <x:v>A</x:v>
      </x:c>
      <x:c r="L206" s="83" t="n">
        <x:v>1</x:v>
      </x:c>
      <x:c r="M206" s="83" t="str">
        <x:v>LCSW-ALT-068</x:v>
      </x:c>
      <x:c r="N206" s="83" t="str">
        <x:v>Released</x:v>
      </x:c>
      <x:c r="O206" s="89" t="str">
        <x:v>Form A only; paired alternate retained on the other comprehensive form</x:v>
      </x:c>
    </x:row>
    <x:row r="207">
      <x:c r="A207" s="88" t="str">
        <x:v>CTA-LCSW-MQB-0206</x:v>
      </x:c>
      <x:c r="B207" s="83" t="str">
        <x:v>LCSW-MQB-FA-IP-008</x:v>
      </x:c>
      <x:c r="C207" s="83" t="str">
        <x:v>LCSW 2026 Comprehensive Simulation Form A</x:v>
      </x:c>
      <x:c r="D207" s="83" t="n">
        <x:v>2</x:v>
      </x:c>
      <x:c r="E207" s="83" t="str">
        <x:v>Scored-Style</x:v>
      </x:c>
      <x:c r="F207" s="83" t="str">
        <x:v>III. Intervention and Practice</x:v>
      </x:c>
      <x:c r="G207" s="83" t="str">
        <x:v>Case management</x:v>
      </x:c>
      <x:c r="H207" s="83" t="str">
        <x:v>Easy</x:v>
      </x:c>
      <x:c r="I207" s="83" t="str">
        <x:v>Application</x:v>
      </x:c>
      <x:c r="J207" s="83" t="n">
        <x:v>3</x:v>
      </x:c>
      <x:c r="K207" s="83" t="str">
        <x:v>C</x:v>
      </x:c>
      <x:c r="L207" s="83" t="n">
        <x:v>1</x:v>
      </x:c>
      <x:c r="M207" s="83" t="str">
        <x:v>LCSW-ALT-047</x:v>
      </x:c>
      <x:c r="N207" s="83" t="str">
        <x:v>Released</x:v>
      </x:c>
      <x:c r="O207" s="89" t="str">
        <x:v>Form A only; paired alternate retained on the other comprehensive form</x:v>
      </x:c>
    </x:row>
    <x:row r="208">
      <x:c r="A208" s="88" t="str">
        <x:v>CTA-LCSW-MQB-0207</x:v>
      </x:c>
      <x:c r="B208" s="83" t="str">
        <x:v>LCSW-MQB-FA-AP-036</x:v>
      </x:c>
      <x:c r="C208" s="83" t="str">
        <x:v>LCSW 2026 Comprehensive Simulation Form A</x:v>
      </x:c>
      <x:c r="D208" s="83" t="n">
        <x:v>3</x:v>
      </x:c>
      <x:c r="E208" s="83" t="str">
        <x:v>Scored-Style</x:v>
      </x:c>
      <x:c r="F208" s="83" t="str">
        <x:v>II. Assessment and Planning</x:v>
      </x:c>
      <x:c r="G208" s="83" t="str">
        <x:v>Child development and family stress</x:v>
      </x:c>
      <x:c r="H208" s="83" t="str">
        <x:v>Difficult</x:v>
      </x:c>
      <x:c r="I208" s="83" t="str">
        <x:v>Integrated Clinical Reasoning</x:v>
      </x:c>
      <x:c r="J208" s="83" t="n">
        <x:v>4</x:v>
      </x:c>
      <x:c r="K208" s="83" t="str">
        <x:v>C</x:v>
      </x:c>
      <x:c r="L208" s="83" t="n">
        <x:v>1</x:v>
      </x:c>
      <x:c r="M208" s="83" t="str">
        <x:v>LCSW-ALT-036</x:v>
      </x:c>
      <x:c r="N208" s="83" t="str">
        <x:v>Released</x:v>
      </x:c>
      <x:c r="O208" s="89" t="str">
        <x:v>Form A only; paired alternate retained on the other comprehensive form</x:v>
      </x:c>
    </x:row>
    <x:row r="209">
      <x:c r="A209" s="88" t="str">
        <x:v>CTA-LCSW-MQB-0208</x:v>
      </x:c>
      <x:c r="B209" s="83" t="str">
        <x:v>LCSW-MQB-FA-IP-035</x:v>
      </x:c>
      <x:c r="C209" s="83" t="str">
        <x:v>LCSW 2026 Comprehensive Simulation Form A</x:v>
      </x:c>
      <x:c r="D209" s="83" t="n">
        <x:v>4</x:v>
      </x:c>
      <x:c r="E209" s="83" t="str">
        <x:v>Scored-Style</x:v>
      </x:c>
      <x:c r="F209" s="83" t="str">
        <x:v>III. Intervention and Practice</x:v>
      </x:c>
      <x:c r="G209" s="83" t="str">
        <x:v>Family intervention and coercion</x:v>
      </x:c>
      <x:c r="H209" s="83" t="str">
        <x:v>Difficult</x:v>
      </x:c>
      <x:c r="I209" s="83" t="str">
        <x:v>Integrated Clinical Reasoning</x:v>
      </x:c>
      <x:c r="J209" s="83" t="n">
        <x:v>4</x:v>
      </x:c>
      <x:c r="K209" s="83" t="str">
        <x:v>D</x:v>
      </x:c>
      <x:c r="L209" s="83" t="n">
        <x:v>1</x:v>
      </x:c>
      <x:c r="M209" s="83" t="str">
        <x:v>LCSW-ALT-074</x:v>
      </x:c>
      <x:c r="N209" s="83" t="str">
        <x:v>Released</x:v>
      </x:c>
      <x:c r="O209" s="89" t="str">
        <x:v>Form A only; paired alternate retained on the other comprehensive form</x:v>
      </x:c>
    </x:row>
    <x:row r="210">
      <x:c r="A210" s="88" t="str">
        <x:v>CTA-LCSW-MQB-0209</x:v>
      </x:c>
      <x:c r="B210" s="83" t="str">
        <x:v>LCSW-MQB-FA-VE-034</x:v>
      </x:c>
      <x:c r="C210" s="83" t="str">
        <x:v>LCSW 2026 Comprehensive Simulation Form A</x:v>
      </x:c>
      <x:c r="D210" s="83" t="n">
        <x:v>5</x:v>
      </x:c>
      <x:c r="E210" s="83" t="str">
        <x:v>Scored-Style</x:v>
      </x:c>
      <x:c r="F210" s="83" t="str">
        <x:v>I. Values and Ethics</x:v>
      </x:c>
      <x:c r="G210" s="83" t="str">
        <x:v>Administrative falsification</x:v>
      </x:c>
      <x:c r="H210" s="83" t="str">
        <x:v>Moderate</x:v>
      </x:c>
      <x:c r="I210" s="83" t="str">
        <x:v>Scenario-Based</x:v>
      </x:c>
      <x:c r="J210" s="83" t="n">
        <x:v>4</x:v>
      </x:c>
      <x:c r="K210" s="83" t="str">
        <x:v>C</x:v>
      </x:c>
      <x:c r="L210" s="83" t="n">
        <x:v>1</x:v>
      </x:c>
      <x:c r="M210" s="83" t="str">
        <x:v>LCSW-ALT-112</x:v>
      </x:c>
      <x:c r="N210" s="83" t="str">
        <x:v>Released</x:v>
      </x:c>
      <x:c r="O210" s="89" t="str">
        <x:v>Form A only; paired alternate retained on the other comprehensive form</x:v>
      </x:c>
    </x:row>
    <x:row r="211">
      <x:c r="A211" s="88" t="str">
        <x:v>CTA-LCSW-MQB-0210</x:v>
      </x:c>
      <x:c r="B211" s="83" t="str">
        <x:v>LCSW-MQB-FA-AP-004</x:v>
      </x:c>
      <x:c r="C211" s="83" t="str">
        <x:v>LCSW 2026 Comprehensive Simulation Form A</x:v>
      </x:c>
      <x:c r="D211" s="83" t="n">
        <x:v>6</x:v>
      </x:c>
      <x:c r="E211" s="83" t="str">
        <x:v>Scored-Style</x:v>
      </x:c>
      <x:c r="F211" s="83" t="str">
        <x:v>II. Assessment and Planning</x:v>
      </x:c>
      <x:c r="G211" s="83" t="str">
        <x:v>Provisional diagnosis</x:v>
      </x:c>
      <x:c r="H211" s="83" t="str">
        <x:v>Easy</x:v>
      </x:c>
      <x:c r="I211" s="83" t="str">
        <x:v>Knowledge &amp; Recall</x:v>
      </x:c>
      <x:c r="J211" s="83" t="n">
        <x:v>3</x:v>
      </x:c>
      <x:c r="K211" s="83" t="str">
        <x:v>A</x:v>
      </x:c>
      <x:c r="L211" s="83" t="n">
        <x:v>1</x:v>
      </x:c>
      <x:c r="M211" s="83" t="str">
        <x:v>LCSW-ALT-004</x:v>
      </x:c>
      <x:c r="N211" s="83" t="str">
        <x:v>Released</x:v>
      </x:c>
      <x:c r="O211" s="89" t="str">
        <x:v>Form A only; paired alternate retained on the other comprehensive form</x:v>
      </x:c>
    </x:row>
    <x:row r="212">
      <x:c r="A212" s="88" t="str">
        <x:v>CTA-LCSW-MQB-0211</x:v>
      </x:c>
      <x:c r="B212" s="83" t="str">
        <x:v>LCSW-MQB-FA-VE-009</x:v>
      </x:c>
      <x:c r="C212" s="83" t="str">
        <x:v>LCSW 2026 Comprehensive Simulation Form A</x:v>
      </x:c>
      <x:c r="D212" s="83" t="n">
        <x:v>7</x:v>
      </x:c>
      <x:c r="E212" s="83" t="str">
        <x:v>Scored-Style</x:v>
      </x:c>
      <x:c r="F212" s="83" t="str">
        <x:v>I. Values and Ethics</x:v>
      </x:c>
      <x:c r="G212" s="83" t="str">
        <x:v>Social media boundaries</x:v>
      </x:c>
      <x:c r="H212" s="83" t="str">
        <x:v>Easy</x:v>
      </x:c>
      <x:c r="I212" s="83" t="str">
        <x:v>Application</x:v>
      </x:c>
      <x:c r="J212" s="83" t="n">
        <x:v>3</x:v>
      </x:c>
      <x:c r="K212" s="83" t="str">
        <x:v>C</x:v>
      </x:c>
      <x:c r="L212" s="83" t="n">
        <x:v>1</x:v>
      </x:c>
      <x:c r="M212" s="83" t="str">
        <x:v>LCSW-ALT-087</x:v>
      </x:c>
      <x:c r="N212" s="83" t="str">
        <x:v>Released</x:v>
      </x:c>
      <x:c r="O212" s="89" t="str">
        <x:v>Form A only; paired alternate retained on the other comprehensive form</x:v>
      </x:c>
    </x:row>
    <x:row r="213">
      <x:c r="A213" s="88" t="str">
        <x:v>CTA-LCSW-MQB-0212</x:v>
      </x:c>
      <x:c r="B213" s="83" t="str">
        <x:v>LCSW-MQB-FA-IP-012</x:v>
      </x:c>
      <x:c r="C213" s="83" t="str">
        <x:v>LCSW 2026 Comprehensive Simulation Form A</x:v>
      </x:c>
      <x:c r="D213" s="83" t="n">
        <x:v>8</x:v>
      </x:c>
      <x:c r="E213" s="83" t="str">
        <x:v>Scored-Style</x:v>
      </x:c>
      <x:c r="F213" s="83" t="str">
        <x:v>III. Intervention and Practice</x:v>
      </x:c>
      <x:c r="G213" s="83" t="str">
        <x:v>Group facilitation</x:v>
      </x:c>
      <x:c r="H213" s="83" t="str">
        <x:v>Moderate</x:v>
      </x:c>
      <x:c r="I213" s="83" t="str">
        <x:v>Application</x:v>
      </x:c>
      <x:c r="J213" s="83" t="n">
        <x:v>3</x:v>
      </x:c>
      <x:c r="K213" s="83" t="str">
        <x:v>C</x:v>
      </x:c>
      <x:c r="L213" s="83" t="n">
        <x:v>1</x:v>
      </x:c>
      <x:c r="M213" s="83" t="str">
        <x:v>LCSW-ALT-051</x:v>
      </x:c>
      <x:c r="N213" s="83" t="str">
        <x:v>Released</x:v>
      </x:c>
      <x:c r="O213" s="89" t="str">
        <x:v>Form A only; paired alternate retained on the other comprehensive form</x:v>
      </x:c>
    </x:row>
    <x:row r="214">
      <x:c r="A214" s="88" t="str">
        <x:v>CTA-LCSW-MQB-0213</x:v>
      </x:c>
      <x:c r="B214" s="83" t="str">
        <x:v>LCSW-MQB-FA-VE-031</x:v>
      </x:c>
      <x:c r="C214" s="83" t="str">
        <x:v>LCSW 2026 Comprehensive Simulation Form A</x:v>
      </x:c>
      <x:c r="D214" s="83" t="n">
        <x:v>9</x:v>
      </x:c>
      <x:c r="E214" s="83" t="str">
        <x:v>Scored-Style</x:v>
      </x:c>
      <x:c r="F214" s="83" t="str">
        <x:v>I. Values and Ethics</x:v>
      </x:c>
      <x:c r="G214" s="83" t="str">
        <x:v>Research participation</x:v>
      </x:c>
      <x:c r="H214" s="83" t="str">
        <x:v>Moderate</x:v>
      </x:c>
      <x:c r="I214" s="83" t="str">
        <x:v>Scenario-Based</x:v>
      </x:c>
      <x:c r="J214" s="83" t="n">
        <x:v>4</x:v>
      </x:c>
      <x:c r="K214" s="83" t="str">
        <x:v>A</x:v>
      </x:c>
      <x:c r="L214" s="83" t="n">
        <x:v>1</x:v>
      </x:c>
      <x:c r="M214" s="83" t="str">
        <x:v>LCSW-ALT-109</x:v>
      </x:c>
      <x:c r="N214" s="83" t="str">
        <x:v>Released</x:v>
      </x:c>
      <x:c r="O214" s="89" t="str">
        <x:v>Form A only; paired alternate retained on the other comprehensive form</x:v>
      </x:c>
    </x:row>
    <x:row r="215">
      <x:c r="A215" s="88" t="str">
        <x:v>CTA-LCSW-MQB-0214</x:v>
      </x:c>
      <x:c r="B215" s="83" t="str">
        <x:v>LCSW-MQB-FA-IP-005</x:v>
      </x:c>
      <x:c r="C215" s="83" t="str">
        <x:v>LCSW 2026 Comprehensive Simulation Form A</x:v>
      </x:c>
      <x:c r="D215" s="83" t="n">
        <x:v>10</x:v>
      </x:c>
      <x:c r="E215" s="83" t="str">
        <x:v>Scored-Style</x:v>
      </x:c>
      <x:c r="F215" s="83" t="str">
        <x:v>III. Intervention and Practice</x:v>
      </x:c>
      <x:c r="G215" s="83" t="str">
        <x:v>Grounding</x:v>
      </x:c>
      <x:c r="H215" s="83" t="str">
        <x:v>Easy</x:v>
      </x:c>
      <x:c r="I215" s="83" t="str">
        <x:v>Application</x:v>
      </x:c>
      <x:c r="J215" s="83" t="n">
        <x:v>3</x:v>
      </x:c>
      <x:c r="K215" s="83" t="str">
        <x:v>C</x:v>
      </x:c>
      <x:c r="L215" s="83" t="n">
        <x:v>1</x:v>
      </x:c>
      <x:c r="M215" s="83" t="str">
        <x:v>LCSW-ALT-044</x:v>
      </x:c>
      <x:c r="N215" s="83" t="str">
        <x:v>Released</x:v>
      </x:c>
      <x:c r="O215" s="89" t="str">
        <x:v>Form A only; paired alternate retained on the other comprehensive form</x:v>
      </x:c>
    </x:row>
    <x:row r="216">
      <x:c r="A216" s="88" t="str">
        <x:v>CTA-LCSW-MQB-0215</x:v>
      </x:c>
      <x:c r="B216" s="83" t="str">
        <x:v>LCSW-MQB-FA-IP-009</x:v>
      </x:c>
      <x:c r="C216" s="83" t="str">
        <x:v>LCSW 2026 Comprehensive Simulation Form A</x:v>
      </x:c>
      <x:c r="D216" s="83" t="n">
        <x:v>11</x:v>
      </x:c>
      <x:c r="E216" s="83" t="str">
        <x:v>Scored-Style</x:v>
      </x:c>
      <x:c r="F216" s="83" t="str">
        <x:v>III. Intervention and Practice</x:v>
      </x:c>
      <x:c r="G216" s="83" t="str">
        <x:v>Advocacy</x:v>
      </x:c>
      <x:c r="H216" s="83" t="str">
        <x:v>Easy</x:v>
      </x:c>
      <x:c r="I216" s="83" t="str">
        <x:v>Application</x:v>
      </x:c>
      <x:c r="J216" s="83" t="n">
        <x:v>3</x:v>
      </x:c>
      <x:c r="K216" s="83" t="str">
        <x:v>C</x:v>
      </x:c>
      <x:c r="L216" s="83" t="n">
        <x:v>1</x:v>
      </x:c>
      <x:c r="M216" s="83" t="str">
        <x:v>LCSW-ALT-048</x:v>
      </x:c>
      <x:c r="N216" s="83" t="str">
        <x:v>Released</x:v>
      </x:c>
      <x:c r="O216" s="89" t="str">
        <x:v>Form A only; paired alternate retained on the other comprehensive form</x:v>
      </x:c>
    </x:row>
    <x:row r="217">
      <x:c r="A217" s="88" t="str">
        <x:v>CTA-LCSW-MQB-0216</x:v>
      </x:c>
      <x:c r="B217" s="83" t="str">
        <x:v>LCSW-MQB-FA-AP-032</x:v>
      </x:c>
      <x:c r="C217" s="83" t="str">
        <x:v>LCSW 2026 Comprehensive Simulation Form A</x:v>
      </x:c>
      <x:c r="D217" s="83" t="n">
        <x:v>12</x:v>
      </x:c>
      <x:c r="E217" s="83" t="str">
        <x:v>Scored-Style</x:v>
      </x:c>
      <x:c r="F217" s="83" t="str">
        <x:v>II. Assessment and Planning</x:v>
      </x:c>
      <x:c r="G217" s="83" t="str">
        <x:v>Service planning with limited resources</x:v>
      </x:c>
      <x:c r="H217" s="83" t="str">
        <x:v>Difficult</x:v>
      </x:c>
      <x:c r="I217" s="83" t="str">
        <x:v>Scenario-Based</x:v>
      </x:c>
      <x:c r="J217" s="83" t="n">
        <x:v>4</x:v>
      </x:c>
      <x:c r="K217" s="83" t="str">
        <x:v>A</x:v>
      </x:c>
      <x:c r="L217" s="83" t="n">
        <x:v>1</x:v>
      </x:c>
      <x:c r="M217" s="83" t="str">
        <x:v>LCSW-ALT-032</x:v>
      </x:c>
      <x:c r="N217" s="83" t="str">
        <x:v>Released</x:v>
      </x:c>
      <x:c r="O217" s="89" t="str">
        <x:v>Form A only; paired alternate retained on the other comprehensive form</x:v>
      </x:c>
    </x:row>
    <x:row r="218">
      <x:c r="A218" s="88" t="str">
        <x:v>CTA-LCSW-MQB-0217</x:v>
      </x:c>
      <x:c r="B218" s="83" t="str">
        <x:v>LCSW-MQB-FA-AP-019</x:v>
      </x:c>
      <x:c r="C218" s="83" t="str">
        <x:v>LCSW 2026 Comprehensive Simulation Form A</x:v>
      </x:c>
      <x:c r="D218" s="83" t="n">
        <x:v>13</x:v>
      </x:c>
      <x:c r="E218" s="83" t="str">
        <x:v>Scored-Style</x:v>
      </x:c>
      <x:c r="F218" s="83" t="str">
        <x:v>II. Assessment and Planning</x:v>
      </x:c>
      <x:c r="G218" s="83" t="str">
        <x:v>Family role assessment</x:v>
      </x:c>
      <x:c r="H218" s="83" t="str">
        <x:v>Moderate</x:v>
      </x:c>
      <x:c r="I218" s="83" t="str">
        <x:v>Application</x:v>
      </x:c>
      <x:c r="J218" s="83" t="n">
        <x:v>3</x:v>
      </x:c>
      <x:c r="K218" s="83" t="str">
        <x:v>C</x:v>
      </x:c>
      <x:c r="L218" s="83" t="n">
        <x:v>1</x:v>
      </x:c>
      <x:c r="M218" s="83" t="str">
        <x:v>LCSW-ALT-019</x:v>
      </x:c>
      <x:c r="N218" s="83" t="str">
        <x:v>Released</x:v>
      </x:c>
      <x:c r="O218" s="89" t="str">
        <x:v>Form A only; paired alternate retained on the other comprehensive form</x:v>
      </x:c>
    </x:row>
    <x:row r="219">
      <x:c r="A219" s="88" t="str">
        <x:v>CTA-LCSW-MQB-0218</x:v>
      </x:c>
      <x:c r="B219" s="83" t="str">
        <x:v>LCSW-MQB-FA-IP-017</x:v>
      </x:c>
      <x:c r="C219" s="83" t="str">
        <x:v>LCSW 2026 Comprehensive Simulation Form A</x:v>
      </x:c>
      <x:c r="D219" s="83" t="n">
        <x:v>14</x:v>
      </x:c>
      <x:c r="E219" s="83" t="str">
        <x:v>Scored-Style</x:v>
      </x:c>
      <x:c r="F219" s="83" t="str">
        <x:v>III. Intervention and Practice</x:v>
      </x:c>
      <x:c r="G219" s="83" t="str">
        <x:v>Supervision feedback</x:v>
      </x:c>
      <x:c r="H219" s="83" t="str">
        <x:v>Moderate</x:v>
      </x:c>
      <x:c r="I219" s="83" t="str">
        <x:v>Application</x:v>
      </x:c>
      <x:c r="J219" s="83" t="n">
        <x:v>3</x:v>
      </x:c>
      <x:c r="K219" s="83" t="str">
        <x:v>B</x:v>
      </x:c>
      <x:c r="L219" s="83" t="n">
        <x:v>1</x:v>
      </x:c>
      <x:c r="M219" s="83" t="str">
        <x:v>LCSW-ALT-056</x:v>
      </x:c>
      <x:c r="N219" s="83" t="str">
        <x:v>Released</x:v>
      </x:c>
      <x:c r="O219" s="89" t="str">
        <x:v>Form A only; paired alternate retained on the other comprehensive form</x:v>
      </x:c>
    </x:row>
    <x:row r="220">
      <x:c r="A220" s="88" t="str">
        <x:v>CTA-LCSW-MQB-0219</x:v>
      </x:c>
      <x:c r="B220" s="83" t="str">
        <x:v>LCSW-MQB-FA-AP-009</x:v>
      </x:c>
      <x:c r="C220" s="83" t="str">
        <x:v>LCSW 2026 Comprehensive Simulation Form A</x:v>
      </x:c>
      <x:c r="D220" s="83" t="n">
        <x:v>15</x:v>
      </x:c>
      <x:c r="E220" s="83" t="str">
        <x:v>Scored-Style</x:v>
      </x:c>
      <x:c r="F220" s="83" t="str">
        <x:v>II. Assessment and Planning</x:v>
      </x:c>
      <x:c r="G220" s="83" t="str">
        <x:v>Developmental context</x:v>
      </x:c>
      <x:c r="H220" s="83" t="str">
        <x:v>Easy</x:v>
      </x:c>
      <x:c r="I220" s="83" t="str">
        <x:v>Application</x:v>
      </x:c>
      <x:c r="J220" s="83" t="n">
        <x:v>3</x:v>
      </x:c>
      <x:c r="K220" s="83" t="str">
        <x:v>C</x:v>
      </x:c>
      <x:c r="L220" s="83" t="n">
        <x:v>1</x:v>
      </x:c>
      <x:c r="M220" s="83" t="str">
        <x:v>LCSW-ALT-009</x:v>
      </x:c>
      <x:c r="N220" s="83" t="str">
        <x:v>Released</x:v>
      </x:c>
      <x:c r="O220" s="89" t="str">
        <x:v>Form A only; paired alternate retained on the other comprehensive form</x:v>
      </x:c>
    </x:row>
    <x:row r="221">
      <x:c r="A221" s="88" t="str">
        <x:v>CTA-LCSW-MQB-0220</x:v>
      </x:c>
      <x:c r="B221" s="83" t="str">
        <x:v>LCSW-MQB-FA-VE-039</x:v>
      </x:c>
      <x:c r="C221" s="83" t="str">
        <x:v>LCSW 2026 Comprehensive Simulation Form A</x:v>
      </x:c>
      <x:c r="D221" s="83" t="n">
        <x:v>16</x:v>
      </x:c>
      <x:c r="E221" s="83" t="str">
        <x:v>Scored-Style</x:v>
      </x:c>
      <x:c r="F221" s="83" t="str">
        <x:v>I. Values and Ethics</x:v>
      </x:c>
      <x:c r="G221" s="83" t="str">
        <x:v>Cultural values and autonomy</x:v>
      </x:c>
      <x:c r="H221" s="83" t="str">
        <x:v>Difficult</x:v>
      </x:c>
      <x:c r="I221" s="83" t="str">
        <x:v>Integrated Clinical Reasoning</x:v>
      </x:c>
      <x:c r="J221" s="83" t="n">
        <x:v>4</x:v>
      </x:c>
      <x:c r="K221" s="83" t="str">
        <x:v>D</x:v>
      </x:c>
      <x:c r="L221" s="83" t="n">
        <x:v>1</x:v>
      </x:c>
      <x:c r="M221" s="83" t="str">
        <x:v>LCSW-ALT-117</x:v>
      </x:c>
      <x:c r="N221" s="83" t="str">
        <x:v>Released</x:v>
      </x:c>
      <x:c r="O221" s="89" t="str">
        <x:v>Form A only; paired alternate retained on the other comprehensive form</x:v>
      </x:c>
    </x:row>
    <x:row r="222">
      <x:c r="A222" s="88" t="str">
        <x:v>CTA-LCSW-MQB-0221</x:v>
      </x:c>
      <x:c r="B222" s="83" t="str">
        <x:v>LCSW-MQB-FA-VE-030</x:v>
      </x:c>
      <x:c r="C222" s="83" t="str">
        <x:v>LCSW 2026 Comprehensive Simulation Form A</x:v>
      </x:c>
      <x:c r="D222" s="83" t="n">
        <x:v>17</x:v>
      </x:c>
      <x:c r="E222" s="83" t="str">
        <x:v>Scored-Style</x:v>
      </x:c>
      <x:c r="F222" s="83" t="str">
        <x:v>I. Values and Ethics</x:v>
      </x:c>
      <x:c r="G222" s="83" t="str">
        <x:v>Supervisor impairment</x:v>
      </x:c>
      <x:c r="H222" s="83" t="str">
        <x:v>Moderate</x:v>
      </x:c>
      <x:c r="I222" s="83" t="str">
        <x:v>Scenario-Based</x:v>
      </x:c>
      <x:c r="J222" s="83" t="n">
        <x:v>4</x:v>
      </x:c>
      <x:c r="K222" s="83" t="str">
        <x:v>D</x:v>
      </x:c>
      <x:c r="L222" s="83" t="n">
        <x:v>1</x:v>
      </x:c>
      <x:c r="M222" s="83" t="str">
        <x:v>LCSW-ALT-108</x:v>
      </x:c>
      <x:c r="N222" s="83" t="str">
        <x:v>Released</x:v>
      </x:c>
      <x:c r="O222" s="89" t="str">
        <x:v>Form A only; paired alternate retained on the other comprehensive form</x:v>
      </x:c>
    </x:row>
    <x:row r="223">
      <x:c r="A223" s="88" t="str">
        <x:v>CTA-LCSW-MQB-0222</x:v>
      </x:c>
      <x:c r="B223" s="83" t="str">
        <x:v>LCSW-MQB-FA-IP-002</x:v>
      </x:c>
      <x:c r="C223" s="83" t="str">
        <x:v>LCSW 2026 Comprehensive Simulation Form A</x:v>
      </x:c>
      <x:c r="D223" s="83" t="n">
        <x:v>18</x:v>
      </x:c>
      <x:c r="E223" s="83" t="str">
        <x:v>Scored-Style</x:v>
      </x:c>
      <x:c r="F223" s="83" t="str">
        <x:v>III. Intervention and Practice</x:v>
      </x:c>
      <x:c r="G223" s="83" t="str">
        <x:v>Program evaluation</x:v>
      </x:c>
      <x:c r="H223" s="83" t="str">
        <x:v>Easy</x:v>
      </x:c>
      <x:c r="I223" s="83" t="str">
        <x:v>Knowledge &amp; Recall</x:v>
      </x:c>
      <x:c r="J223" s="83" t="n">
        <x:v>3</x:v>
      </x:c>
      <x:c r="K223" s="83" t="str">
        <x:v>C</x:v>
      </x:c>
      <x:c r="L223" s="83" t="n">
        <x:v>1</x:v>
      </x:c>
      <x:c r="M223" s="83" t="str">
        <x:v>LCSW-ALT-041</x:v>
      </x:c>
      <x:c r="N223" s="83" t="str">
        <x:v>Released</x:v>
      </x:c>
      <x:c r="O223" s="89" t="str">
        <x:v>Form A only; paired alternate retained on the other comprehensive form</x:v>
      </x:c>
    </x:row>
    <x:row r="224">
      <x:c r="A224" s="88" t="str">
        <x:v>CTA-LCSW-MQB-0223</x:v>
      </x:c>
      <x:c r="B224" s="83" t="str">
        <x:v>LCSW-MQB-FA-IP-028</x:v>
      </x:c>
      <x:c r="C224" s="83" t="str">
        <x:v>LCSW 2026 Comprehensive Simulation Form A</x:v>
      </x:c>
      <x:c r="D224" s="83" t="n">
        <x:v>19</x:v>
      </x:c>
      <x:c r="E224" s="83" t="str">
        <x:v>Scored-Style</x:v>
      </x:c>
      <x:c r="F224" s="83" t="str">
        <x:v>III. Intervention and Practice</x:v>
      </x:c>
      <x:c r="G224" s="83" t="str">
        <x:v>Hospital discharge advocacy</x:v>
      </x:c>
      <x:c r="H224" s="83" t="str">
        <x:v>Moderate</x:v>
      </x:c>
      <x:c r="I224" s="83" t="str">
        <x:v>Scenario-Based</x:v>
      </x:c>
      <x:c r="J224" s="83" t="n">
        <x:v>4</x:v>
      </x:c>
      <x:c r="K224" s="83" t="str">
        <x:v>A</x:v>
      </x:c>
      <x:c r="L224" s="83" t="n">
        <x:v>1</x:v>
      </x:c>
      <x:c r="M224" s="83" t="str">
        <x:v>LCSW-ALT-067</x:v>
      </x:c>
      <x:c r="N224" s="83" t="str">
        <x:v>Released</x:v>
      </x:c>
      <x:c r="O224" s="89" t="str">
        <x:v>Form A only; paired alternate retained on the other comprehensive form</x:v>
      </x:c>
    </x:row>
    <x:row r="225">
      <x:c r="A225" s="88" t="str">
        <x:v>CTA-LCSW-MQB-0224</x:v>
      </x:c>
      <x:c r="B225" s="83" t="str">
        <x:v>LCSW-MQB-FA-AP-035</x:v>
      </x:c>
      <x:c r="C225" s="83" t="str">
        <x:v>LCSW 2026 Comprehensive Simulation Form A</x:v>
      </x:c>
      <x:c r="D225" s="83" t="n">
        <x:v>20</x:v>
      </x:c>
      <x:c r="E225" s="83" t="str">
        <x:v>Scored-Style</x:v>
      </x:c>
      <x:c r="F225" s="83" t="str">
        <x:v>II. Assessment and Planning</x:v>
      </x:c>
      <x:c r="G225" s="83" t="str">
        <x:v>Suicide, substance use, and housing</x:v>
      </x:c>
      <x:c r="H225" s="83" t="str">
        <x:v>Difficult</x:v>
      </x:c>
      <x:c r="I225" s="83" t="str">
        <x:v>Integrated Clinical Reasoning</x:v>
      </x:c>
      <x:c r="J225" s="83" t="n">
        <x:v>4</x:v>
      </x:c>
      <x:c r="K225" s="83" t="str">
        <x:v>A</x:v>
      </x:c>
      <x:c r="L225" s="83" t="n">
        <x:v>1</x:v>
      </x:c>
      <x:c r="M225" s="83" t="str">
        <x:v>LCSW-ALT-035</x:v>
      </x:c>
      <x:c r="N225" s="83" t="str">
        <x:v>Released</x:v>
      </x:c>
      <x:c r="O225" s="89" t="str">
        <x:v>Form A only; paired alternate retained on the other comprehensive form</x:v>
      </x:c>
    </x:row>
    <x:row r="226">
      <x:c r="A226" s="88" t="str">
        <x:v>CTA-LCSW-MQB-0225</x:v>
      </x:c>
      <x:c r="B226" s="83" t="str">
        <x:v>LCSW-MQB-FA-AP-020</x:v>
      </x:c>
      <x:c r="C226" s="83" t="str">
        <x:v>LCSW 2026 Comprehensive Simulation Form A</x:v>
      </x:c>
      <x:c r="D226" s="83" t="n">
        <x:v>21</x:v>
      </x:c>
      <x:c r="E226" s="83" t="str">
        <x:v>Scored-Style</x:v>
      </x:c>
      <x:c r="F226" s="83" t="str">
        <x:v>II. Assessment and Planning</x:v>
      </x:c>
      <x:c r="G226" s="83" t="str">
        <x:v>Collaborative goals</x:v>
      </x:c>
      <x:c r="H226" s="83" t="str">
        <x:v>Moderate</x:v>
      </x:c>
      <x:c r="I226" s="83" t="str">
        <x:v>Application</x:v>
      </x:c>
      <x:c r="J226" s="83" t="n">
        <x:v>3</x:v>
      </x:c>
      <x:c r="K226" s="83" t="str">
        <x:v>A</x:v>
      </x:c>
      <x:c r="L226" s="83" t="n">
        <x:v>1</x:v>
      </x:c>
      <x:c r="M226" s="83" t="str">
        <x:v>LCSW-ALT-020</x:v>
      </x:c>
      <x:c r="N226" s="83" t="str">
        <x:v>Released</x:v>
      </x:c>
      <x:c r="O226" s="89" t="str">
        <x:v>Form A only; paired alternate retained on the other comprehensive form</x:v>
      </x:c>
    </x:row>
    <x:row r="227">
      <x:c r="A227" s="88" t="str">
        <x:v>CTA-LCSW-MQB-0226</x:v>
      </x:c>
      <x:c r="B227" s="83" t="str">
        <x:v>LCSW-MQB-FA-VE-014</x:v>
      </x:c>
      <x:c r="C227" s="83" t="str">
        <x:v>LCSW 2026 Comprehensive Simulation Form A</x:v>
      </x:c>
      <x:c r="D227" s="83" t="n">
        <x:v>22</x:v>
      </x:c>
      <x:c r="E227" s="83" t="str">
        <x:v>Scored-Style</x:v>
      </x:c>
      <x:c r="F227" s="83" t="str">
        <x:v>I. Values and Ethics</x:v>
      </x:c>
      <x:c r="G227" s="83" t="str">
        <x:v>Record correction</x:v>
      </x:c>
      <x:c r="H227" s="83" t="str">
        <x:v>Moderate</x:v>
      </x:c>
      <x:c r="I227" s="83" t="str">
        <x:v>Application</x:v>
      </x:c>
      <x:c r="J227" s="83" t="n">
        <x:v>3</x:v>
      </x:c>
      <x:c r="K227" s="83" t="str">
        <x:v>B</x:v>
      </x:c>
      <x:c r="L227" s="83" t="n">
        <x:v>1</x:v>
      </x:c>
      <x:c r="M227" s="83" t="str">
        <x:v>LCSW-ALT-092</x:v>
      </x:c>
      <x:c r="N227" s="83" t="str">
        <x:v>Released</x:v>
      </x:c>
      <x:c r="O227" s="89" t="str">
        <x:v>Form A only; paired alternate retained on the other comprehensive form</x:v>
      </x:c>
    </x:row>
    <x:row r="228">
      <x:c r="A228" s="88" t="str">
        <x:v>CTA-LCSW-MQB-0227</x:v>
      </x:c>
      <x:c r="B228" s="83" t="str">
        <x:v>LCSW-MQB-FA-IP-030</x:v>
      </x:c>
      <x:c r="C228" s="83" t="str">
        <x:v>LCSW 2026 Comprehensive Simulation Form A</x:v>
      </x:c>
      <x:c r="D228" s="83" t="n">
        <x:v>23</x:v>
      </x:c>
      <x:c r="E228" s="83" t="str">
        <x:v>Scored-Style</x:v>
      </x:c>
      <x:c r="F228" s="83" t="str">
        <x:v>III. Intervention and Practice</x:v>
      </x:c>
      <x:c r="G228" s="83" t="str">
        <x:v>Caregiver support</x:v>
      </x:c>
      <x:c r="H228" s="83" t="str">
        <x:v>Difficult</x:v>
      </x:c>
      <x:c r="I228" s="83" t="str">
        <x:v>Scenario-Based</x:v>
      </x:c>
      <x:c r="J228" s="83" t="n">
        <x:v>4</x:v>
      </x:c>
      <x:c r="K228" s="83" t="str">
        <x:v>A</x:v>
      </x:c>
      <x:c r="L228" s="83" t="n">
        <x:v>1</x:v>
      </x:c>
      <x:c r="M228" s="83" t="str">
        <x:v>LCSW-ALT-069</x:v>
      </x:c>
      <x:c r="N228" s="83" t="str">
        <x:v>Released</x:v>
      </x:c>
      <x:c r="O228" s="89" t="str">
        <x:v>Form A only; paired alternate retained on the other comprehensive form</x:v>
      </x:c>
    </x:row>
    <x:row r="229">
      <x:c r="A229" s="88" t="str">
        <x:v>CTA-LCSW-MQB-0228</x:v>
      </x:c>
      <x:c r="B229" s="83" t="str">
        <x:v>LCSW-MQB-FA-VE-010</x:v>
      </x:c>
      <x:c r="C229" s="83" t="str">
        <x:v>LCSW 2026 Comprehensive Simulation Form A</x:v>
      </x:c>
      <x:c r="D229" s="83" t="n">
        <x:v>24</x:v>
      </x:c>
      <x:c r="E229" s="83" t="str">
        <x:v>Scored-Style</x:v>
      </x:c>
      <x:c r="F229" s="83" t="str">
        <x:v>I. Values and Ethics</x:v>
      </x:c>
      <x:c r="G229" s="83" t="str">
        <x:v>Accurate documentation</x:v>
      </x:c>
      <x:c r="H229" s="83" t="str">
        <x:v>Easy</x:v>
      </x:c>
      <x:c r="I229" s="83" t="str">
        <x:v>Application</x:v>
      </x:c>
      <x:c r="J229" s="83" t="n">
        <x:v>3</x:v>
      </x:c>
      <x:c r="K229" s="83" t="str">
        <x:v>B</x:v>
      </x:c>
      <x:c r="L229" s="83" t="n">
        <x:v>1</x:v>
      </x:c>
      <x:c r="M229" s="83" t="str">
        <x:v>LCSW-ALT-088</x:v>
      </x:c>
      <x:c r="N229" s="83" t="str">
        <x:v>Released</x:v>
      </x:c>
      <x:c r="O229" s="89" t="str">
        <x:v>Form A only; paired alternate retained on the other comprehensive form</x:v>
      </x:c>
    </x:row>
    <x:row r="230">
      <x:c r="A230" s="88" t="str">
        <x:v>CTA-LCSW-MQB-0229</x:v>
      </x:c>
      <x:c r="B230" s="83" t="str">
        <x:v>LCSW-MQB-FA-AP-013</x:v>
      </x:c>
      <x:c r="C230" s="83" t="str">
        <x:v>LCSW 2026 Comprehensive Simulation Form A</x:v>
      </x:c>
      <x:c r="D230" s="83" t="n">
        <x:v>25</x:v>
      </x:c>
      <x:c r="E230" s="83" t="str">
        <x:v>Scored-Style</x:v>
      </x:c>
      <x:c r="F230" s="83" t="str">
        <x:v>II. Assessment and Planning</x:v>
      </x:c>
      <x:c r="G230" s="83" t="str">
        <x:v>Screening measure limits</x:v>
      </x:c>
      <x:c r="H230" s="83" t="str">
        <x:v>Moderate</x:v>
      </x:c>
      <x:c r="I230" s="83" t="str">
        <x:v>Application</x:v>
      </x:c>
      <x:c r="J230" s="83" t="n">
        <x:v>3</x:v>
      </x:c>
      <x:c r="K230" s="83" t="str">
        <x:v>B</x:v>
      </x:c>
      <x:c r="L230" s="83" t="n">
        <x:v>1</x:v>
      </x:c>
      <x:c r="M230" s="83" t="str">
        <x:v>LCSW-ALT-013</x:v>
      </x:c>
      <x:c r="N230" s="83" t="str">
        <x:v>Released</x:v>
      </x:c>
      <x:c r="O230" s="89" t="str">
        <x:v>Form A only; paired alternate retained on the other comprehensive form</x:v>
      </x:c>
    </x:row>
    <x:row r="231">
      <x:c r="A231" s="88" t="str">
        <x:v>CTA-LCSW-MQB-0230</x:v>
      </x:c>
      <x:c r="B231" s="83" t="str">
        <x:v>LCSW-MQB-FA-AP-039</x:v>
      </x:c>
      <x:c r="C231" s="83" t="str">
        <x:v>LCSW 2026 Comprehensive Simulation Form A</x:v>
      </x:c>
      <x:c r="D231" s="83" t="n">
        <x:v>26</x:v>
      </x:c>
      <x:c r="E231" s="83" t="str">
        <x:v>Scored-Style</x:v>
      </x:c>
      <x:c r="F231" s="83" t="str">
        <x:v>II. Assessment and Planning</x:v>
      </x:c>
      <x:c r="G231" s="83" t="str">
        <x:v>Collaborative planning across systems</x:v>
      </x:c>
      <x:c r="H231" s="83" t="str">
        <x:v>Difficult</x:v>
      </x:c>
      <x:c r="I231" s="83" t="str">
        <x:v>Integrated Clinical Reasoning</x:v>
      </x:c>
      <x:c r="J231" s="83" t="n">
        <x:v>4</x:v>
      </x:c>
      <x:c r="K231" s="83" t="str">
        <x:v>C</x:v>
      </x:c>
      <x:c r="L231" s="83" t="n">
        <x:v>1</x:v>
      </x:c>
      <x:c r="M231" s="83" t="str">
        <x:v>LCSW-ALT-039</x:v>
      </x:c>
      <x:c r="N231" s="83" t="str">
        <x:v>Released</x:v>
      </x:c>
      <x:c r="O231" s="89" t="str">
        <x:v>Form A only; paired alternate retained on the other comprehensive form</x:v>
      </x:c>
    </x:row>
    <x:row r="232">
      <x:c r="A232" s="88" t="str">
        <x:v>CTA-LCSW-MQB-0231</x:v>
      </x:c>
      <x:c r="B232" s="83" t="str">
        <x:v>LCSW-MQB-FA-VE-033</x:v>
      </x:c>
      <x:c r="C232" s="83" t="str">
        <x:v>LCSW 2026 Comprehensive Simulation Form A</x:v>
      </x:c>
      <x:c r="D232" s="83" t="n">
        <x:v>27</x:v>
      </x:c>
      <x:c r="E232" s="83" t="str">
        <x:v>Scored-Style</x:v>
      </x:c>
      <x:c r="F232" s="83" t="str">
        <x:v>I. Values and Ethics</x:v>
      </x:c>
      <x:c r="G232" s="83" t="str">
        <x:v>Dual-role pressure</x:v>
      </x:c>
      <x:c r="H232" s="83" t="str">
        <x:v>Moderate</x:v>
      </x:c>
      <x:c r="I232" s="83" t="str">
        <x:v>Scenario-Based</x:v>
      </x:c>
      <x:c r="J232" s="83" t="n">
        <x:v>4</x:v>
      </x:c>
      <x:c r="K232" s="83" t="str">
        <x:v>D</x:v>
      </x:c>
      <x:c r="L232" s="83" t="n">
        <x:v>1</x:v>
      </x:c>
      <x:c r="M232" s="83" t="str">
        <x:v>LCSW-ALT-111</x:v>
      </x:c>
      <x:c r="N232" s="83" t="str">
        <x:v>Released</x:v>
      </x:c>
      <x:c r="O232" s="89" t="str">
        <x:v>Form A only; paired alternate retained on the other comprehensive form</x:v>
      </x:c>
    </x:row>
    <x:row r="233">
      <x:c r="A233" s="88" t="str">
        <x:v>CTA-LCSW-MQB-0232</x:v>
      </x:c>
      <x:c r="B233" s="83" t="str">
        <x:v>LCSW-MQB-FA-VE-029</x:v>
      </x:c>
      <x:c r="C233" s="83" t="str">
        <x:v>LCSW 2026 Comprehensive Simulation Form A</x:v>
      </x:c>
      <x:c r="D233" s="83" t="n">
        <x:v>28</x:v>
      </x:c>
      <x:c r="E233" s="83" t="str">
        <x:v>Scored-Style</x:v>
      </x:c>
      <x:c r="F233" s="83" t="str">
        <x:v>I. Values and Ethics</x:v>
      </x:c>
      <x:c r="G233" s="83" t="str">
        <x:v>Social justice and service barriers</x:v>
      </x:c>
      <x:c r="H233" s="83" t="str">
        <x:v>Moderate</x:v>
      </x:c>
      <x:c r="I233" s="83" t="str">
        <x:v>Scenario-Based</x:v>
      </x:c>
      <x:c r="J233" s="83" t="n">
        <x:v>4</x:v>
      </x:c>
      <x:c r="K233" s="83" t="str">
        <x:v>D</x:v>
      </x:c>
      <x:c r="L233" s="83" t="n">
        <x:v>1</x:v>
      </x:c>
      <x:c r="M233" s="83" t="str">
        <x:v>LCSW-ALT-107</x:v>
      </x:c>
      <x:c r="N233" s="83" t="str">
        <x:v>Released</x:v>
      </x:c>
      <x:c r="O233" s="89" t="str">
        <x:v>Form A only; paired alternate retained on the other comprehensive form</x:v>
      </x:c>
    </x:row>
    <x:row r="234">
      <x:c r="A234" s="88" t="str">
        <x:v>CTA-LCSW-MQB-0233</x:v>
      </x:c>
      <x:c r="B234" s="83" t="str">
        <x:v>LCSW-MQB-FA-IP-031</x:v>
      </x:c>
      <x:c r="C234" s="83" t="str">
        <x:v>LCSW 2026 Comprehensive Simulation Form A</x:v>
      </x:c>
      <x:c r="D234" s="83" t="n">
        <x:v>29</x:v>
      </x:c>
      <x:c r="E234" s="83" t="str">
        <x:v>Scored-Style</x:v>
      </x:c>
      <x:c r="F234" s="83" t="str">
        <x:v>III. Intervention and Practice</x:v>
      </x:c>
      <x:c r="G234" s="83" t="str">
        <x:v>Program fidelity and adaptation</x:v>
      </x:c>
      <x:c r="H234" s="83" t="str">
        <x:v>Difficult</x:v>
      </x:c>
      <x:c r="I234" s="83" t="str">
        <x:v>Scenario-Based</x:v>
      </x:c>
      <x:c r="J234" s="83" t="n">
        <x:v>4</x:v>
      </x:c>
      <x:c r="K234" s="83" t="str">
        <x:v>A</x:v>
      </x:c>
      <x:c r="L234" s="83" t="n">
        <x:v>1</x:v>
      </x:c>
      <x:c r="M234" s="83" t="str">
        <x:v>LCSW-ALT-070</x:v>
      </x:c>
      <x:c r="N234" s="83" t="str">
        <x:v>Released</x:v>
      </x:c>
      <x:c r="O234" s="89" t="str">
        <x:v>Form A only; paired alternate retained on the other comprehensive form</x:v>
      </x:c>
    </x:row>
    <x:row r="235">
      <x:c r="A235" s="88" t="str">
        <x:v>CTA-LCSW-MQB-0234</x:v>
      </x:c>
      <x:c r="B235" s="83" t="str">
        <x:v>LCSW-MQB-FA-VE-021</x:v>
      </x:c>
      <x:c r="C235" s="83" t="str">
        <x:v>LCSW 2026 Comprehensive Simulation Form A</x:v>
      </x:c>
      <x:c r="D235" s="83" t="n">
        <x:v>30</x:v>
      </x:c>
      <x:c r="E235" s="83" t="str">
        <x:v>Scored-Style</x:v>
      </x:c>
      <x:c r="F235" s="83" t="str">
        <x:v>I. Values and Ethics</x:v>
      </x:c>
      <x:c r="G235" s="83" t="str">
        <x:v>Group confidentiality</x:v>
      </x:c>
      <x:c r="H235" s="83" t="str">
        <x:v>Moderate</x:v>
      </x:c>
      <x:c r="I235" s="83" t="str">
        <x:v>Application</x:v>
      </x:c>
      <x:c r="J235" s="83" t="n">
        <x:v>3</x:v>
      </x:c>
      <x:c r="K235" s="83" t="str">
        <x:v>B</x:v>
      </x:c>
      <x:c r="L235" s="83" t="n">
        <x:v>1</x:v>
      </x:c>
      <x:c r="M235" s="83" t="str">
        <x:v>LCSW-ALT-099</x:v>
      </x:c>
      <x:c r="N235" s="83" t="str">
        <x:v>Released</x:v>
      </x:c>
      <x:c r="O235" s="89" t="str">
        <x:v>Form A only; paired alternate retained on the other comprehensive form</x:v>
      </x:c>
    </x:row>
    <x:row r="236">
      <x:c r="A236" s="88" t="str">
        <x:v>CTA-LCSW-MQB-0235</x:v>
      </x:c>
      <x:c r="B236" s="83" t="str">
        <x:v>LCSW-MQB-FA-AP-007</x:v>
      </x:c>
      <x:c r="C236" s="83" t="str">
        <x:v>LCSW 2026 Comprehensive Simulation Form A</x:v>
      </x:c>
      <x:c r="D236" s="83" t="n">
        <x:v>31</x:v>
      </x:c>
      <x:c r="E236" s="83" t="str">
        <x:v>Scored-Style</x:v>
      </x:c>
      <x:c r="F236" s="83" t="str">
        <x:v>II. Assessment and Planning</x:v>
      </x:c>
      <x:c r="G236" s="83" t="str">
        <x:v>Collateral discrepancy</x:v>
      </x:c>
      <x:c r="H236" s="83" t="str">
        <x:v>Easy</x:v>
      </x:c>
      <x:c r="I236" s="83" t="str">
        <x:v>Application</x:v>
      </x:c>
      <x:c r="J236" s="83" t="n">
        <x:v>3</x:v>
      </x:c>
      <x:c r="K236" s="83" t="str">
        <x:v>B</x:v>
      </x:c>
      <x:c r="L236" s="83" t="n">
        <x:v>1</x:v>
      </x:c>
      <x:c r="M236" s="83" t="str">
        <x:v>LCSW-ALT-007</x:v>
      </x:c>
      <x:c r="N236" s="83" t="str">
        <x:v>Released</x:v>
      </x:c>
      <x:c r="O236" s="89" t="str">
        <x:v>Form A only; paired alternate retained on the other comprehensive form</x:v>
      </x:c>
    </x:row>
    <x:row r="237">
      <x:c r="A237" s="88" t="str">
        <x:v>CTA-LCSW-MQB-0236</x:v>
      </x:c>
      <x:c r="B237" s="83" t="str">
        <x:v>LCSW-MQB-FA-IP-011</x:v>
      </x:c>
      <x:c r="C237" s="83" t="str">
        <x:v>LCSW 2026 Comprehensive Simulation Form A</x:v>
      </x:c>
      <x:c r="D237" s="83" t="n">
        <x:v>32</x:v>
      </x:c>
      <x:c r="E237" s="83" t="str">
        <x:v>Scored-Style</x:v>
      </x:c>
      <x:c r="F237" s="83" t="str">
        <x:v>III. Intervention and Practice</x:v>
      </x:c>
      <x:c r="G237" s="83" t="str">
        <x:v>Interdisciplinary collaboration</x:v>
      </x:c>
      <x:c r="H237" s="83" t="str">
        <x:v>Moderate</x:v>
      </x:c>
      <x:c r="I237" s="83" t="str">
        <x:v>Application</x:v>
      </x:c>
      <x:c r="J237" s="83" t="n">
        <x:v>3</x:v>
      </x:c>
      <x:c r="K237" s="83" t="str">
        <x:v>B</x:v>
      </x:c>
      <x:c r="L237" s="83" t="n">
        <x:v>1</x:v>
      </x:c>
      <x:c r="M237" s="83" t="str">
        <x:v>LCSW-ALT-050</x:v>
      </x:c>
      <x:c r="N237" s="83" t="str">
        <x:v>Released</x:v>
      </x:c>
      <x:c r="O237" s="89" t="str">
        <x:v>Form A only; paired alternate retained on the other comprehensive form</x:v>
      </x:c>
    </x:row>
    <x:row r="238">
      <x:c r="A238" s="88" t="str">
        <x:v>CTA-LCSW-MQB-0237</x:v>
      </x:c>
      <x:c r="B238" s="83" t="str">
        <x:v>LCSW-MQB-FA-AP-025</x:v>
      </x:c>
      <x:c r="C238" s="83" t="str">
        <x:v>LCSW 2026 Comprehensive Simulation Form A</x:v>
      </x:c>
      <x:c r="D238" s="83" t="n">
        <x:v>33</x:v>
      </x:c>
      <x:c r="E238" s="83" t="str">
        <x:v>Scored-Style</x:v>
      </x:c>
      <x:c r="F238" s="83" t="str">
        <x:v>II. Assessment and Planning</x:v>
      </x:c>
      <x:c r="G238" s="83" t="str">
        <x:v>Mania differential</x:v>
      </x:c>
      <x:c r="H238" s="83" t="str">
        <x:v>Moderate</x:v>
      </x:c>
      <x:c r="I238" s="83" t="str">
        <x:v>Scenario-Based</x:v>
      </x:c>
      <x:c r="J238" s="83" t="n">
        <x:v>4</x:v>
      </x:c>
      <x:c r="K238" s="83" t="str">
        <x:v>C</x:v>
      </x:c>
      <x:c r="L238" s="83" t="n">
        <x:v>1</x:v>
      </x:c>
      <x:c r="M238" s="83" t="str">
        <x:v>LCSW-ALT-025</x:v>
      </x:c>
      <x:c r="N238" s="83" t="str">
        <x:v>Released</x:v>
      </x:c>
      <x:c r="O238" s="89" t="str">
        <x:v>Form A only; paired alternate retained on the other comprehensive form</x:v>
      </x:c>
    </x:row>
    <x:row r="239">
      <x:c r="A239" s="88" t="str">
        <x:v>CTA-LCSW-MQB-0238</x:v>
      </x:c>
      <x:c r="B239" s="83" t="str">
        <x:v>LCSW-MQB-FA-VE-023</x:v>
      </x:c>
      <x:c r="C239" s="83" t="str">
        <x:v>LCSW 2026 Comprehensive Simulation Form A</x:v>
      </x:c>
      <x:c r="D239" s="83" t="n">
        <x:v>34</x:v>
      </x:c>
      <x:c r="E239" s="83" t="str">
        <x:v>Scored-Style</x:v>
      </x:c>
      <x:c r="F239" s="83" t="str">
        <x:v>I. Values and Ethics</x:v>
      </x:c>
      <x:c r="G239" s="83" t="str">
        <x:v>Policy conflict</x:v>
      </x:c>
      <x:c r="H239" s="83" t="str">
        <x:v>Moderate</x:v>
      </x:c>
      <x:c r="I239" s="83" t="str">
        <x:v>Application</x:v>
      </x:c>
      <x:c r="J239" s="83" t="n">
        <x:v>3</x:v>
      </x:c>
      <x:c r="K239" s="83" t="str">
        <x:v>B</x:v>
      </x:c>
      <x:c r="L239" s="83" t="n">
        <x:v>1</x:v>
      </x:c>
      <x:c r="M239" s="83" t="str">
        <x:v>LCSW-ALT-101</x:v>
      </x:c>
      <x:c r="N239" s="83" t="str">
        <x:v>Released</x:v>
      </x:c>
      <x:c r="O239" s="89" t="str">
        <x:v>Form A only; paired alternate retained on the other comprehensive form</x:v>
      </x:c>
    </x:row>
    <x:row r="240">
      <x:c r="A240" s="88" t="str">
        <x:v>CTA-LCSW-MQB-0239</x:v>
      </x:c>
      <x:c r="B240" s="83" t="str">
        <x:v>LCSW-MQB-FA-AP-011</x:v>
      </x:c>
      <x:c r="C240" s="83" t="str">
        <x:v>LCSW 2026 Comprehensive Simulation Form A</x:v>
      </x:c>
      <x:c r="D240" s="83" t="n">
        <x:v>35</x:v>
      </x:c>
      <x:c r="E240" s="83" t="str">
        <x:v>Pretest-Style</x:v>
      </x:c>
      <x:c r="F240" s="83" t="str">
        <x:v>II. Assessment and Planning</x:v>
      </x:c>
      <x:c r="G240" s="83" t="str">
        <x:v>Substance-use pattern</x:v>
      </x:c>
      <x:c r="H240" s="83" t="str">
        <x:v>Moderate</x:v>
      </x:c>
      <x:c r="I240" s="83" t="str">
        <x:v>Application</x:v>
      </x:c>
      <x:c r="J240" s="83" t="n">
        <x:v>3</x:v>
      </x:c>
      <x:c r="K240" s="83" t="str">
        <x:v>C</x:v>
      </x:c>
      <x:c r="L240" s="83" t="n">
        <x:v>1</x:v>
      </x:c>
      <x:c r="M240" s="83" t="str">
        <x:v>LCSW-ALT-011</x:v>
      </x:c>
      <x:c r="N240" s="83" t="str">
        <x:v>Released</x:v>
      </x:c>
      <x:c r="O240" s="89" t="str">
        <x:v>Form A only; paired alternate retained on the other comprehensive form</x:v>
      </x:c>
    </x:row>
    <x:row r="241">
      <x:c r="A241" s="88" t="str">
        <x:v>CTA-LCSW-MQB-0240</x:v>
      </x:c>
      <x:c r="B241" s="83" t="str">
        <x:v>LCSW-MQB-FA-VE-025</x:v>
      </x:c>
      <x:c r="C241" s="83" t="str">
        <x:v>LCSW 2026 Comprehensive Simulation Form A</x:v>
      </x:c>
      <x:c r="D241" s="83" t="n">
        <x:v>36</x:v>
      </x:c>
      <x:c r="E241" s="83" t="str">
        <x:v>Scored-Style</x:v>
      </x:c>
      <x:c r="F241" s="83" t="str">
        <x:v>I. Values and Ethics</x:v>
      </x:c>
      <x:c r="G241" s="83" t="str">
        <x:v>Boundary drift</x:v>
      </x:c>
      <x:c r="H241" s="83" t="str">
        <x:v>Moderate</x:v>
      </x:c>
      <x:c r="I241" s="83" t="str">
        <x:v>Scenario-Based</x:v>
      </x:c>
      <x:c r="J241" s="83" t="n">
        <x:v>3</x:v>
      </x:c>
      <x:c r="K241" s="83" t="str">
        <x:v>B</x:v>
      </x:c>
      <x:c r="L241" s="83" t="n">
        <x:v>1</x:v>
      </x:c>
      <x:c r="M241" s="83" t="str">
        <x:v>LCSW-ALT-103</x:v>
      </x:c>
      <x:c r="N241" s="83" t="str">
        <x:v>Released</x:v>
      </x:c>
      <x:c r="O241" s="89" t="str">
        <x:v>Form A only; paired alternate retained on the other comprehensive form</x:v>
      </x:c>
    </x:row>
    <x:row r="242">
      <x:c r="A242" s="88" t="str">
        <x:v>CTA-LCSW-MQB-0241</x:v>
      </x:c>
      <x:c r="B242" s="83" t="str">
        <x:v>LCSW-MQB-FA-AP-034</x:v>
      </x:c>
      <x:c r="C242" s="83" t="str">
        <x:v>LCSW 2026 Comprehensive Simulation Form A</x:v>
      </x:c>
      <x:c r="D242" s="83" t="n">
        <x:v>37</x:v>
      </x:c>
      <x:c r="E242" s="83" t="str">
        <x:v>Pretest-Style</x:v>
      </x:c>
      <x:c r="F242" s="83" t="str">
        <x:v>II. Assessment and Planning</x:v>
      </x:c>
      <x:c r="G242" s="83" t="str">
        <x:v>Acute confusion and risk</x:v>
      </x:c>
      <x:c r="H242" s="83" t="str">
        <x:v>Difficult</x:v>
      </x:c>
      <x:c r="I242" s="83" t="str">
        <x:v>Integrated Clinical Reasoning</x:v>
      </x:c>
      <x:c r="J242" s="83" t="n">
        <x:v>4</x:v>
      </x:c>
      <x:c r="K242" s="83" t="str">
        <x:v>D</x:v>
      </x:c>
      <x:c r="L242" s="83" t="n">
        <x:v>1</x:v>
      </x:c>
      <x:c r="M242" s="83" t="str">
        <x:v>LCSW-ALT-034</x:v>
      </x:c>
      <x:c r="N242" s="83" t="str">
        <x:v>Released</x:v>
      </x:c>
      <x:c r="O242" s="89" t="str">
        <x:v>Form A only; paired alternate retained on the other comprehensive form</x:v>
      </x:c>
    </x:row>
    <x:row r="243">
      <x:c r="A243" s="88" t="str">
        <x:v>CTA-LCSW-MQB-0242</x:v>
      </x:c>
      <x:c r="B243" s="83" t="str">
        <x:v>LCSW-MQB-FA-VE-032</x:v>
      </x:c>
      <x:c r="C243" s="83" t="str">
        <x:v>LCSW 2026 Comprehensive Simulation Form A</x:v>
      </x:c>
      <x:c r="D243" s="83" t="n">
        <x:v>38</x:v>
      </x:c>
      <x:c r="E243" s="83" t="str">
        <x:v>Scored-Style</x:v>
      </x:c>
      <x:c r="F243" s="83" t="str">
        <x:v>I. Values and Ethics</x:v>
      </x:c>
      <x:c r="G243" s="83" t="str">
        <x:v>Telehealth privacy</x:v>
      </x:c>
      <x:c r="H243" s="83" t="str">
        <x:v>Moderate</x:v>
      </x:c>
      <x:c r="I243" s="83" t="str">
        <x:v>Scenario-Based</x:v>
      </x:c>
      <x:c r="J243" s="83" t="n">
        <x:v>4</x:v>
      </x:c>
      <x:c r="K243" s="83" t="str">
        <x:v>B</x:v>
      </x:c>
      <x:c r="L243" s="83" t="n">
        <x:v>1</x:v>
      </x:c>
      <x:c r="M243" s="83" t="str">
        <x:v>LCSW-ALT-110</x:v>
      </x:c>
      <x:c r="N243" s="83" t="str">
        <x:v>Released</x:v>
      </x:c>
      <x:c r="O243" s="89" t="str">
        <x:v>Form A only; paired alternate retained on the other comprehensive form</x:v>
      </x:c>
    </x:row>
    <x:row r="244">
      <x:c r="A244" s="88" t="str">
        <x:v>CTA-LCSW-MQB-0243</x:v>
      </x:c>
      <x:c r="B244" s="83" t="str">
        <x:v>LCSW-MQB-FA-VE-013</x:v>
      </x:c>
      <x:c r="C244" s="83" t="str">
        <x:v>LCSW 2026 Comprehensive Simulation Form A</x:v>
      </x:c>
      <x:c r="D244" s="83" t="n">
        <x:v>39</x:v>
      </x:c>
      <x:c r="E244" s="83" t="str">
        <x:v>Pretest-Style</x:v>
      </x:c>
      <x:c r="F244" s="83" t="str">
        <x:v>I. Values and Ethics</x:v>
      </x:c>
      <x:c r="G244" s="83" t="str">
        <x:v>Mandated services</x:v>
      </x:c>
      <x:c r="H244" s="83" t="str">
        <x:v>Moderate</x:v>
      </x:c>
      <x:c r="I244" s="83" t="str">
        <x:v>Application</x:v>
      </x:c>
      <x:c r="J244" s="83" t="n">
        <x:v>3</x:v>
      </x:c>
      <x:c r="K244" s="83" t="str">
        <x:v>A</x:v>
      </x:c>
      <x:c r="L244" s="83" t="n">
        <x:v>1</x:v>
      </x:c>
      <x:c r="M244" s="83" t="str">
        <x:v>LCSW-ALT-091</x:v>
      </x:c>
      <x:c r="N244" s="83" t="str">
        <x:v>Released</x:v>
      </x:c>
      <x:c r="O244" s="89" t="str">
        <x:v>Form A only; paired alternate retained on the other comprehensive form</x:v>
      </x:c>
    </x:row>
    <x:row r="245">
      <x:c r="A245" s="88" t="str">
        <x:v>CTA-LCSW-MQB-0244</x:v>
      </x:c>
      <x:c r="B245" s="83" t="str">
        <x:v>LCSW-MQB-FA-AP-001</x:v>
      </x:c>
      <x:c r="C245" s="83" t="str">
        <x:v>LCSW 2026 Comprehensive Simulation Form A</x:v>
      </x:c>
      <x:c r="D245" s="83" t="n">
        <x:v>40</x:v>
      </x:c>
      <x:c r="E245" s="83" t="str">
        <x:v>Scored-Style</x:v>
      </x:c>
      <x:c r="F245" s="83" t="str">
        <x:v>II. Assessment and Planning</x:v>
      </x:c>
      <x:c r="G245" s="83" t="str">
        <x:v>Mental status orientation</x:v>
      </x:c>
      <x:c r="H245" s="83" t="str">
        <x:v>Easy</x:v>
      </x:c>
      <x:c r="I245" s="83" t="str">
        <x:v>Knowledge &amp; Recall</x:v>
      </x:c>
      <x:c r="J245" s="83" t="n">
        <x:v>3</x:v>
      </x:c>
      <x:c r="K245" s="83" t="str">
        <x:v>A</x:v>
      </x:c>
      <x:c r="L245" s="83" t="n">
        <x:v>1</x:v>
      </x:c>
      <x:c r="M245" s="83" t="str">
        <x:v>LCSW-ALT-001</x:v>
      </x:c>
      <x:c r="N245" s="83" t="str">
        <x:v>Released</x:v>
      </x:c>
      <x:c r="O245" s="89" t="str">
        <x:v>Form A only; paired alternate retained on the other comprehensive form</x:v>
      </x:c>
    </x:row>
    <x:row r="246">
      <x:c r="A246" s="88" t="str">
        <x:v>CTA-LCSW-MQB-0245</x:v>
      </x:c>
      <x:c r="B246" s="83" t="str">
        <x:v>LCSW-MQB-FA-IP-036</x:v>
      </x:c>
      <x:c r="C246" s="83" t="str">
        <x:v>LCSW 2026 Comprehensive Simulation Form A</x:v>
      </x:c>
      <x:c r="D246" s="83" t="n">
        <x:v>41</x:v>
      </x:c>
      <x:c r="E246" s="83" t="str">
        <x:v>Scored-Style</x:v>
      </x:c>
      <x:c r="F246" s="83" t="str">
        <x:v>III. Intervention and Practice</x:v>
      </x:c>
      <x:c r="G246" s="83" t="str">
        <x:v>Evidence, culture, and preference</x:v>
      </x:c>
      <x:c r="H246" s="83" t="str">
        <x:v>Difficult</x:v>
      </x:c>
      <x:c r="I246" s="83" t="str">
        <x:v>Integrated Clinical Reasoning</x:v>
      </x:c>
      <x:c r="J246" s="83" t="n">
        <x:v>4</x:v>
      </x:c>
      <x:c r="K246" s="83" t="str">
        <x:v>B</x:v>
      </x:c>
      <x:c r="L246" s="83" t="n">
        <x:v>1</x:v>
      </x:c>
      <x:c r="M246" s="83" t="str">
        <x:v>LCSW-ALT-075</x:v>
      </x:c>
      <x:c r="N246" s="83" t="str">
        <x:v>Released</x:v>
      </x:c>
      <x:c r="O246" s="89" t="str">
        <x:v>Form A only; paired alternate retained on the other comprehensive form</x:v>
      </x:c>
    </x:row>
    <x:row r="247">
      <x:c r="A247" s="88" t="str">
        <x:v>CTA-LCSW-MQB-0246</x:v>
      </x:c>
      <x:c r="B247" s="83" t="str">
        <x:v>LCSW-MQB-FA-VE-008</x:v>
      </x:c>
      <x:c r="C247" s="83" t="str">
        <x:v>LCSW 2026 Comprehensive Simulation Form A</x:v>
      </x:c>
      <x:c r="D247" s="83" t="n">
        <x:v>42</x:v>
      </x:c>
      <x:c r="E247" s="83" t="str">
        <x:v>Scored-Style</x:v>
      </x:c>
      <x:c r="F247" s="83" t="str">
        <x:v>I. Values and Ethics</x:v>
      </x:c>
      <x:c r="G247" s="83" t="str">
        <x:v>Gift boundaries</x:v>
      </x:c>
      <x:c r="H247" s="83" t="str">
        <x:v>Easy</x:v>
      </x:c>
      <x:c r="I247" s="83" t="str">
        <x:v>Application</x:v>
      </x:c>
      <x:c r="J247" s="83" t="n">
        <x:v>3</x:v>
      </x:c>
      <x:c r="K247" s="83" t="str">
        <x:v>A</x:v>
      </x:c>
      <x:c r="L247" s="83" t="n">
        <x:v>1</x:v>
      </x:c>
      <x:c r="M247" s="83" t="str">
        <x:v>LCSW-ALT-086</x:v>
      </x:c>
      <x:c r="N247" s="83" t="str">
        <x:v>Released</x:v>
      </x:c>
      <x:c r="O247" s="89" t="str">
        <x:v>Form A only; paired alternate retained on the other comprehensive form</x:v>
      </x:c>
    </x:row>
    <x:row r="248">
      <x:c r="A248" s="88" t="str">
        <x:v>CTA-LCSW-MQB-0247</x:v>
      </x:c>
      <x:c r="B248" s="83" t="str">
        <x:v>LCSW-MQB-FA-AP-028</x:v>
      </x:c>
      <x:c r="C248" s="83" t="str">
        <x:v>LCSW 2026 Comprehensive Simulation Form A</x:v>
      </x:c>
      <x:c r="D248" s="83" t="n">
        <x:v>43</x:v>
      </x:c>
      <x:c r="E248" s="83" t="str">
        <x:v>Scored-Style</x:v>
      </x:c>
      <x:c r="F248" s="83" t="str">
        <x:v>II. Assessment and Planning</x:v>
      </x:c>
      <x:c r="G248" s="83" t="str">
        <x:v>Eating-disorder medical risk</x:v>
      </x:c>
      <x:c r="H248" s="83" t="str">
        <x:v>Moderate</x:v>
      </x:c>
      <x:c r="I248" s="83" t="str">
        <x:v>Scenario-Based</x:v>
      </x:c>
      <x:c r="J248" s="83" t="n">
        <x:v>4</x:v>
      </x:c>
      <x:c r="K248" s="83" t="str">
        <x:v>C</x:v>
      </x:c>
      <x:c r="L248" s="83" t="n">
        <x:v>1</x:v>
      </x:c>
      <x:c r="M248" s="83" t="str">
        <x:v>LCSW-ALT-028</x:v>
      </x:c>
      <x:c r="N248" s="83" t="str">
        <x:v>Released</x:v>
      </x:c>
      <x:c r="O248" s="89" t="str">
        <x:v>Form A only; paired alternate retained on the other comprehensive form</x:v>
      </x:c>
    </x:row>
    <x:row r="249">
      <x:c r="A249" s="88" t="str">
        <x:v>CTA-LCSW-MQB-0248</x:v>
      </x:c>
      <x:c r="B249" s="83" t="str">
        <x:v>LCSW-MQB-FA-VE-015</x:v>
      </x:c>
      <x:c r="C249" s="83" t="str">
        <x:v>LCSW 2026 Comprehensive Simulation Form A</x:v>
      </x:c>
      <x:c r="D249" s="83" t="n">
        <x:v>44</x:v>
      </x:c>
      <x:c r="E249" s="83" t="str">
        <x:v>Scored-Style</x:v>
      </x:c>
      <x:c r="F249" s="83" t="str">
        <x:v>I. Values and Ethics</x:v>
      </x:c>
      <x:c r="G249" s="83" t="str">
        <x:v>Fee transparency</x:v>
      </x:c>
      <x:c r="H249" s="83" t="str">
        <x:v>Moderate</x:v>
      </x:c>
      <x:c r="I249" s="83" t="str">
        <x:v>Application</x:v>
      </x:c>
      <x:c r="J249" s="83" t="n">
        <x:v>3</x:v>
      </x:c>
      <x:c r="K249" s="83" t="str">
        <x:v>C</x:v>
      </x:c>
      <x:c r="L249" s="83" t="n">
        <x:v>1</x:v>
      </x:c>
      <x:c r="M249" s="83" t="str">
        <x:v>LCSW-ALT-093</x:v>
      </x:c>
      <x:c r="N249" s="83" t="str">
        <x:v>Released</x:v>
      </x:c>
      <x:c r="O249" s="89" t="str">
        <x:v>Form A only; paired alternate retained on the other comprehensive form</x:v>
      </x:c>
    </x:row>
    <x:row r="250">
      <x:c r="A250" s="88" t="str">
        <x:v>CTA-LCSW-MQB-0249</x:v>
      </x:c>
      <x:c r="B250" s="83" t="str">
        <x:v>LCSW-MQB-FA-AP-010</x:v>
      </x:c>
      <x:c r="C250" s="83" t="str">
        <x:v>LCSW 2026 Comprehensive Simulation Form A</x:v>
      </x:c>
      <x:c r="D250" s="83" t="n">
        <x:v>45</x:v>
      </x:c>
      <x:c r="E250" s="83" t="str">
        <x:v>Scored-Style</x:v>
      </x:c>
      <x:c r="F250" s="83" t="str">
        <x:v>II. Assessment and Planning</x:v>
      </x:c>
      <x:c r="G250" s="83" t="str">
        <x:v>Strengths assessment</x:v>
      </x:c>
      <x:c r="H250" s="83" t="str">
        <x:v>Easy</x:v>
      </x:c>
      <x:c r="I250" s="83" t="str">
        <x:v>Application</x:v>
      </x:c>
      <x:c r="J250" s="83" t="n">
        <x:v>3</x:v>
      </x:c>
      <x:c r="K250" s="83" t="str">
        <x:v>A</x:v>
      </x:c>
      <x:c r="L250" s="83" t="n">
        <x:v>1</x:v>
      </x:c>
      <x:c r="M250" s="83" t="str">
        <x:v>LCSW-ALT-010</x:v>
      </x:c>
      <x:c r="N250" s="83" t="str">
        <x:v>Released</x:v>
      </x:c>
      <x:c r="O250" s="89" t="str">
        <x:v>Form A only; paired alternate retained on the other comprehensive form</x:v>
      </x:c>
    </x:row>
    <x:row r="251">
      <x:c r="A251" s="88" t="str">
        <x:v>CTA-LCSW-MQB-0250</x:v>
      </x:c>
      <x:c r="B251" s="83" t="str">
        <x:v>LCSW-MQB-FA-IP-019</x:v>
      </x:c>
      <x:c r="C251" s="83" t="str">
        <x:v>LCSW 2026 Comprehensive Simulation Form A</x:v>
      </x:c>
      <x:c r="D251" s="83" t="n">
        <x:v>46</x:v>
      </x:c>
      <x:c r="E251" s="83" t="str">
        <x:v>Scored-Style</x:v>
      </x:c>
      <x:c r="F251" s="83" t="str">
        <x:v>III. Intervention and Practice</x:v>
      </x:c>
      <x:c r="G251" s="83" t="str">
        <x:v>Crisis de-escalation</x:v>
      </x:c>
      <x:c r="H251" s="83" t="str">
        <x:v>Moderate</x:v>
      </x:c>
      <x:c r="I251" s="83" t="str">
        <x:v>Scenario-Based</x:v>
      </x:c>
      <x:c r="J251" s="83" t="n">
        <x:v>3</x:v>
      </x:c>
      <x:c r="K251" s="83" t="str">
        <x:v>A</x:v>
      </x:c>
      <x:c r="L251" s="83" t="n">
        <x:v>1</x:v>
      </x:c>
      <x:c r="M251" s="83" t="str">
        <x:v>LCSW-ALT-058</x:v>
      </x:c>
      <x:c r="N251" s="83" t="str">
        <x:v>Released</x:v>
      </x:c>
      <x:c r="O251" s="89" t="str">
        <x:v>Form A only; paired alternate retained on the other comprehensive form</x:v>
      </x:c>
    </x:row>
    <x:row r="252">
      <x:c r="A252" s="88" t="str">
        <x:v>CTA-LCSW-MQB-0251</x:v>
      </x:c>
      <x:c r="B252" s="83" t="str">
        <x:v>LCSW-MQB-FA-IP-024</x:v>
      </x:c>
      <x:c r="C252" s="83" t="str">
        <x:v>LCSW 2026 Comprehensive Simulation Form A</x:v>
      </x:c>
      <x:c r="D252" s="83" t="n">
        <x:v>47</x:v>
      </x:c>
      <x:c r="E252" s="83" t="str">
        <x:v>Scored-Style</x:v>
      </x:c>
      <x:c r="F252" s="83" t="str">
        <x:v>III. Intervention and Practice</x:v>
      </x:c>
      <x:c r="G252" s="83" t="str">
        <x:v>Trauma exposure pacing</x:v>
      </x:c>
      <x:c r="H252" s="83" t="str">
        <x:v>Moderate</x:v>
      </x:c>
      <x:c r="I252" s="83" t="str">
        <x:v>Scenario-Based</x:v>
      </x:c>
      <x:c r="J252" s="83" t="n">
        <x:v>4</x:v>
      </x:c>
      <x:c r="K252" s="83" t="str">
        <x:v>B</x:v>
      </x:c>
      <x:c r="L252" s="83" t="n">
        <x:v>1</x:v>
      </x:c>
      <x:c r="M252" s="83" t="str">
        <x:v>LCSW-ALT-063</x:v>
      </x:c>
      <x:c r="N252" s="83" t="str">
        <x:v>Released</x:v>
      </x:c>
      <x:c r="O252" s="89" t="str">
        <x:v>Form A only; paired alternate retained on the other comprehensive form</x:v>
      </x:c>
    </x:row>
    <x:row r="253">
      <x:c r="A253" s="88" t="str">
        <x:v>CTA-LCSW-MQB-0252</x:v>
      </x:c>
      <x:c r="B253" s="83" t="str">
        <x:v>LCSW-MQB-FA-AP-024</x:v>
      </x:c>
      <x:c r="C253" s="83" t="str">
        <x:v>LCSW 2026 Comprehensive Simulation Form A</x:v>
      </x:c>
      <x:c r="D253" s="83" t="n">
        <x:v>48</x:v>
      </x:c>
      <x:c r="E253" s="83" t="str">
        <x:v>Scored-Style</x:v>
      </x:c>
      <x:c r="F253" s="83" t="str">
        <x:v>II. Assessment and Planning</x:v>
      </x:c>
      <x:c r="G253" s="83" t="str">
        <x:v>Domestic violence assessment</x:v>
      </x:c>
      <x:c r="H253" s="83" t="str">
        <x:v>Moderate</x:v>
      </x:c>
      <x:c r="I253" s="83" t="str">
        <x:v>Scenario-Based</x:v>
      </x:c>
      <x:c r="J253" s="83" t="n">
        <x:v>3</x:v>
      </x:c>
      <x:c r="K253" s="83" t="str">
        <x:v>A</x:v>
      </x:c>
      <x:c r="L253" s="83" t="n">
        <x:v>1</x:v>
      </x:c>
      <x:c r="M253" s="83" t="str">
        <x:v>LCSW-ALT-024</x:v>
      </x:c>
      <x:c r="N253" s="83" t="str">
        <x:v>Released</x:v>
      </x:c>
      <x:c r="O253" s="89" t="str">
        <x:v>Form A only; paired alternate retained on the other comprehensive form</x:v>
      </x:c>
    </x:row>
    <x:row r="254">
      <x:c r="A254" s="88" t="str">
        <x:v>CTA-LCSW-MQB-0253</x:v>
      </x:c>
      <x:c r="B254" s="83" t="str">
        <x:v>LCSW-MQB-FA-VE-001</x:v>
      </x:c>
      <x:c r="C254" s="83" t="str">
        <x:v>LCSW 2026 Comprehensive Simulation Form A</x:v>
      </x:c>
      <x:c r="D254" s="83" t="n">
        <x:v>49</x:v>
      </x:c>
      <x:c r="E254" s="83" t="str">
        <x:v>Pretest-Style</x:v>
      </x:c>
      <x:c r="F254" s="83" t="str">
        <x:v>I. Values and Ethics</x:v>
      </x:c>
      <x:c r="G254" s="83" t="str">
        <x:v>Self-determination</x:v>
      </x:c>
      <x:c r="H254" s="83" t="str">
        <x:v>Easy</x:v>
      </x:c>
      <x:c r="I254" s="83" t="str">
        <x:v>Knowledge &amp; Recall</x:v>
      </x:c>
      <x:c r="J254" s="83" t="n">
        <x:v>3</x:v>
      </x:c>
      <x:c r="K254" s="83" t="str">
        <x:v>B</x:v>
      </x:c>
      <x:c r="L254" s="83" t="n">
        <x:v>1</x:v>
      </x:c>
      <x:c r="M254" s="83" t="str">
        <x:v>LCSW-ALT-079</x:v>
      </x:c>
      <x:c r="N254" s="83" t="str">
        <x:v>Released</x:v>
      </x:c>
      <x:c r="O254" s="89" t="str">
        <x:v>Form A only; paired alternate retained on the other comprehensive form</x:v>
      </x:c>
    </x:row>
    <x:row r="255">
      <x:c r="A255" s="88" t="str">
        <x:v>CTA-LCSW-MQB-0254</x:v>
      </x:c>
      <x:c r="B255" s="83" t="str">
        <x:v>LCSW-MQB-FA-VE-003</x:v>
      </x:c>
      <x:c r="C255" s="83" t="str">
        <x:v>LCSW 2026 Comprehensive Simulation Form A</x:v>
      </x:c>
      <x:c r="D255" s="83" t="n">
        <x:v>50</x:v>
      </x:c>
      <x:c r="E255" s="83" t="str">
        <x:v>Scored-Style</x:v>
      </x:c>
      <x:c r="F255" s="83" t="str">
        <x:v>I. Values and Ethics</x:v>
      </x:c>
      <x:c r="G255" s="83" t="str">
        <x:v>Confidentiality and privilege</x:v>
      </x:c>
      <x:c r="H255" s="83" t="str">
        <x:v>Easy</x:v>
      </x:c>
      <x:c r="I255" s="83" t="str">
        <x:v>Knowledge &amp; Recall</x:v>
      </x:c>
      <x:c r="J255" s="83" t="n">
        <x:v>3</x:v>
      </x:c>
      <x:c r="K255" s="83" t="str">
        <x:v>A</x:v>
      </x:c>
      <x:c r="L255" s="83" t="n">
        <x:v>1</x:v>
      </x:c>
      <x:c r="M255" s="83" t="str">
        <x:v>LCSW-ALT-081</x:v>
      </x:c>
      <x:c r="N255" s="83" t="str">
        <x:v>Released</x:v>
      </x:c>
      <x:c r="O255" s="89" t="str">
        <x:v>Form A only; paired alternate retained on the other comprehensive form</x:v>
      </x:c>
    </x:row>
    <x:row r="256">
      <x:c r="A256" s="88" t="str">
        <x:v>CTA-LCSW-MQB-0255</x:v>
      </x:c>
      <x:c r="B256" s="83" t="str">
        <x:v>LCSW-MQB-FA-IP-020</x:v>
      </x:c>
      <x:c r="C256" s="83" t="str">
        <x:v>LCSW 2026 Comprehensive Simulation Form A</x:v>
      </x:c>
      <x:c r="D256" s="83" t="n">
        <x:v>51</x:v>
      </x:c>
      <x:c r="E256" s="83" t="str">
        <x:v>Scored-Style</x:v>
      </x:c>
      <x:c r="F256" s="83" t="str">
        <x:v>III. Intervention and Practice</x:v>
      </x:c>
      <x:c r="G256" s="83" t="str">
        <x:v>Suicide intervention</x:v>
      </x:c>
      <x:c r="H256" s="83" t="str">
        <x:v>Moderate</x:v>
      </x:c>
      <x:c r="I256" s="83" t="str">
        <x:v>Scenario-Based</x:v>
      </x:c>
      <x:c r="J256" s="83" t="n">
        <x:v>3</x:v>
      </x:c>
      <x:c r="K256" s="83" t="str">
        <x:v>C</x:v>
      </x:c>
      <x:c r="L256" s="83" t="n">
        <x:v>1</x:v>
      </x:c>
      <x:c r="M256" s="83" t="str">
        <x:v>LCSW-ALT-059</x:v>
      </x:c>
      <x:c r="N256" s="83" t="str">
        <x:v>Released</x:v>
      </x:c>
      <x:c r="O256" s="89" t="str">
        <x:v>Form A only; paired alternate retained on the other comprehensive form</x:v>
      </x:c>
    </x:row>
    <x:row r="257">
      <x:c r="A257" s="88" t="str">
        <x:v>CTA-LCSW-MQB-0256</x:v>
      </x:c>
      <x:c r="B257" s="83" t="str">
        <x:v>LCSW-MQB-FA-VE-007</x:v>
      </x:c>
      <x:c r="C257" s="83" t="str">
        <x:v>LCSW 2026 Comprehensive Simulation Form A</x:v>
      </x:c>
      <x:c r="D257" s="83" t="n">
        <x:v>52</x:v>
      </x:c>
      <x:c r="E257" s="83" t="str">
        <x:v>Scored-Style</x:v>
      </x:c>
      <x:c r="F257" s="83" t="str">
        <x:v>I. Values and Ethics</x:v>
      </x:c>
      <x:c r="G257" s="83" t="str">
        <x:v>Language access</x:v>
      </x:c>
      <x:c r="H257" s="83" t="str">
        <x:v>Easy</x:v>
      </x:c>
      <x:c r="I257" s="83" t="str">
        <x:v>Application</x:v>
      </x:c>
      <x:c r="J257" s="83" t="n">
        <x:v>3</x:v>
      </x:c>
      <x:c r="K257" s="83" t="str">
        <x:v>B</x:v>
      </x:c>
      <x:c r="L257" s="83" t="n">
        <x:v>1</x:v>
      </x:c>
      <x:c r="M257" s="83" t="str">
        <x:v>LCSW-ALT-085</x:v>
      </x:c>
      <x:c r="N257" s="83" t="str">
        <x:v>Released</x:v>
      </x:c>
      <x:c r="O257" s="89" t="str">
        <x:v>Form A only; paired alternate retained on the other comprehensive form</x:v>
      </x:c>
    </x:row>
    <x:row r="258">
      <x:c r="A258" s="88" t="str">
        <x:v>CTA-LCSW-MQB-0257</x:v>
      </x:c>
      <x:c r="B258" s="83" t="str">
        <x:v>LCSW-MQB-FA-IP-038</x:v>
      </x:c>
      <x:c r="C258" s="83" t="str">
        <x:v>LCSW 2026 Comprehensive Simulation Form A</x:v>
      </x:c>
      <x:c r="D258" s="83" t="n">
        <x:v>53</x:v>
      </x:c>
      <x:c r="E258" s="83" t="str">
        <x:v>Scored-Style</x:v>
      </x:c>
      <x:c r="F258" s="83" t="str">
        <x:v>III. Intervention and Practice</x:v>
      </x:c>
      <x:c r="G258" s="83" t="str">
        <x:v>Interdisciplinary disagreement and autonomy</x:v>
      </x:c>
      <x:c r="H258" s="83" t="str">
        <x:v>Difficult</x:v>
      </x:c>
      <x:c r="I258" s="83" t="str">
        <x:v>Integrated Clinical Reasoning</x:v>
      </x:c>
      <x:c r="J258" s="83" t="n">
        <x:v>4</x:v>
      </x:c>
      <x:c r="K258" s="83" t="str">
        <x:v>A</x:v>
      </x:c>
      <x:c r="L258" s="83" t="n">
        <x:v>1</x:v>
      </x:c>
      <x:c r="M258" s="83" t="str">
        <x:v>LCSW-ALT-077</x:v>
      </x:c>
      <x:c r="N258" s="83" t="str">
        <x:v>Released</x:v>
      </x:c>
      <x:c r="O258" s="89" t="str">
        <x:v>Form A only; paired alternate retained on the other comprehensive form</x:v>
      </x:c>
    </x:row>
    <x:row r="259">
      <x:c r="A259" s="88" t="str">
        <x:v>CTA-LCSW-MQB-0258</x:v>
      </x:c>
      <x:c r="B259" s="83" t="str">
        <x:v>LCSW-MQB-FA-VE-006</x:v>
      </x:c>
      <x:c r="C259" s="83" t="str">
        <x:v>LCSW 2026 Comprehensive Simulation Form A</x:v>
      </x:c>
      <x:c r="D259" s="83" t="n">
        <x:v>54</x:v>
      </x:c>
      <x:c r="E259" s="83" t="str">
        <x:v>Scored-Style</x:v>
      </x:c>
      <x:c r="F259" s="83" t="str">
        <x:v>I. Values and Ethics</x:v>
      </x:c>
      <x:c r="G259" s="83" t="str">
        <x:v>Client-defined goals</x:v>
      </x:c>
      <x:c r="H259" s="83" t="str">
        <x:v>Easy</x:v>
      </x:c>
      <x:c r="I259" s="83" t="str">
        <x:v>Application</x:v>
      </x:c>
      <x:c r="J259" s="83" t="n">
        <x:v>3</x:v>
      </x:c>
      <x:c r="K259" s="83" t="str">
        <x:v>C</x:v>
      </x:c>
      <x:c r="L259" s="83" t="n">
        <x:v>1</x:v>
      </x:c>
      <x:c r="M259" s="83" t="str">
        <x:v>LCSW-ALT-084</x:v>
      </x:c>
      <x:c r="N259" s="83" t="str">
        <x:v>Released</x:v>
      </x:c>
      <x:c r="O259" s="89" t="str">
        <x:v>Form A only; paired alternate retained on the other comprehensive form</x:v>
      </x:c>
    </x:row>
    <x:row r="260">
      <x:c r="A260" s="88" t="str">
        <x:v>CTA-LCSW-MQB-0259</x:v>
      </x:c>
      <x:c r="B260" s="83" t="str">
        <x:v>LCSW-MQB-FA-VE-026</x:v>
      </x:c>
      <x:c r="C260" s="83" t="str">
        <x:v>LCSW 2026 Comprehensive Simulation Form A</x:v>
      </x:c>
      <x:c r="D260" s="83" t="n">
        <x:v>55</x:v>
      </x:c>
      <x:c r="E260" s="83" t="str">
        <x:v>Scored-Style</x:v>
      </x:c>
      <x:c r="F260" s="83" t="str">
        <x:v>I. Values and Ethics</x:v>
      </x:c>
      <x:c r="G260" s="83" t="str">
        <x:v>Confidential message</x:v>
      </x:c>
      <x:c r="H260" s="83" t="str">
        <x:v>Moderate</x:v>
      </x:c>
      <x:c r="I260" s="83" t="str">
        <x:v>Scenario-Based</x:v>
      </x:c>
      <x:c r="J260" s="83" t="n">
        <x:v>3</x:v>
      </x:c>
      <x:c r="K260" s="83" t="str">
        <x:v>B</x:v>
      </x:c>
      <x:c r="L260" s="83" t="n">
        <x:v>1</x:v>
      </x:c>
      <x:c r="M260" s="83" t="str">
        <x:v>LCSW-ALT-104</x:v>
      </x:c>
      <x:c r="N260" s="83" t="str">
        <x:v>Released</x:v>
      </x:c>
      <x:c r="O260" s="89" t="str">
        <x:v>Form A only; paired alternate retained on the other comprehensive form</x:v>
      </x:c>
    </x:row>
    <x:row r="261">
      <x:c r="A261" s="88" t="str">
        <x:v>CTA-LCSW-MQB-0260</x:v>
      </x:c>
      <x:c r="B261" s="83" t="str">
        <x:v>LCSW-MQB-FA-AP-023</x:v>
      </x:c>
      <x:c r="C261" s="83" t="str">
        <x:v>LCSW 2026 Comprehensive Simulation Form A</x:v>
      </x:c>
      <x:c r="D261" s="83" t="n">
        <x:v>56</x:v>
      </x:c>
      <x:c r="E261" s="83" t="str">
        <x:v>Scored-Style</x:v>
      </x:c>
      <x:c r="F261" s="83" t="str">
        <x:v>II. Assessment and Planning</x:v>
      </x:c>
      <x:c r="G261" s="83" t="str">
        <x:v>Child abuse concern</x:v>
      </x:c>
      <x:c r="H261" s="83" t="str">
        <x:v>Moderate</x:v>
      </x:c>
      <x:c r="I261" s="83" t="str">
        <x:v>Scenario-Based</x:v>
      </x:c>
      <x:c r="J261" s="83" t="n">
        <x:v>3</x:v>
      </x:c>
      <x:c r="K261" s="83" t="str">
        <x:v>C</x:v>
      </x:c>
      <x:c r="L261" s="83" t="n">
        <x:v>1</x:v>
      </x:c>
      <x:c r="M261" s="83" t="str">
        <x:v>LCSW-ALT-023</x:v>
      </x:c>
      <x:c r="N261" s="83" t="str">
        <x:v>Released</x:v>
      </x:c>
      <x:c r="O261" s="89" t="str">
        <x:v>Form A only; paired alternate retained on the other comprehensive form</x:v>
      </x:c>
    </x:row>
    <x:row r="262">
      <x:c r="A262" s="88" t="str">
        <x:v>CTA-LCSW-MQB-0261</x:v>
      </x:c>
      <x:c r="B262" s="83" t="str">
        <x:v>LCSW-MQB-FA-VE-017</x:v>
      </x:c>
      <x:c r="C262" s="83" t="str">
        <x:v>LCSW 2026 Comprehensive Simulation Form A</x:v>
      </x:c>
      <x:c r="D262" s="83" t="n">
        <x:v>57</x:v>
      </x:c>
      <x:c r="E262" s="83" t="str">
        <x:v>Scored-Style</x:v>
      </x:c>
      <x:c r="F262" s="83" t="str">
        <x:v>I. Values and Ethics</x:v>
      </x:c>
      <x:c r="G262" s="83" t="str">
        <x:v>Technology competence</x:v>
      </x:c>
      <x:c r="H262" s="83" t="str">
        <x:v>Moderate</x:v>
      </x:c>
      <x:c r="I262" s="83" t="str">
        <x:v>Application</x:v>
      </x:c>
      <x:c r="J262" s="83" t="n">
        <x:v>3</x:v>
      </x:c>
      <x:c r="K262" s="83" t="str">
        <x:v>B</x:v>
      </x:c>
      <x:c r="L262" s="83" t="n">
        <x:v>1</x:v>
      </x:c>
      <x:c r="M262" s="83" t="str">
        <x:v>LCSW-ALT-095</x:v>
      </x:c>
      <x:c r="N262" s="83" t="str">
        <x:v>Released</x:v>
      </x:c>
      <x:c r="O262" s="89" t="str">
        <x:v>Form A only; paired alternate retained on the other comprehensive form</x:v>
      </x:c>
    </x:row>
    <x:row r="263">
      <x:c r="A263" s="88" t="str">
        <x:v>CTA-LCSW-MQB-0262</x:v>
      </x:c>
      <x:c r="B263" s="83" t="str">
        <x:v>LCSW-MQB-FA-IP-033</x:v>
      </x:c>
      <x:c r="C263" s="83" t="str">
        <x:v>LCSW 2026 Comprehensive Simulation Form A</x:v>
      </x:c>
      <x:c r="D263" s="83" t="n">
        <x:v>58</x:v>
      </x:c>
      <x:c r="E263" s="83" t="str">
        <x:v>Scored-Style</x:v>
      </x:c>
      <x:c r="F263" s="83" t="str">
        <x:v>III. Intervention and Practice</x:v>
      </x:c>
      <x:c r="G263" s="83" t="str">
        <x:v>Termination after dropout</x:v>
      </x:c>
      <x:c r="H263" s="83" t="str">
        <x:v>Difficult</x:v>
      </x:c>
      <x:c r="I263" s="83" t="str">
        <x:v>Scenario-Based</x:v>
      </x:c>
      <x:c r="J263" s="83" t="n">
        <x:v>4</x:v>
      </x:c>
      <x:c r="K263" s="83" t="str">
        <x:v>A</x:v>
      </x:c>
      <x:c r="L263" s="83" t="n">
        <x:v>1</x:v>
      </x:c>
      <x:c r="M263" s="83" t="str">
        <x:v>LCSW-ALT-072</x:v>
      </x:c>
      <x:c r="N263" s="83" t="str">
        <x:v>Released</x:v>
      </x:c>
      <x:c r="O263" s="89" t="str">
        <x:v>Form A only; paired alternate retained on the other comprehensive form</x:v>
      </x:c>
    </x:row>
    <x:row r="264">
      <x:c r="A264" s="88" t="str">
        <x:v>CTA-LCSW-MQB-0263</x:v>
      </x:c>
      <x:c r="B264" s="83" t="str">
        <x:v>LCSW-MQB-FA-IP-023</x:v>
      </x:c>
      <x:c r="C264" s="83" t="str">
        <x:v>LCSW 2026 Comprehensive Simulation Form A</x:v>
      </x:c>
      <x:c r="D264" s="83" t="n">
        <x:v>59</x:v>
      </x:c>
      <x:c r="E264" s="83" t="str">
        <x:v>Pretest-Style</x:v>
      </x:c>
      <x:c r="F264" s="83" t="str">
        <x:v>III. Intervention and Practice</x:v>
      </x:c>
      <x:c r="G264" s="83" t="str">
        <x:v>Substance harm reduction</x:v>
      </x:c>
      <x:c r="H264" s="83" t="str">
        <x:v>Moderate</x:v>
      </x:c>
      <x:c r="I264" s="83" t="str">
        <x:v>Scenario-Based</x:v>
      </x:c>
      <x:c r="J264" s="83" t="n">
        <x:v>4</x:v>
      </x:c>
      <x:c r="K264" s="83" t="str">
        <x:v>B</x:v>
      </x:c>
      <x:c r="L264" s="83" t="n">
        <x:v>1</x:v>
      </x:c>
      <x:c r="M264" s="83" t="str">
        <x:v>LCSW-ALT-062</x:v>
      </x:c>
      <x:c r="N264" s="83" t="str">
        <x:v>Released</x:v>
      </x:c>
      <x:c r="O264" s="89" t="str">
        <x:v>Form A only; paired alternate retained on the other comprehensive form</x:v>
      </x:c>
    </x:row>
    <x:row r="265">
      <x:c r="A265" s="88" t="str">
        <x:v>CTA-LCSW-MQB-0264</x:v>
      </x:c>
      <x:c r="B265" s="83" t="str">
        <x:v>LCSW-MQB-FA-AP-022</x:v>
      </x:c>
      <x:c r="C265" s="83" t="str">
        <x:v>LCSW 2026 Comprehensive Simulation Form A</x:v>
      </x:c>
      <x:c r="D265" s="83" t="n">
        <x:v>60</x:v>
      </x:c>
      <x:c r="E265" s="83" t="str">
        <x:v>Scored-Style</x:v>
      </x:c>
      <x:c r="F265" s="83" t="str">
        <x:v>II. Assessment and Planning</x:v>
      </x:c>
      <x:c r="G265" s="83" t="str">
        <x:v>Violence risk</x:v>
      </x:c>
      <x:c r="H265" s="83" t="str">
        <x:v>Moderate</x:v>
      </x:c>
      <x:c r="I265" s="83" t="str">
        <x:v>Scenario-Based</x:v>
      </x:c>
      <x:c r="J265" s="83" t="n">
        <x:v>3</x:v>
      </x:c>
      <x:c r="K265" s="83" t="str">
        <x:v>A</x:v>
      </x:c>
      <x:c r="L265" s="83" t="n">
        <x:v>1</x:v>
      </x:c>
      <x:c r="M265" s="83" t="str">
        <x:v>LCSW-ALT-022</x:v>
      </x:c>
      <x:c r="N265" s="83" t="str">
        <x:v>Released</x:v>
      </x:c>
      <x:c r="O265" s="89" t="str">
        <x:v>Form A only; paired alternate retained on the other comprehensive form</x:v>
      </x:c>
    </x:row>
    <x:row r="266">
      <x:c r="A266" s="88" t="str">
        <x:v>CTA-LCSW-MQB-0265</x:v>
      </x:c>
      <x:c r="B266" s="83" t="str">
        <x:v>LCSW-MQB-FA-IP-039</x:v>
      </x:c>
      <x:c r="C266" s="83" t="str">
        <x:v>LCSW 2026 Comprehensive Simulation Form A</x:v>
      </x:c>
      <x:c r="D266" s="83" t="n">
        <x:v>61</x:v>
      </x:c>
      <x:c r="E266" s="83" t="str">
        <x:v>Scored-Style</x:v>
      </x:c>
      <x:c r="F266" s="83" t="str">
        <x:v>III. Intervention and Practice</x:v>
      </x:c>
      <x:c r="G266" s="83" t="str">
        <x:v>Supervision, administration, and quality improvement</x:v>
      </x:c>
      <x:c r="H266" s="83" t="str">
        <x:v>Difficult</x:v>
      </x:c>
      <x:c r="I266" s="83" t="str">
        <x:v>Integrated Clinical Reasoning</x:v>
      </x:c>
      <x:c r="J266" s="83" t="n">
        <x:v>4</x:v>
      </x:c>
      <x:c r="K266" s="83" t="str">
        <x:v>C</x:v>
      </x:c>
      <x:c r="L266" s="83" t="n">
        <x:v>1</x:v>
      </x:c>
      <x:c r="M266" s="83" t="str">
        <x:v>LCSW-ALT-078</x:v>
      </x:c>
      <x:c r="N266" s="83" t="str">
        <x:v>Released</x:v>
      </x:c>
      <x:c r="O266" s="89" t="str">
        <x:v>Form A only; paired alternate retained on the other comprehensive form</x:v>
      </x:c>
    </x:row>
    <x:row r="267">
      <x:c r="A267" s="88" t="str">
        <x:v>CTA-LCSW-MQB-0266</x:v>
      </x:c>
      <x:c r="B267" s="83" t="str">
        <x:v>LCSW-MQB-FA-VE-022</x:v>
      </x:c>
      <x:c r="C267" s="83" t="str">
        <x:v>LCSW 2026 Comprehensive Simulation Form A</x:v>
      </x:c>
      <x:c r="D267" s="83" t="n">
        <x:v>62</x:v>
      </x:c>
      <x:c r="E267" s="83" t="str">
        <x:v>Scored-Style</x:v>
      </x:c>
      <x:c r="F267" s="83" t="str">
        <x:v>I. Values and Ethics</x:v>
      </x:c>
      <x:c r="G267" s="83" t="str">
        <x:v>Billing integrity</x:v>
      </x:c>
      <x:c r="H267" s="83" t="str">
        <x:v>Moderate</x:v>
      </x:c>
      <x:c r="I267" s="83" t="str">
        <x:v>Application</x:v>
      </x:c>
      <x:c r="J267" s="83" t="n">
        <x:v>3</x:v>
      </x:c>
      <x:c r="K267" s="83" t="str">
        <x:v>C</x:v>
      </x:c>
      <x:c r="L267" s="83" t="n">
        <x:v>1</x:v>
      </x:c>
      <x:c r="M267" s="83" t="str">
        <x:v>LCSW-ALT-100</x:v>
      </x:c>
      <x:c r="N267" s="83" t="str">
        <x:v>Released</x:v>
      </x:c>
      <x:c r="O267" s="89" t="str">
        <x:v>Form A only; paired alternate retained on the other comprehensive form</x:v>
      </x:c>
    </x:row>
    <x:row r="268">
      <x:c r="A268" s="88" t="str">
        <x:v>CTA-LCSW-MQB-0267</x:v>
      </x:c>
      <x:c r="B268" s="83" t="str">
        <x:v>LCSW-MQB-FA-AP-018</x:v>
      </x:c>
      <x:c r="C268" s="83" t="str">
        <x:v>LCSW 2026 Comprehensive Simulation Form A</x:v>
      </x:c>
      <x:c r="D268" s="83" t="n">
        <x:v>63</x:v>
      </x:c>
      <x:c r="E268" s="83" t="str">
        <x:v>Scored-Style</x:v>
      </x:c>
      <x:c r="F268" s="83" t="str">
        <x:v>II. Assessment and Planning</x:v>
      </x:c>
      <x:c r="G268" s="83" t="str">
        <x:v>Medical rule-out</x:v>
      </x:c>
      <x:c r="H268" s="83" t="str">
        <x:v>Moderate</x:v>
      </x:c>
      <x:c r="I268" s="83" t="str">
        <x:v>Application</x:v>
      </x:c>
      <x:c r="J268" s="83" t="n">
        <x:v>3</x:v>
      </x:c>
      <x:c r="K268" s="83" t="str">
        <x:v>A</x:v>
      </x:c>
      <x:c r="L268" s="83" t="n">
        <x:v>1</x:v>
      </x:c>
      <x:c r="M268" s="83" t="str">
        <x:v>LCSW-ALT-018</x:v>
      </x:c>
      <x:c r="N268" s="83" t="str">
        <x:v>Released</x:v>
      </x:c>
      <x:c r="O268" s="89" t="str">
        <x:v>Form A only; paired alternate retained on the other comprehensive form</x:v>
      </x:c>
    </x:row>
    <x:row r="269">
      <x:c r="A269" s="88" t="str">
        <x:v>CTA-LCSW-MQB-0268</x:v>
      </x:c>
      <x:c r="B269" s="83" t="str">
        <x:v>LCSW-MQB-FA-VE-018</x:v>
      </x:c>
      <x:c r="C269" s="83" t="str">
        <x:v>LCSW 2026 Comprehensive Simulation Form A</x:v>
      </x:c>
      <x:c r="D269" s="83" t="n">
        <x:v>64</x:v>
      </x:c>
      <x:c r="E269" s="83" t="str">
        <x:v>Scored-Style</x:v>
      </x:c>
      <x:c r="F269" s="83" t="str">
        <x:v>I. Values and Ethics</x:v>
      </x:c>
      <x:c r="G269" s="83" t="str">
        <x:v>Impairment and functioning</x:v>
      </x:c>
      <x:c r="H269" s="83" t="str">
        <x:v>Moderate</x:v>
      </x:c>
      <x:c r="I269" s="83" t="str">
        <x:v>Application</x:v>
      </x:c>
      <x:c r="J269" s="83" t="n">
        <x:v>3</x:v>
      </x:c>
      <x:c r="K269" s="83" t="str">
        <x:v>B</x:v>
      </x:c>
      <x:c r="L269" s="83" t="n">
        <x:v>1</x:v>
      </x:c>
      <x:c r="M269" s="83" t="str">
        <x:v>LCSW-ALT-096</x:v>
      </x:c>
      <x:c r="N269" s="83" t="str">
        <x:v>Released</x:v>
      </x:c>
      <x:c r="O269" s="89" t="str">
        <x:v>Form A only; paired alternate retained on the other comprehensive form</x:v>
      </x:c>
    </x:row>
    <x:row r="270">
      <x:c r="A270" s="88" t="str">
        <x:v>CTA-LCSW-MQB-0269</x:v>
      </x:c>
      <x:c r="B270" s="83" t="str">
        <x:v>LCSW-MQB-FA-VE-038</x:v>
      </x:c>
      <x:c r="C270" s="83" t="str">
        <x:v>LCSW 2026 Comprehensive Simulation Form A</x:v>
      </x:c>
      <x:c r="D270" s="83" t="n">
        <x:v>65</x:v>
      </x:c>
      <x:c r="E270" s="83" t="str">
        <x:v>Pretest-Style</x:v>
      </x:c>
      <x:c r="F270" s="83" t="str">
        <x:v>I. Values and Ethics</x:v>
      </x:c>
      <x:c r="G270" s="83" t="str">
        <x:v>Safety and confidentiality</x:v>
      </x:c>
      <x:c r="H270" s="83" t="str">
        <x:v>Difficult</x:v>
      </x:c>
      <x:c r="I270" s="83" t="str">
        <x:v>Integrated Clinical Reasoning</x:v>
      </x:c>
      <x:c r="J270" s="83" t="n">
        <x:v>4</x:v>
      </x:c>
      <x:c r="K270" s="83" t="str">
        <x:v>B</x:v>
      </x:c>
      <x:c r="L270" s="83" t="n">
        <x:v>1</x:v>
      </x:c>
      <x:c r="M270" s="83" t="str">
        <x:v>LCSW-ALT-116</x:v>
      </x:c>
      <x:c r="N270" s="83" t="str">
        <x:v>Released</x:v>
      </x:c>
      <x:c r="O270" s="89" t="str">
        <x:v>Form A only; paired alternate retained on the other comprehensive form</x:v>
      </x:c>
    </x:row>
    <x:row r="271">
      <x:c r="A271" s="88" t="str">
        <x:v>CTA-LCSW-MQB-0270</x:v>
      </x:c>
      <x:c r="B271" s="83" t="str">
        <x:v>LCSW-MQB-FA-IP-022</x:v>
      </x:c>
      <x:c r="C271" s="83" t="str">
        <x:v>LCSW 2026 Comprehensive Simulation Form A</x:v>
      </x:c>
      <x:c r="D271" s="83" t="n">
        <x:v>66</x:v>
      </x:c>
      <x:c r="E271" s="83" t="str">
        <x:v>Scored-Style</x:v>
      </x:c>
      <x:c r="F271" s="83" t="str">
        <x:v>III. Intervention and Practice</x:v>
      </x:c>
      <x:c r="G271" s="83" t="str">
        <x:v>Psychosis engagement</x:v>
      </x:c>
      <x:c r="H271" s="83" t="str">
        <x:v>Moderate</x:v>
      </x:c>
      <x:c r="I271" s="83" t="str">
        <x:v>Scenario-Based</x:v>
      </x:c>
      <x:c r="J271" s="83" t="n">
        <x:v>3</x:v>
      </x:c>
      <x:c r="K271" s="83" t="str">
        <x:v>A</x:v>
      </x:c>
      <x:c r="L271" s="83" t="n">
        <x:v>1</x:v>
      </x:c>
      <x:c r="M271" s="83" t="str">
        <x:v>LCSW-ALT-061</x:v>
      </x:c>
      <x:c r="N271" s="83" t="str">
        <x:v>Released</x:v>
      </x:c>
      <x:c r="O271" s="89" t="str">
        <x:v>Form A only; paired alternate retained on the other comprehensive form</x:v>
      </x:c>
    </x:row>
    <x:row r="272">
      <x:c r="A272" s="88" t="str">
        <x:v>CTA-LCSW-MQB-0271</x:v>
      </x:c>
      <x:c r="B272" s="83" t="str">
        <x:v>LCSW-MQB-FA-AP-029</x:v>
      </x:c>
      <x:c r="C272" s="83" t="str">
        <x:v>LCSW 2026 Comprehensive Simulation Form A</x:v>
      </x:c>
      <x:c r="D272" s="83" t="n">
        <x:v>67</x:v>
      </x:c>
      <x:c r="E272" s="83" t="str">
        <x:v>Scored-Style</x:v>
      </x:c>
      <x:c r="F272" s="83" t="str">
        <x:v>II. Assessment and Planning</x:v>
      </x:c>
      <x:c r="G272" s="83" t="str">
        <x:v>Older-adult exploitation</x:v>
      </x:c>
      <x:c r="H272" s="83" t="str">
        <x:v>Moderate</x:v>
      </x:c>
      <x:c r="I272" s="83" t="str">
        <x:v>Scenario-Based</x:v>
      </x:c>
      <x:c r="J272" s="83" t="n">
        <x:v>4</x:v>
      </x:c>
      <x:c r="K272" s="83" t="str">
        <x:v>A</x:v>
      </x:c>
      <x:c r="L272" s="83" t="n">
        <x:v>1</x:v>
      </x:c>
      <x:c r="M272" s="83" t="str">
        <x:v>LCSW-ALT-029</x:v>
      </x:c>
      <x:c r="N272" s="83" t="str">
        <x:v>Released</x:v>
      </x:c>
      <x:c r="O272" s="89" t="str">
        <x:v>Form A only; paired alternate retained on the other comprehensive form</x:v>
      </x:c>
    </x:row>
    <x:row r="273">
      <x:c r="A273" s="88" t="str">
        <x:v>CTA-LCSW-MQB-0272</x:v>
      </x:c>
      <x:c r="B273" s="83" t="str">
        <x:v>LCSW-MQB-FA-IP-021</x:v>
      </x:c>
      <x:c r="C273" s="83" t="str">
        <x:v>LCSW 2026 Comprehensive Simulation Form A</x:v>
      </x:c>
      <x:c r="D273" s="83" t="n">
        <x:v>68</x:v>
      </x:c>
      <x:c r="E273" s="83" t="str">
        <x:v>Scored-Style</x:v>
      </x:c>
      <x:c r="F273" s="83" t="str">
        <x:v>III. Intervention and Practice</x:v>
      </x:c>
      <x:c r="G273" s="83" t="str">
        <x:v>Domestic violence safety planning</x:v>
      </x:c>
      <x:c r="H273" s="83" t="str">
        <x:v>Moderate</x:v>
      </x:c>
      <x:c r="I273" s="83" t="str">
        <x:v>Scenario-Based</x:v>
      </x:c>
      <x:c r="J273" s="83" t="n">
        <x:v>3</x:v>
      </x:c>
      <x:c r="K273" s="83" t="str">
        <x:v>A</x:v>
      </x:c>
      <x:c r="L273" s="83" t="n">
        <x:v>1</x:v>
      </x:c>
      <x:c r="M273" s="83" t="str">
        <x:v>LCSW-ALT-060</x:v>
      </x:c>
      <x:c r="N273" s="83" t="str">
        <x:v>Released</x:v>
      </x:c>
      <x:c r="O273" s="89" t="str">
        <x:v>Form A only; paired alternate retained on the other comprehensive form</x:v>
      </x:c>
    </x:row>
    <x:row r="274">
      <x:c r="A274" s="88" t="str">
        <x:v>CTA-LCSW-MQB-0273</x:v>
      </x:c>
      <x:c r="B274" s="83" t="str">
        <x:v>LCSW-MQB-FA-AP-021</x:v>
      </x:c>
      <x:c r="C274" s="83" t="str">
        <x:v>LCSW 2026 Comprehensive Simulation Form A</x:v>
      </x:c>
      <x:c r="D274" s="83" t="n">
        <x:v>69</x:v>
      </x:c>
      <x:c r="E274" s="83" t="str">
        <x:v>Pretest-Style</x:v>
      </x:c>
      <x:c r="F274" s="83" t="str">
        <x:v>II. Assessment and Planning</x:v>
      </x:c>
      <x:c r="G274" s="83" t="str">
        <x:v>Suicide assessment sequence</x:v>
      </x:c>
      <x:c r="H274" s="83" t="str">
        <x:v>Moderate</x:v>
      </x:c>
      <x:c r="I274" s="83" t="str">
        <x:v>Scenario-Based</x:v>
      </x:c>
      <x:c r="J274" s="83" t="n">
        <x:v>3</x:v>
      </x:c>
      <x:c r="K274" s="83" t="str">
        <x:v>C</x:v>
      </x:c>
      <x:c r="L274" s="83" t="n">
        <x:v>1</x:v>
      </x:c>
      <x:c r="M274" s="83" t="str">
        <x:v>LCSW-ALT-021</x:v>
      </x:c>
      <x:c r="N274" s="83" t="str">
        <x:v>Released</x:v>
      </x:c>
      <x:c r="O274" s="89" t="str">
        <x:v>Form A only; paired alternate retained on the other comprehensive form</x:v>
      </x:c>
    </x:row>
    <x:row r="275">
      <x:c r="A275" s="88" t="str">
        <x:v>CTA-LCSW-MQB-0274</x:v>
      </x:c>
      <x:c r="B275" s="83" t="str">
        <x:v>LCSW-MQB-FA-VE-036</x:v>
      </x:c>
      <x:c r="C275" s="83" t="str">
        <x:v>LCSW 2026 Comprehensive Simulation Form A</x:v>
      </x:c>
      <x:c r="D275" s="83" t="n">
        <x:v>70</x:v>
      </x:c>
      <x:c r="E275" s="83" t="str">
        <x:v>Scored-Style</x:v>
      </x:c>
      <x:c r="F275" s="83" t="str">
        <x:v>I. Values and Ethics</x:v>
      </x:c>
      <x:c r="G275" s="83" t="str">
        <x:v>Client complaint</x:v>
      </x:c>
      <x:c r="H275" s="83" t="str">
        <x:v>Difficult</x:v>
      </x:c>
      <x:c r="I275" s="83" t="str">
        <x:v>Scenario-Based</x:v>
      </x:c>
      <x:c r="J275" s="83" t="n">
        <x:v>4</x:v>
      </x:c>
      <x:c r="K275" s="83" t="str">
        <x:v>B</x:v>
      </x:c>
      <x:c r="L275" s="83" t="n">
        <x:v>1</x:v>
      </x:c>
      <x:c r="M275" s="83" t="str">
        <x:v>LCSW-ALT-114</x:v>
      </x:c>
      <x:c r="N275" s="83" t="str">
        <x:v>Released</x:v>
      </x:c>
      <x:c r="O275" s="89" t="str">
        <x:v>Form A only; paired alternate retained on the other comprehensive form</x:v>
      </x:c>
    </x:row>
    <x:row r="276">
      <x:c r="A276" s="88" t="str">
        <x:v>CTA-LCSW-MQB-0275</x:v>
      </x:c>
      <x:c r="B276" s="83" t="str">
        <x:v>LCSW-MQB-FA-IP-003</x:v>
      </x:c>
      <x:c r="C276" s="83" t="str">
        <x:v>LCSW 2026 Comprehensive Simulation Form A</x:v>
      </x:c>
      <x:c r="D276" s="83" t="n">
        <x:v>71</x:v>
      </x:c>
      <x:c r="E276" s="83" t="str">
        <x:v>Pretest-Style</x:v>
      </x:c>
      <x:c r="F276" s="83" t="str">
        <x:v>III. Intervention and Practice</x:v>
      </x:c>
      <x:c r="G276" s="83" t="str">
        <x:v>Reflective listening</x:v>
      </x:c>
      <x:c r="H276" s="83" t="str">
        <x:v>Easy</x:v>
      </x:c>
      <x:c r="I276" s="83" t="str">
        <x:v>Application</x:v>
      </x:c>
      <x:c r="J276" s="83" t="n">
        <x:v>3</x:v>
      </x:c>
      <x:c r="K276" s="83" t="str">
        <x:v>A</x:v>
      </x:c>
      <x:c r="L276" s="83" t="n">
        <x:v>1</x:v>
      </x:c>
      <x:c r="M276" s="83" t="str">
        <x:v>LCSW-ALT-042</x:v>
      </x:c>
      <x:c r="N276" s="83" t="str">
        <x:v>Released</x:v>
      </x:c>
      <x:c r="O276" s="89" t="str">
        <x:v>Form A only; paired alternate retained on the other comprehensive form</x:v>
      </x:c>
    </x:row>
    <x:row r="277">
      <x:c r="A277" s="88" t="str">
        <x:v>CTA-LCSW-MQB-0276</x:v>
      </x:c>
      <x:c r="B277" s="83" t="str">
        <x:v>LCSW-MQB-FA-AP-008</x:v>
      </x:c>
      <x:c r="C277" s="83" t="str">
        <x:v>LCSW 2026 Comprehensive Simulation Form A</x:v>
      </x:c>
      <x:c r="D277" s="83" t="n">
        <x:v>72</x:v>
      </x:c>
      <x:c r="E277" s="83" t="str">
        <x:v>Scored-Style</x:v>
      </x:c>
      <x:c r="F277" s="83" t="str">
        <x:v>II. Assessment and Planning</x:v>
      </x:c>
      <x:c r="G277" s="83" t="str">
        <x:v>Medication timing</x:v>
      </x:c>
      <x:c r="H277" s="83" t="str">
        <x:v>Easy</x:v>
      </x:c>
      <x:c r="I277" s="83" t="str">
        <x:v>Application</x:v>
      </x:c>
      <x:c r="J277" s="83" t="n">
        <x:v>3</x:v>
      </x:c>
      <x:c r="K277" s="83" t="str">
        <x:v>C</x:v>
      </x:c>
      <x:c r="L277" s="83" t="n">
        <x:v>1</x:v>
      </x:c>
      <x:c r="M277" s="83" t="str">
        <x:v>LCSW-ALT-008</x:v>
      </x:c>
      <x:c r="N277" s="83" t="str">
        <x:v>Released</x:v>
      </x:c>
      <x:c r="O277" s="89" t="str">
        <x:v>Form A only; paired alternate retained on the other comprehensive form</x:v>
      </x:c>
    </x:row>
    <x:row r="278">
      <x:c r="A278" s="88" t="str">
        <x:v>CTA-LCSW-MQB-0277</x:v>
      </x:c>
      <x:c r="B278" s="83" t="str">
        <x:v>LCSW-MQB-FA-VE-004</x:v>
      </x:c>
      <x:c r="C278" s="83" t="str">
        <x:v>LCSW 2026 Comprehensive Simulation Form A</x:v>
      </x:c>
      <x:c r="D278" s="83" t="n">
        <x:v>73</x:v>
      </x:c>
      <x:c r="E278" s="83" t="str">
        <x:v>Scored-Style</x:v>
      </x:c>
      <x:c r="F278" s="83" t="str">
        <x:v>I. Values and Ethics</x:v>
      </x:c>
      <x:c r="G278" s="83" t="str">
        <x:v>Cultural humility</x:v>
      </x:c>
      <x:c r="H278" s="83" t="str">
        <x:v>Easy</x:v>
      </x:c>
      <x:c r="I278" s="83" t="str">
        <x:v>Knowledge &amp; Recall</x:v>
      </x:c>
      <x:c r="J278" s="83" t="n">
        <x:v>3</x:v>
      </x:c>
      <x:c r="K278" s="83" t="str">
        <x:v>B</x:v>
      </x:c>
      <x:c r="L278" s="83" t="n">
        <x:v>1</x:v>
      </x:c>
      <x:c r="M278" s="83" t="str">
        <x:v>LCSW-ALT-082</x:v>
      </x:c>
      <x:c r="N278" s="83" t="str">
        <x:v>Released</x:v>
      </x:c>
      <x:c r="O278" s="89" t="str">
        <x:v>Form A only; paired alternate retained on the other comprehensive form</x:v>
      </x:c>
    </x:row>
    <x:row r="279">
      <x:c r="A279" s="88" t="str">
        <x:v>CTA-LCSW-MQB-0278</x:v>
      </x:c>
      <x:c r="B279" s="83" t="str">
        <x:v>LCSW-MQB-FA-AP-038</x:v>
      </x:c>
      <x:c r="C279" s="83" t="str">
        <x:v>LCSW 2026 Comprehensive Simulation Form A</x:v>
      </x:c>
      <x:c r="D279" s="83" t="n">
        <x:v>74</x:v>
      </x:c>
      <x:c r="E279" s="83" t="str">
        <x:v>Scored-Style</x:v>
      </x:c>
      <x:c r="F279" s="83" t="str">
        <x:v>II. Assessment and Planning</x:v>
      </x:c>
      <x:c r="G279" s="83" t="str">
        <x:v>Capacity, autonomy, and exploitation</x:v>
      </x:c>
      <x:c r="H279" s="83" t="str">
        <x:v>Difficult</x:v>
      </x:c>
      <x:c r="I279" s="83" t="str">
        <x:v>Integrated Clinical Reasoning</x:v>
      </x:c>
      <x:c r="J279" s="83" t="n">
        <x:v>4</x:v>
      </x:c>
      <x:c r="K279" s="83" t="str">
        <x:v>C</x:v>
      </x:c>
      <x:c r="L279" s="83" t="n">
        <x:v>1</x:v>
      </x:c>
      <x:c r="M279" s="83" t="str">
        <x:v>LCSW-ALT-038</x:v>
      </x:c>
      <x:c r="N279" s="83" t="str">
        <x:v>Released</x:v>
      </x:c>
      <x:c r="O279" s="89" t="str">
        <x:v>Form A only; paired alternate retained on the other comprehensive form</x:v>
      </x:c>
    </x:row>
    <x:row r="280">
      <x:c r="A280" s="88" t="str">
        <x:v>CTA-LCSW-MQB-0279</x:v>
      </x:c>
      <x:c r="B280" s="83" t="str">
        <x:v>LCSW-MQB-FA-VE-043</x:v>
      </x:c>
      <x:c r="C280" s="83" t="str">
        <x:v>LCSW 2026 Comprehensive Simulation Form A</x:v>
      </x:c>
      <x:c r="D280" s="83" t="n">
        <x:v>75</x:v>
      </x:c>
      <x:c r="E280" s="83" t="str">
        <x:v>Scored-Style</x:v>
      </x:c>
      <x:c r="F280" s="83" t="str">
        <x:v>I. Values and Ethics</x:v>
      </x:c>
      <x:c r="G280" s="83" t="str">
        <x:v>Former-client boundary and access</x:v>
      </x:c>
      <x:c r="H280" s="83" t="str">
        <x:v>Difficult</x:v>
      </x:c>
      <x:c r="I280" s="83" t="str">
        <x:v>Integrated Clinical Reasoning</x:v>
      </x:c>
      <x:c r="J280" s="83" t="n">
        <x:v>4</x:v>
      </x:c>
      <x:c r="K280" s="83" t="str">
        <x:v>B</x:v>
      </x:c>
      <x:c r="L280" s="83" t="n">
        <x:v>1</x:v>
      </x:c>
      <x:c r="M280" s="83" t="str">
        <x:v>LCSW-ALT-121</x:v>
      </x:c>
      <x:c r="N280" s="83" t="str">
        <x:v>Released</x:v>
      </x:c>
      <x:c r="O280" s="89" t="str">
        <x:v>Form A only; paired alternate retained on the other comprehensive form</x:v>
      </x:c>
    </x:row>
    <x:row r="281">
      <x:c r="A281" s="88" t="str">
        <x:v>CTA-LCSW-MQB-0280</x:v>
      </x:c>
      <x:c r="B281" s="83" t="str">
        <x:v>LCSW-MQB-FA-AP-012</x:v>
      </x:c>
      <x:c r="C281" s="83" t="str">
        <x:v>LCSW 2026 Comprehensive Simulation Form A</x:v>
      </x:c>
      <x:c r="D281" s="83" t="n">
        <x:v>76</x:v>
      </x:c>
      <x:c r="E281" s="83" t="str">
        <x:v>Scored-Style</x:v>
      </x:c>
      <x:c r="F281" s="83" t="str">
        <x:v>II. Assessment and Planning</x:v>
      </x:c>
      <x:c r="G281" s="83" t="str">
        <x:v>Cultural formulation</x:v>
      </x:c>
      <x:c r="H281" s="83" t="str">
        <x:v>Moderate</x:v>
      </x:c>
      <x:c r="I281" s="83" t="str">
        <x:v>Application</x:v>
      </x:c>
      <x:c r="J281" s="83" t="n">
        <x:v>3</x:v>
      </x:c>
      <x:c r="K281" s="83" t="str">
        <x:v>C</x:v>
      </x:c>
      <x:c r="L281" s="83" t="n">
        <x:v>1</x:v>
      </x:c>
      <x:c r="M281" s="83" t="str">
        <x:v>LCSW-ALT-012</x:v>
      </x:c>
      <x:c r="N281" s="83" t="str">
        <x:v>Released</x:v>
      </x:c>
      <x:c r="O281" s="89" t="str">
        <x:v>Form A only; paired alternate retained on the other comprehensive form</x:v>
      </x:c>
    </x:row>
    <x:row r="282">
      <x:c r="A282" s="88" t="str">
        <x:v>CTA-LCSW-MQB-0281</x:v>
      </x:c>
      <x:c r="B282" s="83" t="str">
        <x:v>LCSW-MQB-FA-VE-044</x:v>
      </x:c>
      <x:c r="C282" s="83" t="str">
        <x:v>LCSW 2026 Comprehensive Simulation Form A</x:v>
      </x:c>
      <x:c r="D282" s="83" t="n">
        <x:v>77</x:v>
      </x:c>
      <x:c r="E282" s="83" t="str">
        <x:v>Scored-Style</x:v>
      </x:c>
      <x:c r="F282" s="83" t="str">
        <x:v>I. Values and Ethics</x:v>
      </x:c>
      <x:c r="G282" s="83" t="str">
        <x:v>Ethical decision-making process</x:v>
      </x:c>
      <x:c r="H282" s="83" t="str">
        <x:v>Difficult</x:v>
      </x:c>
      <x:c r="I282" s="83" t="str">
        <x:v>Integrated Clinical Reasoning</x:v>
      </x:c>
      <x:c r="J282" s="83" t="n">
        <x:v>4</x:v>
      </x:c>
      <x:c r="K282" s="83" t="str">
        <x:v>A</x:v>
      </x:c>
      <x:c r="L282" s="83" t="n">
        <x:v>1</x:v>
      </x:c>
      <x:c r="M282" s="83" t="str">
        <x:v>LCSW-ALT-122</x:v>
      </x:c>
      <x:c r="N282" s="83" t="str">
        <x:v>Released</x:v>
      </x:c>
      <x:c r="O282" s="89" t="str">
        <x:v>Form A only; paired alternate retained on the other comprehensive form</x:v>
      </x:c>
    </x:row>
    <x:row r="283">
      <x:c r="A283" s="88" t="str">
        <x:v>CTA-LCSW-MQB-0282</x:v>
      </x:c>
      <x:c r="B283" s="83" t="str">
        <x:v>LCSW-MQB-FA-VE-002</x:v>
      </x:c>
      <x:c r="C283" s="83" t="str">
        <x:v>LCSW 2026 Comprehensive Simulation Form A</x:v>
      </x:c>
      <x:c r="D283" s="83" t="n">
        <x:v>78</x:v>
      </x:c>
      <x:c r="E283" s="83" t="str">
        <x:v>Scored-Style</x:v>
      </x:c>
      <x:c r="F283" s="83" t="str">
        <x:v>I. Values and Ethics</x:v>
      </x:c>
      <x:c r="G283" s="83" t="str">
        <x:v>Informed consent</x:v>
      </x:c>
      <x:c r="H283" s="83" t="str">
        <x:v>Easy</x:v>
      </x:c>
      <x:c r="I283" s="83" t="str">
        <x:v>Knowledge &amp; Recall</x:v>
      </x:c>
      <x:c r="J283" s="83" t="n">
        <x:v>3</x:v>
      </x:c>
      <x:c r="K283" s="83" t="str">
        <x:v>B</x:v>
      </x:c>
      <x:c r="L283" s="83" t="n">
        <x:v>1</x:v>
      </x:c>
      <x:c r="M283" s="83" t="str">
        <x:v>LCSW-ALT-080</x:v>
      </x:c>
      <x:c r="N283" s="83" t="str">
        <x:v>Released</x:v>
      </x:c>
      <x:c r="O283" s="89" t="str">
        <x:v>Form A only; paired alternate retained on the other comprehensive form</x:v>
      </x:c>
    </x:row>
    <x:row r="284">
      <x:c r="A284" s="88" t="str">
        <x:v>CTA-LCSW-MQB-0283</x:v>
      </x:c>
      <x:c r="B284" s="83" t="str">
        <x:v>LCSW-MQB-FA-IP-004</x:v>
      </x:c>
      <x:c r="C284" s="83" t="str">
        <x:v>LCSW 2026 Comprehensive Simulation Form A</x:v>
      </x:c>
      <x:c r="D284" s="83" t="n">
        <x:v>79</x:v>
      </x:c>
      <x:c r="E284" s="83" t="str">
        <x:v>Scored-Style</x:v>
      </x:c>
      <x:c r="F284" s="83" t="str">
        <x:v>III. Intervention and Practice</x:v>
      </x:c>
      <x:c r="G284" s="83" t="str">
        <x:v>Behavioral activation</x:v>
      </x:c>
      <x:c r="H284" s="83" t="str">
        <x:v>Easy</x:v>
      </x:c>
      <x:c r="I284" s="83" t="str">
        <x:v>Application</x:v>
      </x:c>
      <x:c r="J284" s="83" t="n">
        <x:v>3</x:v>
      </x:c>
      <x:c r="K284" s="83" t="str">
        <x:v>B</x:v>
      </x:c>
      <x:c r="L284" s="83" t="n">
        <x:v>1</x:v>
      </x:c>
      <x:c r="M284" s="83" t="str">
        <x:v>LCSW-ALT-043</x:v>
      </x:c>
      <x:c r="N284" s="83" t="str">
        <x:v>Released</x:v>
      </x:c>
      <x:c r="O284" s="89" t="str">
        <x:v>Form A only; paired alternate retained on the other comprehensive form</x:v>
      </x:c>
    </x:row>
    <x:row r="285">
      <x:c r="A285" s="88" t="str">
        <x:v>CTA-LCSW-MQB-0284</x:v>
      </x:c>
      <x:c r="B285" s="83" t="str">
        <x:v>LCSW-MQB-FA-VE-020</x:v>
      </x:c>
      <x:c r="C285" s="83" t="str">
        <x:v>LCSW 2026 Comprehensive Simulation Form A</x:v>
      </x:c>
      <x:c r="D285" s="83" t="n">
        <x:v>80</x:v>
      </x:c>
      <x:c r="E285" s="83" t="str">
        <x:v>Scored-Style</x:v>
      </x:c>
      <x:c r="F285" s="83" t="str">
        <x:v>I. Values and Ethics</x:v>
      </x:c>
      <x:c r="G285" s="83" t="str">
        <x:v>Ethical consultation</x:v>
      </x:c>
      <x:c r="H285" s="83" t="str">
        <x:v>Moderate</x:v>
      </x:c>
      <x:c r="I285" s="83" t="str">
        <x:v>Application</x:v>
      </x:c>
      <x:c r="J285" s="83" t="n">
        <x:v>3</x:v>
      </x:c>
      <x:c r="K285" s="83" t="str">
        <x:v>A</x:v>
      </x:c>
      <x:c r="L285" s="83" t="n">
        <x:v>1</x:v>
      </x:c>
      <x:c r="M285" s="83" t="str">
        <x:v>LCSW-ALT-098</x:v>
      </x:c>
      <x:c r="N285" s="83" t="str">
        <x:v>Released</x:v>
      </x:c>
      <x:c r="O285" s="89" t="str">
        <x:v>Form A only; paired alternate retained on the other comprehensive form</x:v>
      </x:c>
    </x:row>
    <x:row r="286">
      <x:c r="A286" s="88" t="str">
        <x:v>CTA-LCSW-MQB-0285</x:v>
      </x:c>
      <x:c r="B286" s="83" t="str">
        <x:v>LCSW-MQB-FA-VE-005</x:v>
      </x:c>
      <x:c r="C286" s="83" t="str">
        <x:v>LCSW 2026 Comprehensive Simulation Form A</x:v>
      </x:c>
      <x:c r="D286" s="83" t="n">
        <x:v>81</x:v>
      </x:c>
      <x:c r="E286" s="83" t="str">
        <x:v>Scored-Style</x:v>
      </x:c>
      <x:c r="F286" s="83" t="str">
        <x:v>I. Values and Ethics</x:v>
      </x:c>
      <x:c r="G286" s="83" t="str">
        <x:v>Professional competence</x:v>
      </x:c>
      <x:c r="H286" s="83" t="str">
        <x:v>Easy</x:v>
      </x:c>
      <x:c r="I286" s="83" t="str">
        <x:v>Knowledge &amp; Recall</x:v>
      </x:c>
      <x:c r="J286" s="83" t="n">
        <x:v>3</x:v>
      </x:c>
      <x:c r="K286" s="83" t="str">
        <x:v>B</x:v>
      </x:c>
      <x:c r="L286" s="83" t="n">
        <x:v>1</x:v>
      </x:c>
      <x:c r="M286" s="83" t="str">
        <x:v>LCSW-ALT-083</x:v>
      </x:c>
      <x:c r="N286" s="83" t="str">
        <x:v>Released</x:v>
      </x:c>
      <x:c r="O286" s="89" t="str">
        <x:v>Form A only; paired alternate retained on the other comprehensive form</x:v>
      </x:c>
    </x:row>
    <x:row r="287">
      <x:c r="A287" s="88" t="str">
        <x:v>CTA-LCSW-MQB-0286</x:v>
      </x:c>
      <x:c r="B287" s="83" t="str">
        <x:v>LCSW-MQB-FA-IP-032</x:v>
      </x:c>
      <x:c r="C287" s="83" t="str">
        <x:v>LCSW 2026 Comprehensive Simulation Form A</x:v>
      </x:c>
      <x:c r="D287" s="83" t="n">
        <x:v>82</x:v>
      </x:c>
      <x:c r="E287" s="83" t="str">
        <x:v>Scored-Style</x:v>
      </x:c>
      <x:c r="F287" s="83" t="str">
        <x:v>III. Intervention and Practice</x:v>
      </x:c>
      <x:c r="G287" s="83" t="str">
        <x:v>Supervision and client risk</x:v>
      </x:c>
      <x:c r="H287" s="83" t="str">
        <x:v>Difficult</x:v>
      </x:c>
      <x:c r="I287" s="83" t="str">
        <x:v>Scenario-Based</x:v>
      </x:c>
      <x:c r="J287" s="83" t="n">
        <x:v>4</x:v>
      </x:c>
      <x:c r="K287" s="83" t="str">
        <x:v>D</x:v>
      </x:c>
      <x:c r="L287" s="83" t="n">
        <x:v>1</x:v>
      </x:c>
      <x:c r="M287" s="83" t="str">
        <x:v>LCSW-ALT-071</x:v>
      </x:c>
      <x:c r="N287" s="83" t="str">
        <x:v>Released</x:v>
      </x:c>
      <x:c r="O287" s="89" t="str">
        <x:v>Form A only; paired alternate retained on the other comprehensive form</x:v>
      </x:c>
    </x:row>
    <x:row r="288">
      <x:c r="A288" s="88" t="str">
        <x:v>CTA-LCSW-MQB-0287</x:v>
      </x:c>
      <x:c r="B288" s="83" t="str">
        <x:v>LCSW-MQB-FA-VE-019</x:v>
      </x:c>
      <x:c r="C288" s="83" t="str">
        <x:v>LCSW 2026 Comprehensive Simulation Form A</x:v>
      </x:c>
      <x:c r="D288" s="83" t="n">
        <x:v>83</x:v>
      </x:c>
      <x:c r="E288" s="83" t="str">
        <x:v>Scored-Style</x:v>
      </x:c>
      <x:c r="F288" s="83" t="str">
        <x:v>I. Values and Ethics</x:v>
      </x:c>
      <x:c r="G288" s="83" t="str">
        <x:v>Supervision boundaries</x:v>
      </x:c>
      <x:c r="H288" s="83" t="str">
        <x:v>Moderate</x:v>
      </x:c>
      <x:c r="I288" s="83" t="str">
        <x:v>Application</x:v>
      </x:c>
      <x:c r="J288" s="83" t="n">
        <x:v>3</x:v>
      </x:c>
      <x:c r="K288" s="83" t="str">
        <x:v>C</x:v>
      </x:c>
      <x:c r="L288" s="83" t="n">
        <x:v>1</x:v>
      </x:c>
      <x:c r="M288" s="83" t="str">
        <x:v>LCSW-ALT-097</x:v>
      </x:c>
      <x:c r="N288" s="83" t="str">
        <x:v>Released</x:v>
      </x:c>
      <x:c r="O288" s="89" t="str">
        <x:v>Form A only; paired alternate retained on the other comprehensive form</x:v>
      </x:c>
    </x:row>
    <x:row r="289">
      <x:c r="A289" s="88" t="str">
        <x:v>CTA-LCSW-MQB-0288</x:v>
      </x:c>
      <x:c r="B289" s="83" t="str">
        <x:v>LCSW-MQB-FA-AP-027</x:v>
      </x:c>
      <x:c r="C289" s="83" t="str">
        <x:v>LCSW 2026 Comprehensive Simulation Form A</x:v>
      </x:c>
      <x:c r="D289" s="83" t="n">
        <x:v>84</x:v>
      </x:c>
      <x:c r="E289" s="83" t="str">
        <x:v>Scored-Style</x:v>
      </x:c>
      <x:c r="F289" s="83" t="str">
        <x:v>II. Assessment and Planning</x:v>
      </x:c>
      <x:c r="G289" s="83" t="str">
        <x:v>Trauma pacing</x:v>
      </x:c>
      <x:c r="H289" s="83" t="str">
        <x:v>Moderate</x:v>
      </x:c>
      <x:c r="I289" s="83" t="str">
        <x:v>Scenario-Based</x:v>
      </x:c>
      <x:c r="J289" s="83" t="n">
        <x:v>4</x:v>
      </x:c>
      <x:c r="K289" s="83" t="str">
        <x:v>B</x:v>
      </x:c>
      <x:c r="L289" s="83" t="n">
        <x:v>1</x:v>
      </x:c>
      <x:c r="M289" s="83" t="str">
        <x:v>LCSW-ALT-027</x:v>
      </x:c>
      <x:c r="N289" s="83" t="str">
        <x:v>Released</x:v>
      </x:c>
      <x:c r="O289" s="89" t="str">
        <x:v>Form A only; paired alternate retained on the other comprehensive form</x:v>
      </x:c>
    </x:row>
    <x:row r="290">
      <x:c r="A290" s="88" t="str">
        <x:v>CTA-LCSW-MQB-0289</x:v>
      </x:c>
      <x:c r="B290" s="83" t="str">
        <x:v>LCSW-MQB-FA-IP-006</x:v>
      </x:c>
      <x:c r="C290" s="83" t="str">
        <x:v>LCSW 2026 Comprehensive Simulation Form A</x:v>
      </x:c>
      <x:c r="D290" s="83" t="n">
        <x:v>85</x:v>
      </x:c>
      <x:c r="E290" s="83" t="str">
        <x:v>Scored-Style</x:v>
      </x:c>
      <x:c r="F290" s="83" t="str">
        <x:v>III. Intervention and Practice</x:v>
      </x:c>
      <x:c r="G290" s="83" t="str">
        <x:v>Solution-focused exceptions</x:v>
      </x:c>
      <x:c r="H290" s="83" t="str">
        <x:v>Easy</x:v>
      </x:c>
      <x:c r="I290" s="83" t="str">
        <x:v>Application</x:v>
      </x:c>
      <x:c r="J290" s="83" t="n">
        <x:v>3</x:v>
      </x:c>
      <x:c r="K290" s="83" t="str">
        <x:v>A</x:v>
      </x:c>
      <x:c r="L290" s="83" t="n">
        <x:v>1</x:v>
      </x:c>
      <x:c r="M290" s="83" t="str">
        <x:v>LCSW-ALT-045</x:v>
      </x:c>
      <x:c r="N290" s="83" t="str">
        <x:v>Released</x:v>
      </x:c>
      <x:c r="O290" s="89" t="str">
        <x:v>Form A only; paired alternate retained on the other comprehensive form</x:v>
      </x:c>
    </x:row>
    <x:row r="291">
      <x:c r="A291" s="88" t="str">
        <x:v>CTA-LCSW-MQB-0290</x:v>
      </x:c>
      <x:c r="B291" s="83" t="str">
        <x:v>LCSW-MQB-FA-IP-007</x:v>
      </x:c>
      <x:c r="C291" s="83" t="str">
        <x:v>LCSW 2026 Comprehensive Simulation Form A</x:v>
      </x:c>
      <x:c r="D291" s="83" t="n">
        <x:v>86</x:v>
      </x:c>
      <x:c r="E291" s="83" t="str">
        <x:v>Scored-Style</x:v>
      </x:c>
      <x:c r="F291" s="83" t="str">
        <x:v>III. Intervention and Practice</x:v>
      </x:c>
      <x:c r="G291" s="83" t="str">
        <x:v>Psychoeducation</x:v>
      </x:c>
      <x:c r="H291" s="83" t="str">
        <x:v>Easy</x:v>
      </x:c>
      <x:c r="I291" s="83" t="str">
        <x:v>Application</x:v>
      </x:c>
      <x:c r="J291" s="83" t="n">
        <x:v>3</x:v>
      </x:c>
      <x:c r="K291" s="83" t="str">
        <x:v>B</x:v>
      </x:c>
      <x:c r="L291" s="83" t="n">
        <x:v>1</x:v>
      </x:c>
      <x:c r="M291" s="83" t="str">
        <x:v>LCSW-ALT-046</x:v>
      </x:c>
      <x:c r="N291" s="83" t="str">
        <x:v>Released</x:v>
      </x:c>
      <x:c r="O291" s="89" t="str">
        <x:v>Form A only; paired alternate retained on the other comprehensive form</x:v>
      </x:c>
    </x:row>
    <x:row r="292">
      <x:c r="A292" s="88" t="str">
        <x:v>CTA-LCSW-MQB-0291</x:v>
      </x:c>
      <x:c r="B292" s="83" t="str">
        <x:v>LCSW-MQB-FA-VE-024</x:v>
      </x:c>
      <x:c r="C292" s="83" t="str">
        <x:v>LCSW 2026 Comprehensive Simulation Form A</x:v>
      </x:c>
      <x:c r="D292" s="83" t="n">
        <x:v>87</x:v>
      </x:c>
      <x:c r="E292" s="83" t="str">
        <x:v>Scored-Style</x:v>
      </x:c>
      <x:c r="F292" s="83" t="str">
        <x:v>I. Values and Ethics</x:v>
      </x:c>
      <x:c r="G292" s="83" t="str">
        <x:v>Informed refusal</x:v>
      </x:c>
      <x:c r="H292" s="83" t="str">
        <x:v>Moderate</x:v>
      </x:c>
      <x:c r="I292" s="83" t="str">
        <x:v>Scenario-Based</x:v>
      </x:c>
      <x:c r="J292" s="83" t="n">
        <x:v>3</x:v>
      </x:c>
      <x:c r="K292" s="83" t="str">
        <x:v>A</x:v>
      </x:c>
      <x:c r="L292" s="83" t="n">
        <x:v>1</x:v>
      </x:c>
      <x:c r="M292" s="83" t="str">
        <x:v>LCSW-ALT-102</x:v>
      </x:c>
      <x:c r="N292" s="83" t="str">
        <x:v>Released</x:v>
      </x:c>
      <x:c r="O292" s="89" t="str">
        <x:v>Form A only; paired alternate retained on the other comprehensive form</x:v>
      </x:c>
    </x:row>
    <x:row r="293">
      <x:c r="A293" s="88" t="str">
        <x:v>CTA-LCSW-MQB-0292</x:v>
      </x:c>
      <x:c r="B293" s="83" t="str">
        <x:v>LCSW-MQB-FA-IP-037</x:v>
      </x:c>
      <x:c r="C293" s="83" t="str">
        <x:v>LCSW 2026 Comprehensive Simulation Form A</x:v>
      </x:c>
      <x:c r="D293" s="83" t="n">
        <x:v>88</x:v>
      </x:c>
      <x:c r="E293" s="83" t="str">
        <x:v>Scored-Style</x:v>
      </x:c>
      <x:c r="F293" s="83" t="str">
        <x:v>III. Intervention and Practice</x:v>
      </x:c>
      <x:c r="G293" s="83" t="str">
        <x:v>Program evaluation and equity</x:v>
      </x:c>
      <x:c r="H293" s="83" t="str">
        <x:v>Difficult</x:v>
      </x:c>
      <x:c r="I293" s="83" t="str">
        <x:v>Integrated Clinical Reasoning</x:v>
      </x:c>
      <x:c r="J293" s="83" t="n">
        <x:v>4</x:v>
      </x:c>
      <x:c r="K293" s="83" t="str">
        <x:v>D</x:v>
      </x:c>
      <x:c r="L293" s="83" t="n">
        <x:v>1</x:v>
      </x:c>
      <x:c r="M293" s="83" t="str">
        <x:v>LCSW-ALT-076</x:v>
      </x:c>
      <x:c r="N293" s="83" t="str">
        <x:v>Released</x:v>
      </x:c>
      <x:c r="O293" s="89" t="str">
        <x:v>Form A only; paired alternate retained on the other comprehensive form</x:v>
      </x:c>
    </x:row>
    <x:row r="294">
      <x:c r="A294" s="88" t="str">
        <x:v>CTA-LCSW-MQB-0293</x:v>
      </x:c>
      <x:c r="B294" s="83" t="str">
        <x:v>LCSW-MQB-FA-AP-016</x:v>
      </x:c>
      <x:c r="C294" s="83" t="str">
        <x:v>LCSW 2026 Comprehensive Simulation Form A</x:v>
      </x:c>
      <x:c r="D294" s="83" t="n">
        <x:v>89</x:v>
      </x:c>
      <x:c r="E294" s="83" t="str">
        <x:v>Scored-Style</x:v>
      </x:c>
      <x:c r="F294" s="83" t="str">
        <x:v>II. Assessment and Planning</x:v>
      </x:c>
      <x:c r="G294" s="83" t="str">
        <x:v>Environmental barriers</x:v>
      </x:c>
      <x:c r="H294" s="83" t="str">
        <x:v>Moderate</x:v>
      </x:c>
      <x:c r="I294" s="83" t="str">
        <x:v>Application</x:v>
      </x:c>
      <x:c r="J294" s="83" t="n">
        <x:v>3</x:v>
      </x:c>
      <x:c r="K294" s="83" t="str">
        <x:v>C</x:v>
      </x:c>
      <x:c r="L294" s="83" t="n">
        <x:v>1</x:v>
      </x:c>
      <x:c r="M294" s="83" t="str">
        <x:v>LCSW-ALT-016</x:v>
      </x:c>
      <x:c r="N294" s="83" t="str">
        <x:v>Released</x:v>
      </x:c>
      <x:c r="O294" s="89" t="str">
        <x:v>Form A only; paired alternate retained on the other comprehensive form</x:v>
      </x:c>
    </x:row>
    <x:row r="295">
      <x:c r="A295" s="88" t="str">
        <x:v>CTA-LCSW-MQB-0294</x:v>
      </x:c>
      <x:c r="B295" s="83" t="str">
        <x:v>LCSW-MQB-FA-AP-015</x:v>
      </x:c>
      <x:c r="C295" s="83" t="str">
        <x:v>LCSW 2026 Comprehensive Simulation Form A</x:v>
      </x:c>
      <x:c r="D295" s="83" t="n">
        <x:v>90</x:v>
      </x:c>
      <x:c r="E295" s="83" t="str">
        <x:v>Scored-Style</x:v>
      </x:c>
      <x:c r="F295" s="83" t="str">
        <x:v>II. Assessment and Planning</x:v>
      </x:c>
      <x:c r="G295" s="83" t="str">
        <x:v>Level of care</x:v>
      </x:c>
      <x:c r="H295" s="83" t="str">
        <x:v>Moderate</x:v>
      </x:c>
      <x:c r="I295" s="83" t="str">
        <x:v>Application</x:v>
      </x:c>
      <x:c r="J295" s="83" t="n">
        <x:v>3</x:v>
      </x:c>
      <x:c r="K295" s="83" t="str">
        <x:v>A</x:v>
      </x:c>
      <x:c r="L295" s="83" t="n">
        <x:v>1</x:v>
      </x:c>
      <x:c r="M295" s="83" t="str">
        <x:v>LCSW-ALT-015</x:v>
      </x:c>
      <x:c r="N295" s="83" t="str">
        <x:v>Released</x:v>
      </x:c>
      <x:c r="O295" s="89" t="str">
        <x:v>Form A only; paired alternate retained on the other comprehensive form</x:v>
      </x:c>
    </x:row>
    <x:row r="296">
      <x:c r="A296" s="88" t="str">
        <x:v>CTA-LCSW-MQB-0295</x:v>
      </x:c>
      <x:c r="B296" s="83" t="str">
        <x:v>LCSW-MQB-FA-VE-042</x:v>
      </x:c>
      <x:c r="C296" s="83" t="str">
        <x:v>LCSW 2026 Comprehensive Simulation Form A</x:v>
      </x:c>
      <x:c r="D296" s="83" t="n">
        <x:v>91</x:v>
      </x:c>
      <x:c r="E296" s="83" t="str">
        <x:v>Scored-Style</x:v>
      </x:c>
      <x:c r="F296" s="83" t="str">
        <x:v>I. Values and Ethics</x:v>
      </x:c>
      <x:c r="G296" s="83" t="str">
        <x:v>Organizational ethics and scarce resources</x:v>
      </x:c>
      <x:c r="H296" s="83" t="str">
        <x:v>Difficult</x:v>
      </x:c>
      <x:c r="I296" s="83" t="str">
        <x:v>Integrated Clinical Reasoning</x:v>
      </x:c>
      <x:c r="J296" s="83" t="n">
        <x:v>4</x:v>
      </x:c>
      <x:c r="K296" s="83" t="str">
        <x:v>A</x:v>
      </x:c>
      <x:c r="L296" s="83" t="n">
        <x:v>1</x:v>
      </x:c>
      <x:c r="M296" s="83" t="str">
        <x:v>LCSW-ALT-120</x:v>
      </x:c>
      <x:c r="N296" s="83" t="str">
        <x:v>Released</x:v>
      </x:c>
      <x:c r="O296" s="89" t="str">
        <x:v>Form A only; paired alternate retained on the other comprehensive form</x:v>
      </x:c>
    </x:row>
    <x:row r="297">
      <x:c r="A297" s="88" t="str">
        <x:v>CTA-LCSW-MQB-0296</x:v>
      </x:c>
      <x:c r="B297" s="83" t="str">
        <x:v>LCSW-MQB-FA-VE-016</x:v>
      </x:c>
      <x:c r="C297" s="83" t="str">
        <x:v>LCSW 2026 Comprehensive Simulation Form A</x:v>
      </x:c>
      <x:c r="D297" s="83" t="n">
        <x:v>92</x:v>
      </x:c>
      <x:c r="E297" s="83" t="str">
        <x:v>Scored-Style</x:v>
      </x:c>
      <x:c r="F297" s="83" t="str">
        <x:v>I. Values and Ethics</x:v>
      </x:c>
      <x:c r="G297" s="83" t="str">
        <x:v>Professional use of self</x:v>
      </x:c>
      <x:c r="H297" s="83" t="str">
        <x:v>Moderate</x:v>
      </x:c>
      <x:c r="I297" s="83" t="str">
        <x:v>Application</x:v>
      </x:c>
      <x:c r="J297" s="83" t="n">
        <x:v>3</x:v>
      </x:c>
      <x:c r="K297" s="83" t="str">
        <x:v>A</x:v>
      </x:c>
      <x:c r="L297" s="83" t="n">
        <x:v>1</x:v>
      </x:c>
      <x:c r="M297" s="83" t="str">
        <x:v>LCSW-ALT-094</x:v>
      </x:c>
      <x:c r="N297" s="83" t="str">
        <x:v>Released</x:v>
      </x:c>
      <x:c r="O297" s="89" t="str">
        <x:v>Form A only; paired alternate retained on the other comprehensive form</x:v>
      </x:c>
    </x:row>
    <x:row r="298">
      <x:c r="A298" s="88" t="str">
        <x:v>CTA-LCSW-MQB-0297</x:v>
      </x:c>
      <x:c r="B298" s="83" t="str">
        <x:v>LCSW-MQB-FA-IP-015</x:v>
      </x:c>
      <x:c r="C298" s="83" t="str">
        <x:v>LCSW 2026 Comprehensive Simulation Form A</x:v>
      </x:c>
      <x:c r="D298" s="83" t="n">
        <x:v>93</x:v>
      </x:c>
      <x:c r="E298" s="83" t="str">
        <x:v>Scored-Style</x:v>
      </x:c>
      <x:c r="F298" s="83" t="str">
        <x:v>III. Intervention and Practice</x:v>
      </x:c>
      <x:c r="G298" s="83" t="str">
        <x:v>Measurement-based care</x:v>
      </x:c>
      <x:c r="H298" s="83" t="str">
        <x:v>Moderate</x:v>
      </x:c>
      <x:c r="I298" s="83" t="str">
        <x:v>Application</x:v>
      </x:c>
      <x:c r="J298" s="83" t="n">
        <x:v>3</x:v>
      </x:c>
      <x:c r="K298" s="83" t="str">
        <x:v>C</x:v>
      </x:c>
      <x:c r="L298" s="83" t="n">
        <x:v>1</x:v>
      </x:c>
      <x:c r="M298" s="83" t="str">
        <x:v>LCSW-ALT-054</x:v>
      </x:c>
      <x:c r="N298" s="83" t="str">
        <x:v>Released</x:v>
      </x:c>
      <x:c r="O298" s="89" t="str">
        <x:v>Form A only; paired alternate retained on the other comprehensive form</x:v>
      </x:c>
    </x:row>
    <x:row r="299">
      <x:c r="A299" s="88" t="str">
        <x:v>CTA-LCSW-MQB-0298</x:v>
      </x:c>
      <x:c r="B299" s="83" t="str">
        <x:v>LCSW-MQB-FA-IP-013</x:v>
      </x:c>
      <x:c r="C299" s="83" t="str">
        <x:v>LCSW 2026 Comprehensive Simulation Form A</x:v>
      </x:c>
      <x:c r="D299" s="83" t="n">
        <x:v>94</x:v>
      </x:c>
      <x:c r="E299" s="83" t="str">
        <x:v>Scored-Style</x:v>
      </x:c>
      <x:c r="F299" s="83" t="str">
        <x:v>III. Intervention and Practice</x:v>
      </x:c>
      <x:c r="G299" s="83" t="str">
        <x:v>Parenting intervention</x:v>
      </x:c>
      <x:c r="H299" s="83" t="str">
        <x:v>Moderate</x:v>
      </x:c>
      <x:c r="I299" s="83" t="str">
        <x:v>Application</x:v>
      </x:c>
      <x:c r="J299" s="83" t="n">
        <x:v>3</x:v>
      </x:c>
      <x:c r="K299" s="83" t="str">
        <x:v>A</x:v>
      </x:c>
      <x:c r="L299" s="83" t="n">
        <x:v>1</x:v>
      </x:c>
      <x:c r="M299" s="83" t="str">
        <x:v>LCSW-ALT-052</x:v>
      </x:c>
      <x:c r="N299" s="83" t="str">
        <x:v>Released</x:v>
      </x:c>
      <x:c r="O299" s="89" t="str">
        <x:v>Form A only; paired alternate retained on the other comprehensive form</x:v>
      </x:c>
    </x:row>
    <x:row r="300">
      <x:c r="A300" s="88" t="str">
        <x:v>CTA-LCSW-MQB-0299</x:v>
      </x:c>
      <x:c r="B300" s="83" t="str">
        <x:v>LCSW-MQB-FA-AP-031</x:v>
      </x:c>
      <x:c r="C300" s="83" t="str">
        <x:v>LCSW 2026 Comprehensive Simulation Form A</x:v>
      </x:c>
      <x:c r="D300" s="83" t="n">
        <x:v>95</x:v>
      </x:c>
      <x:c r="E300" s="83" t="str">
        <x:v>Scored-Style</x:v>
      </x:c>
      <x:c r="F300" s="83" t="str">
        <x:v>II. Assessment and Planning</x:v>
      </x:c>
      <x:c r="G300" s="83" t="str">
        <x:v>Housing and psychiatric symptoms</x:v>
      </x:c>
      <x:c r="H300" s="83" t="str">
        <x:v>Difficult</x:v>
      </x:c>
      <x:c r="I300" s="83" t="str">
        <x:v>Scenario-Based</x:v>
      </x:c>
      <x:c r="J300" s="83" t="n">
        <x:v>4</x:v>
      </x:c>
      <x:c r="K300" s="83" t="str">
        <x:v>C</x:v>
      </x:c>
      <x:c r="L300" s="83" t="n">
        <x:v>1</x:v>
      </x:c>
      <x:c r="M300" s="83" t="str">
        <x:v>LCSW-ALT-031</x:v>
      </x:c>
      <x:c r="N300" s="83" t="str">
        <x:v>Released</x:v>
      </x:c>
      <x:c r="O300" s="89" t="str">
        <x:v>Form A only; paired alternate retained on the other comprehensive form</x:v>
      </x:c>
    </x:row>
    <x:row r="301">
      <x:c r="A301" s="88" t="str">
        <x:v>CTA-LCSW-MQB-0300</x:v>
      </x:c>
      <x:c r="B301" s="83" t="str">
        <x:v>LCSW-MQB-FA-AP-003</x:v>
      </x:c>
      <x:c r="C301" s="83" t="str">
        <x:v>LCSW 2026 Comprehensive Simulation Form A</x:v>
      </x:c>
      <x:c r="D301" s="83" t="n">
        <x:v>96</x:v>
      </x:c>
      <x:c r="E301" s="83" t="str">
        <x:v>Scored-Style</x:v>
      </x:c>
      <x:c r="F301" s="83" t="str">
        <x:v>II. Assessment and Planning</x:v>
      </x:c>
      <x:c r="G301" s="83" t="str">
        <x:v>Protective factors</x:v>
      </x:c>
      <x:c r="H301" s="83" t="str">
        <x:v>Easy</x:v>
      </x:c>
      <x:c r="I301" s="83" t="str">
        <x:v>Knowledge &amp; Recall</x:v>
      </x:c>
      <x:c r="J301" s="83" t="n">
        <x:v>3</x:v>
      </x:c>
      <x:c r="K301" s="83" t="str">
        <x:v>B</x:v>
      </x:c>
      <x:c r="L301" s="83" t="n">
        <x:v>1</x:v>
      </x:c>
      <x:c r="M301" s="83" t="str">
        <x:v>LCSW-ALT-003</x:v>
      </x:c>
      <x:c r="N301" s="83" t="str">
        <x:v>Released</x:v>
      </x:c>
      <x:c r="O301" s="89" t="str">
        <x:v>Form A only; paired alternate retained on the other comprehensive form</x:v>
      </x:c>
    </x:row>
    <x:row r="302">
      <x:c r="A302" s="88" t="str">
        <x:v>CTA-LCSW-MQB-0301</x:v>
      </x:c>
      <x:c r="B302" s="83" t="str">
        <x:v>LCSW-MQB-FA-VE-037</x:v>
      </x:c>
      <x:c r="C302" s="83" t="str">
        <x:v>LCSW 2026 Comprehensive Simulation Form A</x:v>
      </x:c>
      <x:c r="D302" s="83" t="n">
        <x:v>97</x:v>
      </x:c>
      <x:c r="E302" s="83" t="str">
        <x:v>Scored-Style</x:v>
      </x:c>
      <x:c r="F302" s="83" t="str">
        <x:v>I. Values and Ethics</x:v>
      </x:c>
      <x:c r="G302" s="83" t="str">
        <x:v>Colleague misconduct</x:v>
      </x:c>
      <x:c r="H302" s="83" t="str">
        <x:v>Difficult</x:v>
      </x:c>
      <x:c r="I302" s="83" t="str">
        <x:v>Scenario-Based</x:v>
      </x:c>
      <x:c r="J302" s="83" t="n">
        <x:v>4</x:v>
      </x:c>
      <x:c r="K302" s="83" t="str">
        <x:v>B</x:v>
      </x:c>
      <x:c r="L302" s="83" t="n">
        <x:v>1</x:v>
      </x:c>
      <x:c r="M302" s="83" t="str">
        <x:v>LCSW-ALT-115</x:v>
      </x:c>
      <x:c r="N302" s="83" t="str">
        <x:v>Released</x:v>
      </x:c>
      <x:c r="O302" s="89" t="str">
        <x:v>Form A only; paired alternate retained on the other comprehensive form</x:v>
      </x:c>
    </x:row>
    <x:row r="303">
      <x:c r="A303" s="88" t="str">
        <x:v>CTA-LCSW-MQB-0302</x:v>
      </x:c>
      <x:c r="B303" s="83" t="str">
        <x:v>LCSW-MQB-FA-IP-001</x:v>
      </x:c>
      <x:c r="C303" s="83" t="str">
        <x:v>LCSW 2026 Comprehensive Simulation Form A</x:v>
      </x:c>
      <x:c r="D303" s="83" t="n">
        <x:v>98</x:v>
      </x:c>
      <x:c r="E303" s="83" t="str">
        <x:v>Scored-Style</x:v>
      </x:c>
      <x:c r="F303" s="83" t="str">
        <x:v>III. Intervention and Practice</x:v>
      </x:c>
      <x:c r="G303" s="83" t="str">
        <x:v>Motivational interviewing</x:v>
      </x:c>
      <x:c r="H303" s="83" t="str">
        <x:v>Easy</x:v>
      </x:c>
      <x:c r="I303" s="83" t="str">
        <x:v>Knowledge &amp; Recall</x:v>
      </x:c>
      <x:c r="J303" s="83" t="n">
        <x:v>3</x:v>
      </x:c>
      <x:c r="K303" s="83" t="str">
        <x:v>B</x:v>
      </x:c>
      <x:c r="L303" s="83" t="n">
        <x:v>1</x:v>
      </x:c>
      <x:c r="M303" s="83" t="str">
        <x:v>LCSW-ALT-040</x:v>
      </x:c>
      <x:c r="N303" s="83" t="str">
        <x:v>Released</x:v>
      </x:c>
      <x:c r="O303" s="89" t="str">
        <x:v>Form A only; paired alternate retained on the other comprehensive form</x:v>
      </x:c>
    </x:row>
    <x:row r="304">
      <x:c r="A304" s="88" t="str">
        <x:v>CTA-LCSW-MQB-0303</x:v>
      </x:c>
      <x:c r="B304" s="83" t="str">
        <x:v>LCSW-MQB-FA-IP-010</x:v>
      </x:c>
      <x:c r="C304" s="83" t="str">
        <x:v>LCSW 2026 Comprehensive Simulation Form A</x:v>
      </x:c>
      <x:c r="D304" s="83" t="n">
        <x:v>99</x:v>
      </x:c>
      <x:c r="E304" s="83" t="str">
        <x:v>Pretest-Style</x:v>
      </x:c>
      <x:c r="F304" s="83" t="str">
        <x:v>III. Intervention and Practice</x:v>
      </x:c>
      <x:c r="G304" s="83" t="str">
        <x:v>Referral fit</x:v>
      </x:c>
      <x:c r="H304" s="83" t="str">
        <x:v>Moderate</x:v>
      </x:c>
      <x:c r="I304" s="83" t="str">
        <x:v>Application</x:v>
      </x:c>
      <x:c r="J304" s="83" t="n">
        <x:v>3</x:v>
      </x:c>
      <x:c r="K304" s="83" t="str">
        <x:v>C</x:v>
      </x:c>
      <x:c r="L304" s="83" t="n">
        <x:v>1</x:v>
      </x:c>
      <x:c r="M304" s="83" t="str">
        <x:v>LCSW-ALT-049</x:v>
      </x:c>
      <x:c r="N304" s="83" t="str">
        <x:v>Released</x:v>
      </x:c>
      <x:c r="O304" s="89" t="str">
        <x:v>Form A only; paired alternate retained on the other comprehensive form</x:v>
      </x:c>
    </x:row>
    <x:row r="305">
      <x:c r="A305" s="88" t="str">
        <x:v>CTA-LCSW-MQB-0304</x:v>
      </x:c>
      <x:c r="B305" s="83" t="str">
        <x:v>LCSW-MQB-FA-AP-030</x:v>
      </x:c>
      <x:c r="C305" s="83" t="str">
        <x:v>LCSW 2026 Comprehensive Simulation Form A</x:v>
      </x:c>
      <x:c r="D305" s="83" t="n">
        <x:v>100</x:v>
      </x:c>
      <x:c r="E305" s="83" t="str">
        <x:v>Scored-Style</x:v>
      </x:c>
      <x:c r="F305" s="83" t="str">
        <x:v>II. Assessment and Planning</x:v>
      </x:c>
      <x:c r="G305" s="83" t="str">
        <x:v>Adolescent confidentiality</x:v>
      </x:c>
      <x:c r="H305" s="83" t="str">
        <x:v>Moderate</x:v>
      </x:c>
      <x:c r="I305" s="83" t="str">
        <x:v>Scenario-Based</x:v>
      </x:c>
      <x:c r="J305" s="83" t="n">
        <x:v>4</x:v>
      </x:c>
      <x:c r="K305" s="83" t="str">
        <x:v>B</x:v>
      </x:c>
      <x:c r="L305" s="83" t="n">
        <x:v>1</x:v>
      </x:c>
      <x:c r="M305" s="83" t="str">
        <x:v>LCSW-ALT-030</x:v>
      </x:c>
      <x:c r="N305" s="83" t="str">
        <x:v>Released</x:v>
      </x:c>
      <x:c r="O305" s="89" t="str">
        <x:v>Form A only; paired alternate retained on the other comprehensive form</x:v>
      </x:c>
    </x:row>
    <x:row r="306">
      <x:c r="A306" s="88" t="str">
        <x:v>CTA-LCSW-MQB-0305</x:v>
      </x:c>
      <x:c r="B306" s="83" t="str">
        <x:v>LCSW-MQB-FA-VE-011</x:v>
      </x:c>
      <x:c r="C306" s="83" t="str">
        <x:v>LCSW 2026 Comprehensive Simulation Form A</x:v>
      </x:c>
      <x:c r="D306" s="83" t="n">
        <x:v>101</x:v>
      </x:c>
      <x:c r="E306" s="83" t="str">
        <x:v>Scored-Style</x:v>
      </x:c>
      <x:c r="F306" s="83" t="str">
        <x:v>I. Values and Ethics</x:v>
      </x:c>
      <x:c r="G306" s="83" t="str">
        <x:v>Minimum necessary disclosure</x:v>
      </x:c>
      <x:c r="H306" s="83" t="str">
        <x:v>Easy</x:v>
      </x:c>
      <x:c r="I306" s="83" t="str">
        <x:v>Application</x:v>
      </x:c>
      <x:c r="J306" s="83" t="n">
        <x:v>3</x:v>
      </x:c>
      <x:c r="K306" s="83" t="str">
        <x:v>A</x:v>
      </x:c>
      <x:c r="L306" s="83" t="n">
        <x:v>1</x:v>
      </x:c>
      <x:c r="M306" s="83" t="str">
        <x:v>LCSW-ALT-089</x:v>
      </x:c>
      <x:c r="N306" s="83" t="str">
        <x:v>Released</x:v>
      </x:c>
      <x:c r="O306" s="89" t="str">
        <x:v>Form A only; paired alternate retained on the other comprehensive form</x:v>
      </x:c>
    </x:row>
    <x:row r="307">
      <x:c r="A307" s="88" t="str">
        <x:v>CTA-LCSW-MQB-0306</x:v>
      </x:c>
      <x:c r="B307" s="83" t="str">
        <x:v>LCSW-MQB-FA-VE-012</x:v>
      </x:c>
      <x:c r="C307" s="83" t="str">
        <x:v>LCSW 2026 Comprehensive Simulation Form A</x:v>
      </x:c>
      <x:c r="D307" s="83" t="n">
        <x:v>102</x:v>
      </x:c>
      <x:c r="E307" s="83" t="str">
        <x:v>Scored-Style</x:v>
      </x:c>
      <x:c r="F307" s="83" t="str">
        <x:v>I. Values and Ethics</x:v>
      </x:c>
      <x:c r="G307" s="83" t="str">
        <x:v>Conflict of interest</x:v>
      </x:c>
      <x:c r="H307" s="83" t="str">
        <x:v>Easy</x:v>
      </x:c>
      <x:c r="I307" s="83" t="str">
        <x:v>Application</x:v>
      </x:c>
      <x:c r="J307" s="83" t="n">
        <x:v>3</x:v>
      </x:c>
      <x:c r="K307" s="83" t="str">
        <x:v>B</x:v>
      </x:c>
      <x:c r="L307" s="83" t="n">
        <x:v>1</x:v>
      </x:c>
      <x:c r="M307" s="83" t="str">
        <x:v>LCSW-ALT-090</x:v>
      </x:c>
      <x:c r="N307" s="83" t="str">
        <x:v>Released</x:v>
      </x:c>
      <x:c r="O307" s="89" t="str">
        <x:v>Form A only; paired alternate retained on the other comprehensive form</x:v>
      </x:c>
    </x:row>
    <x:row r="308">
      <x:c r="A308" s="88" t="str">
        <x:v>CTA-LCSW-MQB-0307</x:v>
      </x:c>
      <x:c r="B308" s="83" t="str">
        <x:v>LCSW-MQB-FA-AP-033</x:v>
      </x:c>
      <x:c r="C308" s="83" t="str">
        <x:v>LCSW 2026 Comprehensive Simulation Form A</x:v>
      </x:c>
      <x:c r="D308" s="83" t="n">
        <x:v>103</x:v>
      </x:c>
      <x:c r="E308" s="83" t="str">
        <x:v>Scored-Style</x:v>
      </x:c>
      <x:c r="F308" s="83" t="str">
        <x:v>II. Assessment and Planning</x:v>
      </x:c>
      <x:c r="G308" s="83" t="str">
        <x:v>Diagnosis and grief</x:v>
      </x:c>
      <x:c r="H308" s="83" t="str">
        <x:v>Difficult</x:v>
      </x:c>
      <x:c r="I308" s="83" t="str">
        <x:v>Scenario-Based</x:v>
      </x:c>
      <x:c r="J308" s="83" t="n">
        <x:v>4</x:v>
      </x:c>
      <x:c r="K308" s="83" t="str">
        <x:v>C</x:v>
      </x:c>
      <x:c r="L308" s="83" t="n">
        <x:v>1</x:v>
      </x:c>
      <x:c r="M308" s="83" t="str">
        <x:v>LCSW-ALT-033</x:v>
      </x:c>
      <x:c r="N308" s="83" t="str">
        <x:v>Released</x:v>
      </x:c>
      <x:c r="O308" s="89" t="str">
        <x:v>Form A only; paired alternate retained on the other comprehensive form</x:v>
      </x:c>
    </x:row>
    <x:row r="309">
      <x:c r="A309" s="88" t="str">
        <x:v>CTA-LCSW-MQB-0308</x:v>
      </x:c>
      <x:c r="B309" s="83" t="str">
        <x:v>LCSW-MQB-FA-VE-028</x:v>
      </x:c>
      <x:c r="C309" s="83" t="str">
        <x:v>LCSW 2026 Comprehensive Simulation Form A</x:v>
      </x:c>
      <x:c r="D309" s="83" t="n">
        <x:v>104</x:v>
      </x:c>
      <x:c r="E309" s="83" t="str">
        <x:v>Pretest-Style</x:v>
      </x:c>
      <x:c r="F309" s="83" t="str">
        <x:v>I. Values and Ethics</x:v>
      </x:c>
      <x:c r="G309" s="83" t="str">
        <x:v>Client access and third-party information</x:v>
      </x:c>
      <x:c r="H309" s="83" t="str">
        <x:v>Moderate</x:v>
      </x:c>
      <x:c r="I309" s="83" t="str">
        <x:v>Scenario-Based</x:v>
      </x:c>
      <x:c r="J309" s="83" t="n">
        <x:v>4</x:v>
      </x:c>
      <x:c r="K309" s="83" t="str">
        <x:v>C</x:v>
      </x:c>
      <x:c r="L309" s="83" t="n">
        <x:v>1</x:v>
      </x:c>
      <x:c r="M309" s="83" t="str">
        <x:v>LCSW-ALT-106</x:v>
      </x:c>
      <x:c r="N309" s="83" t="str">
        <x:v>Released</x:v>
      </x:c>
      <x:c r="O309" s="89" t="str">
        <x:v>Form A only; paired alternate retained on the other comprehensive form</x:v>
      </x:c>
    </x:row>
    <x:row r="310">
      <x:c r="A310" s="88" t="str">
        <x:v>CTA-LCSW-MQB-0309</x:v>
      </x:c>
      <x:c r="B310" s="83" t="str">
        <x:v>LCSW-MQB-FA-AP-002</x:v>
      </x:c>
      <x:c r="C310" s="83" t="str">
        <x:v>LCSW 2026 Comprehensive Simulation Form A</x:v>
      </x:c>
      <x:c r="D310" s="83" t="n">
        <x:v>105</x:v>
      </x:c>
      <x:c r="E310" s="83" t="str">
        <x:v>Scored-Style</x:v>
      </x:c>
      <x:c r="F310" s="83" t="str">
        <x:v>II. Assessment and Planning</x:v>
      </x:c>
      <x:c r="G310" s="83" t="str">
        <x:v>Person-in-environment</x:v>
      </x:c>
      <x:c r="H310" s="83" t="str">
        <x:v>Easy</x:v>
      </x:c>
      <x:c r="I310" s="83" t="str">
        <x:v>Knowledge &amp; Recall</x:v>
      </x:c>
      <x:c r="J310" s="83" t="n">
        <x:v>3</x:v>
      </x:c>
      <x:c r="K310" s="83" t="str">
        <x:v>C</x:v>
      </x:c>
      <x:c r="L310" s="83" t="n">
        <x:v>1</x:v>
      </x:c>
      <x:c r="M310" s="83" t="str">
        <x:v>LCSW-ALT-002</x:v>
      </x:c>
      <x:c r="N310" s="83" t="str">
        <x:v>Released</x:v>
      </x:c>
      <x:c r="O310" s="89" t="str">
        <x:v>Form A only; paired alternate retained on the other comprehensive form</x:v>
      </x:c>
    </x:row>
    <x:row r="311">
      <x:c r="A311" s="88" t="str">
        <x:v>CTA-LCSW-MQB-0310</x:v>
      </x:c>
      <x:c r="B311" s="83" t="str">
        <x:v>LCSW-MQB-FA-AP-005</x:v>
      </x:c>
      <x:c r="C311" s="83" t="str">
        <x:v>LCSW 2026 Comprehensive Simulation Form A</x:v>
      </x:c>
      <x:c r="D311" s="83" t="n">
        <x:v>106</x:v>
      </x:c>
      <x:c r="E311" s="83" t="str">
        <x:v>Pretest-Style</x:v>
      </x:c>
      <x:c r="F311" s="83" t="str">
        <x:v>II. Assessment and Planning</x:v>
      </x:c>
      <x:c r="G311" s="83" t="str">
        <x:v>Open-ended assessment</x:v>
      </x:c>
      <x:c r="H311" s="83" t="str">
        <x:v>Easy</x:v>
      </x:c>
      <x:c r="I311" s="83" t="str">
        <x:v>Application</x:v>
      </x:c>
      <x:c r="J311" s="83" t="n">
        <x:v>3</x:v>
      </x:c>
      <x:c r="K311" s="83" t="str">
        <x:v>A</x:v>
      </x:c>
      <x:c r="L311" s="83" t="n">
        <x:v>1</x:v>
      </x:c>
      <x:c r="M311" s="83" t="str">
        <x:v>LCSW-ALT-005</x:v>
      </x:c>
      <x:c r="N311" s="83" t="str">
        <x:v>Released</x:v>
      </x:c>
      <x:c r="O311" s="89" t="str">
        <x:v>Form A only; paired alternate retained on the other comprehensive form</x:v>
      </x:c>
    </x:row>
    <x:row r="312">
      <x:c r="A312" s="88" t="str">
        <x:v>CTA-LCSW-MQB-0311</x:v>
      </x:c>
      <x:c r="B312" s="83" t="str">
        <x:v>LCSW-MQB-FA-VE-027</x:v>
      </x:c>
      <x:c r="C312" s="83" t="str">
        <x:v>LCSW 2026 Comprehensive Simulation Form A</x:v>
      </x:c>
      <x:c r="D312" s="83" t="n">
        <x:v>107</x:v>
      </x:c>
      <x:c r="E312" s="83" t="str">
        <x:v>Scored-Style</x:v>
      </x:c>
      <x:c r="F312" s="83" t="str">
        <x:v>I. Values and Ethics</x:v>
      </x:c>
      <x:c r="G312" s="83" t="str">
        <x:v>Subpoena response</x:v>
      </x:c>
      <x:c r="H312" s="83" t="str">
        <x:v>Moderate</x:v>
      </x:c>
      <x:c r="I312" s="83" t="str">
        <x:v>Scenario-Based</x:v>
      </x:c>
      <x:c r="J312" s="83" t="n">
        <x:v>3</x:v>
      </x:c>
      <x:c r="K312" s="83" t="str">
        <x:v>A</x:v>
      </x:c>
      <x:c r="L312" s="83" t="n">
        <x:v>1</x:v>
      </x:c>
      <x:c r="M312" s="83" t="str">
        <x:v>LCSW-ALT-105</x:v>
      </x:c>
      <x:c r="N312" s="83" t="str">
        <x:v>Released</x:v>
      </x:c>
      <x:c r="O312" s="89" t="str">
        <x:v>Form A only; paired alternate retained on the other comprehensive form</x:v>
      </x:c>
    </x:row>
    <x:row r="313">
      <x:c r="A313" s="88" t="str">
        <x:v>CTA-LCSW-MQB-0312</x:v>
      </x:c>
      <x:c r="B313" s="83" t="str">
        <x:v>LCSW-MQB-FA-IP-014</x:v>
      </x:c>
      <x:c r="C313" s="83" t="str">
        <x:v>LCSW 2026 Comprehensive Simulation Form A</x:v>
      </x:c>
      <x:c r="D313" s="83" t="n">
        <x:v>108</x:v>
      </x:c>
      <x:c r="E313" s="83" t="str">
        <x:v>Scored-Style</x:v>
      </x:c>
      <x:c r="F313" s="83" t="str">
        <x:v>III. Intervention and Practice</x:v>
      </x:c>
      <x:c r="G313" s="83" t="str">
        <x:v>Grief intervention</x:v>
      </x:c>
      <x:c r="H313" s="83" t="str">
        <x:v>Moderate</x:v>
      </x:c>
      <x:c r="I313" s="83" t="str">
        <x:v>Application</x:v>
      </x:c>
      <x:c r="J313" s="83" t="n">
        <x:v>3</x:v>
      </x:c>
      <x:c r="K313" s="83" t="str">
        <x:v>B</x:v>
      </x:c>
      <x:c r="L313" s="83" t="n">
        <x:v>1</x:v>
      </x:c>
      <x:c r="M313" s="83" t="str">
        <x:v>LCSW-ALT-053</x:v>
      </x:c>
      <x:c r="N313" s="83" t="str">
        <x:v>Released</x:v>
      </x:c>
      <x:c r="O313" s="89" t="str">
        <x:v>Form A only; paired alternate retained on the other comprehensive form</x:v>
      </x:c>
    </x:row>
    <x:row r="314">
      <x:c r="A314" s="88" t="str">
        <x:v>CTA-LCSW-MQB-0313</x:v>
      </x:c>
      <x:c r="B314" s="83" t="str">
        <x:v>LCSW-MQB-FA-VE-035</x:v>
      </x:c>
      <x:c r="C314" s="83" t="str">
        <x:v>LCSW 2026 Comprehensive Simulation Form A</x:v>
      </x:c>
      <x:c r="D314" s="83" t="n">
        <x:v>109</x:v>
      </x:c>
      <x:c r="E314" s="83" t="str">
        <x:v>Scored-Style</x:v>
      </x:c>
      <x:c r="F314" s="83" t="str">
        <x:v>I. Values and Ethics</x:v>
      </x:c>
      <x:c r="G314" s="83" t="str">
        <x:v>Termination and continuity</x:v>
      </x:c>
      <x:c r="H314" s="83" t="str">
        <x:v>Difficult</x:v>
      </x:c>
      <x:c r="I314" s="83" t="str">
        <x:v>Scenario-Based</x:v>
      </x:c>
      <x:c r="J314" s="83" t="n">
        <x:v>4</x:v>
      </x:c>
      <x:c r="K314" s="83" t="str">
        <x:v>D</x:v>
      </x:c>
      <x:c r="L314" s="83" t="n">
        <x:v>1</x:v>
      </x:c>
      <x:c r="M314" s="83" t="str">
        <x:v>LCSW-ALT-113</x:v>
      </x:c>
      <x:c r="N314" s="83" t="str">
        <x:v>Released</x:v>
      </x:c>
      <x:c r="O314" s="89" t="str">
        <x:v>Form A only; paired alternate retained on the other comprehensive form</x:v>
      </x:c>
    </x:row>
    <x:row r="315">
      <x:c r="A315" s="88" t="str">
        <x:v>CTA-LCSW-MQB-0314</x:v>
      </x:c>
      <x:c r="B315" s="83" t="str">
        <x:v>LCSW-MQB-FA-AP-037</x:v>
      </x:c>
      <x:c r="C315" s="83" t="str">
        <x:v>LCSW 2026 Comprehensive Simulation Form A</x:v>
      </x:c>
      <x:c r="D315" s="83" t="n">
        <x:v>110</x:v>
      </x:c>
      <x:c r="E315" s="83" t="str">
        <x:v>Scored-Style</x:v>
      </x:c>
      <x:c r="F315" s="83" t="str">
        <x:v>II. Assessment and Planning</x:v>
      </x:c>
      <x:c r="G315" s="83" t="str">
        <x:v>Medical, medication, and mood differential</x:v>
      </x:c>
      <x:c r="H315" s="83" t="str">
        <x:v>Difficult</x:v>
      </x:c>
      <x:c r="I315" s="83" t="str">
        <x:v>Integrated Clinical Reasoning</x:v>
      </x:c>
      <x:c r="J315" s="83" t="n">
        <x:v>4</x:v>
      </x:c>
      <x:c r="K315" s="83" t="str">
        <x:v>D</x:v>
      </x:c>
      <x:c r="L315" s="83" t="n">
        <x:v>1</x:v>
      </x:c>
      <x:c r="M315" s="83" t="str">
        <x:v>LCSW-ALT-037</x:v>
      </x:c>
      <x:c r="N315" s="83" t="str">
        <x:v>Released</x:v>
      </x:c>
      <x:c r="O315" s="89" t="str">
        <x:v>Form A only; paired alternate retained on the other comprehensive form</x:v>
      </x:c>
    </x:row>
    <x:row r="316">
      <x:c r="A316" s="88" t="str">
        <x:v>CTA-LCSW-MQB-0315</x:v>
      </x:c>
      <x:c r="B316" s="83" t="str">
        <x:v>LCSW-MQB-FA-IP-026</x:v>
      </x:c>
      <x:c r="C316" s="83" t="str">
        <x:v>LCSW 2026 Comprehensive Simulation Form A</x:v>
      </x:c>
      <x:c r="D316" s="83" t="n">
        <x:v>111</x:v>
      </x:c>
      <x:c r="E316" s="83" t="str">
        <x:v>Scored-Style</x:v>
      </x:c>
      <x:c r="F316" s="83" t="str">
        <x:v>III. Intervention and Practice</x:v>
      </x:c>
      <x:c r="G316" s="83" t="str">
        <x:v>Group conflict</x:v>
      </x:c>
      <x:c r="H316" s="83" t="str">
        <x:v>Moderate</x:v>
      </x:c>
      <x:c r="I316" s="83" t="str">
        <x:v>Scenario-Based</x:v>
      </x:c>
      <x:c r="J316" s="83" t="n">
        <x:v>4</x:v>
      </x:c>
      <x:c r="K316" s="83" t="str">
        <x:v>D</x:v>
      </x:c>
      <x:c r="L316" s="83" t="n">
        <x:v>1</x:v>
      </x:c>
      <x:c r="M316" s="83" t="str">
        <x:v>LCSW-ALT-065</x:v>
      </x:c>
      <x:c r="N316" s="83" t="str">
        <x:v>Released</x:v>
      </x:c>
      <x:c r="O316" s="89" t="str">
        <x:v>Form A only; paired alternate retained on the other comprehensive form</x:v>
      </x:c>
    </x:row>
    <x:row r="317">
      <x:c r="A317" s="88" t="str">
        <x:v>CTA-LCSW-MQB-0316</x:v>
      </x:c>
      <x:c r="B317" s="83" t="str">
        <x:v>LCSW-MQB-FA-AP-014</x:v>
      </x:c>
      <x:c r="C317" s="83" t="str">
        <x:v>LCSW 2026 Comprehensive Simulation Form A</x:v>
      </x:c>
      <x:c r="D317" s="83" t="n">
        <x:v>112</x:v>
      </x:c>
      <x:c r="E317" s="83" t="str">
        <x:v>Scored-Style</x:v>
      </x:c>
      <x:c r="F317" s="83" t="str">
        <x:v>II. Assessment and Planning</x:v>
      </x:c>
      <x:c r="G317" s="83" t="str">
        <x:v>Readiness for change</x:v>
      </x:c>
      <x:c r="H317" s="83" t="str">
        <x:v>Moderate</x:v>
      </x:c>
      <x:c r="I317" s="83" t="str">
        <x:v>Application</x:v>
      </x:c>
      <x:c r="J317" s="83" t="n">
        <x:v>3</x:v>
      </x:c>
      <x:c r="K317" s="83" t="str">
        <x:v>C</x:v>
      </x:c>
      <x:c r="L317" s="83" t="n">
        <x:v>1</x:v>
      </x:c>
      <x:c r="M317" s="83" t="str">
        <x:v>LCSW-ALT-014</x:v>
      </x:c>
      <x:c r="N317" s="83" t="str">
        <x:v>Released</x:v>
      </x:c>
      <x:c r="O317" s="89" t="str">
        <x:v>Form A only; paired alternate retained on the other comprehensive form</x:v>
      </x:c>
    </x:row>
    <x:row r="318">
      <x:c r="A318" s="88" t="str">
        <x:v>CTA-LCSW-MQB-0317</x:v>
      </x:c>
      <x:c r="B318" s="83" t="str">
        <x:v>LCSW-MQB-FA-IP-016</x:v>
      </x:c>
      <x:c r="C318" s="83" t="str">
        <x:v>LCSW 2026 Comprehensive Simulation Form A</x:v>
      </x:c>
      <x:c r="D318" s="83" t="n">
        <x:v>113</x:v>
      </x:c>
      <x:c r="E318" s="83" t="str">
        <x:v>Scored-Style</x:v>
      </x:c>
      <x:c r="F318" s="83" t="str">
        <x:v>III. Intervention and Practice</x:v>
      </x:c>
      <x:c r="G318" s="83" t="str">
        <x:v>Research literacy</x:v>
      </x:c>
      <x:c r="H318" s="83" t="str">
        <x:v>Moderate</x:v>
      </x:c>
      <x:c r="I318" s="83" t="str">
        <x:v>Application</x:v>
      </x:c>
      <x:c r="J318" s="83" t="n">
        <x:v>3</x:v>
      </x:c>
      <x:c r="K318" s="83" t="str">
        <x:v>B</x:v>
      </x:c>
      <x:c r="L318" s="83" t="n">
        <x:v>1</x:v>
      </x:c>
      <x:c r="M318" s="83" t="str">
        <x:v>LCSW-ALT-055</x:v>
      </x:c>
      <x:c r="N318" s="83" t="str">
        <x:v>Released</x:v>
      </x:c>
      <x:c r="O318" s="89" t="str">
        <x:v>Form A only; paired alternate retained on the other comprehensive form</x:v>
      </x:c>
    </x:row>
    <x:row r="319">
      <x:c r="A319" s="88" t="str">
        <x:v>CTA-LCSW-MQB-0318</x:v>
      </x:c>
      <x:c r="B319" s="83" t="str">
        <x:v>LCSW-MQB-FA-AP-006</x:v>
      </x:c>
      <x:c r="C319" s="83" t="str">
        <x:v>LCSW 2026 Comprehensive Simulation Form A</x:v>
      </x:c>
      <x:c r="D319" s="83" t="n">
        <x:v>114</x:v>
      </x:c>
      <x:c r="E319" s="83" t="str">
        <x:v>Scored-Style</x:v>
      </x:c>
      <x:c r="F319" s="83" t="str">
        <x:v>II. Assessment and Planning</x:v>
      </x:c>
      <x:c r="G319" s="83" t="str">
        <x:v>Mood and affect</x:v>
      </x:c>
      <x:c r="H319" s="83" t="str">
        <x:v>Easy</x:v>
      </x:c>
      <x:c r="I319" s="83" t="str">
        <x:v>Application</x:v>
      </x:c>
      <x:c r="J319" s="83" t="n">
        <x:v>3</x:v>
      </x:c>
      <x:c r="K319" s="83" t="str">
        <x:v>A</x:v>
      </x:c>
      <x:c r="L319" s="83" t="n">
        <x:v>1</x:v>
      </x:c>
      <x:c r="M319" s="83" t="str">
        <x:v>LCSW-ALT-006</x:v>
      </x:c>
      <x:c r="N319" s="83" t="str">
        <x:v>Released</x:v>
      </x:c>
      <x:c r="O319" s="89" t="str">
        <x:v>Form A only; paired alternate retained on the other comprehensive form</x:v>
      </x:c>
    </x:row>
    <x:row r="320">
      <x:c r="A320" s="88" t="str">
        <x:v>CTA-LCSW-MQB-0319</x:v>
      </x:c>
      <x:c r="B320" s="83" t="str">
        <x:v>LCSW-MQB-FA-IP-027</x:v>
      </x:c>
      <x:c r="C320" s="83" t="str">
        <x:v>LCSW 2026 Comprehensive Simulation Form A</x:v>
      </x:c>
      <x:c r="D320" s="83" t="n">
        <x:v>115</x:v>
      </x:c>
      <x:c r="E320" s="83" t="str">
        <x:v>Scored-Style</x:v>
      </x:c>
      <x:c r="F320" s="83" t="str">
        <x:v>III. Intervention and Practice</x:v>
      </x:c>
      <x:c r="G320" s="83" t="str">
        <x:v>Warm referral</x:v>
      </x:c>
      <x:c r="H320" s="83" t="str">
        <x:v>Moderate</x:v>
      </x:c>
      <x:c r="I320" s="83" t="str">
        <x:v>Scenario-Based</x:v>
      </x:c>
      <x:c r="J320" s="83" t="n">
        <x:v>4</x:v>
      </x:c>
      <x:c r="K320" s="83" t="str">
        <x:v>C</x:v>
      </x:c>
      <x:c r="L320" s="83" t="n">
        <x:v>1</x:v>
      </x:c>
      <x:c r="M320" s="83" t="str">
        <x:v>LCSW-ALT-066</x:v>
      </x:c>
      <x:c r="N320" s="83" t="str">
        <x:v>Released</x:v>
      </x:c>
      <x:c r="O320" s="89" t="str">
        <x:v>Form A only; paired alternate retained on the other comprehensive form</x:v>
      </x:c>
    </x:row>
    <x:row r="321">
      <x:c r="A321" s="88" t="str">
        <x:v>CTA-LCSW-MQB-0320</x:v>
      </x:c>
      <x:c r="B321" s="83" t="str">
        <x:v>LCSW-MQB-FA-VE-041</x:v>
      </x:c>
      <x:c r="C321" s="83" t="str">
        <x:v>LCSW 2026 Comprehensive Simulation Form A</x:v>
      </x:c>
      <x:c r="D321" s="83" t="n">
        <x:v>116</x:v>
      </x:c>
      <x:c r="E321" s="83" t="str">
        <x:v>Scored-Style</x:v>
      </x:c>
      <x:c r="F321" s="83" t="str">
        <x:v>I. Values and Ethics</x:v>
      </x:c>
      <x:c r="G321" s="83" t="str">
        <x:v>Supervision and documentation</x:v>
      </x:c>
      <x:c r="H321" s="83" t="str">
        <x:v>Difficult</x:v>
      </x:c>
      <x:c r="I321" s="83" t="str">
        <x:v>Integrated Clinical Reasoning</x:v>
      </x:c>
      <x:c r="J321" s="83" t="n">
        <x:v>4</x:v>
      </x:c>
      <x:c r="K321" s="83" t="str">
        <x:v>C</x:v>
      </x:c>
      <x:c r="L321" s="83" t="n">
        <x:v>1</x:v>
      </x:c>
      <x:c r="M321" s="83" t="str">
        <x:v>LCSW-ALT-119</x:v>
      </x:c>
      <x:c r="N321" s="83" t="str">
        <x:v>Released</x:v>
      </x:c>
      <x:c r="O321" s="89" t="str">
        <x:v>Form A only; paired alternate retained on the other comprehensive form</x:v>
      </x:c>
    </x:row>
    <x:row r="322">
      <x:c r="A322" s="88" t="str">
        <x:v>CTA-LCSW-MQB-0321</x:v>
      </x:c>
      <x:c r="B322" s="83" t="str">
        <x:v>LCSW-MQB-FA-VE-040</x:v>
      </x:c>
      <x:c r="C322" s="83" t="str">
        <x:v>LCSW 2026 Comprehensive Simulation Form A</x:v>
      </x:c>
      <x:c r="D322" s="83" t="n">
        <x:v>117</x:v>
      </x:c>
      <x:c r="E322" s="83" t="str">
        <x:v>Scored-Style</x:v>
      </x:c>
      <x:c r="F322" s="83" t="str">
        <x:v>I. Values and Ethics</x:v>
      </x:c>
      <x:c r="G322" s="83" t="str">
        <x:v>Technology, consent, and equity</x:v>
      </x:c>
      <x:c r="H322" s="83" t="str">
        <x:v>Difficult</x:v>
      </x:c>
      <x:c r="I322" s="83" t="str">
        <x:v>Integrated Clinical Reasoning</x:v>
      </x:c>
      <x:c r="J322" s="83" t="n">
        <x:v>4</x:v>
      </x:c>
      <x:c r="K322" s="83" t="str">
        <x:v>D</x:v>
      </x:c>
      <x:c r="L322" s="83" t="n">
        <x:v>1</x:v>
      </x:c>
      <x:c r="M322" s="83" t="str">
        <x:v>LCSW-ALT-118</x:v>
      </x:c>
      <x:c r="N322" s="83" t="str">
        <x:v>Released</x:v>
      </x:c>
      <x:c r="O322" s="89" t="str">
        <x:v>Form A only; paired alternate retained on the other comprehensive form</x:v>
      </x:c>
    </x:row>
    <x:row r="323">
      <x:c r="A323" s="88" t="str">
        <x:v>CTA-LCSW-MQB-0322</x:v>
      </x:c>
      <x:c r="B323" s="83" t="str">
        <x:v>LCSW-MQB-FA-IP-025</x:v>
      </x:c>
      <x:c r="C323" s="83" t="str">
        <x:v>LCSW 2026 Comprehensive Simulation Form A</x:v>
      </x:c>
      <x:c r="D323" s="83" t="n">
        <x:v>118</x:v>
      </x:c>
      <x:c r="E323" s="83" t="str">
        <x:v>Scored-Style</x:v>
      </x:c>
      <x:c r="F323" s="83" t="str">
        <x:v>III. Intervention and Practice</x:v>
      </x:c>
      <x:c r="G323" s="83" t="str">
        <x:v>Family conflict and safety</x:v>
      </x:c>
      <x:c r="H323" s="83" t="str">
        <x:v>Moderate</x:v>
      </x:c>
      <x:c r="I323" s="83" t="str">
        <x:v>Scenario-Based</x:v>
      </x:c>
      <x:c r="J323" s="83" t="n">
        <x:v>4</x:v>
      </x:c>
      <x:c r="K323" s="83" t="str">
        <x:v>C</x:v>
      </x:c>
      <x:c r="L323" s="83" t="n">
        <x:v>1</x:v>
      </x:c>
      <x:c r="M323" s="83" t="str">
        <x:v>LCSW-ALT-064</x:v>
      </x:c>
      <x:c r="N323" s="83" t="str">
        <x:v>Released</x:v>
      </x:c>
      <x:c r="O323" s="89" t="str">
        <x:v>Form A only; paired alternate retained on the other comprehensive form</x:v>
      </x:c>
    </x:row>
    <x:row r="324">
      <x:c r="A324" s="88" t="str">
        <x:v>CTA-LCSW-MQB-0323</x:v>
      </x:c>
      <x:c r="B324" s="83" t="str">
        <x:v>LCSW-MQB-FA-IP-018</x:v>
      </x:c>
      <x:c r="C324" s="83" t="str">
        <x:v>LCSW 2026 Comprehensive Simulation Form A</x:v>
      </x:c>
      <x:c r="D324" s="83" t="n">
        <x:v>119</x:v>
      </x:c>
      <x:c r="E324" s="83" t="str">
        <x:v>Scored-Style</x:v>
      </x:c>
      <x:c r="F324" s="83" t="str">
        <x:v>III. Intervention and Practice</x:v>
      </x:c>
      <x:c r="G324" s="83" t="str">
        <x:v>Termination review</x:v>
      </x:c>
      <x:c r="H324" s="83" t="str">
        <x:v>Moderate</x:v>
      </x:c>
      <x:c r="I324" s="83" t="str">
        <x:v>Application</x:v>
      </x:c>
      <x:c r="J324" s="83" t="n">
        <x:v>3</x:v>
      </x:c>
      <x:c r="K324" s="83" t="str">
        <x:v>C</x:v>
      </x:c>
      <x:c r="L324" s="83" t="n">
        <x:v>1</x:v>
      </x:c>
      <x:c r="M324" s="83" t="str">
        <x:v>LCSW-ALT-057</x:v>
      </x:c>
      <x:c r="N324" s="83" t="str">
        <x:v>Released</x:v>
      </x:c>
      <x:c r="O324" s="89" t="str">
        <x:v>Form A only; paired alternate retained on the other comprehensive form</x:v>
      </x:c>
    </x:row>
    <x:row r="325">
      <x:c r="A325" s="88" t="str">
        <x:v>CTA-LCSW-MQB-0324</x:v>
      </x:c>
      <x:c r="B325" s="83" t="str">
        <x:v>LCSW-MQB-FA-AP-026</x:v>
      </x:c>
      <x:c r="C325" s="83" t="str">
        <x:v>LCSW 2026 Comprehensive Simulation Form A</x:v>
      </x:c>
      <x:c r="D325" s="83" t="n">
        <x:v>120</x:v>
      </x:c>
      <x:c r="E325" s="83" t="str">
        <x:v>Scored-Style</x:v>
      </x:c>
      <x:c r="F325" s="83" t="str">
        <x:v>II. Assessment and Planning</x:v>
      </x:c>
      <x:c r="G325" s="83" t="str">
        <x:v>Psychosis and culture</x:v>
      </x:c>
      <x:c r="H325" s="83" t="str">
        <x:v>Moderate</x:v>
      </x:c>
      <x:c r="I325" s="83" t="str">
        <x:v>Scenario-Based</x:v>
      </x:c>
      <x:c r="J325" s="83" t="n">
        <x:v>4</x:v>
      </x:c>
      <x:c r="K325" s="83" t="str">
        <x:v>B</x:v>
      </x:c>
      <x:c r="L325" s="83" t="n">
        <x:v>1</x:v>
      </x:c>
      <x:c r="M325" s="83" t="str">
        <x:v>LCSW-ALT-026</x:v>
      </x:c>
      <x:c r="N325" s="83" t="str">
        <x:v>Released</x:v>
      </x:c>
      <x:c r="O325" s="89" t="str">
        <x:v>Form A only; paired alternate retained on the other comprehensive form</x:v>
      </x:c>
    </x:row>
    <x:row r="326">
      <x:c r="A326" s="88" t="str">
        <x:v>CTA-LCSW-MQB-0325</x:v>
      </x:c>
      <x:c r="B326" s="83" t="str">
        <x:v>LCSW-MQB-FA-AP-017</x:v>
      </x:c>
      <x:c r="C326" s="83" t="str">
        <x:v>LCSW 2026 Comprehensive Simulation Form A</x:v>
      </x:c>
      <x:c r="D326" s="83" t="n">
        <x:v>121</x:v>
      </x:c>
      <x:c r="E326" s="83" t="str">
        <x:v>Scored-Style</x:v>
      </x:c>
      <x:c r="F326" s="83" t="str">
        <x:v>II. Assessment and Planning</x:v>
      </x:c>
      <x:c r="G326" s="83" t="str">
        <x:v>Grief assessment</x:v>
      </x:c>
      <x:c r="H326" s="83" t="str">
        <x:v>Moderate</x:v>
      </x:c>
      <x:c r="I326" s="83" t="str">
        <x:v>Application</x:v>
      </x:c>
      <x:c r="J326" s="83" t="n">
        <x:v>3</x:v>
      </x:c>
      <x:c r="K326" s="83" t="str">
        <x:v>A</x:v>
      </x:c>
      <x:c r="L326" s="83" t="n">
        <x:v>1</x:v>
      </x:c>
      <x:c r="M326" s="83" t="str">
        <x:v>LCSW-ALT-017</x:v>
      </x:c>
      <x:c r="N326" s="83" t="str">
        <x:v>Released</x:v>
      </x:c>
      <x:c r="O326" s="89" t="str">
        <x:v>Form A only; paired alternate retained on the other comprehensive form</x:v>
      </x:c>
    </x:row>
    <x:row r="327">
      <x:c r="A327" s="88" t="str">
        <x:v>CTA-LCSW-MQB-0326</x:v>
      </x:c>
      <x:c r="B327" s="83" t="str">
        <x:v>LCSW-MQB-FA-IP-034</x:v>
      </x:c>
      <x:c r="C327" s="83" t="str">
        <x:v>LCSW 2026 Comprehensive Simulation Form A</x:v>
      </x:c>
      <x:c r="D327" s="83" t="n">
        <x:v>122</x:v>
      </x:c>
      <x:c r="E327" s="83" t="str">
        <x:v>Scored-Style</x:v>
      </x:c>
      <x:c r="F327" s="83" t="str">
        <x:v>III. Intervention and Practice</x:v>
      </x:c>
      <x:c r="G327" s="83" t="str">
        <x:v>Crisis, housing, and continuity</x:v>
      </x:c>
      <x:c r="H327" s="83" t="str">
        <x:v>Difficult</x:v>
      </x:c>
      <x:c r="I327" s="83" t="str">
        <x:v>Integrated Clinical Reasoning</x:v>
      </x:c>
      <x:c r="J327" s="83" t="n">
        <x:v>4</x:v>
      </x:c>
      <x:c r="K327" s="83" t="str">
        <x:v>B</x:v>
      </x:c>
      <x:c r="L327" s="83" t="n">
        <x:v>1</x:v>
      </x:c>
      <x:c r="M327" s="83" t="str">
        <x:v>LCSW-ALT-073</x:v>
      </x:c>
      <x:c r="N327" s="83" t="str">
        <x:v>Released</x:v>
      </x:c>
      <x:c r="O327" s="89" t="str">
        <x:v>Form A only; paired alternate retained on the other comprehensive form</x:v>
      </x:c>
    </x:row>
    <x:row r="328">
      <x:c r="A328" s="88" t="str">
        <x:v>CTA-LCSW-MQB-0327</x:v>
      </x:c>
      <x:c r="B328" s="83" t="str">
        <x:v>LCSW-MQB-FB-AP-034</x:v>
      </x:c>
      <x:c r="C328" s="83" t="str">
        <x:v>LCSW 2026 Comprehensive Simulation Form B</x:v>
      </x:c>
      <x:c r="D328" s="83" t="n">
        <x:v>1</x:v>
      </x:c>
      <x:c r="E328" s="83" t="str">
        <x:v>Scored-Style</x:v>
      </x:c>
      <x:c r="F328" s="83" t="str">
        <x:v>II. Assessment and Planning</x:v>
      </x:c>
      <x:c r="G328" s="83" t="str">
        <x:v>Acute confusion and risk</x:v>
      </x:c>
      <x:c r="H328" s="83" t="str">
        <x:v>Difficult</x:v>
      </x:c>
      <x:c r="I328" s="83" t="str">
        <x:v>Integrated Clinical Reasoning</x:v>
      </x:c>
      <x:c r="J328" s="83" t="n">
        <x:v>4</x:v>
      </x:c>
      <x:c r="K328" s="83" t="str">
        <x:v>C</x:v>
      </x:c>
      <x:c r="L328" s="83" t="n">
        <x:v>1</x:v>
      </x:c>
      <x:c r="M328" s="83" t="str">
        <x:v>LCSW-ALT-034</x:v>
      </x:c>
      <x:c r="N328" s="83" t="str">
        <x:v>Released</x:v>
      </x:c>
      <x:c r="O328" s="89" t="str">
        <x:v>Form B only; paired alternate retained on the other comprehensive form</x:v>
      </x:c>
    </x:row>
    <x:row r="329">
      <x:c r="A329" s="88" t="str">
        <x:v>CTA-LCSW-MQB-0328</x:v>
      </x:c>
      <x:c r="B329" s="83" t="str">
        <x:v>LCSW-MQB-FB-IP-008</x:v>
      </x:c>
      <x:c r="C329" s="83" t="str">
        <x:v>LCSW 2026 Comprehensive Simulation Form B</x:v>
      </x:c>
      <x:c r="D329" s="83" t="n">
        <x:v>2</x:v>
      </x:c>
      <x:c r="E329" s="83" t="str">
        <x:v>Scored-Style</x:v>
      </x:c>
      <x:c r="F329" s="83" t="str">
        <x:v>III. Intervention and Practice</x:v>
      </x:c>
      <x:c r="G329" s="83" t="str">
        <x:v>Case management</x:v>
      </x:c>
      <x:c r="H329" s="83" t="str">
        <x:v>Easy</x:v>
      </x:c>
      <x:c r="I329" s="83" t="str">
        <x:v>Application</x:v>
      </x:c>
      <x:c r="J329" s="83" t="n">
        <x:v>3</x:v>
      </x:c>
      <x:c r="K329" s="83" t="str">
        <x:v>B</x:v>
      </x:c>
      <x:c r="L329" s="83" t="n">
        <x:v>1</x:v>
      </x:c>
      <x:c r="M329" s="83" t="str">
        <x:v>LCSW-ALT-047</x:v>
      </x:c>
      <x:c r="N329" s="83" t="str">
        <x:v>Released</x:v>
      </x:c>
      <x:c r="O329" s="89" t="str">
        <x:v>Form B only; paired alternate retained on the other comprehensive form</x:v>
      </x:c>
    </x:row>
    <x:row r="330">
      <x:c r="A330" s="88" t="str">
        <x:v>CTA-LCSW-MQB-0329</x:v>
      </x:c>
      <x:c r="B330" s="83" t="str">
        <x:v>LCSW-MQB-FB-AP-018</x:v>
      </x:c>
      <x:c r="C330" s="83" t="str">
        <x:v>LCSW 2026 Comprehensive Simulation Form B</x:v>
      </x:c>
      <x:c r="D330" s="83" t="n">
        <x:v>3</x:v>
      </x:c>
      <x:c r="E330" s="83" t="str">
        <x:v>Scored-Style</x:v>
      </x:c>
      <x:c r="F330" s="83" t="str">
        <x:v>II. Assessment and Planning</x:v>
      </x:c>
      <x:c r="G330" s="83" t="str">
        <x:v>Medical rule-out</x:v>
      </x:c>
      <x:c r="H330" s="83" t="str">
        <x:v>Moderate</x:v>
      </x:c>
      <x:c r="I330" s="83" t="str">
        <x:v>Application</x:v>
      </x:c>
      <x:c r="J330" s="83" t="n">
        <x:v>3</x:v>
      </x:c>
      <x:c r="K330" s="83" t="str">
        <x:v>A</x:v>
      </x:c>
      <x:c r="L330" s="83" t="n">
        <x:v>1</x:v>
      </x:c>
      <x:c r="M330" s="83" t="str">
        <x:v>LCSW-ALT-018</x:v>
      </x:c>
      <x:c r="N330" s="83" t="str">
        <x:v>Released</x:v>
      </x:c>
      <x:c r="O330" s="89" t="str">
        <x:v>Form B only; paired alternate retained on the other comprehensive form</x:v>
      </x:c>
    </x:row>
    <x:row r="331">
      <x:c r="A331" s="88" t="str">
        <x:v>CTA-LCSW-MQB-0330</x:v>
      </x:c>
      <x:c r="B331" s="83" t="str">
        <x:v>LCSW-MQB-FB-VE-029</x:v>
      </x:c>
      <x:c r="C331" s="83" t="str">
        <x:v>LCSW 2026 Comprehensive Simulation Form B</x:v>
      </x:c>
      <x:c r="D331" s="83" t="n">
        <x:v>4</x:v>
      </x:c>
      <x:c r="E331" s="83" t="str">
        <x:v>Scored-Style</x:v>
      </x:c>
      <x:c r="F331" s="83" t="str">
        <x:v>I. Values and Ethics</x:v>
      </x:c>
      <x:c r="G331" s="83" t="str">
        <x:v>Social justice and service barriers</x:v>
      </x:c>
      <x:c r="H331" s="83" t="str">
        <x:v>Moderate</x:v>
      </x:c>
      <x:c r="I331" s="83" t="str">
        <x:v>Scenario-Based</x:v>
      </x:c>
      <x:c r="J331" s="83" t="n">
        <x:v>4</x:v>
      </x:c>
      <x:c r="K331" s="83" t="str">
        <x:v>A</x:v>
      </x:c>
      <x:c r="L331" s="83" t="n">
        <x:v>1</x:v>
      </x:c>
      <x:c r="M331" s="83" t="str">
        <x:v>LCSW-ALT-107</x:v>
      </x:c>
      <x:c r="N331" s="83" t="str">
        <x:v>Released</x:v>
      </x:c>
      <x:c r="O331" s="89" t="str">
        <x:v>Form B only; paired alternate retained on the other comprehensive form</x:v>
      </x:c>
    </x:row>
    <x:row r="332">
      <x:c r="A332" s="88" t="str">
        <x:v>CTA-LCSW-MQB-0331</x:v>
      </x:c>
      <x:c r="B332" s="83" t="str">
        <x:v>LCSW-MQB-FB-VE-009</x:v>
      </x:c>
      <x:c r="C332" s="83" t="str">
        <x:v>LCSW 2026 Comprehensive Simulation Form B</x:v>
      </x:c>
      <x:c r="D332" s="83" t="n">
        <x:v>5</x:v>
      </x:c>
      <x:c r="E332" s="83" t="str">
        <x:v>Scored-Style</x:v>
      </x:c>
      <x:c r="F332" s="83" t="str">
        <x:v>I. Values and Ethics</x:v>
      </x:c>
      <x:c r="G332" s="83" t="str">
        <x:v>Social media boundaries</x:v>
      </x:c>
      <x:c r="H332" s="83" t="str">
        <x:v>Easy</x:v>
      </x:c>
      <x:c r="I332" s="83" t="str">
        <x:v>Application</x:v>
      </x:c>
      <x:c r="J332" s="83" t="n">
        <x:v>3</x:v>
      </x:c>
      <x:c r="K332" s="83" t="str">
        <x:v>C</x:v>
      </x:c>
      <x:c r="L332" s="83" t="n">
        <x:v>1</x:v>
      </x:c>
      <x:c r="M332" s="83" t="str">
        <x:v>LCSW-ALT-087</x:v>
      </x:c>
      <x:c r="N332" s="83" t="str">
        <x:v>Released</x:v>
      </x:c>
      <x:c r="O332" s="89" t="str">
        <x:v>Form B only; paired alternate retained on the other comprehensive form</x:v>
      </x:c>
    </x:row>
    <x:row r="333">
      <x:c r="A333" s="88" t="str">
        <x:v>CTA-LCSW-MQB-0332</x:v>
      </x:c>
      <x:c r="B333" s="83" t="str">
        <x:v>LCSW-MQB-FB-AP-033</x:v>
      </x:c>
      <x:c r="C333" s="83" t="str">
        <x:v>LCSW 2026 Comprehensive Simulation Form B</x:v>
      </x:c>
      <x:c r="D333" s="83" t="n">
        <x:v>6</x:v>
      </x:c>
      <x:c r="E333" s="83" t="str">
        <x:v>Scored-Style</x:v>
      </x:c>
      <x:c r="F333" s="83" t="str">
        <x:v>II. Assessment and Planning</x:v>
      </x:c>
      <x:c r="G333" s="83" t="str">
        <x:v>Diagnosis and grief</x:v>
      </x:c>
      <x:c r="H333" s="83" t="str">
        <x:v>Difficult</x:v>
      </x:c>
      <x:c r="I333" s="83" t="str">
        <x:v>Scenario-Based</x:v>
      </x:c>
      <x:c r="J333" s="83" t="n">
        <x:v>4</x:v>
      </x:c>
      <x:c r="K333" s="83" t="str">
        <x:v>B</x:v>
      </x:c>
      <x:c r="L333" s="83" t="n">
        <x:v>1</x:v>
      </x:c>
      <x:c r="M333" s="83" t="str">
        <x:v>LCSW-ALT-033</x:v>
      </x:c>
      <x:c r="N333" s="83" t="str">
        <x:v>Released</x:v>
      </x:c>
      <x:c r="O333" s="89" t="str">
        <x:v>Form B only; paired alternate retained on the other comprehensive form</x:v>
      </x:c>
    </x:row>
    <x:row r="334">
      <x:c r="A334" s="88" t="str">
        <x:v>CTA-LCSW-MQB-0333</x:v>
      </x:c>
      <x:c r="B334" s="83" t="str">
        <x:v>LCSW-MQB-FB-VE-025</x:v>
      </x:c>
      <x:c r="C334" s="83" t="str">
        <x:v>LCSW 2026 Comprehensive Simulation Form B</x:v>
      </x:c>
      <x:c r="D334" s="83" t="n">
        <x:v>7</x:v>
      </x:c>
      <x:c r="E334" s="83" t="str">
        <x:v>Scored-Style</x:v>
      </x:c>
      <x:c r="F334" s="83" t="str">
        <x:v>I. Values and Ethics</x:v>
      </x:c>
      <x:c r="G334" s="83" t="str">
        <x:v>Boundary drift</x:v>
      </x:c>
      <x:c r="H334" s="83" t="str">
        <x:v>Moderate</x:v>
      </x:c>
      <x:c r="I334" s="83" t="str">
        <x:v>Scenario-Based</x:v>
      </x:c>
      <x:c r="J334" s="83" t="n">
        <x:v>3</x:v>
      </x:c>
      <x:c r="K334" s="83" t="str">
        <x:v>B</x:v>
      </x:c>
      <x:c r="L334" s="83" t="n">
        <x:v>1</x:v>
      </x:c>
      <x:c r="M334" s="83" t="str">
        <x:v>LCSW-ALT-103</x:v>
      </x:c>
      <x:c r="N334" s="83" t="str">
        <x:v>Released</x:v>
      </x:c>
      <x:c r="O334" s="89" t="str">
        <x:v>Form B only; paired alternate retained on the other comprehensive form</x:v>
      </x:c>
    </x:row>
    <x:row r="335">
      <x:c r="A335" s="88" t="str">
        <x:v>CTA-LCSW-MQB-0334</x:v>
      </x:c>
      <x:c r="B335" s="83" t="str">
        <x:v>LCSW-MQB-FB-VE-040</x:v>
      </x:c>
      <x:c r="C335" s="83" t="str">
        <x:v>LCSW 2026 Comprehensive Simulation Form B</x:v>
      </x:c>
      <x:c r="D335" s="83" t="n">
        <x:v>8</x:v>
      </x:c>
      <x:c r="E335" s="83" t="str">
        <x:v>Scored-Style</x:v>
      </x:c>
      <x:c r="F335" s="83" t="str">
        <x:v>I. Values and Ethics</x:v>
      </x:c>
      <x:c r="G335" s="83" t="str">
        <x:v>Technology, consent, and equity</x:v>
      </x:c>
      <x:c r="H335" s="83" t="str">
        <x:v>Difficult</x:v>
      </x:c>
      <x:c r="I335" s="83" t="str">
        <x:v>Integrated Clinical Reasoning</x:v>
      </x:c>
      <x:c r="J335" s="83" t="n">
        <x:v>4</x:v>
      </x:c>
      <x:c r="K335" s="83" t="str">
        <x:v>D</x:v>
      </x:c>
      <x:c r="L335" s="83" t="n">
        <x:v>1</x:v>
      </x:c>
      <x:c r="M335" s="83" t="str">
        <x:v>LCSW-ALT-118</x:v>
      </x:c>
      <x:c r="N335" s="83" t="str">
        <x:v>Released</x:v>
      </x:c>
      <x:c r="O335" s="89" t="str">
        <x:v>Form B only; paired alternate retained on the other comprehensive form</x:v>
      </x:c>
    </x:row>
    <x:row r="336">
      <x:c r="A336" s="88" t="str">
        <x:v>CTA-LCSW-MQB-0335</x:v>
      </x:c>
      <x:c r="B336" s="83" t="str">
        <x:v>LCSW-MQB-FB-IP-014</x:v>
      </x:c>
      <x:c r="C336" s="83" t="str">
        <x:v>LCSW 2026 Comprehensive Simulation Form B</x:v>
      </x:c>
      <x:c r="D336" s="83" t="n">
        <x:v>9</x:v>
      </x:c>
      <x:c r="E336" s="83" t="str">
        <x:v>Scored-Style</x:v>
      </x:c>
      <x:c r="F336" s="83" t="str">
        <x:v>III. Intervention and Practice</x:v>
      </x:c>
      <x:c r="G336" s="83" t="str">
        <x:v>Grief intervention</x:v>
      </x:c>
      <x:c r="H336" s="83" t="str">
        <x:v>Moderate</x:v>
      </x:c>
      <x:c r="I336" s="83" t="str">
        <x:v>Application</x:v>
      </x:c>
      <x:c r="J336" s="83" t="n">
        <x:v>3</x:v>
      </x:c>
      <x:c r="K336" s="83" t="str">
        <x:v>C</x:v>
      </x:c>
      <x:c r="L336" s="83" t="n">
        <x:v>1</x:v>
      </x:c>
      <x:c r="M336" s="83" t="str">
        <x:v>LCSW-ALT-053</x:v>
      </x:c>
      <x:c r="N336" s="83" t="str">
        <x:v>Released</x:v>
      </x:c>
      <x:c r="O336" s="89" t="str">
        <x:v>Form B only; paired alternate retained on the other comprehensive form</x:v>
      </x:c>
    </x:row>
    <x:row r="337">
      <x:c r="A337" s="88" t="str">
        <x:v>CTA-LCSW-MQB-0336</x:v>
      </x:c>
      <x:c r="B337" s="83" t="str">
        <x:v>LCSW-MQB-FB-VE-031</x:v>
      </x:c>
      <x:c r="C337" s="83" t="str">
        <x:v>LCSW 2026 Comprehensive Simulation Form B</x:v>
      </x:c>
      <x:c r="D337" s="83" t="n">
        <x:v>10</x:v>
      </x:c>
      <x:c r="E337" s="83" t="str">
        <x:v>Scored-Style</x:v>
      </x:c>
      <x:c r="F337" s="83" t="str">
        <x:v>I. Values and Ethics</x:v>
      </x:c>
      <x:c r="G337" s="83" t="str">
        <x:v>Research participation</x:v>
      </x:c>
      <x:c r="H337" s="83" t="str">
        <x:v>Moderate</x:v>
      </x:c>
      <x:c r="I337" s="83" t="str">
        <x:v>Scenario-Based</x:v>
      </x:c>
      <x:c r="J337" s="83" t="n">
        <x:v>4</x:v>
      </x:c>
      <x:c r="K337" s="83" t="str">
        <x:v>C</x:v>
      </x:c>
      <x:c r="L337" s="83" t="n">
        <x:v>1</x:v>
      </x:c>
      <x:c r="M337" s="83" t="str">
        <x:v>LCSW-ALT-109</x:v>
      </x:c>
      <x:c r="N337" s="83" t="str">
        <x:v>Released</x:v>
      </x:c>
      <x:c r="O337" s="89" t="str">
        <x:v>Form B only; paired alternate retained on the other comprehensive form</x:v>
      </x:c>
    </x:row>
    <x:row r="338">
      <x:c r="A338" s="88" t="str">
        <x:v>CTA-LCSW-MQB-0337</x:v>
      </x:c>
      <x:c r="B338" s="83" t="str">
        <x:v>LCSW-MQB-FB-AP-022</x:v>
      </x:c>
      <x:c r="C338" s="83" t="str">
        <x:v>LCSW 2026 Comprehensive Simulation Form B</x:v>
      </x:c>
      <x:c r="D338" s="83" t="n">
        <x:v>11</x:v>
      </x:c>
      <x:c r="E338" s="83" t="str">
        <x:v>Scored-Style</x:v>
      </x:c>
      <x:c r="F338" s="83" t="str">
        <x:v>II. Assessment and Planning</x:v>
      </x:c>
      <x:c r="G338" s="83" t="str">
        <x:v>Violence risk</x:v>
      </x:c>
      <x:c r="H338" s="83" t="str">
        <x:v>Moderate</x:v>
      </x:c>
      <x:c r="I338" s="83" t="str">
        <x:v>Scenario-Based</x:v>
      </x:c>
      <x:c r="J338" s="83" t="n">
        <x:v>3</x:v>
      </x:c>
      <x:c r="K338" s="83" t="str">
        <x:v>C</x:v>
      </x:c>
      <x:c r="L338" s="83" t="n">
        <x:v>1</x:v>
      </x:c>
      <x:c r="M338" s="83" t="str">
        <x:v>LCSW-ALT-022</x:v>
      </x:c>
      <x:c r="N338" s="83" t="str">
        <x:v>Released</x:v>
      </x:c>
      <x:c r="O338" s="89" t="str">
        <x:v>Form B only; paired alternate retained on the other comprehensive form</x:v>
      </x:c>
    </x:row>
    <x:row r="339">
      <x:c r="A339" s="88" t="str">
        <x:v>CTA-LCSW-MQB-0338</x:v>
      </x:c>
      <x:c r="B339" s="83" t="str">
        <x:v>LCSW-MQB-FB-IP-006</x:v>
      </x:c>
      <x:c r="C339" s="83" t="str">
        <x:v>LCSW 2026 Comprehensive Simulation Form B</x:v>
      </x:c>
      <x:c r="D339" s="83" t="n">
        <x:v>12</x:v>
      </x:c>
      <x:c r="E339" s="83" t="str">
        <x:v>Scored-Style</x:v>
      </x:c>
      <x:c r="F339" s="83" t="str">
        <x:v>III. Intervention and Practice</x:v>
      </x:c>
      <x:c r="G339" s="83" t="str">
        <x:v>Solution-focused exceptions</x:v>
      </x:c>
      <x:c r="H339" s="83" t="str">
        <x:v>Easy</x:v>
      </x:c>
      <x:c r="I339" s="83" t="str">
        <x:v>Application</x:v>
      </x:c>
      <x:c r="J339" s="83" t="n">
        <x:v>3</x:v>
      </x:c>
      <x:c r="K339" s="83" t="str">
        <x:v>A</x:v>
      </x:c>
      <x:c r="L339" s="83" t="n">
        <x:v>1</x:v>
      </x:c>
      <x:c r="M339" s="83" t="str">
        <x:v>LCSW-ALT-045</x:v>
      </x:c>
      <x:c r="N339" s="83" t="str">
        <x:v>Released</x:v>
      </x:c>
      <x:c r="O339" s="89" t="str">
        <x:v>Form B only; paired alternate retained on the other comprehensive form</x:v>
      </x:c>
    </x:row>
    <x:row r="340">
      <x:c r="A340" s="88" t="str">
        <x:v>CTA-LCSW-MQB-0339</x:v>
      </x:c>
      <x:c r="B340" s="83" t="str">
        <x:v>LCSW-MQB-FB-VE-032</x:v>
      </x:c>
      <x:c r="C340" s="83" t="str">
        <x:v>LCSW 2026 Comprehensive Simulation Form B</x:v>
      </x:c>
      <x:c r="D340" s="83" t="n">
        <x:v>13</x:v>
      </x:c>
      <x:c r="E340" s="83" t="str">
        <x:v>Scored-Style</x:v>
      </x:c>
      <x:c r="F340" s="83" t="str">
        <x:v>I. Values and Ethics</x:v>
      </x:c>
      <x:c r="G340" s="83" t="str">
        <x:v>Telehealth privacy</x:v>
      </x:c>
      <x:c r="H340" s="83" t="str">
        <x:v>Moderate</x:v>
      </x:c>
      <x:c r="I340" s="83" t="str">
        <x:v>Scenario-Based</x:v>
      </x:c>
      <x:c r="J340" s="83" t="n">
        <x:v>4</x:v>
      </x:c>
      <x:c r="K340" s="83" t="str">
        <x:v>C</x:v>
      </x:c>
      <x:c r="L340" s="83" t="n">
        <x:v>1</x:v>
      </x:c>
      <x:c r="M340" s="83" t="str">
        <x:v>LCSW-ALT-110</x:v>
      </x:c>
      <x:c r="N340" s="83" t="str">
        <x:v>Released</x:v>
      </x:c>
      <x:c r="O340" s="89" t="str">
        <x:v>Form B only; paired alternate retained on the other comprehensive form</x:v>
      </x:c>
    </x:row>
    <x:row r="341">
      <x:c r="A341" s="88" t="str">
        <x:v>CTA-LCSW-MQB-0340</x:v>
      </x:c>
      <x:c r="B341" s="83" t="str">
        <x:v>LCSW-MQB-FB-AP-004</x:v>
      </x:c>
      <x:c r="C341" s="83" t="str">
        <x:v>LCSW 2026 Comprehensive Simulation Form B</x:v>
      </x:c>
      <x:c r="D341" s="83" t="n">
        <x:v>14</x:v>
      </x:c>
      <x:c r="E341" s="83" t="str">
        <x:v>Scored-Style</x:v>
      </x:c>
      <x:c r="F341" s="83" t="str">
        <x:v>II. Assessment and Planning</x:v>
      </x:c>
      <x:c r="G341" s="83" t="str">
        <x:v>Provisional diagnosis</x:v>
      </x:c>
      <x:c r="H341" s="83" t="str">
        <x:v>Easy</x:v>
      </x:c>
      <x:c r="I341" s="83" t="str">
        <x:v>Knowledge &amp; Recall</x:v>
      </x:c>
      <x:c r="J341" s="83" t="n">
        <x:v>3</x:v>
      </x:c>
      <x:c r="K341" s="83" t="str">
        <x:v>A</x:v>
      </x:c>
      <x:c r="L341" s="83" t="n">
        <x:v>1</x:v>
      </x:c>
      <x:c r="M341" s="83" t="str">
        <x:v>LCSW-ALT-004</x:v>
      </x:c>
      <x:c r="N341" s="83" t="str">
        <x:v>Released</x:v>
      </x:c>
      <x:c r="O341" s="89" t="str">
        <x:v>Form B only; paired alternate retained on the other comprehensive form</x:v>
      </x:c>
    </x:row>
    <x:row r="342">
      <x:c r="A342" s="88" t="str">
        <x:v>CTA-LCSW-MQB-0341</x:v>
      </x:c>
      <x:c r="B342" s="83" t="str">
        <x:v>LCSW-MQB-FB-IP-037</x:v>
      </x:c>
      <x:c r="C342" s="83" t="str">
        <x:v>LCSW 2026 Comprehensive Simulation Form B</x:v>
      </x:c>
      <x:c r="D342" s="83" t="n">
        <x:v>15</x:v>
      </x:c>
      <x:c r="E342" s="83" t="str">
        <x:v>Scored-Style</x:v>
      </x:c>
      <x:c r="F342" s="83" t="str">
        <x:v>III. Intervention and Practice</x:v>
      </x:c>
      <x:c r="G342" s="83" t="str">
        <x:v>Program evaluation and equity</x:v>
      </x:c>
      <x:c r="H342" s="83" t="str">
        <x:v>Difficult</x:v>
      </x:c>
      <x:c r="I342" s="83" t="str">
        <x:v>Integrated Clinical Reasoning</x:v>
      </x:c>
      <x:c r="J342" s="83" t="n">
        <x:v>4</x:v>
      </x:c>
      <x:c r="K342" s="83" t="str">
        <x:v>D</x:v>
      </x:c>
      <x:c r="L342" s="83" t="n">
        <x:v>1</x:v>
      </x:c>
      <x:c r="M342" s="83" t="str">
        <x:v>LCSW-ALT-076</x:v>
      </x:c>
      <x:c r="N342" s="83" t="str">
        <x:v>Released</x:v>
      </x:c>
      <x:c r="O342" s="89" t="str">
        <x:v>Form B only; paired alternate retained on the other comprehensive form</x:v>
      </x:c>
    </x:row>
    <x:row r="343">
      <x:c r="A343" s="88" t="str">
        <x:v>CTA-LCSW-MQB-0342</x:v>
      </x:c>
      <x:c r="B343" s="83" t="str">
        <x:v>LCSW-MQB-FB-AP-024</x:v>
      </x:c>
      <x:c r="C343" s="83" t="str">
        <x:v>LCSW 2026 Comprehensive Simulation Form B</x:v>
      </x:c>
      <x:c r="D343" s="83" t="n">
        <x:v>16</x:v>
      </x:c>
      <x:c r="E343" s="83" t="str">
        <x:v>Pretest-Style</x:v>
      </x:c>
      <x:c r="F343" s="83" t="str">
        <x:v>II. Assessment and Planning</x:v>
      </x:c>
      <x:c r="G343" s="83" t="str">
        <x:v>Domestic violence assessment</x:v>
      </x:c>
      <x:c r="H343" s="83" t="str">
        <x:v>Moderate</x:v>
      </x:c>
      <x:c r="I343" s="83" t="str">
        <x:v>Scenario-Based</x:v>
      </x:c>
      <x:c r="J343" s="83" t="n">
        <x:v>3</x:v>
      </x:c>
      <x:c r="K343" s="83" t="str">
        <x:v>A</x:v>
      </x:c>
      <x:c r="L343" s="83" t="n">
        <x:v>1</x:v>
      </x:c>
      <x:c r="M343" s="83" t="str">
        <x:v>LCSW-ALT-024</x:v>
      </x:c>
      <x:c r="N343" s="83" t="str">
        <x:v>Released</x:v>
      </x:c>
      <x:c r="O343" s="89" t="str">
        <x:v>Form B only; paired alternate retained on the other comprehensive form</x:v>
      </x:c>
    </x:row>
    <x:row r="344">
      <x:c r="A344" s="88" t="str">
        <x:v>CTA-LCSW-MQB-0343</x:v>
      </x:c>
      <x:c r="B344" s="83" t="str">
        <x:v>LCSW-MQB-FB-IP-022</x:v>
      </x:c>
      <x:c r="C344" s="83" t="str">
        <x:v>LCSW 2026 Comprehensive Simulation Form B</x:v>
      </x:c>
      <x:c r="D344" s="83" t="n">
        <x:v>17</x:v>
      </x:c>
      <x:c r="E344" s="83" t="str">
        <x:v>Scored-Style</x:v>
      </x:c>
      <x:c r="F344" s="83" t="str">
        <x:v>III. Intervention and Practice</x:v>
      </x:c>
      <x:c r="G344" s="83" t="str">
        <x:v>Psychosis engagement</x:v>
      </x:c>
      <x:c r="H344" s="83" t="str">
        <x:v>Moderate</x:v>
      </x:c>
      <x:c r="I344" s="83" t="str">
        <x:v>Scenario-Based</x:v>
      </x:c>
      <x:c r="J344" s="83" t="n">
        <x:v>3</x:v>
      </x:c>
      <x:c r="K344" s="83" t="str">
        <x:v>B</x:v>
      </x:c>
      <x:c r="L344" s="83" t="n">
        <x:v>1</x:v>
      </x:c>
      <x:c r="M344" s="83" t="str">
        <x:v>LCSW-ALT-061</x:v>
      </x:c>
      <x:c r="N344" s="83" t="str">
        <x:v>Released</x:v>
      </x:c>
      <x:c r="O344" s="89" t="str">
        <x:v>Form B only; paired alternate retained on the other comprehensive form</x:v>
      </x:c>
    </x:row>
    <x:row r="345">
      <x:c r="A345" s="88" t="str">
        <x:v>CTA-LCSW-MQB-0344</x:v>
      </x:c>
      <x:c r="B345" s="83" t="str">
        <x:v>LCSW-MQB-FB-VE-008</x:v>
      </x:c>
      <x:c r="C345" s="83" t="str">
        <x:v>LCSW 2026 Comprehensive Simulation Form B</x:v>
      </x:c>
      <x:c r="D345" s="83" t="n">
        <x:v>18</x:v>
      </x:c>
      <x:c r="E345" s="83" t="str">
        <x:v>Scored-Style</x:v>
      </x:c>
      <x:c r="F345" s="83" t="str">
        <x:v>I. Values and Ethics</x:v>
      </x:c>
      <x:c r="G345" s="83" t="str">
        <x:v>Gift boundaries</x:v>
      </x:c>
      <x:c r="H345" s="83" t="str">
        <x:v>Easy</x:v>
      </x:c>
      <x:c r="I345" s="83" t="str">
        <x:v>Application</x:v>
      </x:c>
      <x:c r="J345" s="83" t="n">
        <x:v>3</x:v>
      </x:c>
      <x:c r="K345" s="83" t="str">
        <x:v>B</x:v>
      </x:c>
      <x:c r="L345" s="83" t="n">
        <x:v>1</x:v>
      </x:c>
      <x:c r="M345" s="83" t="str">
        <x:v>LCSW-ALT-086</x:v>
      </x:c>
      <x:c r="N345" s="83" t="str">
        <x:v>Released</x:v>
      </x:c>
      <x:c r="O345" s="89" t="str">
        <x:v>Form B only; paired alternate retained on the other comprehensive form</x:v>
      </x:c>
    </x:row>
    <x:row r="346">
      <x:c r="A346" s="88" t="str">
        <x:v>CTA-LCSW-MQB-0345</x:v>
      </x:c>
      <x:c r="B346" s="83" t="str">
        <x:v>LCSW-MQB-FB-AP-038</x:v>
      </x:c>
      <x:c r="C346" s="83" t="str">
        <x:v>LCSW 2026 Comprehensive Simulation Form B</x:v>
      </x:c>
      <x:c r="D346" s="83" t="n">
        <x:v>19</x:v>
      </x:c>
      <x:c r="E346" s="83" t="str">
        <x:v>Scored-Style</x:v>
      </x:c>
      <x:c r="F346" s="83" t="str">
        <x:v>II. Assessment and Planning</x:v>
      </x:c>
      <x:c r="G346" s="83" t="str">
        <x:v>Capacity, autonomy, and exploitation</x:v>
      </x:c>
      <x:c r="H346" s="83" t="str">
        <x:v>Difficult</x:v>
      </x:c>
      <x:c r="I346" s="83" t="str">
        <x:v>Integrated Clinical Reasoning</x:v>
      </x:c>
      <x:c r="J346" s="83" t="n">
        <x:v>4</x:v>
      </x:c>
      <x:c r="K346" s="83" t="str">
        <x:v>B</x:v>
      </x:c>
      <x:c r="L346" s="83" t="n">
        <x:v>1</x:v>
      </x:c>
      <x:c r="M346" s="83" t="str">
        <x:v>LCSW-ALT-038</x:v>
      </x:c>
      <x:c r="N346" s="83" t="str">
        <x:v>Released</x:v>
      </x:c>
      <x:c r="O346" s="89" t="str">
        <x:v>Form B only; paired alternate retained on the other comprehensive form</x:v>
      </x:c>
    </x:row>
    <x:row r="347">
      <x:c r="A347" s="88" t="str">
        <x:v>CTA-LCSW-MQB-0346</x:v>
      </x:c>
      <x:c r="B347" s="83" t="str">
        <x:v>LCSW-MQB-FB-VE-039</x:v>
      </x:c>
      <x:c r="C347" s="83" t="str">
        <x:v>LCSW 2026 Comprehensive Simulation Form B</x:v>
      </x:c>
      <x:c r="D347" s="83" t="n">
        <x:v>20</x:v>
      </x:c>
      <x:c r="E347" s="83" t="str">
        <x:v>Scored-Style</x:v>
      </x:c>
      <x:c r="F347" s="83" t="str">
        <x:v>I. Values and Ethics</x:v>
      </x:c>
      <x:c r="G347" s="83" t="str">
        <x:v>Cultural values and autonomy</x:v>
      </x:c>
      <x:c r="H347" s="83" t="str">
        <x:v>Difficult</x:v>
      </x:c>
      <x:c r="I347" s="83" t="str">
        <x:v>Integrated Clinical Reasoning</x:v>
      </x:c>
      <x:c r="J347" s="83" t="n">
        <x:v>4</x:v>
      </x:c>
      <x:c r="K347" s="83" t="str">
        <x:v>D</x:v>
      </x:c>
      <x:c r="L347" s="83" t="n">
        <x:v>1</x:v>
      </x:c>
      <x:c r="M347" s="83" t="str">
        <x:v>LCSW-ALT-117</x:v>
      </x:c>
      <x:c r="N347" s="83" t="str">
        <x:v>Released</x:v>
      </x:c>
      <x:c r="O347" s="89" t="str">
        <x:v>Form B only; paired alternate retained on the other comprehensive form</x:v>
      </x:c>
    </x:row>
    <x:row r="348">
      <x:c r="A348" s="88" t="str">
        <x:v>CTA-LCSW-MQB-0347</x:v>
      </x:c>
      <x:c r="B348" s="83" t="str">
        <x:v>LCSW-MQB-FB-IP-034</x:v>
      </x:c>
      <x:c r="C348" s="83" t="str">
        <x:v>LCSW 2026 Comprehensive Simulation Form B</x:v>
      </x:c>
      <x:c r="D348" s="83" t="n">
        <x:v>21</x:v>
      </x:c>
      <x:c r="E348" s="83" t="str">
        <x:v>Scored-Style</x:v>
      </x:c>
      <x:c r="F348" s="83" t="str">
        <x:v>III. Intervention and Practice</x:v>
      </x:c>
      <x:c r="G348" s="83" t="str">
        <x:v>Crisis, housing, and continuity</x:v>
      </x:c>
      <x:c r="H348" s="83" t="str">
        <x:v>Difficult</x:v>
      </x:c>
      <x:c r="I348" s="83" t="str">
        <x:v>Integrated Clinical Reasoning</x:v>
      </x:c>
      <x:c r="J348" s="83" t="n">
        <x:v>4</x:v>
      </x:c>
      <x:c r="K348" s="83" t="str">
        <x:v>C</x:v>
      </x:c>
      <x:c r="L348" s="83" t="n">
        <x:v>1</x:v>
      </x:c>
      <x:c r="M348" s="83" t="str">
        <x:v>LCSW-ALT-073</x:v>
      </x:c>
      <x:c r="N348" s="83" t="str">
        <x:v>Released</x:v>
      </x:c>
      <x:c r="O348" s="89" t="str">
        <x:v>Form B only; paired alternate retained on the other comprehensive form</x:v>
      </x:c>
    </x:row>
    <x:row r="349">
      <x:c r="A349" s="88" t="str">
        <x:v>CTA-LCSW-MQB-0348</x:v>
      </x:c>
      <x:c r="B349" s="83" t="str">
        <x:v>LCSW-MQB-FB-AP-039</x:v>
      </x:c>
      <x:c r="C349" s="83" t="str">
        <x:v>LCSW 2026 Comprehensive Simulation Form B</x:v>
      </x:c>
      <x:c r="D349" s="83" t="n">
        <x:v>22</x:v>
      </x:c>
      <x:c r="E349" s="83" t="str">
        <x:v>Pretest-Style</x:v>
      </x:c>
      <x:c r="F349" s="83" t="str">
        <x:v>II. Assessment and Planning</x:v>
      </x:c>
      <x:c r="G349" s="83" t="str">
        <x:v>Collaborative planning across systems</x:v>
      </x:c>
      <x:c r="H349" s="83" t="str">
        <x:v>Difficult</x:v>
      </x:c>
      <x:c r="I349" s="83" t="str">
        <x:v>Integrated Clinical Reasoning</x:v>
      </x:c>
      <x:c r="J349" s="83" t="n">
        <x:v>4</x:v>
      </x:c>
      <x:c r="K349" s="83" t="str">
        <x:v>D</x:v>
      </x:c>
      <x:c r="L349" s="83" t="n">
        <x:v>1</x:v>
      </x:c>
      <x:c r="M349" s="83" t="str">
        <x:v>LCSW-ALT-039</x:v>
      </x:c>
      <x:c r="N349" s="83" t="str">
        <x:v>Released</x:v>
      </x:c>
      <x:c r="O349" s="89" t="str">
        <x:v>Form B only; paired alternate retained on the other comprehensive form</x:v>
      </x:c>
    </x:row>
    <x:row r="350">
      <x:c r="A350" s="88" t="str">
        <x:v>CTA-LCSW-MQB-0349</x:v>
      </x:c>
      <x:c r="B350" s="83" t="str">
        <x:v>LCSW-MQB-FB-AP-008</x:v>
      </x:c>
      <x:c r="C350" s="83" t="str">
        <x:v>LCSW 2026 Comprehensive Simulation Form B</x:v>
      </x:c>
      <x:c r="D350" s="83" t="n">
        <x:v>23</x:v>
      </x:c>
      <x:c r="E350" s="83" t="str">
        <x:v>Scored-Style</x:v>
      </x:c>
      <x:c r="F350" s="83" t="str">
        <x:v>II. Assessment and Planning</x:v>
      </x:c>
      <x:c r="G350" s="83" t="str">
        <x:v>Medication timing</x:v>
      </x:c>
      <x:c r="H350" s="83" t="str">
        <x:v>Easy</x:v>
      </x:c>
      <x:c r="I350" s="83" t="str">
        <x:v>Application</x:v>
      </x:c>
      <x:c r="J350" s="83" t="n">
        <x:v>3</x:v>
      </x:c>
      <x:c r="K350" s="83" t="str">
        <x:v>C</x:v>
      </x:c>
      <x:c r="L350" s="83" t="n">
        <x:v>1</x:v>
      </x:c>
      <x:c r="M350" s="83" t="str">
        <x:v>LCSW-ALT-008</x:v>
      </x:c>
      <x:c r="N350" s="83" t="str">
        <x:v>Released</x:v>
      </x:c>
      <x:c r="O350" s="89" t="str">
        <x:v>Form B only; paired alternate retained on the other comprehensive form</x:v>
      </x:c>
    </x:row>
    <x:row r="351">
      <x:c r="A351" s="88" t="str">
        <x:v>CTA-LCSW-MQB-0350</x:v>
      </x:c>
      <x:c r="B351" s="83" t="str">
        <x:v>LCSW-MQB-FB-IP-012</x:v>
      </x:c>
      <x:c r="C351" s="83" t="str">
        <x:v>LCSW 2026 Comprehensive Simulation Form B</x:v>
      </x:c>
      <x:c r="D351" s="83" t="n">
        <x:v>24</x:v>
      </x:c>
      <x:c r="E351" s="83" t="str">
        <x:v>Scored-Style</x:v>
      </x:c>
      <x:c r="F351" s="83" t="str">
        <x:v>III. Intervention and Practice</x:v>
      </x:c>
      <x:c r="G351" s="83" t="str">
        <x:v>Group facilitation</x:v>
      </x:c>
      <x:c r="H351" s="83" t="str">
        <x:v>Moderate</x:v>
      </x:c>
      <x:c r="I351" s="83" t="str">
        <x:v>Application</x:v>
      </x:c>
      <x:c r="J351" s="83" t="n">
        <x:v>3</x:v>
      </x:c>
      <x:c r="K351" s="83" t="str">
        <x:v>C</x:v>
      </x:c>
      <x:c r="L351" s="83" t="n">
        <x:v>1</x:v>
      </x:c>
      <x:c r="M351" s="83" t="str">
        <x:v>LCSW-ALT-051</x:v>
      </x:c>
      <x:c r="N351" s="83" t="str">
        <x:v>Released</x:v>
      </x:c>
      <x:c r="O351" s="89" t="str">
        <x:v>Form B only; paired alternate retained on the other comprehensive form</x:v>
      </x:c>
    </x:row>
    <x:row r="352">
      <x:c r="A352" s="88" t="str">
        <x:v>CTA-LCSW-MQB-0351</x:v>
      </x:c>
      <x:c r="B352" s="83" t="str">
        <x:v>LCSW-MQB-FB-VE-020</x:v>
      </x:c>
      <x:c r="C352" s="83" t="str">
        <x:v>LCSW 2026 Comprehensive Simulation Form B</x:v>
      </x:c>
      <x:c r="D352" s="83" t="n">
        <x:v>25</x:v>
      </x:c>
      <x:c r="E352" s="83" t="str">
        <x:v>Scored-Style</x:v>
      </x:c>
      <x:c r="F352" s="83" t="str">
        <x:v>I. Values and Ethics</x:v>
      </x:c>
      <x:c r="G352" s="83" t="str">
        <x:v>Ethical consultation</x:v>
      </x:c>
      <x:c r="H352" s="83" t="str">
        <x:v>Moderate</x:v>
      </x:c>
      <x:c r="I352" s="83" t="str">
        <x:v>Application</x:v>
      </x:c>
      <x:c r="J352" s="83" t="n">
        <x:v>3</x:v>
      </x:c>
      <x:c r="K352" s="83" t="str">
        <x:v>A</x:v>
      </x:c>
      <x:c r="L352" s="83" t="n">
        <x:v>1</x:v>
      </x:c>
      <x:c r="M352" s="83" t="str">
        <x:v>LCSW-ALT-098</x:v>
      </x:c>
      <x:c r="N352" s="83" t="str">
        <x:v>Released</x:v>
      </x:c>
      <x:c r="O352" s="89" t="str">
        <x:v>Form B only; paired alternate retained on the other comprehensive form</x:v>
      </x:c>
    </x:row>
    <x:row r="353">
      <x:c r="A353" s="88" t="str">
        <x:v>CTA-LCSW-MQB-0352</x:v>
      </x:c>
      <x:c r="B353" s="83" t="str">
        <x:v>LCSW-MQB-FB-VE-036</x:v>
      </x:c>
      <x:c r="C353" s="83" t="str">
        <x:v>LCSW 2026 Comprehensive Simulation Form B</x:v>
      </x:c>
      <x:c r="D353" s="83" t="n">
        <x:v>26</x:v>
      </x:c>
      <x:c r="E353" s="83" t="str">
        <x:v>Scored-Style</x:v>
      </x:c>
      <x:c r="F353" s="83" t="str">
        <x:v>I. Values and Ethics</x:v>
      </x:c>
      <x:c r="G353" s="83" t="str">
        <x:v>Client complaint</x:v>
      </x:c>
      <x:c r="H353" s="83" t="str">
        <x:v>Difficult</x:v>
      </x:c>
      <x:c r="I353" s="83" t="str">
        <x:v>Scenario-Based</x:v>
      </x:c>
      <x:c r="J353" s="83" t="n">
        <x:v>4</x:v>
      </x:c>
      <x:c r="K353" s="83" t="str">
        <x:v>B</x:v>
      </x:c>
      <x:c r="L353" s="83" t="n">
        <x:v>1</x:v>
      </x:c>
      <x:c r="M353" s="83" t="str">
        <x:v>LCSW-ALT-114</x:v>
      </x:c>
      <x:c r="N353" s="83" t="str">
        <x:v>Released</x:v>
      </x:c>
      <x:c r="O353" s="89" t="str">
        <x:v>Form B only; paired alternate retained on the other comprehensive form</x:v>
      </x:c>
    </x:row>
    <x:row r="354">
      <x:c r="A354" s="88" t="str">
        <x:v>CTA-LCSW-MQB-0353</x:v>
      </x:c>
      <x:c r="B354" s="83" t="str">
        <x:v>LCSW-MQB-FB-AP-011</x:v>
      </x:c>
      <x:c r="C354" s="83" t="str">
        <x:v>LCSW 2026 Comprehensive Simulation Form B</x:v>
      </x:c>
      <x:c r="D354" s="83" t="n">
        <x:v>27</x:v>
      </x:c>
      <x:c r="E354" s="83" t="str">
        <x:v>Scored-Style</x:v>
      </x:c>
      <x:c r="F354" s="83" t="str">
        <x:v>II. Assessment and Planning</x:v>
      </x:c>
      <x:c r="G354" s="83" t="str">
        <x:v>Substance-use pattern</x:v>
      </x:c>
      <x:c r="H354" s="83" t="str">
        <x:v>Moderate</x:v>
      </x:c>
      <x:c r="I354" s="83" t="str">
        <x:v>Application</x:v>
      </x:c>
      <x:c r="J354" s="83" t="n">
        <x:v>3</x:v>
      </x:c>
      <x:c r="K354" s="83" t="str">
        <x:v>B</x:v>
      </x:c>
      <x:c r="L354" s="83" t="n">
        <x:v>1</x:v>
      </x:c>
      <x:c r="M354" s="83" t="str">
        <x:v>LCSW-ALT-011</x:v>
      </x:c>
      <x:c r="N354" s="83" t="str">
        <x:v>Released</x:v>
      </x:c>
      <x:c r="O354" s="89" t="str">
        <x:v>Form B only; paired alternate retained on the other comprehensive form</x:v>
      </x:c>
    </x:row>
    <x:row r="355">
      <x:c r="A355" s="88" t="str">
        <x:v>CTA-LCSW-MQB-0354</x:v>
      </x:c>
      <x:c r="B355" s="83" t="str">
        <x:v>LCSW-MQB-FB-VE-038</x:v>
      </x:c>
      <x:c r="C355" s="83" t="str">
        <x:v>LCSW 2026 Comprehensive Simulation Form B</x:v>
      </x:c>
      <x:c r="D355" s="83" t="n">
        <x:v>28</x:v>
      </x:c>
      <x:c r="E355" s="83" t="str">
        <x:v>Scored-Style</x:v>
      </x:c>
      <x:c r="F355" s="83" t="str">
        <x:v>I. Values and Ethics</x:v>
      </x:c>
      <x:c r="G355" s="83" t="str">
        <x:v>Safety and confidentiality</x:v>
      </x:c>
      <x:c r="H355" s="83" t="str">
        <x:v>Difficult</x:v>
      </x:c>
      <x:c r="I355" s="83" t="str">
        <x:v>Integrated Clinical Reasoning</x:v>
      </x:c>
      <x:c r="J355" s="83" t="n">
        <x:v>4</x:v>
      </x:c>
      <x:c r="K355" s="83" t="str">
        <x:v>A</x:v>
      </x:c>
      <x:c r="L355" s="83" t="n">
        <x:v>1</x:v>
      </x:c>
      <x:c r="M355" s="83" t="str">
        <x:v>LCSW-ALT-116</x:v>
      </x:c>
      <x:c r="N355" s="83" t="str">
        <x:v>Released</x:v>
      </x:c>
      <x:c r="O355" s="89" t="str">
        <x:v>Form B only; paired alternate retained on the other comprehensive form</x:v>
      </x:c>
    </x:row>
    <x:row r="356">
      <x:c r="A356" s="88" t="str">
        <x:v>CTA-LCSW-MQB-0355</x:v>
      </x:c>
      <x:c r="B356" s="83" t="str">
        <x:v>LCSW-MQB-FB-IP-002</x:v>
      </x:c>
      <x:c r="C356" s="83" t="str">
        <x:v>LCSW 2026 Comprehensive Simulation Form B</x:v>
      </x:c>
      <x:c r="D356" s="83" t="n">
        <x:v>29</x:v>
      </x:c>
      <x:c r="E356" s="83" t="str">
        <x:v>Scored-Style</x:v>
      </x:c>
      <x:c r="F356" s="83" t="str">
        <x:v>III. Intervention and Practice</x:v>
      </x:c>
      <x:c r="G356" s="83" t="str">
        <x:v>Program evaluation</x:v>
      </x:c>
      <x:c r="H356" s="83" t="str">
        <x:v>Easy</x:v>
      </x:c>
      <x:c r="I356" s="83" t="str">
        <x:v>Knowledge &amp; Recall</x:v>
      </x:c>
      <x:c r="J356" s="83" t="n">
        <x:v>3</x:v>
      </x:c>
      <x:c r="K356" s="83" t="str">
        <x:v>B</x:v>
      </x:c>
      <x:c r="L356" s="83" t="n">
        <x:v>1</x:v>
      </x:c>
      <x:c r="M356" s="83" t="str">
        <x:v>LCSW-ALT-041</x:v>
      </x:c>
      <x:c r="N356" s="83" t="str">
        <x:v>Released</x:v>
      </x:c>
      <x:c r="O356" s="89" t="str">
        <x:v>Form B only; paired alternate retained on the other comprehensive form</x:v>
      </x:c>
    </x:row>
    <x:row r="357">
      <x:c r="A357" s="88" t="str">
        <x:v>CTA-LCSW-MQB-0356</x:v>
      </x:c>
      <x:c r="B357" s="83" t="str">
        <x:v>LCSW-MQB-FB-VE-030</x:v>
      </x:c>
      <x:c r="C357" s="83" t="str">
        <x:v>LCSW 2026 Comprehensive Simulation Form B</x:v>
      </x:c>
      <x:c r="D357" s="83" t="n">
        <x:v>30</x:v>
      </x:c>
      <x:c r="E357" s="83" t="str">
        <x:v>Scored-Style</x:v>
      </x:c>
      <x:c r="F357" s="83" t="str">
        <x:v>I. Values and Ethics</x:v>
      </x:c>
      <x:c r="G357" s="83" t="str">
        <x:v>Supervisor impairment</x:v>
      </x:c>
      <x:c r="H357" s="83" t="str">
        <x:v>Moderate</x:v>
      </x:c>
      <x:c r="I357" s="83" t="str">
        <x:v>Scenario-Based</x:v>
      </x:c>
      <x:c r="J357" s="83" t="n">
        <x:v>4</x:v>
      </x:c>
      <x:c r="K357" s="83" t="str">
        <x:v>A</x:v>
      </x:c>
      <x:c r="L357" s="83" t="n">
        <x:v>1</x:v>
      </x:c>
      <x:c r="M357" s="83" t="str">
        <x:v>LCSW-ALT-108</x:v>
      </x:c>
      <x:c r="N357" s="83" t="str">
        <x:v>Released</x:v>
      </x:c>
      <x:c r="O357" s="89" t="str">
        <x:v>Form B only; paired alternate retained on the other comprehensive form</x:v>
      </x:c>
    </x:row>
    <x:row r="358">
      <x:c r="A358" s="88" t="str">
        <x:v>CTA-LCSW-MQB-0357</x:v>
      </x:c>
      <x:c r="B358" s="83" t="str">
        <x:v>LCSW-MQB-FB-VE-002</x:v>
      </x:c>
      <x:c r="C358" s="83" t="str">
        <x:v>LCSW 2026 Comprehensive Simulation Form B</x:v>
      </x:c>
      <x:c r="D358" s="83" t="n">
        <x:v>31</x:v>
      </x:c>
      <x:c r="E358" s="83" t="str">
        <x:v>Scored-Style</x:v>
      </x:c>
      <x:c r="F358" s="83" t="str">
        <x:v>I. Values and Ethics</x:v>
      </x:c>
      <x:c r="G358" s="83" t="str">
        <x:v>Informed consent</x:v>
      </x:c>
      <x:c r="H358" s="83" t="str">
        <x:v>Easy</x:v>
      </x:c>
      <x:c r="I358" s="83" t="str">
        <x:v>Knowledge &amp; Recall</x:v>
      </x:c>
      <x:c r="J358" s="83" t="n">
        <x:v>3</x:v>
      </x:c>
      <x:c r="K358" s="83" t="str">
        <x:v>B</x:v>
      </x:c>
      <x:c r="L358" s="83" t="n">
        <x:v>1</x:v>
      </x:c>
      <x:c r="M358" s="83" t="str">
        <x:v>LCSW-ALT-080</x:v>
      </x:c>
      <x:c r="N358" s="83" t="str">
        <x:v>Released</x:v>
      </x:c>
      <x:c r="O358" s="89" t="str">
        <x:v>Form B only; paired alternate retained on the other comprehensive form</x:v>
      </x:c>
    </x:row>
    <x:row r="359">
      <x:c r="A359" s="88" t="str">
        <x:v>CTA-LCSW-MQB-0358</x:v>
      </x:c>
      <x:c r="B359" s="83" t="str">
        <x:v>LCSW-MQB-FB-IP-007</x:v>
      </x:c>
      <x:c r="C359" s="83" t="str">
        <x:v>LCSW 2026 Comprehensive Simulation Form B</x:v>
      </x:c>
      <x:c r="D359" s="83" t="n">
        <x:v>32</x:v>
      </x:c>
      <x:c r="E359" s="83" t="str">
        <x:v>Scored-Style</x:v>
      </x:c>
      <x:c r="F359" s="83" t="str">
        <x:v>III. Intervention and Practice</x:v>
      </x:c>
      <x:c r="G359" s="83" t="str">
        <x:v>Psychoeducation</x:v>
      </x:c>
      <x:c r="H359" s="83" t="str">
        <x:v>Easy</x:v>
      </x:c>
      <x:c r="I359" s="83" t="str">
        <x:v>Application</x:v>
      </x:c>
      <x:c r="J359" s="83" t="n">
        <x:v>3</x:v>
      </x:c>
      <x:c r="K359" s="83" t="str">
        <x:v>A</x:v>
      </x:c>
      <x:c r="L359" s="83" t="n">
        <x:v>1</x:v>
      </x:c>
      <x:c r="M359" s="83" t="str">
        <x:v>LCSW-ALT-046</x:v>
      </x:c>
      <x:c r="N359" s="83" t="str">
        <x:v>Released</x:v>
      </x:c>
      <x:c r="O359" s="89" t="str">
        <x:v>Form B only; paired alternate retained on the other comprehensive form</x:v>
      </x:c>
    </x:row>
    <x:row r="360">
      <x:c r="A360" s="88" t="str">
        <x:v>CTA-LCSW-MQB-0359</x:v>
      </x:c>
      <x:c r="B360" s="83" t="str">
        <x:v>LCSW-MQB-FB-AP-027</x:v>
      </x:c>
      <x:c r="C360" s="83" t="str">
        <x:v>LCSW 2026 Comprehensive Simulation Form B</x:v>
      </x:c>
      <x:c r="D360" s="83" t="n">
        <x:v>33</x:v>
      </x:c>
      <x:c r="E360" s="83" t="str">
        <x:v>Scored-Style</x:v>
      </x:c>
      <x:c r="F360" s="83" t="str">
        <x:v>II. Assessment and Planning</x:v>
      </x:c>
      <x:c r="G360" s="83" t="str">
        <x:v>Trauma pacing</x:v>
      </x:c>
      <x:c r="H360" s="83" t="str">
        <x:v>Moderate</x:v>
      </x:c>
      <x:c r="I360" s="83" t="str">
        <x:v>Scenario-Based</x:v>
      </x:c>
      <x:c r="J360" s="83" t="n">
        <x:v>4</x:v>
      </x:c>
      <x:c r="K360" s="83" t="str">
        <x:v>A</x:v>
      </x:c>
      <x:c r="L360" s="83" t="n">
        <x:v>1</x:v>
      </x:c>
      <x:c r="M360" s="83" t="str">
        <x:v>LCSW-ALT-027</x:v>
      </x:c>
      <x:c r="N360" s="83" t="str">
        <x:v>Released</x:v>
      </x:c>
      <x:c r="O360" s="89" t="str">
        <x:v>Form B only; paired alternate retained on the other comprehensive form</x:v>
      </x:c>
    </x:row>
    <x:row r="361">
      <x:c r="A361" s="88" t="str">
        <x:v>CTA-LCSW-MQB-0360</x:v>
      </x:c>
      <x:c r="B361" s="83" t="str">
        <x:v>LCSW-MQB-FB-AP-005</x:v>
      </x:c>
      <x:c r="C361" s="83" t="str">
        <x:v>LCSW 2026 Comprehensive Simulation Form B</x:v>
      </x:c>
      <x:c r="D361" s="83" t="n">
        <x:v>34</x:v>
      </x:c>
      <x:c r="E361" s="83" t="str">
        <x:v>Scored-Style</x:v>
      </x:c>
      <x:c r="F361" s="83" t="str">
        <x:v>II. Assessment and Planning</x:v>
      </x:c>
      <x:c r="G361" s="83" t="str">
        <x:v>Open-ended assessment</x:v>
      </x:c>
      <x:c r="H361" s="83" t="str">
        <x:v>Easy</x:v>
      </x:c>
      <x:c r="I361" s="83" t="str">
        <x:v>Application</x:v>
      </x:c>
      <x:c r="J361" s="83" t="n">
        <x:v>3</x:v>
      </x:c>
      <x:c r="K361" s="83" t="str">
        <x:v>B</x:v>
      </x:c>
      <x:c r="L361" s="83" t="n">
        <x:v>1</x:v>
      </x:c>
      <x:c r="M361" s="83" t="str">
        <x:v>LCSW-ALT-005</x:v>
      </x:c>
      <x:c r="N361" s="83" t="str">
        <x:v>Released</x:v>
      </x:c>
      <x:c r="O361" s="89" t="str">
        <x:v>Form B only; paired alternate retained on the other comprehensive form</x:v>
      </x:c>
    </x:row>
    <x:row r="362">
      <x:c r="A362" s="88" t="str">
        <x:v>CTA-LCSW-MQB-0361</x:v>
      </x:c>
      <x:c r="B362" s="83" t="str">
        <x:v>LCSW-MQB-FB-IP-031</x:v>
      </x:c>
      <x:c r="C362" s="83" t="str">
        <x:v>LCSW 2026 Comprehensive Simulation Form B</x:v>
      </x:c>
      <x:c r="D362" s="83" t="n">
        <x:v>35</x:v>
      </x:c>
      <x:c r="E362" s="83" t="str">
        <x:v>Scored-Style</x:v>
      </x:c>
      <x:c r="F362" s="83" t="str">
        <x:v>III. Intervention and Practice</x:v>
      </x:c>
      <x:c r="G362" s="83" t="str">
        <x:v>Program fidelity and adaptation</x:v>
      </x:c>
      <x:c r="H362" s="83" t="str">
        <x:v>Difficult</x:v>
      </x:c>
      <x:c r="I362" s="83" t="str">
        <x:v>Scenario-Based</x:v>
      </x:c>
      <x:c r="J362" s="83" t="n">
        <x:v>4</x:v>
      </x:c>
      <x:c r="K362" s="83" t="str">
        <x:v>D</x:v>
      </x:c>
      <x:c r="L362" s="83" t="n">
        <x:v>1</x:v>
      </x:c>
      <x:c r="M362" s="83" t="str">
        <x:v>LCSW-ALT-070</x:v>
      </x:c>
      <x:c r="N362" s="83" t="str">
        <x:v>Released</x:v>
      </x:c>
      <x:c r="O362" s="89" t="str">
        <x:v>Form B only; paired alternate retained on the other comprehensive form</x:v>
      </x:c>
    </x:row>
    <x:row r="363">
      <x:c r="A363" s="88" t="str">
        <x:v>CTA-LCSW-MQB-0362</x:v>
      </x:c>
      <x:c r="B363" s="83" t="str">
        <x:v>LCSW-MQB-FB-VE-004</x:v>
      </x:c>
      <x:c r="C363" s="83" t="str">
        <x:v>LCSW 2026 Comprehensive Simulation Form B</x:v>
      </x:c>
      <x:c r="D363" s="83" t="n">
        <x:v>36</x:v>
      </x:c>
      <x:c r="E363" s="83" t="str">
        <x:v>Scored-Style</x:v>
      </x:c>
      <x:c r="F363" s="83" t="str">
        <x:v>I. Values and Ethics</x:v>
      </x:c>
      <x:c r="G363" s="83" t="str">
        <x:v>Cultural humility</x:v>
      </x:c>
      <x:c r="H363" s="83" t="str">
        <x:v>Easy</x:v>
      </x:c>
      <x:c r="I363" s="83" t="str">
        <x:v>Knowledge &amp; Recall</x:v>
      </x:c>
      <x:c r="J363" s="83" t="n">
        <x:v>3</x:v>
      </x:c>
      <x:c r="K363" s="83" t="str">
        <x:v>C</x:v>
      </x:c>
      <x:c r="L363" s="83" t="n">
        <x:v>1</x:v>
      </x:c>
      <x:c r="M363" s="83" t="str">
        <x:v>LCSW-ALT-082</x:v>
      </x:c>
      <x:c r="N363" s="83" t="str">
        <x:v>Released</x:v>
      </x:c>
      <x:c r="O363" s="89" t="str">
        <x:v>Form B only; paired alternate retained on the other comprehensive form</x:v>
      </x:c>
    </x:row>
    <x:row r="364">
      <x:c r="A364" s="88" t="str">
        <x:v>CTA-LCSW-MQB-0363</x:v>
      </x:c>
      <x:c r="B364" s="83" t="str">
        <x:v>LCSW-MQB-FB-VE-043</x:v>
      </x:c>
      <x:c r="C364" s="83" t="str">
        <x:v>LCSW 2026 Comprehensive Simulation Form B</x:v>
      </x:c>
      <x:c r="D364" s="83" t="n">
        <x:v>37</x:v>
      </x:c>
      <x:c r="E364" s="83" t="str">
        <x:v>Scored-Style</x:v>
      </x:c>
      <x:c r="F364" s="83" t="str">
        <x:v>I. Values and Ethics</x:v>
      </x:c>
      <x:c r="G364" s="83" t="str">
        <x:v>Former-client boundary and access</x:v>
      </x:c>
      <x:c r="H364" s="83" t="str">
        <x:v>Difficult</x:v>
      </x:c>
      <x:c r="I364" s="83" t="str">
        <x:v>Integrated Clinical Reasoning</x:v>
      </x:c>
      <x:c r="J364" s="83" t="n">
        <x:v>4</x:v>
      </x:c>
      <x:c r="K364" s="83" t="str">
        <x:v>C</x:v>
      </x:c>
      <x:c r="L364" s="83" t="n">
        <x:v>1</x:v>
      </x:c>
      <x:c r="M364" s="83" t="str">
        <x:v>LCSW-ALT-121</x:v>
      </x:c>
      <x:c r="N364" s="83" t="str">
        <x:v>Released</x:v>
      </x:c>
      <x:c r="O364" s="89" t="str">
        <x:v>Form B only; paired alternate retained on the other comprehensive form</x:v>
      </x:c>
    </x:row>
    <x:row r="365">
      <x:c r="A365" s="88" t="str">
        <x:v>CTA-LCSW-MQB-0364</x:v>
      </x:c>
      <x:c r="B365" s="83" t="str">
        <x:v>LCSW-MQB-FB-AP-016</x:v>
      </x:c>
      <x:c r="C365" s="83" t="str">
        <x:v>LCSW 2026 Comprehensive Simulation Form B</x:v>
      </x:c>
      <x:c r="D365" s="83" t="n">
        <x:v>38</x:v>
      </x:c>
      <x:c r="E365" s="83" t="str">
        <x:v>Scored-Style</x:v>
      </x:c>
      <x:c r="F365" s="83" t="str">
        <x:v>II. Assessment and Planning</x:v>
      </x:c>
      <x:c r="G365" s="83" t="str">
        <x:v>Environmental barriers</x:v>
      </x:c>
      <x:c r="H365" s="83" t="str">
        <x:v>Moderate</x:v>
      </x:c>
      <x:c r="I365" s="83" t="str">
        <x:v>Application</x:v>
      </x:c>
      <x:c r="J365" s="83" t="n">
        <x:v>3</x:v>
      </x:c>
      <x:c r="K365" s="83" t="str">
        <x:v>A</x:v>
      </x:c>
      <x:c r="L365" s="83" t="n">
        <x:v>1</x:v>
      </x:c>
      <x:c r="M365" s="83" t="str">
        <x:v>LCSW-ALT-016</x:v>
      </x:c>
      <x:c r="N365" s="83" t="str">
        <x:v>Released</x:v>
      </x:c>
      <x:c r="O365" s="89" t="str">
        <x:v>Form B only; paired alternate retained on the other comprehensive form</x:v>
      </x:c>
    </x:row>
    <x:row r="366">
      <x:c r="A366" s="88" t="str">
        <x:v>CTA-LCSW-MQB-0365</x:v>
      </x:c>
      <x:c r="B366" s="83" t="str">
        <x:v>LCSW-MQB-FB-VE-024</x:v>
      </x:c>
      <x:c r="C366" s="83" t="str">
        <x:v>LCSW 2026 Comprehensive Simulation Form B</x:v>
      </x:c>
      <x:c r="D366" s="83" t="n">
        <x:v>39</x:v>
      </x:c>
      <x:c r="E366" s="83" t="str">
        <x:v>Scored-Style</x:v>
      </x:c>
      <x:c r="F366" s="83" t="str">
        <x:v>I. Values and Ethics</x:v>
      </x:c>
      <x:c r="G366" s="83" t="str">
        <x:v>Informed refusal</x:v>
      </x:c>
      <x:c r="H366" s="83" t="str">
        <x:v>Moderate</x:v>
      </x:c>
      <x:c r="I366" s="83" t="str">
        <x:v>Scenario-Based</x:v>
      </x:c>
      <x:c r="J366" s="83" t="n">
        <x:v>3</x:v>
      </x:c>
      <x:c r="K366" s="83" t="str">
        <x:v>A</x:v>
      </x:c>
      <x:c r="L366" s="83" t="n">
        <x:v>1</x:v>
      </x:c>
      <x:c r="M366" s="83" t="str">
        <x:v>LCSW-ALT-102</x:v>
      </x:c>
      <x:c r="N366" s="83" t="str">
        <x:v>Released</x:v>
      </x:c>
      <x:c r="O366" s="89" t="str">
        <x:v>Form B only; paired alternate retained on the other comprehensive form</x:v>
      </x:c>
    </x:row>
    <x:row r="367">
      <x:c r="A367" s="88" t="str">
        <x:v>CTA-LCSW-MQB-0366</x:v>
      </x:c>
      <x:c r="B367" s="83" t="str">
        <x:v>LCSW-MQB-FB-IP-032</x:v>
      </x:c>
      <x:c r="C367" s="83" t="str">
        <x:v>LCSW 2026 Comprehensive Simulation Form B</x:v>
      </x:c>
      <x:c r="D367" s="83" t="n">
        <x:v>40</x:v>
      </x:c>
      <x:c r="E367" s="83" t="str">
        <x:v>Scored-Style</x:v>
      </x:c>
      <x:c r="F367" s="83" t="str">
        <x:v>III. Intervention and Practice</x:v>
      </x:c>
      <x:c r="G367" s="83" t="str">
        <x:v>Supervision and client risk</x:v>
      </x:c>
      <x:c r="H367" s="83" t="str">
        <x:v>Difficult</x:v>
      </x:c>
      <x:c r="I367" s="83" t="str">
        <x:v>Scenario-Based</x:v>
      </x:c>
      <x:c r="J367" s="83" t="n">
        <x:v>4</x:v>
      </x:c>
      <x:c r="K367" s="83" t="str">
        <x:v>A</x:v>
      </x:c>
      <x:c r="L367" s="83" t="n">
        <x:v>1</x:v>
      </x:c>
      <x:c r="M367" s="83" t="str">
        <x:v>LCSW-ALT-071</x:v>
      </x:c>
      <x:c r="N367" s="83" t="str">
        <x:v>Released</x:v>
      </x:c>
      <x:c r="O367" s="89" t="str">
        <x:v>Form B only; paired alternate retained on the other comprehensive form</x:v>
      </x:c>
    </x:row>
    <x:row r="368">
      <x:c r="A368" s="88" t="str">
        <x:v>CTA-LCSW-MQB-0367</x:v>
      </x:c>
      <x:c r="B368" s="83" t="str">
        <x:v>LCSW-MQB-FB-IP-024</x:v>
      </x:c>
      <x:c r="C368" s="83" t="str">
        <x:v>LCSW 2026 Comprehensive Simulation Form B</x:v>
      </x:c>
      <x:c r="D368" s="83" t="n">
        <x:v>41</x:v>
      </x:c>
      <x:c r="E368" s="83" t="str">
        <x:v>Scored-Style</x:v>
      </x:c>
      <x:c r="F368" s="83" t="str">
        <x:v>III. Intervention and Practice</x:v>
      </x:c>
      <x:c r="G368" s="83" t="str">
        <x:v>Trauma exposure pacing</x:v>
      </x:c>
      <x:c r="H368" s="83" t="str">
        <x:v>Moderate</x:v>
      </x:c>
      <x:c r="I368" s="83" t="str">
        <x:v>Scenario-Based</x:v>
      </x:c>
      <x:c r="J368" s="83" t="n">
        <x:v>4</x:v>
      </x:c>
      <x:c r="K368" s="83" t="str">
        <x:v>B</x:v>
      </x:c>
      <x:c r="L368" s="83" t="n">
        <x:v>1</x:v>
      </x:c>
      <x:c r="M368" s="83" t="str">
        <x:v>LCSW-ALT-063</x:v>
      </x:c>
      <x:c r="N368" s="83" t="str">
        <x:v>Released</x:v>
      </x:c>
      <x:c r="O368" s="89" t="str">
        <x:v>Form B only; paired alternate retained on the other comprehensive form</x:v>
      </x:c>
    </x:row>
    <x:row r="369">
      <x:c r="A369" s="88" t="str">
        <x:v>CTA-LCSW-MQB-0368</x:v>
      </x:c>
      <x:c r="B369" s="83" t="str">
        <x:v>LCSW-MQB-FB-VE-007</x:v>
      </x:c>
      <x:c r="C369" s="83" t="str">
        <x:v>LCSW 2026 Comprehensive Simulation Form B</x:v>
      </x:c>
      <x:c r="D369" s="83" t="n">
        <x:v>42</x:v>
      </x:c>
      <x:c r="E369" s="83" t="str">
        <x:v>Scored-Style</x:v>
      </x:c>
      <x:c r="F369" s="83" t="str">
        <x:v>I. Values and Ethics</x:v>
      </x:c>
      <x:c r="G369" s="83" t="str">
        <x:v>Language access</x:v>
      </x:c>
      <x:c r="H369" s="83" t="str">
        <x:v>Easy</x:v>
      </x:c>
      <x:c r="I369" s="83" t="str">
        <x:v>Application</x:v>
      </x:c>
      <x:c r="J369" s="83" t="n">
        <x:v>3</x:v>
      </x:c>
      <x:c r="K369" s="83" t="str">
        <x:v>B</x:v>
      </x:c>
      <x:c r="L369" s="83" t="n">
        <x:v>1</x:v>
      </x:c>
      <x:c r="M369" s="83" t="str">
        <x:v>LCSW-ALT-085</x:v>
      </x:c>
      <x:c r="N369" s="83" t="str">
        <x:v>Released</x:v>
      </x:c>
      <x:c r="O369" s="89" t="str">
        <x:v>Form B only; paired alternate retained on the other comprehensive form</x:v>
      </x:c>
    </x:row>
    <x:row r="370">
      <x:c r="A370" s="88" t="str">
        <x:v>CTA-LCSW-MQB-0369</x:v>
      </x:c>
      <x:c r="B370" s="83" t="str">
        <x:v>LCSW-MQB-FB-AP-030</x:v>
      </x:c>
      <x:c r="C370" s="83" t="str">
        <x:v>LCSW 2026 Comprehensive Simulation Form B</x:v>
      </x:c>
      <x:c r="D370" s="83" t="n">
        <x:v>43</x:v>
      </x:c>
      <x:c r="E370" s="83" t="str">
        <x:v>Scored-Style</x:v>
      </x:c>
      <x:c r="F370" s="83" t="str">
        <x:v>II. Assessment and Planning</x:v>
      </x:c>
      <x:c r="G370" s="83" t="str">
        <x:v>Adolescent confidentiality</x:v>
      </x:c>
      <x:c r="H370" s="83" t="str">
        <x:v>Moderate</x:v>
      </x:c>
      <x:c r="I370" s="83" t="str">
        <x:v>Scenario-Based</x:v>
      </x:c>
      <x:c r="J370" s="83" t="n">
        <x:v>4</x:v>
      </x:c>
      <x:c r="K370" s="83" t="str">
        <x:v>A</x:v>
      </x:c>
      <x:c r="L370" s="83" t="n">
        <x:v>1</x:v>
      </x:c>
      <x:c r="M370" s="83" t="str">
        <x:v>LCSW-ALT-030</x:v>
      </x:c>
      <x:c r="N370" s="83" t="str">
        <x:v>Released</x:v>
      </x:c>
      <x:c r="O370" s="89" t="str">
        <x:v>Form B only; paired alternate retained on the other comprehensive form</x:v>
      </x:c>
    </x:row>
    <x:row r="371">
      <x:c r="A371" s="88" t="str">
        <x:v>CTA-LCSW-MQB-0370</x:v>
      </x:c>
      <x:c r="B371" s="83" t="str">
        <x:v>LCSW-MQB-FB-IP-021</x:v>
      </x:c>
      <x:c r="C371" s="83" t="str">
        <x:v>LCSW 2026 Comprehensive Simulation Form B</x:v>
      </x:c>
      <x:c r="D371" s="83" t="n">
        <x:v>44</x:v>
      </x:c>
      <x:c r="E371" s="83" t="str">
        <x:v>Scored-Style</x:v>
      </x:c>
      <x:c r="F371" s="83" t="str">
        <x:v>III. Intervention and Practice</x:v>
      </x:c>
      <x:c r="G371" s="83" t="str">
        <x:v>Domestic violence safety planning</x:v>
      </x:c>
      <x:c r="H371" s="83" t="str">
        <x:v>Moderate</x:v>
      </x:c>
      <x:c r="I371" s="83" t="str">
        <x:v>Scenario-Based</x:v>
      </x:c>
      <x:c r="J371" s="83" t="n">
        <x:v>3</x:v>
      </x:c>
      <x:c r="K371" s="83" t="str">
        <x:v>C</x:v>
      </x:c>
      <x:c r="L371" s="83" t="n">
        <x:v>1</x:v>
      </x:c>
      <x:c r="M371" s="83" t="str">
        <x:v>LCSW-ALT-060</x:v>
      </x:c>
      <x:c r="N371" s="83" t="str">
        <x:v>Released</x:v>
      </x:c>
      <x:c r="O371" s="89" t="str">
        <x:v>Form B only; paired alternate retained on the other comprehensive form</x:v>
      </x:c>
    </x:row>
    <x:row r="372">
      <x:c r="A372" s="88" t="str">
        <x:v>CTA-LCSW-MQB-0371</x:v>
      </x:c>
      <x:c r="B372" s="83" t="str">
        <x:v>LCSW-MQB-FB-VE-005</x:v>
      </x:c>
      <x:c r="C372" s="83" t="str">
        <x:v>LCSW 2026 Comprehensive Simulation Form B</x:v>
      </x:c>
      <x:c r="D372" s="83" t="n">
        <x:v>45</x:v>
      </x:c>
      <x:c r="E372" s="83" t="str">
        <x:v>Pretest-Style</x:v>
      </x:c>
      <x:c r="F372" s="83" t="str">
        <x:v>I. Values and Ethics</x:v>
      </x:c>
      <x:c r="G372" s="83" t="str">
        <x:v>Professional competence</x:v>
      </x:c>
      <x:c r="H372" s="83" t="str">
        <x:v>Easy</x:v>
      </x:c>
      <x:c r="I372" s="83" t="str">
        <x:v>Knowledge &amp; Recall</x:v>
      </x:c>
      <x:c r="J372" s="83" t="n">
        <x:v>3</x:v>
      </x:c>
      <x:c r="K372" s="83" t="str">
        <x:v>B</x:v>
      </x:c>
      <x:c r="L372" s="83" t="n">
        <x:v>1</x:v>
      </x:c>
      <x:c r="M372" s="83" t="str">
        <x:v>LCSW-ALT-083</x:v>
      </x:c>
      <x:c r="N372" s="83" t="str">
        <x:v>Released</x:v>
      </x:c>
      <x:c r="O372" s="89" t="str">
        <x:v>Form B only; paired alternate retained on the other comprehensive form</x:v>
      </x:c>
    </x:row>
    <x:row r="373">
      <x:c r="A373" s="88" t="str">
        <x:v>CTA-LCSW-MQB-0372</x:v>
      </x:c>
      <x:c r="B373" s="83" t="str">
        <x:v>LCSW-MQB-FB-AP-026</x:v>
      </x:c>
      <x:c r="C373" s="83" t="str">
        <x:v>LCSW 2026 Comprehensive Simulation Form B</x:v>
      </x:c>
      <x:c r="D373" s="83" t="n">
        <x:v>46</x:v>
      </x:c>
      <x:c r="E373" s="83" t="str">
        <x:v>Scored-Style</x:v>
      </x:c>
      <x:c r="F373" s="83" t="str">
        <x:v>II. Assessment and Planning</x:v>
      </x:c>
      <x:c r="G373" s="83" t="str">
        <x:v>Psychosis and culture</x:v>
      </x:c>
      <x:c r="H373" s="83" t="str">
        <x:v>Moderate</x:v>
      </x:c>
      <x:c r="I373" s="83" t="str">
        <x:v>Scenario-Based</x:v>
      </x:c>
      <x:c r="J373" s="83" t="n">
        <x:v>4</x:v>
      </x:c>
      <x:c r="K373" s="83" t="str">
        <x:v>C</x:v>
      </x:c>
      <x:c r="L373" s="83" t="n">
        <x:v>1</x:v>
      </x:c>
      <x:c r="M373" s="83" t="str">
        <x:v>LCSW-ALT-026</x:v>
      </x:c>
      <x:c r="N373" s="83" t="str">
        <x:v>Released</x:v>
      </x:c>
      <x:c r="O373" s="89" t="str">
        <x:v>Form B only; paired alternate retained on the other comprehensive form</x:v>
      </x:c>
    </x:row>
    <x:row r="374">
      <x:c r="A374" s="88" t="str">
        <x:v>CTA-LCSW-MQB-0373</x:v>
      </x:c>
      <x:c r="B374" s="83" t="str">
        <x:v>LCSW-MQB-FB-VE-001</x:v>
      </x:c>
      <x:c r="C374" s="83" t="str">
        <x:v>LCSW 2026 Comprehensive Simulation Form B</x:v>
      </x:c>
      <x:c r="D374" s="83" t="n">
        <x:v>47</x:v>
      </x:c>
      <x:c r="E374" s="83" t="str">
        <x:v>Scored-Style</x:v>
      </x:c>
      <x:c r="F374" s="83" t="str">
        <x:v>I. Values and Ethics</x:v>
      </x:c>
      <x:c r="G374" s="83" t="str">
        <x:v>Self-determination</x:v>
      </x:c>
      <x:c r="H374" s="83" t="str">
        <x:v>Easy</x:v>
      </x:c>
      <x:c r="I374" s="83" t="str">
        <x:v>Knowledge &amp; Recall</x:v>
      </x:c>
      <x:c r="J374" s="83" t="n">
        <x:v>3</x:v>
      </x:c>
      <x:c r="K374" s="83" t="str">
        <x:v>C</x:v>
      </x:c>
      <x:c r="L374" s="83" t="n">
        <x:v>1</x:v>
      </x:c>
      <x:c r="M374" s="83" t="str">
        <x:v>LCSW-ALT-079</x:v>
      </x:c>
      <x:c r="N374" s="83" t="str">
        <x:v>Released</x:v>
      </x:c>
      <x:c r="O374" s="89" t="str">
        <x:v>Form B only; paired alternate retained on the other comprehensive form</x:v>
      </x:c>
    </x:row>
    <x:row r="375">
      <x:c r="A375" s="88" t="str">
        <x:v>CTA-LCSW-MQB-0374</x:v>
      </x:c>
      <x:c r="B375" s="83" t="str">
        <x:v>LCSW-MQB-FB-AP-019</x:v>
      </x:c>
      <x:c r="C375" s="83" t="str">
        <x:v>LCSW 2026 Comprehensive Simulation Form B</x:v>
      </x:c>
      <x:c r="D375" s="83" t="n">
        <x:v>48</x:v>
      </x:c>
      <x:c r="E375" s="83" t="str">
        <x:v>Scored-Style</x:v>
      </x:c>
      <x:c r="F375" s="83" t="str">
        <x:v>II. Assessment and Planning</x:v>
      </x:c>
      <x:c r="G375" s="83" t="str">
        <x:v>Family role assessment</x:v>
      </x:c>
      <x:c r="H375" s="83" t="str">
        <x:v>Moderate</x:v>
      </x:c>
      <x:c r="I375" s="83" t="str">
        <x:v>Application</x:v>
      </x:c>
      <x:c r="J375" s="83" t="n">
        <x:v>3</x:v>
      </x:c>
      <x:c r="K375" s="83" t="str">
        <x:v>C</x:v>
      </x:c>
      <x:c r="L375" s="83" t="n">
        <x:v>1</x:v>
      </x:c>
      <x:c r="M375" s="83" t="str">
        <x:v>LCSW-ALT-019</x:v>
      </x:c>
      <x:c r="N375" s="83" t="str">
        <x:v>Released</x:v>
      </x:c>
      <x:c r="O375" s="89" t="str">
        <x:v>Form B only; paired alternate retained on the other comprehensive form</x:v>
      </x:c>
    </x:row>
    <x:row r="376">
      <x:c r="A376" s="88" t="str">
        <x:v>CTA-LCSW-MQB-0375</x:v>
      </x:c>
      <x:c r="B376" s="83" t="str">
        <x:v>LCSW-MQB-FB-AP-023</x:v>
      </x:c>
      <x:c r="C376" s="83" t="str">
        <x:v>LCSW 2026 Comprehensive Simulation Form B</x:v>
      </x:c>
      <x:c r="D376" s="83" t="n">
        <x:v>49</x:v>
      </x:c>
      <x:c r="E376" s="83" t="str">
        <x:v>Scored-Style</x:v>
      </x:c>
      <x:c r="F376" s="83" t="str">
        <x:v>II. Assessment and Planning</x:v>
      </x:c>
      <x:c r="G376" s="83" t="str">
        <x:v>Child abuse concern</x:v>
      </x:c>
      <x:c r="H376" s="83" t="str">
        <x:v>Moderate</x:v>
      </x:c>
      <x:c r="I376" s="83" t="str">
        <x:v>Scenario-Based</x:v>
      </x:c>
      <x:c r="J376" s="83" t="n">
        <x:v>3</x:v>
      </x:c>
      <x:c r="K376" s="83" t="str">
        <x:v>B</x:v>
      </x:c>
      <x:c r="L376" s="83" t="n">
        <x:v>1</x:v>
      </x:c>
      <x:c r="M376" s="83" t="str">
        <x:v>LCSW-ALT-023</x:v>
      </x:c>
      <x:c r="N376" s="83" t="str">
        <x:v>Released</x:v>
      </x:c>
      <x:c r="O376" s="89" t="str">
        <x:v>Form B only; paired alternate retained on the other comprehensive form</x:v>
      </x:c>
    </x:row>
    <x:row r="377">
      <x:c r="A377" s="88" t="str">
        <x:v>CTA-LCSW-MQB-0376</x:v>
      </x:c>
      <x:c r="B377" s="83" t="str">
        <x:v>LCSW-MQB-FB-IP-003</x:v>
      </x:c>
      <x:c r="C377" s="83" t="str">
        <x:v>LCSW 2026 Comprehensive Simulation Form B</x:v>
      </x:c>
      <x:c r="D377" s="83" t="n">
        <x:v>50</x:v>
      </x:c>
      <x:c r="E377" s="83" t="str">
        <x:v>Scored-Style</x:v>
      </x:c>
      <x:c r="F377" s="83" t="str">
        <x:v>III. Intervention and Practice</x:v>
      </x:c>
      <x:c r="G377" s="83" t="str">
        <x:v>Reflective listening</x:v>
      </x:c>
      <x:c r="H377" s="83" t="str">
        <x:v>Easy</x:v>
      </x:c>
      <x:c r="I377" s="83" t="str">
        <x:v>Application</x:v>
      </x:c>
      <x:c r="J377" s="83" t="n">
        <x:v>3</x:v>
      </x:c>
      <x:c r="K377" s="83" t="str">
        <x:v>C</x:v>
      </x:c>
      <x:c r="L377" s="83" t="n">
        <x:v>1</x:v>
      </x:c>
      <x:c r="M377" s="83" t="str">
        <x:v>LCSW-ALT-042</x:v>
      </x:c>
      <x:c r="N377" s="83" t="str">
        <x:v>Released</x:v>
      </x:c>
      <x:c r="O377" s="89" t="str">
        <x:v>Form B only; paired alternate retained on the other comprehensive form</x:v>
      </x:c>
    </x:row>
    <x:row r="378">
      <x:c r="A378" s="88" t="str">
        <x:v>CTA-LCSW-MQB-0377</x:v>
      </x:c>
      <x:c r="B378" s="83" t="str">
        <x:v>LCSW-MQB-FB-VE-044</x:v>
      </x:c>
      <x:c r="C378" s="83" t="str">
        <x:v>LCSW 2026 Comprehensive Simulation Form B</x:v>
      </x:c>
      <x:c r="D378" s="83" t="n">
        <x:v>51</x:v>
      </x:c>
      <x:c r="E378" s="83" t="str">
        <x:v>Pretest-Style</x:v>
      </x:c>
      <x:c r="F378" s="83" t="str">
        <x:v>I. Values and Ethics</x:v>
      </x:c>
      <x:c r="G378" s="83" t="str">
        <x:v>Ethical decision-making process</x:v>
      </x:c>
      <x:c r="H378" s="83" t="str">
        <x:v>Difficult</x:v>
      </x:c>
      <x:c r="I378" s="83" t="str">
        <x:v>Integrated Clinical Reasoning</x:v>
      </x:c>
      <x:c r="J378" s="83" t="n">
        <x:v>4</x:v>
      </x:c>
      <x:c r="K378" s="83" t="str">
        <x:v>C</x:v>
      </x:c>
      <x:c r="L378" s="83" t="n">
        <x:v>1</x:v>
      </x:c>
      <x:c r="M378" s="83" t="str">
        <x:v>LCSW-ALT-122</x:v>
      </x:c>
      <x:c r="N378" s="83" t="str">
        <x:v>Released</x:v>
      </x:c>
      <x:c r="O378" s="89" t="str">
        <x:v>Form B only; paired alternate retained on the other comprehensive form</x:v>
      </x:c>
    </x:row>
    <x:row r="379">
      <x:c r="A379" s="88" t="str">
        <x:v>CTA-LCSW-MQB-0378</x:v>
      </x:c>
      <x:c r="B379" s="83" t="str">
        <x:v>LCSW-MQB-FB-IP-011</x:v>
      </x:c>
      <x:c r="C379" s="83" t="str">
        <x:v>LCSW 2026 Comprehensive Simulation Form B</x:v>
      </x:c>
      <x:c r="D379" s="83" t="n">
        <x:v>52</x:v>
      </x:c>
      <x:c r="E379" s="83" t="str">
        <x:v>Scored-Style</x:v>
      </x:c>
      <x:c r="F379" s="83" t="str">
        <x:v>III. Intervention and Practice</x:v>
      </x:c>
      <x:c r="G379" s="83" t="str">
        <x:v>Interdisciplinary collaboration</x:v>
      </x:c>
      <x:c r="H379" s="83" t="str">
        <x:v>Moderate</x:v>
      </x:c>
      <x:c r="I379" s="83" t="str">
        <x:v>Application</x:v>
      </x:c>
      <x:c r="J379" s="83" t="n">
        <x:v>3</x:v>
      </x:c>
      <x:c r="K379" s="83" t="str">
        <x:v>B</x:v>
      </x:c>
      <x:c r="L379" s="83" t="n">
        <x:v>1</x:v>
      </x:c>
      <x:c r="M379" s="83" t="str">
        <x:v>LCSW-ALT-050</x:v>
      </x:c>
      <x:c r="N379" s="83" t="str">
        <x:v>Released</x:v>
      </x:c>
      <x:c r="O379" s="89" t="str">
        <x:v>Form B only; paired alternate retained on the other comprehensive form</x:v>
      </x:c>
    </x:row>
    <x:row r="380">
      <x:c r="A380" s="88" t="str">
        <x:v>CTA-LCSW-MQB-0379</x:v>
      </x:c>
      <x:c r="B380" s="83" t="str">
        <x:v>LCSW-MQB-FB-AP-001</x:v>
      </x:c>
      <x:c r="C380" s="83" t="str">
        <x:v>LCSW 2026 Comprehensive Simulation Form B</x:v>
      </x:c>
      <x:c r="D380" s="83" t="n">
        <x:v>53</x:v>
      </x:c>
      <x:c r="E380" s="83" t="str">
        <x:v>Scored-Style</x:v>
      </x:c>
      <x:c r="F380" s="83" t="str">
        <x:v>II. Assessment and Planning</x:v>
      </x:c>
      <x:c r="G380" s="83" t="str">
        <x:v>Mental status orientation</x:v>
      </x:c>
      <x:c r="H380" s="83" t="str">
        <x:v>Easy</x:v>
      </x:c>
      <x:c r="I380" s="83" t="str">
        <x:v>Knowledge &amp; Recall</x:v>
      </x:c>
      <x:c r="J380" s="83" t="n">
        <x:v>3</x:v>
      </x:c>
      <x:c r="K380" s="83" t="str">
        <x:v>B</x:v>
      </x:c>
      <x:c r="L380" s="83" t="n">
        <x:v>1</x:v>
      </x:c>
      <x:c r="M380" s="83" t="str">
        <x:v>LCSW-ALT-001</x:v>
      </x:c>
      <x:c r="N380" s="83" t="str">
        <x:v>Released</x:v>
      </x:c>
      <x:c r="O380" s="89" t="str">
        <x:v>Form B only; paired alternate retained on the other comprehensive form</x:v>
      </x:c>
    </x:row>
    <x:row r="381">
      <x:c r="A381" s="88" t="str">
        <x:v>CTA-LCSW-MQB-0380</x:v>
      </x:c>
      <x:c r="B381" s="83" t="str">
        <x:v>LCSW-MQB-FB-IP-033</x:v>
      </x:c>
      <x:c r="C381" s="83" t="str">
        <x:v>LCSW 2026 Comprehensive Simulation Form B</x:v>
      </x:c>
      <x:c r="D381" s="83" t="n">
        <x:v>54</x:v>
      </x:c>
      <x:c r="E381" s="83" t="str">
        <x:v>Pretest-Style</x:v>
      </x:c>
      <x:c r="F381" s="83" t="str">
        <x:v>III. Intervention and Practice</x:v>
      </x:c>
      <x:c r="G381" s="83" t="str">
        <x:v>Termination after dropout</x:v>
      </x:c>
      <x:c r="H381" s="83" t="str">
        <x:v>Difficult</x:v>
      </x:c>
      <x:c r="I381" s="83" t="str">
        <x:v>Scenario-Based</x:v>
      </x:c>
      <x:c r="J381" s="83" t="n">
        <x:v>4</x:v>
      </x:c>
      <x:c r="K381" s="83" t="str">
        <x:v>C</x:v>
      </x:c>
      <x:c r="L381" s="83" t="n">
        <x:v>1</x:v>
      </x:c>
      <x:c r="M381" s="83" t="str">
        <x:v>LCSW-ALT-072</x:v>
      </x:c>
      <x:c r="N381" s="83" t="str">
        <x:v>Released</x:v>
      </x:c>
      <x:c r="O381" s="89" t="str">
        <x:v>Form B only; paired alternate retained on the other comprehensive form</x:v>
      </x:c>
    </x:row>
    <x:row r="382">
      <x:c r="A382" s="88" t="str">
        <x:v>CTA-LCSW-MQB-0381</x:v>
      </x:c>
      <x:c r="B382" s="83" t="str">
        <x:v>LCSW-MQB-FB-IP-010</x:v>
      </x:c>
      <x:c r="C382" s="83" t="str">
        <x:v>LCSW 2026 Comprehensive Simulation Form B</x:v>
      </x:c>
      <x:c r="D382" s="83" t="n">
        <x:v>55</x:v>
      </x:c>
      <x:c r="E382" s="83" t="str">
        <x:v>Scored-Style</x:v>
      </x:c>
      <x:c r="F382" s="83" t="str">
        <x:v>III. Intervention and Practice</x:v>
      </x:c>
      <x:c r="G382" s="83" t="str">
        <x:v>Referral fit</x:v>
      </x:c>
      <x:c r="H382" s="83" t="str">
        <x:v>Moderate</x:v>
      </x:c>
      <x:c r="I382" s="83" t="str">
        <x:v>Application</x:v>
      </x:c>
      <x:c r="J382" s="83" t="n">
        <x:v>3</x:v>
      </x:c>
      <x:c r="K382" s="83" t="str">
        <x:v>A</x:v>
      </x:c>
      <x:c r="L382" s="83" t="n">
        <x:v>1</x:v>
      </x:c>
      <x:c r="M382" s="83" t="str">
        <x:v>LCSW-ALT-049</x:v>
      </x:c>
      <x:c r="N382" s="83" t="str">
        <x:v>Released</x:v>
      </x:c>
      <x:c r="O382" s="89" t="str">
        <x:v>Form B only; paired alternate retained on the other comprehensive form</x:v>
      </x:c>
    </x:row>
    <x:row r="383">
      <x:c r="A383" s="88" t="str">
        <x:v>CTA-LCSW-MQB-0382</x:v>
      </x:c>
      <x:c r="B383" s="83" t="str">
        <x:v>LCSW-MQB-FB-VE-018</x:v>
      </x:c>
      <x:c r="C383" s="83" t="str">
        <x:v>LCSW 2026 Comprehensive Simulation Form B</x:v>
      </x:c>
      <x:c r="D383" s="83" t="n">
        <x:v>56</x:v>
      </x:c>
      <x:c r="E383" s="83" t="str">
        <x:v>Scored-Style</x:v>
      </x:c>
      <x:c r="F383" s="83" t="str">
        <x:v>I. Values and Ethics</x:v>
      </x:c>
      <x:c r="G383" s="83" t="str">
        <x:v>Impairment and functioning</x:v>
      </x:c>
      <x:c r="H383" s="83" t="str">
        <x:v>Moderate</x:v>
      </x:c>
      <x:c r="I383" s="83" t="str">
        <x:v>Application</x:v>
      </x:c>
      <x:c r="J383" s="83" t="n">
        <x:v>3</x:v>
      </x:c>
      <x:c r="K383" s="83" t="str">
        <x:v>C</x:v>
      </x:c>
      <x:c r="L383" s="83" t="n">
        <x:v>1</x:v>
      </x:c>
      <x:c r="M383" s="83" t="str">
        <x:v>LCSW-ALT-096</x:v>
      </x:c>
      <x:c r="N383" s="83" t="str">
        <x:v>Released</x:v>
      </x:c>
      <x:c r="O383" s="89" t="str">
        <x:v>Form B only; paired alternate retained on the other comprehensive form</x:v>
      </x:c>
    </x:row>
    <x:row r="384">
      <x:c r="A384" s="88" t="str">
        <x:v>CTA-LCSW-MQB-0383</x:v>
      </x:c>
      <x:c r="B384" s="83" t="str">
        <x:v>LCSW-MQB-FB-AP-017</x:v>
      </x:c>
      <x:c r="C384" s="83" t="str">
        <x:v>LCSW 2026 Comprehensive Simulation Form B</x:v>
      </x:c>
      <x:c r="D384" s="83" t="n">
        <x:v>57</x:v>
      </x:c>
      <x:c r="E384" s="83" t="str">
        <x:v>Scored-Style</x:v>
      </x:c>
      <x:c r="F384" s="83" t="str">
        <x:v>II. Assessment and Planning</x:v>
      </x:c>
      <x:c r="G384" s="83" t="str">
        <x:v>Grief assessment</x:v>
      </x:c>
      <x:c r="H384" s="83" t="str">
        <x:v>Moderate</x:v>
      </x:c>
      <x:c r="I384" s="83" t="str">
        <x:v>Application</x:v>
      </x:c>
      <x:c r="J384" s="83" t="n">
        <x:v>3</x:v>
      </x:c>
      <x:c r="K384" s="83" t="str">
        <x:v>C</x:v>
      </x:c>
      <x:c r="L384" s="83" t="n">
        <x:v>1</x:v>
      </x:c>
      <x:c r="M384" s="83" t="str">
        <x:v>LCSW-ALT-017</x:v>
      </x:c>
      <x:c r="N384" s="83" t="str">
        <x:v>Released</x:v>
      </x:c>
      <x:c r="O384" s="89" t="str">
        <x:v>Form B only; paired alternate retained on the other comprehensive form</x:v>
      </x:c>
    </x:row>
    <x:row r="385">
      <x:c r="A385" s="88" t="str">
        <x:v>CTA-LCSW-MQB-0384</x:v>
      </x:c>
      <x:c r="B385" s="83" t="str">
        <x:v>LCSW-MQB-FB-IP-017</x:v>
      </x:c>
      <x:c r="C385" s="83" t="str">
        <x:v>LCSW 2026 Comprehensive Simulation Form B</x:v>
      </x:c>
      <x:c r="D385" s="83" t="n">
        <x:v>58</x:v>
      </x:c>
      <x:c r="E385" s="83" t="str">
        <x:v>Scored-Style</x:v>
      </x:c>
      <x:c r="F385" s="83" t="str">
        <x:v>III. Intervention and Practice</x:v>
      </x:c>
      <x:c r="G385" s="83" t="str">
        <x:v>Supervision feedback</x:v>
      </x:c>
      <x:c r="H385" s="83" t="str">
        <x:v>Moderate</x:v>
      </x:c>
      <x:c r="I385" s="83" t="str">
        <x:v>Application</x:v>
      </x:c>
      <x:c r="J385" s="83" t="n">
        <x:v>3</x:v>
      </x:c>
      <x:c r="K385" s="83" t="str">
        <x:v>B</x:v>
      </x:c>
      <x:c r="L385" s="83" t="n">
        <x:v>1</x:v>
      </x:c>
      <x:c r="M385" s="83" t="str">
        <x:v>LCSW-ALT-056</x:v>
      </x:c>
      <x:c r="N385" s="83" t="str">
        <x:v>Released</x:v>
      </x:c>
      <x:c r="O385" s="89" t="str">
        <x:v>Form B only; paired alternate retained on the other comprehensive form</x:v>
      </x:c>
    </x:row>
    <x:row r="386">
      <x:c r="A386" s="88" t="str">
        <x:v>CTA-LCSW-MQB-0385</x:v>
      </x:c>
      <x:c r="B386" s="83" t="str">
        <x:v>LCSW-MQB-FB-IP-026</x:v>
      </x:c>
      <x:c r="C386" s="83" t="str">
        <x:v>LCSW 2026 Comprehensive Simulation Form B</x:v>
      </x:c>
      <x:c r="D386" s="83" t="n">
        <x:v>59</x:v>
      </x:c>
      <x:c r="E386" s="83" t="str">
        <x:v>Scored-Style</x:v>
      </x:c>
      <x:c r="F386" s="83" t="str">
        <x:v>III. Intervention and Practice</x:v>
      </x:c>
      <x:c r="G386" s="83" t="str">
        <x:v>Group conflict</x:v>
      </x:c>
      <x:c r="H386" s="83" t="str">
        <x:v>Moderate</x:v>
      </x:c>
      <x:c r="I386" s="83" t="str">
        <x:v>Scenario-Based</x:v>
      </x:c>
      <x:c r="J386" s="83" t="n">
        <x:v>4</x:v>
      </x:c>
      <x:c r="K386" s="83" t="str">
        <x:v>A</x:v>
      </x:c>
      <x:c r="L386" s="83" t="n">
        <x:v>1</x:v>
      </x:c>
      <x:c r="M386" s="83" t="str">
        <x:v>LCSW-ALT-065</x:v>
      </x:c>
      <x:c r="N386" s="83" t="str">
        <x:v>Released</x:v>
      </x:c>
      <x:c r="O386" s="89" t="str">
        <x:v>Form B only; paired alternate retained on the other comprehensive form</x:v>
      </x:c>
    </x:row>
    <x:row r="387">
      <x:c r="A387" s="88" t="str">
        <x:v>CTA-LCSW-MQB-0386</x:v>
      </x:c>
      <x:c r="B387" s="83" t="str">
        <x:v>LCSW-MQB-FB-VE-022</x:v>
      </x:c>
      <x:c r="C387" s="83" t="str">
        <x:v>LCSW 2026 Comprehensive Simulation Form B</x:v>
      </x:c>
      <x:c r="D387" s="83" t="n">
        <x:v>60</x:v>
      </x:c>
      <x:c r="E387" s="83" t="str">
        <x:v>Scored-Style</x:v>
      </x:c>
      <x:c r="F387" s="83" t="str">
        <x:v>I. Values and Ethics</x:v>
      </x:c>
      <x:c r="G387" s="83" t="str">
        <x:v>Billing integrity</x:v>
      </x:c>
      <x:c r="H387" s="83" t="str">
        <x:v>Moderate</x:v>
      </x:c>
      <x:c r="I387" s="83" t="str">
        <x:v>Application</x:v>
      </x:c>
      <x:c r="J387" s="83" t="n">
        <x:v>3</x:v>
      </x:c>
      <x:c r="K387" s="83" t="str">
        <x:v>A</x:v>
      </x:c>
      <x:c r="L387" s="83" t="n">
        <x:v>1</x:v>
      </x:c>
      <x:c r="M387" s="83" t="str">
        <x:v>LCSW-ALT-100</x:v>
      </x:c>
      <x:c r="N387" s="83" t="str">
        <x:v>Released</x:v>
      </x:c>
      <x:c r="O387" s="89" t="str">
        <x:v>Form B only; paired alternate retained on the other comprehensive form</x:v>
      </x:c>
    </x:row>
    <x:row r="388">
      <x:c r="A388" s="88" t="str">
        <x:v>CTA-LCSW-MQB-0387</x:v>
      </x:c>
      <x:c r="B388" s="83" t="str">
        <x:v>LCSW-MQB-FB-IP-028</x:v>
      </x:c>
      <x:c r="C388" s="83" t="str">
        <x:v>LCSW 2026 Comprehensive Simulation Form B</x:v>
      </x:c>
      <x:c r="D388" s="83" t="n">
        <x:v>61</x:v>
      </x:c>
      <x:c r="E388" s="83" t="str">
        <x:v>Pretest-Style</x:v>
      </x:c>
      <x:c r="F388" s="83" t="str">
        <x:v>III. Intervention and Practice</x:v>
      </x:c>
      <x:c r="G388" s="83" t="str">
        <x:v>Hospital discharge advocacy</x:v>
      </x:c>
      <x:c r="H388" s="83" t="str">
        <x:v>Moderate</x:v>
      </x:c>
      <x:c r="I388" s="83" t="str">
        <x:v>Scenario-Based</x:v>
      </x:c>
      <x:c r="J388" s="83" t="n">
        <x:v>4</x:v>
      </x:c>
      <x:c r="K388" s="83" t="str">
        <x:v>B</x:v>
      </x:c>
      <x:c r="L388" s="83" t="n">
        <x:v>1</x:v>
      </x:c>
      <x:c r="M388" s="83" t="str">
        <x:v>LCSW-ALT-067</x:v>
      </x:c>
      <x:c r="N388" s="83" t="str">
        <x:v>Released</x:v>
      </x:c>
      <x:c r="O388" s="89" t="str">
        <x:v>Form B only; paired alternate retained on the other comprehensive form</x:v>
      </x:c>
    </x:row>
    <x:row r="389">
      <x:c r="A389" s="88" t="str">
        <x:v>CTA-LCSW-MQB-0388</x:v>
      </x:c>
      <x:c r="B389" s="83" t="str">
        <x:v>LCSW-MQB-FB-AP-002</x:v>
      </x:c>
      <x:c r="C389" s="83" t="str">
        <x:v>LCSW 2026 Comprehensive Simulation Form B</x:v>
      </x:c>
      <x:c r="D389" s="83" t="n">
        <x:v>62</x:v>
      </x:c>
      <x:c r="E389" s="83" t="str">
        <x:v>Scored-Style</x:v>
      </x:c>
      <x:c r="F389" s="83" t="str">
        <x:v>II. Assessment and Planning</x:v>
      </x:c>
      <x:c r="G389" s="83" t="str">
        <x:v>Person-in-environment</x:v>
      </x:c>
      <x:c r="H389" s="83" t="str">
        <x:v>Easy</x:v>
      </x:c>
      <x:c r="I389" s="83" t="str">
        <x:v>Knowledge &amp; Recall</x:v>
      </x:c>
      <x:c r="J389" s="83" t="n">
        <x:v>3</x:v>
      </x:c>
      <x:c r="K389" s="83" t="str">
        <x:v>A</x:v>
      </x:c>
      <x:c r="L389" s="83" t="n">
        <x:v>1</x:v>
      </x:c>
      <x:c r="M389" s="83" t="str">
        <x:v>LCSW-ALT-002</x:v>
      </x:c>
      <x:c r="N389" s="83" t="str">
        <x:v>Released</x:v>
      </x:c>
      <x:c r="O389" s="89" t="str">
        <x:v>Form B only; paired alternate retained on the other comprehensive form</x:v>
      </x:c>
    </x:row>
    <x:row r="390">
      <x:c r="A390" s="88" t="str">
        <x:v>CTA-LCSW-MQB-0389</x:v>
      </x:c>
      <x:c r="B390" s="83" t="str">
        <x:v>LCSW-MQB-FB-AP-007</x:v>
      </x:c>
      <x:c r="C390" s="83" t="str">
        <x:v>LCSW 2026 Comprehensive Simulation Form B</x:v>
      </x:c>
      <x:c r="D390" s="83" t="n">
        <x:v>63</x:v>
      </x:c>
      <x:c r="E390" s="83" t="str">
        <x:v>Scored-Style</x:v>
      </x:c>
      <x:c r="F390" s="83" t="str">
        <x:v>II. Assessment and Planning</x:v>
      </x:c>
      <x:c r="G390" s="83" t="str">
        <x:v>Collateral discrepancy</x:v>
      </x:c>
      <x:c r="H390" s="83" t="str">
        <x:v>Easy</x:v>
      </x:c>
      <x:c r="I390" s="83" t="str">
        <x:v>Application</x:v>
      </x:c>
      <x:c r="J390" s="83" t="n">
        <x:v>3</x:v>
      </x:c>
      <x:c r="K390" s="83" t="str">
        <x:v>B</x:v>
      </x:c>
      <x:c r="L390" s="83" t="n">
        <x:v>1</x:v>
      </x:c>
      <x:c r="M390" s="83" t="str">
        <x:v>LCSW-ALT-007</x:v>
      </x:c>
      <x:c r="N390" s="83" t="str">
        <x:v>Released</x:v>
      </x:c>
      <x:c r="O390" s="89" t="str">
        <x:v>Form B only; paired alternate retained on the other comprehensive form</x:v>
      </x:c>
    </x:row>
    <x:row r="391">
      <x:c r="A391" s="88" t="str">
        <x:v>CTA-LCSW-MQB-0390</x:v>
      </x:c>
      <x:c r="B391" s="83" t="str">
        <x:v>LCSW-MQB-FB-VE-028</x:v>
      </x:c>
      <x:c r="C391" s="83" t="str">
        <x:v>LCSW 2026 Comprehensive Simulation Form B</x:v>
      </x:c>
      <x:c r="D391" s="83" t="n">
        <x:v>64</x:v>
      </x:c>
      <x:c r="E391" s="83" t="str">
        <x:v>Scored-Style</x:v>
      </x:c>
      <x:c r="F391" s="83" t="str">
        <x:v>I. Values and Ethics</x:v>
      </x:c>
      <x:c r="G391" s="83" t="str">
        <x:v>Client access and third-party information</x:v>
      </x:c>
      <x:c r="H391" s="83" t="str">
        <x:v>Moderate</x:v>
      </x:c>
      <x:c r="I391" s="83" t="str">
        <x:v>Scenario-Based</x:v>
      </x:c>
      <x:c r="J391" s="83" t="n">
        <x:v>4</x:v>
      </x:c>
      <x:c r="K391" s="83" t="str">
        <x:v>B</x:v>
      </x:c>
      <x:c r="L391" s="83" t="n">
        <x:v>1</x:v>
      </x:c>
      <x:c r="M391" s="83" t="str">
        <x:v>LCSW-ALT-106</x:v>
      </x:c>
      <x:c r="N391" s="83" t="str">
        <x:v>Released</x:v>
      </x:c>
      <x:c r="O391" s="89" t="str">
        <x:v>Form B only; paired alternate retained on the other comprehensive form</x:v>
      </x:c>
    </x:row>
    <x:row r="392">
      <x:c r="A392" s="88" t="str">
        <x:v>CTA-LCSW-MQB-0391</x:v>
      </x:c>
      <x:c r="B392" s="83" t="str">
        <x:v>LCSW-MQB-FB-IP-025</x:v>
      </x:c>
      <x:c r="C392" s="83" t="str">
        <x:v>LCSW 2026 Comprehensive Simulation Form B</x:v>
      </x:c>
      <x:c r="D392" s="83" t="n">
        <x:v>65</x:v>
      </x:c>
      <x:c r="E392" s="83" t="str">
        <x:v>Scored-Style</x:v>
      </x:c>
      <x:c r="F392" s="83" t="str">
        <x:v>III. Intervention and Practice</x:v>
      </x:c>
      <x:c r="G392" s="83" t="str">
        <x:v>Family conflict and safety</x:v>
      </x:c>
      <x:c r="H392" s="83" t="str">
        <x:v>Moderate</x:v>
      </x:c>
      <x:c r="I392" s="83" t="str">
        <x:v>Scenario-Based</x:v>
      </x:c>
      <x:c r="J392" s="83" t="n">
        <x:v>4</x:v>
      </x:c>
      <x:c r="K392" s="83" t="str">
        <x:v>A</x:v>
      </x:c>
      <x:c r="L392" s="83" t="n">
        <x:v>1</x:v>
      </x:c>
      <x:c r="M392" s="83" t="str">
        <x:v>LCSW-ALT-064</x:v>
      </x:c>
      <x:c r="N392" s="83" t="str">
        <x:v>Released</x:v>
      </x:c>
      <x:c r="O392" s="89" t="str">
        <x:v>Form B only; paired alternate retained on the other comprehensive form</x:v>
      </x:c>
    </x:row>
    <x:row r="393">
      <x:c r="A393" s="88" t="str">
        <x:v>CTA-LCSW-MQB-0392</x:v>
      </x:c>
      <x:c r="B393" s="83" t="str">
        <x:v>LCSW-MQB-FB-VE-033</x:v>
      </x:c>
      <x:c r="C393" s="83" t="str">
        <x:v>LCSW 2026 Comprehensive Simulation Form B</x:v>
      </x:c>
      <x:c r="D393" s="83" t="n">
        <x:v>66</x:v>
      </x:c>
      <x:c r="E393" s="83" t="str">
        <x:v>Scored-Style</x:v>
      </x:c>
      <x:c r="F393" s="83" t="str">
        <x:v>I. Values and Ethics</x:v>
      </x:c>
      <x:c r="G393" s="83" t="str">
        <x:v>Dual-role pressure</x:v>
      </x:c>
      <x:c r="H393" s="83" t="str">
        <x:v>Moderate</x:v>
      </x:c>
      <x:c r="I393" s="83" t="str">
        <x:v>Scenario-Based</x:v>
      </x:c>
      <x:c r="J393" s="83" t="n">
        <x:v>4</x:v>
      </x:c>
      <x:c r="K393" s="83" t="str">
        <x:v>D</x:v>
      </x:c>
      <x:c r="L393" s="83" t="n">
        <x:v>1</x:v>
      </x:c>
      <x:c r="M393" s="83" t="str">
        <x:v>LCSW-ALT-111</x:v>
      </x:c>
      <x:c r="N393" s="83" t="str">
        <x:v>Released</x:v>
      </x:c>
      <x:c r="O393" s="89" t="str">
        <x:v>Form B only; paired alternate retained on the other comprehensive form</x:v>
      </x:c>
    </x:row>
    <x:row r="394">
      <x:c r="A394" s="88" t="str">
        <x:v>CTA-LCSW-MQB-0393</x:v>
      </x:c>
      <x:c r="B394" s="83" t="str">
        <x:v>LCSW-MQB-FB-IP-015</x:v>
      </x:c>
      <x:c r="C394" s="83" t="str">
        <x:v>LCSW 2026 Comprehensive Simulation Form B</x:v>
      </x:c>
      <x:c r="D394" s="83" t="n">
        <x:v>67</x:v>
      </x:c>
      <x:c r="E394" s="83" t="str">
        <x:v>Scored-Style</x:v>
      </x:c>
      <x:c r="F394" s="83" t="str">
        <x:v>III. Intervention and Practice</x:v>
      </x:c>
      <x:c r="G394" s="83" t="str">
        <x:v>Measurement-based care</x:v>
      </x:c>
      <x:c r="H394" s="83" t="str">
        <x:v>Moderate</x:v>
      </x:c>
      <x:c r="I394" s="83" t="str">
        <x:v>Application</x:v>
      </x:c>
      <x:c r="J394" s="83" t="n">
        <x:v>3</x:v>
      </x:c>
      <x:c r="K394" s="83" t="str">
        <x:v>A</x:v>
      </x:c>
      <x:c r="L394" s="83" t="n">
        <x:v>1</x:v>
      </x:c>
      <x:c r="M394" s="83" t="str">
        <x:v>LCSW-ALT-054</x:v>
      </x:c>
      <x:c r="N394" s="83" t="str">
        <x:v>Released</x:v>
      </x:c>
      <x:c r="O394" s="89" t="str">
        <x:v>Form B only; paired alternate retained on the other comprehensive form</x:v>
      </x:c>
    </x:row>
    <x:row r="395">
      <x:c r="A395" s="88" t="str">
        <x:v>CTA-LCSW-MQB-0394</x:v>
      </x:c>
      <x:c r="B395" s="83" t="str">
        <x:v>LCSW-MQB-FB-VE-023</x:v>
      </x:c>
      <x:c r="C395" s="83" t="str">
        <x:v>LCSW 2026 Comprehensive Simulation Form B</x:v>
      </x:c>
      <x:c r="D395" s="83" t="n">
        <x:v>68</x:v>
      </x:c>
      <x:c r="E395" s="83" t="str">
        <x:v>Pretest-Style</x:v>
      </x:c>
      <x:c r="F395" s="83" t="str">
        <x:v>I. Values and Ethics</x:v>
      </x:c>
      <x:c r="G395" s="83" t="str">
        <x:v>Policy conflict</x:v>
      </x:c>
      <x:c r="H395" s="83" t="str">
        <x:v>Moderate</x:v>
      </x:c>
      <x:c r="I395" s="83" t="str">
        <x:v>Application</x:v>
      </x:c>
      <x:c r="J395" s="83" t="n">
        <x:v>3</x:v>
      </x:c>
      <x:c r="K395" s="83" t="str">
        <x:v>C</x:v>
      </x:c>
      <x:c r="L395" s="83" t="n">
        <x:v>1</x:v>
      </x:c>
      <x:c r="M395" s="83" t="str">
        <x:v>LCSW-ALT-101</x:v>
      </x:c>
      <x:c r="N395" s="83" t="str">
        <x:v>Released</x:v>
      </x:c>
      <x:c r="O395" s="89" t="str">
        <x:v>Form B only; paired alternate retained on the other comprehensive form</x:v>
      </x:c>
    </x:row>
    <x:row r="396">
      <x:c r="A396" s="88" t="str">
        <x:v>CTA-LCSW-MQB-0395</x:v>
      </x:c>
      <x:c r="B396" s="83" t="str">
        <x:v>LCSW-MQB-FB-VE-034</x:v>
      </x:c>
      <x:c r="C396" s="83" t="str">
        <x:v>LCSW 2026 Comprehensive Simulation Form B</x:v>
      </x:c>
      <x:c r="D396" s="83" t="n">
        <x:v>69</x:v>
      </x:c>
      <x:c r="E396" s="83" t="str">
        <x:v>Pretest-Style</x:v>
      </x:c>
      <x:c r="F396" s="83" t="str">
        <x:v>I. Values and Ethics</x:v>
      </x:c>
      <x:c r="G396" s="83" t="str">
        <x:v>Administrative falsification</x:v>
      </x:c>
      <x:c r="H396" s="83" t="str">
        <x:v>Moderate</x:v>
      </x:c>
      <x:c r="I396" s="83" t="str">
        <x:v>Scenario-Based</x:v>
      </x:c>
      <x:c r="J396" s="83" t="n">
        <x:v>4</x:v>
      </x:c>
      <x:c r="K396" s="83" t="str">
        <x:v>A</x:v>
      </x:c>
      <x:c r="L396" s="83" t="n">
        <x:v>1</x:v>
      </x:c>
      <x:c r="M396" s="83" t="str">
        <x:v>LCSW-ALT-112</x:v>
      </x:c>
      <x:c r="N396" s="83" t="str">
        <x:v>Released</x:v>
      </x:c>
      <x:c r="O396" s="89" t="str">
        <x:v>Form B only; paired alternate retained on the other comprehensive form</x:v>
      </x:c>
    </x:row>
    <x:row r="397">
      <x:c r="A397" s="88" t="str">
        <x:v>CTA-LCSW-MQB-0396</x:v>
      </x:c>
      <x:c r="B397" s="83" t="str">
        <x:v>LCSW-MQB-FB-IP-039</x:v>
      </x:c>
      <x:c r="C397" s="83" t="str">
        <x:v>LCSW 2026 Comprehensive Simulation Form B</x:v>
      </x:c>
      <x:c r="D397" s="83" t="n">
        <x:v>70</x:v>
      </x:c>
      <x:c r="E397" s="83" t="str">
        <x:v>Scored-Style</x:v>
      </x:c>
      <x:c r="F397" s="83" t="str">
        <x:v>III. Intervention and Practice</x:v>
      </x:c>
      <x:c r="G397" s="83" t="str">
        <x:v>Supervision, administration, and quality improvement</x:v>
      </x:c>
      <x:c r="H397" s="83" t="str">
        <x:v>Difficult</x:v>
      </x:c>
      <x:c r="I397" s="83" t="str">
        <x:v>Integrated Clinical Reasoning</x:v>
      </x:c>
      <x:c r="J397" s="83" t="n">
        <x:v>4</x:v>
      </x:c>
      <x:c r="K397" s="83" t="str">
        <x:v>A</x:v>
      </x:c>
      <x:c r="L397" s="83" t="n">
        <x:v>1</x:v>
      </x:c>
      <x:c r="M397" s="83" t="str">
        <x:v>LCSW-ALT-078</x:v>
      </x:c>
      <x:c r="N397" s="83" t="str">
        <x:v>Released</x:v>
      </x:c>
      <x:c r="O397" s="89" t="str">
        <x:v>Form B only; paired alternate retained on the other comprehensive form</x:v>
      </x:c>
    </x:row>
    <x:row r="398">
      <x:c r="A398" s="88" t="str">
        <x:v>CTA-LCSW-MQB-0397</x:v>
      </x:c>
      <x:c r="B398" s="83" t="str">
        <x:v>LCSW-MQB-FB-IP-005</x:v>
      </x:c>
      <x:c r="C398" s="83" t="str">
        <x:v>LCSW 2026 Comprehensive Simulation Form B</x:v>
      </x:c>
      <x:c r="D398" s="83" t="n">
        <x:v>71</x:v>
      </x:c>
      <x:c r="E398" s="83" t="str">
        <x:v>Scored-Style</x:v>
      </x:c>
      <x:c r="F398" s="83" t="str">
        <x:v>III. Intervention and Practice</x:v>
      </x:c>
      <x:c r="G398" s="83" t="str">
        <x:v>Grounding</x:v>
      </x:c>
      <x:c r="H398" s="83" t="str">
        <x:v>Easy</x:v>
      </x:c>
      <x:c r="I398" s="83" t="str">
        <x:v>Application</x:v>
      </x:c>
      <x:c r="J398" s="83" t="n">
        <x:v>3</x:v>
      </x:c>
      <x:c r="K398" s="83" t="str">
        <x:v>C</x:v>
      </x:c>
      <x:c r="L398" s="83" t="n">
        <x:v>1</x:v>
      </x:c>
      <x:c r="M398" s="83" t="str">
        <x:v>LCSW-ALT-044</x:v>
      </x:c>
      <x:c r="N398" s="83" t="str">
        <x:v>Released</x:v>
      </x:c>
      <x:c r="O398" s="89" t="str">
        <x:v>Form B only; paired alternate retained on the other comprehensive form</x:v>
      </x:c>
    </x:row>
    <x:row r="399">
      <x:c r="A399" s="88" t="str">
        <x:v>CTA-LCSW-MQB-0398</x:v>
      </x:c>
      <x:c r="B399" s="83" t="str">
        <x:v>LCSW-MQB-FB-AP-009</x:v>
      </x:c>
      <x:c r="C399" s="83" t="str">
        <x:v>LCSW 2026 Comprehensive Simulation Form B</x:v>
      </x:c>
      <x:c r="D399" s="83" t="n">
        <x:v>72</x:v>
      </x:c>
      <x:c r="E399" s="83" t="str">
        <x:v>Scored-Style</x:v>
      </x:c>
      <x:c r="F399" s="83" t="str">
        <x:v>II. Assessment and Planning</x:v>
      </x:c>
      <x:c r="G399" s="83" t="str">
        <x:v>Developmental context</x:v>
      </x:c>
      <x:c r="H399" s="83" t="str">
        <x:v>Easy</x:v>
      </x:c>
      <x:c r="I399" s="83" t="str">
        <x:v>Application</x:v>
      </x:c>
      <x:c r="J399" s="83" t="n">
        <x:v>3</x:v>
      </x:c>
      <x:c r="K399" s="83" t="str">
        <x:v>A</x:v>
      </x:c>
      <x:c r="L399" s="83" t="n">
        <x:v>1</x:v>
      </x:c>
      <x:c r="M399" s="83" t="str">
        <x:v>LCSW-ALT-009</x:v>
      </x:c>
      <x:c r="N399" s="83" t="str">
        <x:v>Released</x:v>
      </x:c>
      <x:c r="O399" s="89" t="str">
        <x:v>Form B only; paired alternate retained on the other comprehensive form</x:v>
      </x:c>
    </x:row>
    <x:row r="400">
      <x:c r="A400" s="88" t="str">
        <x:v>CTA-LCSW-MQB-0399</x:v>
      </x:c>
      <x:c r="B400" s="83" t="str">
        <x:v>LCSW-MQB-FB-VE-017</x:v>
      </x:c>
      <x:c r="C400" s="83" t="str">
        <x:v>LCSW 2026 Comprehensive Simulation Form B</x:v>
      </x:c>
      <x:c r="D400" s="83" t="n">
        <x:v>73</x:v>
      </x:c>
      <x:c r="E400" s="83" t="str">
        <x:v>Scored-Style</x:v>
      </x:c>
      <x:c r="F400" s="83" t="str">
        <x:v>I. Values and Ethics</x:v>
      </x:c>
      <x:c r="G400" s="83" t="str">
        <x:v>Technology competence</x:v>
      </x:c>
      <x:c r="H400" s="83" t="str">
        <x:v>Moderate</x:v>
      </x:c>
      <x:c r="I400" s="83" t="str">
        <x:v>Application</x:v>
      </x:c>
      <x:c r="J400" s="83" t="n">
        <x:v>3</x:v>
      </x:c>
      <x:c r="K400" s="83" t="str">
        <x:v>C</x:v>
      </x:c>
      <x:c r="L400" s="83" t="n">
        <x:v>1</x:v>
      </x:c>
      <x:c r="M400" s="83" t="str">
        <x:v>LCSW-ALT-095</x:v>
      </x:c>
      <x:c r="N400" s="83" t="str">
        <x:v>Released</x:v>
      </x:c>
      <x:c r="O400" s="89" t="str">
        <x:v>Form B only; paired alternate retained on the other comprehensive form</x:v>
      </x:c>
    </x:row>
    <x:row r="401">
      <x:c r="A401" s="88" t="str">
        <x:v>CTA-LCSW-MQB-0400</x:v>
      </x:c>
      <x:c r="B401" s="83" t="str">
        <x:v>LCSW-MQB-FB-AP-025</x:v>
      </x:c>
      <x:c r="C401" s="83" t="str">
        <x:v>LCSW 2026 Comprehensive Simulation Form B</x:v>
      </x:c>
      <x:c r="D401" s="83" t="n">
        <x:v>74</x:v>
      </x:c>
      <x:c r="E401" s="83" t="str">
        <x:v>Scored-Style</x:v>
      </x:c>
      <x:c r="F401" s="83" t="str">
        <x:v>II. Assessment and Planning</x:v>
      </x:c>
      <x:c r="G401" s="83" t="str">
        <x:v>Mania differential</x:v>
      </x:c>
      <x:c r="H401" s="83" t="str">
        <x:v>Moderate</x:v>
      </x:c>
      <x:c r="I401" s="83" t="str">
        <x:v>Scenario-Based</x:v>
      </x:c>
      <x:c r="J401" s="83" t="n">
        <x:v>4</x:v>
      </x:c>
      <x:c r="K401" s="83" t="str">
        <x:v>A</x:v>
      </x:c>
      <x:c r="L401" s="83" t="n">
        <x:v>1</x:v>
      </x:c>
      <x:c r="M401" s="83" t="str">
        <x:v>LCSW-ALT-025</x:v>
      </x:c>
      <x:c r="N401" s="83" t="str">
        <x:v>Released</x:v>
      </x:c>
      <x:c r="O401" s="89" t="str">
        <x:v>Form B only; paired alternate retained on the other comprehensive form</x:v>
      </x:c>
    </x:row>
    <x:row r="402">
      <x:c r="A402" s="88" t="str">
        <x:v>CTA-LCSW-MQB-0401</x:v>
      </x:c>
      <x:c r="B402" s="83" t="str">
        <x:v>LCSW-MQB-FB-VE-042</x:v>
      </x:c>
      <x:c r="C402" s="83" t="str">
        <x:v>LCSW 2026 Comprehensive Simulation Form B</x:v>
      </x:c>
      <x:c r="D402" s="83" t="n">
        <x:v>75</x:v>
      </x:c>
      <x:c r="E402" s="83" t="str">
        <x:v>Scored-Style</x:v>
      </x:c>
      <x:c r="F402" s="83" t="str">
        <x:v>I. Values and Ethics</x:v>
      </x:c>
      <x:c r="G402" s="83" t="str">
        <x:v>Organizational ethics and scarce resources</x:v>
      </x:c>
      <x:c r="H402" s="83" t="str">
        <x:v>Difficult</x:v>
      </x:c>
      <x:c r="I402" s="83" t="str">
        <x:v>Integrated Clinical Reasoning</x:v>
      </x:c>
      <x:c r="J402" s="83" t="n">
        <x:v>4</x:v>
      </x:c>
      <x:c r="K402" s="83" t="str">
        <x:v>D</x:v>
      </x:c>
      <x:c r="L402" s="83" t="n">
        <x:v>1</x:v>
      </x:c>
      <x:c r="M402" s="83" t="str">
        <x:v>LCSW-ALT-120</x:v>
      </x:c>
      <x:c r="N402" s="83" t="str">
        <x:v>Released</x:v>
      </x:c>
      <x:c r="O402" s="89" t="str">
        <x:v>Form B only; paired alternate retained on the other comprehensive form</x:v>
      </x:c>
    </x:row>
    <x:row r="403">
      <x:c r="A403" s="88" t="str">
        <x:v>CTA-LCSW-MQB-0402</x:v>
      </x:c>
      <x:c r="B403" s="83" t="str">
        <x:v>LCSW-MQB-FB-VE-035</x:v>
      </x:c>
      <x:c r="C403" s="83" t="str">
        <x:v>LCSW 2026 Comprehensive Simulation Form B</x:v>
      </x:c>
      <x:c r="D403" s="83" t="n">
        <x:v>76</x:v>
      </x:c>
      <x:c r="E403" s="83" t="str">
        <x:v>Scored-Style</x:v>
      </x:c>
      <x:c r="F403" s="83" t="str">
        <x:v>I. Values and Ethics</x:v>
      </x:c>
      <x:c r="G403" s="83" t="str">
        <x:v>Termination and continuity</x:v>
      </x:c>
      <x:c r="H403" s="83" t="str">
        <x:v>Difficult</x:v>
      </x:c>
      <x:c r="I403" s="83" t="str">
        <x:v>Scenario-Based</x:v>
      </x:c>
      <x:c r="J403" s="83" t="n">
        <x:v>4</x:v>
      </x:c>
      <x:c r="K403" s="83" t="str">
        <x:v>A</x:v>
      </x:c>
      <x:c r="L403" s="83" t="n">
        <x:v>1</x:v>
      </x:c>
      <x:c r="M403" s="83" t="str">
        <x:v>LCSW-ALT-113</x:v>
      </x:c>
      <x:c r="N403" s="83" t="str">
        <x:v>Released</x:v>
      </x:c>
      <x:c r="O403" s="89" t="str">
        <x:v>Form B only; paired alternate retained on the other comprehensive form</x:v>
      </x:c>
    </x:row>
    <x:row r="404">
      <x:c r="A404" s="88" t="str">
        <x:v>CTA-LCSW-MQB-0403</x:v>
      </x:c>
      <x:c r="B404" s="83" t="str">
        <x:v>LCSW-MQB-FB-IP-001</x:v>
      </x:c>
      <x:c r="C404" s="83" t="str">
        <x:v>LCSW 2026 Comprehensive Simulation Form B</x:v>
      </x:c>
      <x:c r="D404" s="83" t="n">
        <x:v>77</x:v>
      </x:c>
      <x:c r="E404" s="83" t="str">
        <x:v>Scored-Style</x:v>
      </x:c>
      <x:c r="F404" s="83" t="str">
        <x:v>III. Intervention and Practice</x:v>
      </x:c>
      <x:c r="G404" s="83" t="str">
        <x:v>Motivational interviewing</x:v>
      </x:c>
      <x:c r="H404" s="83" t="str">
        <x:v>Easy</x:v>
      </x:c>
      <x:c r="I404" s="83" t="str">
        <x:v>Knowledge &amp; Recall</x:v>
      </x:c>
      <x:c r="J404" s="83" t="n">
        <x:v>3</x:v>
      </x:c>
      <x:c r="K404" s="83" t="str">
        <x:v>B</x:v>
      </x:c>
      <x:c r="L404" s="83" t="n">
        <x:v>1</x:v>
      </x:c>
      <x:c r="M404" s="83" t="str">
        <x:v>LCSW-ALT-040</x:v>
      </x:c>
      <x:c r="N404" s="83" t="str">
        <x:v>Released</x:v>
      </x:c>
      <x:c r="O404" s="89" t="str">
        <x:v>Form B only; paired alternate retained on the other comprehensive form</x:v>
      </x:c>
    </x:row>
    <x:row r="405">
      <x:c r="A405" s="88" t="str">
        <x:v>CTA-LCSW-MQB-0404</x:v>
      </x:c>
      <x:c r="B405" s="83" t="str">
        <x:v>LCSW-MQB-FB-AP-020</x:v>
      </x:c>
      <x:c r="C405" s="83" t="str">
        <x:v>LCSW 2026 Comprehensive Simulation Form B</x:v>
      </x:c>
      <x:c r="D405" s="83" t="n">
        <x:v>78</x:v>
      </x:c>
      <x:c r="E405" s="83" t="str">
        <x:v>Pretest-Style</x:v>
      </x:c>
      <x:c r="F405" s="83" t="str">
        <x:v>II. Assessment and Planning</x:v>
      </x:c>
      <x:c r="G405" s="83" t="str">
        <x:v>Collaborative goals</x:v>
      </x:c>
      <x:c r="H405" s="83" t="str">
        <x:v>Moderate</x:v>
      </x:c>
      <x:c r="I405" s="83" t="str">
        <x:v>Application</x:v>
      </x:c>
      <x:c r="J405" s="83" t="n">
        <x:v>3</x:v>
      </x:c>
      <x:c r="K405" s="83" t="str">
        <x:v>A</x:v>
      </x:c>
      <x:c r="L405" s="83" t="n">
        <x:v>1</x:v>
      </x:c>
      <x:c r="M405" s="83" t="str">
        <x:v>LCSW-ALT-020</x:v>
      </x:c>
      <x:c r="N405" s="83" t="str">
        <x:v>Released</x:v>
      </x:c>
      <x:c r="O405" s="89" t="str">
        <x:v>Form B only; paired alternate retained on the other comprehensive form</x:v>
      </x:c>
    </x:row>
    <x:row r="406">
      <x:c r="A406" s="88" t="str">
        <x:v>CTA-LCSW-MQB-0405</x:v>
      </x:c>
      <x:c r="B406" s="83" t="str">
        <x:v>LCSW-MQB-FB-AP-012</x:v>
      </x:c>
      <x:c r="C406" s="83" t="str">
        <x:v>LCSW 2026 Comprehensive Simulation Form B</x:v>
      </x:c>
      <x:c r="D406" s="83" t="n">
        <x:v>79</x:v>
      </x:c>
      <x:c r="E406" s="83" t="str">
        <x:v>Scored-Style</x:v>
      </x:c>
      <x:c r="F406" s="83" t="str">
        <x:v>II. Assessment and Planning</x:v>
      </x:c>
      <x:c r="G406" s="83" t="str">
        <x:v>Cultural formulation</x:v>
      </x:c>
      <x:c r="H406" s="83" t="str">
        <x:v>Moderate</x:v>
      </x:c>
      <x:c r="I406" s="83" t="str">
        <x:v>Application</x:v>
      </x:c>
      <x:c r="J406" s="83" t="n">
        <x:v>3</x:v>
      </x:c>
      <x:c r="K406" s="83" t="str">
        <x:v>A</x:v>
      </x:c>
      <x:c r="L406" s="83" t="n">
        <x:v>1</x:v>
      </x:c>
      <x:c r="M406" s="83" t="str">
        <x:v>LCSW-ALT-012</x:v>
      </x:c>
      <x:c r="N406" s="83" t="str">
        <x:v>Released</x:v>
      </x:c>
      <x:c r="O406" s="89" t="str">
        <x:v>Form B only; paired alternate retained on the other comprehensive form</x:v>
      </x:c>
    </x:row>
    <x:row r="407">
      <x:c r="A407" s="88" t="str">
        <x:v>CTA-LCSW-MQB-0406</x:v>
      </x:c>
      <x:c r="B407" s="83" t="str">
        <x:v>LCSW-MQB-FB-VE-041</x:v>
      </x:c>
      <x:c r="C407" s="83" t="str">
        <x:v>LCSW 2026 Comprehensive Simulation Form B</x:v>
      </x:c>
      <x:c r="D407" s="83" t="n">
        <x:v>80</x:v>
      </x:c>
      <x:c r="E407" s="83" t="str">
        <x:v>Scored-Style</x:v>
      </x:c>
      <x:c r="F407" s="83" t="str">
        <x:v>I. Values and Ethics</x:v>
      </x:c>
      <x:c r="G407" s="83" t="str">
        <x:v>Supervision and documentation</x:v>
      </x:c>
      <x:c r="H407" s="83" t="str">
        <x:v>Difficult</x:v>
      </x:c>
      <x:c r="I407" s="83" t="str">
        <x:v>Integrated Clinical Reasoning</x:v>
      </x:c>
      <x:c r="J407" s="83" t="n">
        <x:v>4</x:v>
      </x:c>
      <x:c r="K407" s="83" t="str">
        <x:v>C</x:v>
      </x:c>
      <x:c r="L407" s="83" t="n">
        <x:v>1</x:v>
      </x:c>
      <x:c r="M407" s="83" t="str">
        <x:v>LCSW-ALT-119</x:v>
      </x:c>
      <x:c r="N407" s="83" t="str">
        <x:v>Released</x:v>
      </x:c>
      <x:c r="O407" s="89" t="str">
        <x:v>Form B only; paired alternate retained on the other comprehensive form</x:v>
      </x:c>
    </x:row>
    <x:row r="408">
      <x:c r="A408" s="88" t="str">
        <x:v>CTA-LCSW-MQB-0407</x:v>
      </x:c>
      <x:c r="B408" s="83" t="str">
        <x:v>LCSW-MQB-FB-AP-036</x:v>
      </x:c>
      <x:c r="C408" s="83" t="str">
        <x:v>LCSW 2026 Comprehensive Simulation Form B</x:v>
      </x:c>
      <x:c r="D408" s="83" t="n">
        <x:v>81</x:v>
      </x:c>
      <x:c r="E408" s="83" t="str">
        <x:v>Scored-Style</x:v>
      </x:c>
      <x:c r="F408" s="83" t="str">
        <x:v>II. Assessment and Planning</x:v>
      </x:c>
      <x:c r="G408" s="83" t="str">
        <x:v>Child development and family stress</x:v>
      </x:c>
      <x:c r="H408" s="83" t="str">
        <x:v>Difficult</x:v>
      </x:c>
      <x:c r="I408" s="83" t="str">
        <x:v>Integrated Clinical Reasoning</x:v>
      </x:c>
      <x:c r="J408" s="83" t="n">
        <x:v>4</x:v>
      </x:c>
      <x:c r="K408" s="83" t="str">
        <x:v>C</x:v>
      </x:c>
      <x:c r="L408" s="83" t="n">
        <x:v>1</x:v>
      </x:c>
      <x:c r="M408" s="83" t="str">
        <x:v>LCSW-ALT-036</x:v>
      </x:c>
      <x:c r="N408" s="83" t="str">
        <x:v>Released</x:v>
      </x:c>
      <x:c r="O408" s="89" t="str">
        <x:v>Form B only; paired alternate retained on the other comprehensive form</x:v>
      </x:c>
    </x:row>
    <x:row r="409">
      <x:c r="A409" s="88" t="str">
        <x:v>CTA-LCSW-MQB-0408</x:v>
      </x:c>
      <x:c r="B409" s="83" t="str">
        <x:v>LCSW-MQB-FB-VE-003</x:v>
      </x:c>
      <x:c r="C409" s="83" t="str">
        <x:v>LCSW 2026 Comprehensive Simulation Form B</x:v>
      </x:c>
      <x:c r="D409" s="83" t="n">
        <x:v>82</x:v>
      </x:c>
      <x:c r="E409" s="83" t="str">
        <x:v>Scored-Style</x:v>
      </x:c>
      <x:c r="F409" s="83" t="str">
        <x:v>I. Values and Ethics</x:v>
      </x:c>
      <x:c r="G409" s="83" t="str">
        <x:v>Confidentiality and privilege</x:v>
      </x:c>
      <x:c r="H409" s="83" t="str">
        <x:v>Easy</x:v>
      </x:c>
      <x:c r="I409" s="83" t="str">
        <x:v>Knowledge &amp; Recall</x:v>
      </x:c>
      <x:c r="J409" s="83" t="n">
        <x:v>3</x:v>
      </x:c>
      <x:c r="K409" s="83" t="str">
        <x:v>B</x:v>
      </x:c>
      <x:c r="L409" s="83" t="n">
        <x:v>1</x:v>
      </x:c>
      <x:c r="M409" s="83" t="str">
        <x:v>LCSW-ALT-081</x:v>
      </x:c>
      <x:c r="N409" s="83" t="str">
        <x:v>Released</x:v>
      </x:c>
      <x:c r="O409" s="89" t="str">
        <x:v>Form B only; paired alternate retained on the other comprehensive form</x:v>
      </x:c>
    </x:row>
    <x:row r="410">
      <x:c r="A410" s="88" t="str">
        <x:v>CTA-LCSW-MQB-0409</x:v>
      </x:c>
      <x:c r="B410" s="83" t="str">
        <x:v>LCSW-MQB-FB-VE-026</x:v>
      </x:c>
      <x:c r="C410" s="83" t="str">
        <x:v>LCSW 2026 Comprehensive Simulation Form B</x:v>
      </x:c>
      <x:c r="D410" s="83" t="n">
        <x:v>83</x:v>
      </x:c>
      <x:c r="E410" s="83" t="str">
        <x:v>Scored-Style</x:v>
      </x:c>
      <x:c r="F410" s="83" t="str">
        <x:v>I. Values and Ethics</x:v>
      </x:c>
      <x:c r="G410" s="83" t="str">
        <x:v>Confidential message</x:v>
      </x:c>
      <x:c r="H410" s="83" t="str">
        <x:v>Moderate</x:v>
      </x:c>
      <x:c r="I410" s="83" t="str">
        <x:v>Scenario-Based</x:v>
      </x:c>
      <x:c r="J410" s="83" t="n">
        <x:v>3</x:v>
      </x:c>
      <x:c r="K410" s="83" t="str">
        <x:v>A</x:v>
      </x:c>
      <x:c r="L410" s="83" t="n">
        <x:v>1</x:v>
      </x:c>
      <x:c r="M410" s="83" t="str">
        <x:v>LCSW-ALT-104</x:v>
      </x:c>
      <x:c r="N410" s="83" t="str">
        <x:v>Released</x:v>
      </x:c>
      <x:c r="O410" s="89" t="str">
        <x:v>Form B only; paired alternate retained on the other comprehensive form</x:v>
      </x:c>
    </x:row>
    <x:row r="411">
      <x:c r="A411" s="88" t="str">
        <x:v>CTA-LCSW-MQB-0410</x:v>
      </x:c>
      <x:c r="B411" s="83" t="str">
        <x:v>LCSW-MQB-FB-AP-028</x:v>
      </x:c>
      <x:c r="C411" s="83" t="str">
        <x:v>LCSW 2026 Comprehensive Simulation Form B</x:v>
      </x:c>
      <x:c r="D411" s="83" t="n">
        <x:v>84</x:v>
      </x:c>
      <x:c r="E411" s="83" t="str">
        <x:v>Scored-Style</x:v>
      </x:c>
      <x:c r="F411" s="83" t="str">
        <x:v>II. Assessment and Planning</x:v>
      </x:c>
      <x:c r="G411" s="83" t="str">
        <x:v>Eating-disorder medical risk</x:v>
      </x:c>
      <x:c r="H411" s="83" t="str">
        <x:v>Moderate</x:v>
      </x:c>
      <x:c r="I411" s="83" t="str">
        <x:v>Scenario-Based</x:v>
      </x:c>
      <x:c r="J411" s="83" t="n">
        <x:v>4</x:v>
      </x:c>
      <x:c r="K411" s="83" t="str">
        <x:v>D</x:v>
      </x:c>
      <x:c r="L411" s="83" t="n">
        <x:v>1</x:v>
      </x:c>
      <x:c r="M411" s="83" t="str">
        <x:v>LCSW-ALT-028</x:v>
      </x:c>
      <x:c r="N411" s="83" t="str">
        <x:v>Released</x:v>
      </x:c>
      <x:c r="O411" s="89" t="str">
        <x:v>Form B only; paired alternate retained on the other comprehensive form</x:v>
      </x:c>
    </x:row>
    <x:row r="412">
      <x:c r="A412" s="88" t="str">
        <x:v>CTA-LCSW-MQB-0411</x:v>
      </x:c>
      <x:c r="B412" s="83" t="str">
        <x:v>LCSW-MQB-FB-IP-013</x:v>
      </x:c>
      <x:c r="C412" s="83" t="str">
        <x:v>LCSW 2026 Comprehensive Simulation Form B</x:v>
      </x:c>
      <x:c r="D412" s="83" t="n">
        <x:v>85</x:v>
      </x:c>
      <x:c r="E412" s="83" t="str">
        <x:v>Scored-Style</x:v>
      </x:c>
      <x:c r="F412" s="83" t="str">
        <x:v>III. Intervention and Practice</x:v>
      </x:c>
      <x:c r="G412" s="83" t="str">
        <x:v>Parenting intervention</x:v>
      </x:c>
      <x:c r="H412" s="83" t="str">
        <x:v>Moderate</x:v>
      </x:c>
      <x:c r="I412" s="83" t="str">
        <x:v>Application</x:v>
      </x:c>
      <x:c r="J412" s="83" t="n">
        <x:v>3</x:v>
      </x:c>
      <x:c r="K412" s="83" t="str">
        <x:v>B</x:v>
      </x:c>
      <x:c r="L412" s="83" t="n">
        <x:v>1</x:v>
      </x:c>
      <x:c r="M412" s="83" t="str">
        <x:v>LCSW-ALT-052</x:v>
      </x:c>
      <x:c r="N412" s="83" t="str">
        <x:v>Released</x:v>
      </x:c>
      <x:c r="O412" s="89" t="str">
        <x:v>Form B only; paired alternate retained on the other comprehensive form</x:v>
      </x:c>
    </x:row>
    <x:row r="413">
      <x:c r="A413" s="88" t="str">
        <x:v>CTA-LCSW-MQB-0412</x:v>
      </x:c>
      <x:c r="B413" s="83" t="str">
        <x:v>LCSW-MQB-FB-IP-036</x:v>
      </x:c>
      <x:c r="C413" s="83" t="str">
        <x:v>LCSW 2026 Comprehensive Simulation Form B</x:v>
      </x:c>
      <x:c r="D413" s="83" t="n">
        <x:v>86</x:v>
      </x:c>
      <x:c r="E413" s="83" t="str">
        <x:v>Scored-Style</x:v>
      </x:c>
      <x:c r="F413" s="83" t="str">
        <x:v>III. Intervention and Practice</x:v>
      </x:c>
      <x:c r="G413" s="83" t="str">
        <x:v>Evidence, culture, and preference</x:v>
      </x:c>
      <x:c r="H413" s="83" t="str">
        <x:v>Difficult</x:v>
      </x:c>
      <x:c r="I413" s="83" t="str">
        <x:v>Integrated Clinical Reasoning</x:v>
      </x:c>
      <x:c r="J413" s="83" t="n">
        <x:v>4</x:v>
      </x:c>
      <x:c r="K413" s="83" t="str">
        <x:v>B</x:v>
      </x:c>
      <x:c r="L413" s="83" t="n">
        <x:v>1</x:v>
      </x:c>
      <x:c r="M413" s="83" t="str">
        <x:v>LCSW-ALT-075</x:v>
      </x:c>
      <x:c r="N413" s="83" t="str">
        <x:v>Released</x:v>
      </x:c>
      <x:c r="O413" s="89" t="str">
        <x:v>Form B only; paired alternate retained on the other comprehensive form</x:v>
      </x:c>
    </x:row>
    <x:row r="414">
      <x:c r="A414" s="88" t="str">
        <x:v>CTA-LCSW-MQB-0413</x:v>
      </x:c>
      <x:c r="B414" s="83" t="str">
        <x:v>LCSW-MQB-FB-AP-035</x:v>
      </x:c>
      <x:c r="C414" s="83" t="str">
        <x:v>LCSW 2026 Comprehensive Simulation Form B</x:v>
      </x:c>
      <x:c r="D414" s="83" t="n">
        <x:v>87</x:v>
      </x:c>
      <x:c r="E414" s="83" t="str">
        <x:v>Scored-Style</x:v>
      </x:c>
      <x:c r="F414" s="83" t="str">
        <x:v>II. Assessment and Planning</x:v>
      </x:c>
      <x:c r="G414" s="83" t="str">
        <x:v>Suicide, substance use, and housing</x:v>
      </x:c>
      <x:c r="H414" s="83" t="str">
        <x:v>Difficult</x:v>
      </x:c>
      <x:c r="I414" s="83" t="str">
        <x:v>Integrated Clinical Reasoning</x:v>
      </x:c>
      <x:c r="J414" s="83" t="n">
        <x:v>4</x:v>
      </x:c>
      <x:c r="K414" s="83" t="str">
        <x:v>B</x:v>
      </x:c>
      <x:c r="L414" s="83" t="n">
        <x:v>1</x:v>
      </x:c>
      <x:c r="M414" s="83" t="str">
        <x:v>LCSW-ALT-035</x:v>
      </x:c>
      <x:c r="N414" s="83" t="str">
        <x:v>Released</x:v>
      </x:c>
      <x:c r="O414" s="89" t="str">
        <x:v>Form B only; paired alternate retained on the other comprehensive form</x:v>
      </x:c>
    </x:row>
    <x:row r="415">
      <x:c r="A415" s="88" t="str">
        <x:v>CTA-LCSW-MQB-0414</x:v>
      </x:c>
      <x:c r="B415" s="83" t="str">
        <x:v>LCSW-MQB-FB-VE-011</x:v>
      </x:c>
      <x:c r="C415" s="83" t="str">
        <x:v>LCSW 2026 Comprehensive Simulation Form B</x:v>
      </x:c>
      <x:c r="D415" s="83" t="n">
        <x:v>88</x:v>
      </x:c>
      <x:c r="E415" s="83" t="str">
        <x:v>Scored-Style</x:v>
      </x:c>
      <x:c r="F415" s="83" t="str">
        <x:v>I. Values and Ethics</x:v>
      </x:c>
      <x:c r="G415" s="83" t="str">
        <x:v>Minimum necessary disclosure</x:v>
      </x:c>
      <x:c r="H415" s="83" t="str">
        <x:v>Easy</x:v>
      </x:c>
      <x:c r="I415" s="83" t="str">
        <x:v>Application</x:v>
      </x:c>
      <x:c r="J415" s="83" t="n">
        <x:v>3</x:v>
      </x:c>
      <x:c r="K415" s="83" t="str">
        <x:v>C</x:v>
      </x:c>
      <x:c r="L415" s="83" t="n">
        <x:v>1</x:v>
      </x:c>
      <x:c r="M415" s="83" t="str">
        <x:v>LCSW-ALT-089</x:v>
      </x:c>
      <x:c r="N415" s="83" t="str">
        <x:v>Released</x:v>
      </x:c>
      <x:c r="O415" s="89" t="str">
        <x:v>Form B only; paired alternate retained on the other comprehensive form</x:v>
      </x:c>
    </x:row>
    <x:row r="416">
      <x:c r="A416" s="88" t="str">
        <x:v>CTA-LCSW-MQB-0415</x:v>
      </x:c>
      <x:c r="B416" s="83" t="str">
        <x:v>LCSW-MQB-FB-VE-014</x:v>
      </x:c>
      <x:c r="C416" s="83" t="str">
        <x:v>LCSW 2026 Comprehensive Simulation Form B</x:v>
      </x:c>
      <x:c r="D416" s="83" t="n">
        <x:v>89</x:v>
      </x:c>
      <x:c r="E416" s="83" t="str">
        <x:v>Scored-Style</x:v>
      </x:c>
      <x:c r="F416" s="83" t="str">
        <x:v>I. Values and Ethics</x:v>
      </x:c>
      <x:c r="G416" s="83" t="str">
        <x:v>Record correction</x:v>
      </x:c>
      <x:c r="H416" s="83" t="str">
        <x:v>Moderate</x:v>
      </x:c>
      <x:c r="I416" s="83" t="str">
        <x:v>Application</x:v>
      </x:c>
      <x:c r="J416" s="83" t="n">
        <x:v>3</x:v>
      </x:c>
      <x:c r="K416" s="83" t="str">
        <x:v>B</x:v>
      </x:c>
      <x:c r="L416" s="83" t="n">
        <x:v>1</x:v>
      </x:c>
      <x:c r="M416" s="83" t="str">
        <x:v>LCSW-ALT-092</x:v>
      </x:c>
      <x:c r="N416" s="83" t="str">
        <x:v>Released</x:v>
      </x:c>
      <x:c r="O416" s="89" t="str">
        <x:v>Form B only; paired alternate retained on the other comprehensive form</x:v>
      </x:c>
    </x:row>
    <x:row r="417">
      <x:c r="A417" s="88" t="str">
        <x:v>CTA-LCSW-MQB-0416</x:v>
      </x:c>
      <x:c r="B417" s="83" t="str">
        <x:v>LCSW-MQB-FB-IP-027</x:v>
      </x:c>
      <x:c r="C417" s="83" t="str">
        <x:v>LCSW 2026 Comprehensive Simulation Form B</x:v>
      </x:c>
      <x:c r="D417" s="83" t="n">
        <x:v>90</x:v>
      </x:c>
      <x:c r="E417" s="83" t="str">
        <x:v>Scored-Style</x:v>
      </x:c>
      <x:c r="F417" s="83" t="str">
        <x:v>III. Intervention and Practice</x:v>
      </x:c>
      <x:c r="G417" s="83" t="str">
        <x:v>Warm referral</x:v>
      </x:c>
      <x:c r="H417" s="83" t="str">
        <x:v>Moderate</x:v>
      </x:c>
      <x:c r="I417" s="83" t="str">
        <x:v>Scenario-Based</x:v>
      </x:c>
      <x:c r="J417" s="83" t="n">
        <x:v>4</x:v>
      </x:c>
      <x:c r="K417" s="83" t="str">
        <x:v>D</x:v>
      </x:c>
      <x:c r="L417" s="83" t="n">
        <x:v>1</x:v>
      </x:c>
      <x:c r="M417" s="83" t="str">
        <x:v>LCSW-ALT-066</x:v>
      </x:c>
      <x:c r="N417" s="83" t="str">
        <x:v>Released</x:v>
      </x:c>
      <x:c r="O417" s="89" t="str">
        <x:v>Form B only; paired alternate retained on the other comprehensive form</x:v>
      </x:c>
    </x:row>
    <x:row r="418">
      <x:c r="A418" s="88" t="str">
        <x:v>CTA-LCSW-MQB-0417</x:v>
      </x:c>
      <x:c r="B418" s="83" t="str">
        <x:v>LCSW-MQB-FB-AP-031</x:v>
      </x:c>
      <x:c r="C418" s="83" t="str">
        <x:v>LCSW 2026 Comprehensive Simulation Form B</x:v>
      </x:c>
      <x:c r="D418" s="83" t="n">
        <x:v>91</x:v>
      </x:c>
      <x:c r="E418" s="83" t="str">
        <x:v>Scored-Style</x:v>
      </x:c>
      <x:c r="F418" s="83" t="str">
        <x:v>II. Assessment and Planning</x:v>
      </x:c>
      <x:c r="G418" s="83" t="str">
        <x:v>Housing and psychiatric symptoms</x:v>
      </x:c>
      <x:c r="H418" s="83" t="str">
        <x:v>Difficult</x:v>
      </x:c>
      <x:c r="I418" s="83" t="str">
        <x:v>Scenario-Based</x:v>
      </x:c>
      <x:c r="J418" s="83" t="n">
        <x:v>4</x:v>
      </x:c>
      <x:c r="K418" s="83" t="str">
        <x:v>C</x:v>
      </x:c>
      <x:c r="L418" s="83" t="n">
        <x:v>1</x:v>
      </x:c>
      <x:c r="M418" s="83" t="str">
        <x:v>LCSW-ALT-031</x:v>
      </x:c>
      <x:c r="N418" s="83" t="str">
        <x:v>Released</x:v>
      </x:c>
      <x:c r="O418" s="89" t="str">
        <x:v>Form B only; paired alternate retained on the other comprehensive form</x:v>
      </x:c>
    </x:row>
    <x:row r="419">
      <x:c r="A419" s="88" t="str">
        <x:v>CTA-LCSW-MQB-0418</x:v>
      </x:c>
      <x:c r="B419" s="83" t="str">
        <x:v>LCSW-MQB-FB-IP-020</x:v>
      </x:c>
      <x:c r="C419" s="83" t="str">
        <x:v>LCSW 2026 Comprehensive Simulation Form B</x:v>
      </x:c>
      <x:c r="D419" s="83" t="n">
        <x:v>92</x:v>
      </x:c>
      <x:c r="E419" s="83" t="str">
        <x:v>Scored-Style</x:v>
      </x:c>
      <x:c r="F419" s="83" t="str">
        <x:v>III. Intervention and Practice</x:v>
      </x:c>
      <x:c r="G419" s="83" t="str">
        <x:v>Suicide intervention</x:v>
      </x:c>
      <x:c r="H419" s="83" t="str">
        <x:v>Moderate</x:v>
      </x:c>
      <x:c r="I419" s="83" t="str">
        <x:v>Scenario-Based</x:v>
      </x:c>
      <x:c r="J419" s="83" t="n">
        <x:v>3</x:v>
      </x:c>
      <x:c r="K419" s="83" t="str">
        <x:v>A</x:v>
      </x:c>
      <x:c r="L419" s="83" t="n">
        <x:v>1</x:v>
      </x:c>
      <x:c r="M419" s="83" t="str">
        <x:v>LCSW-ALT-059</x:v>
      </x:c>
      <x:c r="N419" s="83" t="str">
        <x:v>Released</x:v>
      </x:c>
      <x:c r="O419" s="89" t="str">
        <x:v>Form B only; paired alternate retained on the other comprehensive form</x:v>
      </x:c>
    </x:row>
    <x:row r="420">
      <x:c r="A420" s="88" t="str">
        <x:v>CTA-LCSW-MQB-0419</x:v>
      </x:c>
      <x:c r="B420" s="83" t="str">
        <x:v>LCSW-MQB-FB-VE-010</x:v>
      </x:c>
      <x:c r="C420" s="83" t="str">
        <x:v>LCSW 2026 Comprehensive Simulation Form B</x:v>
      </x:c>
      <x:c r="D420" s="83" t="n">
        <x:v>93</x:v>
      </x:c>
      <x:c r="E420" s="83" t="str">
        <x:v>Scored-Style</x:v>
      </x:c>
      <x:c r="F420" s="83" t="str">
        <x:v>I. Values and Ethics</x:v>
      </x:c>
      <x:c r="G420" s="83" t="str">
        <x:v>Accurate documentation</x:v>
      </x:c>
      <x:c r="H420" s="83" t="str">
        <x:v>Easy</x:v>
      </x:c>
      <x:c r="I420" s="83" t="str">
        <x:v>Application</x:v>
      </x:c>
      <x:c r="J420" s="83" t="n">
        <x:v>3</x:v>
      </x:c>
      <x:c r="K420" s="83" t="str">
        <x:v>C</x:v>
      </x:c>
      <x:c r="L420" s="83" t="n">
        <x:v>1</x:v>
      </x:c>
      <x:c r="M420" s="83" t="str">
        <x:v>LCSW-ALT-088</x:v>
      </x:c>
      <x:c r="N420" s="83" t="str">
        <x:v>Released</x:v>
      </x:c>
      <x:c r="O420" s="89" t="str">
        <x:v>Form B only; paired alternate retained on the other comprehensive form</x:v>
      </x:c>
    </x:row>
    <x:row r="421">
      <x:c r="A421" s="88" t="str">
        <x:v>CTA-LCSW-MQB-0420</x:v>
      </x:c>
      <x:c r="B421" s="83" t="str">
        <x:v>LCSW-MQB-FB-VE-019</x:v>
      </x:c>
      <x:c r="C421" s="83" t="str">
        <x:v>LCSW 2026 Comprehensive Simulation Form B</x:v>
      </x:c>
      <x:c r="D421" s="83" t="n">
        <x:v>94</x:v>
      </x:c>
      <x:c r="E421" s="83" t="str">
        <x:v>Scored-Style</x:v>
      </x:c>
      <x:c r="F421" s="83" t="str">
        <x:v>I. Values and Ethics</x:v>
      </x:c>
      <x:c r="G421" s="83" t="str">
        <x:v>Supervision boundaries</x:v>
      </x:c>
      <x:c r="H421" s="83" t="str">
        <x:v>Moderate</x:v>
      </x:c>
      <x:c r="I421" s="83" t="str">
        <x:v>Application</x:v>
      </x:c>
      <x:c r="J421" s="83" t="n">
        <x:v>3</x:v>
      </x:c>
      <x:c r="K421" s="83" t="str">
        <x:v>B</x:v>
      </x:c>
      <x:c r="L421" s="83" t="n">
        <x:v>1</x:v>
      </x:c>
      <x:c r="M421" s="83" t="str">
        <x:v>LCSW-ALT-097</x:v>
      </x:c>
      <x:c r="N421" s="83" t="str">
        <x:v>Released</x:v>
      </x:c>
      <x:c r="O421" s="89" t="str">
        <x:v>Form B only; paired alternate retained on the other comprehensive form</x:v>
      </x:c>
    </x:row>
    <x:row r="422">
      <x:c r="A422" s="88" t="str">
        <x:v>CTA-LCSW-MQB-0421</x:v>
      </x:c>
      <x:c r="B422" s="83" t="str">
        <x:v>LCSW-MQB-FB-AP-021</x:v>
      </x:c>
      <x:c r="C422" s="83" t="str">
        <x:v>LCSW 2026 Comprehensive Simulation Form B</x:v>
      </x:c>
      <x:c r="D422" s="83" t="n">
        <x:v>95</x:v>
      </x:c>
      <x:c r="E422" s="83" t="str">
        <x:v>Scored-Style</x:v>
      </x:c>
      <x:c r="F422" s="83" t="str">
        <x:v>II. Assessment and Planning</x:v>
      </x:c>
      <x:c r="G422" s="83" t="str">
        <x:v>Suicide assessment sequence</x:v>
      </x:c>
      <x:c r="H422" s="83" t="str">
        <x:v>Moderate</x:v>
      </x:c>
      <x:c r="I422" s="83" t="str">
        <x:v>Scenario-Based</x:v>
      </x:c>
      <x:c r="J422" s="83" t="n">
        <x:v>3</x:v>
      </x:c>
      <x:c r="K422" s="83" t="str">
        <x:v>B</x:v>
      </x:c>
      <x:c r="L422" s="83" t="n">
        <x:v>1</x:v>
      </x:c>
      <x:c r="M422" s="83" t="str">
        <x:v>LCSW-ALT-021</x:v>
      </x:c>
      <x:c r="N422" s="83" t="str">
        <x:v>Released</x:v>
      </x:c>
      <x:c r="O422" s="89" t="str">
        <x:v>Form B only; paired alternate retained on the other comprehensive form</x:v>
      </x:c>
    </x:row>
    <x:row r="423">
      <x:c r="A423" s="88" t="str">
        <x:v>CTA-LCSW-MQB-0422</x:v>
      </x:c>
      <x:c r="B423" s="83" t="str">
        <x:v>LCSW-MQB-FB-IP-023</x:v>
      </x:c>
      <x:c r="C423" s="83" t="str">
        <x:v>LCSW 2026 Comprehensive Simulation Form B</x:v>
      </x:c>
      <x:c r="D423" s="83" t="n">
        <x:v>96</x:v>
      </x:c>
      <x:c r="E423" s="83" t="str">
        <x:v>Scored-Style</x:v>
      </x:c>
      <x:c r="F423" s="83" t="str">
        <x:v>III. Intervention and Practice</x:v>
      </x:c>
      <x:c r="G423" s="83" t="str">
        <x:v>Substance harm reduction</x:v>
      </x:c>
      <x:c r="H423" s="83" t="str">
        <x:v>Moderate</x:v>
      </x:c>
      <x:c r="I423" s="83" t="str">
        <x:v>Scenario-Based</x:v>
      </x:c>
      <x:c r="J423" s="83" t="n">
        <x:v>4</x:v>
      </x:c>
      <x:c r="K423" s="83" t="str">
        <x:v>A</x:v>
      </x:c>
      <x:c r="L423" s="83" t="n">
        <x:v>1</x:v>
      </x:c>
      <x:c r="M423" s="83" t="str">
        <x:v>LCSW-ALT-062</x:v>
      </x:c>
      <x:c r="N423" s="83" t="str">
        <x:v>Released</x:v>
      </x:c>
      <x:c r="O423" s="89" t="str">
        <x:v>Form B only; paired alternate retained on the other comprehensive form</x:v>
      </x:c>
    </x:row>
    <x:row r="424">
      <x:c r="A424" s="88" t="str">
        <x:v>CTA-LCSW-MQB-0423</x:v>
      </x:c>
      <x:c r="B424" s="83" t="str">
        <x:v>LCSW-MQB-FB-VE-006</x:v>
      </x:c>
      <x:c r="C424" s="83" t="str">
        <x:v>LCSW 2026 Comprehensive Simulation Form B</x:v>
      </x:c>
      <x:c r="D424" s="83" t="n">
        <x:v>97</x:v>
      </x:c>
      <x:c r="E424" s="83" t="str">
        <x:v>Scored-Style</x:v>
      </x:c>
      <x:c r="F424" s="83" t="str">
        <x:v>I. Values and Ethics</x:v>
      </x:c>
      <x:c r="G424" s="83" t="str">
        <x:v>Client-defined goals</x:v>
      </x:c>
      <x:c r="H424" s="83" t="str">
        <x:v>Easy</x:v>
      </x:c>
      <x:c r="I424" s="83" t="str">
        <x:v>Application</x:v>
      </x:c>
      <x:c r="J424" s="83" t="n">
        <x:v>3</x:v>
      </x:c>
      <x:c r="K424" s="83" t="str">
        <x:v>C</x:v>
      </x:c>
      <x:c r="L424" s="83" t="n">
        <x:v>1</x:v>
      </x:c>
      <x:c r="M424" s="83" t="str">
        <x:v>LCSW-ALT-084</x:v>
      </x:c>
      <x:c r="N424" s="83" t="str">
        <x:v>Released</x:v>
      </x:c>
      <x:c r="O424" s="89" t="str">
        <x:v>Form B only; paired alternate retained on the other comprehensive form</x:v>
      </x:c>
    </x:row>
    <x:row r="425">
      <x:c r="A425" s="88" t="str">
        <x:v>CTA-LCSW-MQB-0424</x:v>
      </x:c>
      <x:c r="B425" s="83" t="str">
        <x:v>LCSW-MQB-FB-IP-004</x:v>
      </x:c>
      <x:c r="C425" s="83" t="str">
        <x:v>LCSW 2026 Comprehensive Simulation Form B</x:v>
      </x:c>
      <x:c r="D425" s="83" t="n">
        <x:v>98</x:v>
      </x:c>
      <x:c r="E425" s="83" t="str">
        <x:v>Scored-Style</x:v>
      </x:c>
      <x:c r="F425" s="83" t="str">
        <x:v>III. Intervention and Practice</x:v>
      </x:c>
      <x:c r="G425" s="83" t="str">
        <x:v>Behavioral activation</x:v>
      </x:c>
      <x:c r="H425" s="83" t="str">
        <x:v>Easy</x:v>
      </x:c>
      <x:c r="I425" s="83" t="str">
        <x:v>Application</x:v>
      </x:c>
      <x:c r="J425" s="83" t="n">
        <x:v>3</x:v>
      </x:c>
      <x:c r="K425" s="83" t="str">
        <x:v>C</x:v>
      </x:c>
      <x:c r="L425" s="83" t="n">
        <x:v>1</x:v>
      </x:c>
      <x:c r="M425" s="83" t="str">
        <x:v>LCSW-ALT-043</x:v>
      </x:c>
      <x:c r="N425" s="83" t="str">
        <x:v>Released</x:v>
      </x:c>
      <x:c r="O425" s="89" t="str">
        <x:v>Form B only; paired alternate retained on the other comprehensive form</x:v>
      </x:c>
    </x:row>
    <x:row r="426">
      <x:c r="A426" s="88" t="str">
        <x:v>CTA-LCSW-MQB-0425</x:v>
      </x:c>
      <x:c r="B426" s="83" t="str">
        <x:v>LCSW-MQB-FB-VE-037</x:v>
      </x:c>
      <x:c r="C426" s="83" t="str">
        <x:v>LCSW 2026 Comprehensive Simulation Form B</x:v>
      </x:c>
      <x:c r="D426" s="83" t="n">
        <x:v>99</x:v>
      </x:c>
      <x:c r="E426" s="83" t="str">
        <x:v>Scored-Style</x:v>
      </x:c>
      <x:c r="F426" s="83" t="str">
        <x:v>I. Values and Ethics</x:v>
      </x:c>
      <x:c r="G426" s="83" t="str">
        <x:v>Colleague misconduct</x:v>
      </x:c>
      <x:c r="H426" s="83" t="str">
        <x:v>Difficult</x:v>
      </x:c>
      <x:c r="I426" s="83" t="str">
        <x:v>Scenario-Based</x:v>
      </x:c>
      <x:c r="J426" s="83" t="n">
        <x:v>4</x:v>
      </x:c>
      <x:c r="K426" s="83" t="str">
        <x:v>D</x:v>
      </x:c>
      <x:c r="L426" s="83" t="n">
        <x:v>1</x:v>
      </x:c>
      <x:c r="M426" s="83" t="str">
        <x:v>LCSW-ALT-115</x:v>
      </x:c>
      <x:c r="N426" s="83" t="str">
        <x:v>Released</x:v>
      </x:c>
      <x:c r="O426" s="89" t="str">
        <x:v>Form B only; paired alternate retained on the other comprehensive form</x:v>
      </x:c>
    </x:row>
    <x:row r="427">
      <x:c r="A427" s="88" t="str">
        <x:v>CTA-LCSW-MQB-0426</x:v>
      </x:c>
      <x:c r="B427" s="83" t="str">
        <x:v>LCSW-MQB-FB-IP-019</x:v>
      </x:c>
      <x:c r="C427" s="83" t="str">
        <x:v>LCSW 2026 Comprehensive Simulation Form B</x:v>
      </x:c>
      <x:c r="D427" s="83" t="n">
        <x:v>100</x:v>
      </x:c>
      <x:c r="E427" s="83" t="str">
        <x:v>Scored-Style</x:v>
      </x:c>
      <x:c r="F427" s="83" t="str">
        <x:v>III. Intervention and Practice</x:v>
      </x:c>
      <x:c r="G427" s="83" t="str">
        <x:v>Crisis de-escalation</x:v>
      </x:c>
      <x:c r="H427" s="83" t="str">
        <x:v>Moderate</x:v>
      </x:c>
      <x:c r="I427" s="83" t="str">
        <x:v>Scenario-Based</x:v>
      </x:c>
      <x:c r="J427" s="83" t="n">
        <x:v>3</x:v>
      </x:c>
      <x:c r="K427" s="83" t="str">
        <x:v>C</x:v>
      </x:c>
      <x:c r="L427" s="83" t="n">
        <x:v>1</x:v>
      </x:c>
      <x:c r="M427" s="83" t="str">
        <x:v>LCSW-ALT-058</x:v>
      </x:c>
      <x:c r="N427" s="83" t="str">
        <x:v>Released</x:v>
      </x:c>
      <x:c r="O427" s="89" t="str">
        <x:v>Form B only; paired alternate retained on the other comprehensive form</x:v>
      </x:c>
    </x:row>
    <x:row r="428">
      <x:c r="A428" s="88" t="str">
        <x:v>CTA-LCSW-MQB-0427</x:v>
      </x:c>
      <x:c r="B428" s="83" t="str">
        <x:v>LCSW-MQB-FB-VE-016</x:v>
      </x:c>
      <x:c r="C428" s="83" t="str">
        <x:v>LCSW 2026 Comprehensive Simulation Form B</x:v>
      </x:c>
      <x:c r="D428" s="83" t="n">
        <x:v>101</x:v>
      </x:c>
      <x:c r="E428" s="83" t="str">
        <x:v>Scored-Style</x:v>
      </x:c>
      <x:c r="F428" s="83" t="str">
        <x:v>I. Values and Ethics</x:v>
      </x:c>
      <x:c r="G428" s="83" t="str">
        <x:v>Professional use of self</x:v>
      </x:c>
      <x:c r="H428" s="83" t="str">
        <x:v>Moderate</x:v>
      </x:c>
      <x:c r="I428" s="83" t="str">
        <x:v>Application</x:v>
      </x:c>
      <x:c r="J428" s="83" t="n">
        <x:v>3</x:v>
      </x:c>
      <x:c r="K428" s="83" t="str">
        <x:v>B</x:v>
      </x:c>
      <x:c r="L428" s="83" t="n">
        <x:v>1</x:v>
      </x:c>
      <x:c r="M428" s="83" t="str">
        <x:v>LCSW-ALT-094</x:v>
      </x:c>
      <x:c r="N428" s="83" t="str">
        <x:v>Released</x:v>
      </x:c>
      <x:c r="O428" s="89" t="str">
        <x:v>Form B only; paired alternate retained on the other comprehensive form</x:v>
      </x:c>
    </x:row>
    <x:row r="429">
      <x:c r="A429" s="88" t="str">
        <x:v>CTA-LCSW-MQB-0428</x:v>
      </x:c>
      <x:c r="B429" s="83" t="str">
        <x:v>LCSW-MQB-FB-AP-014</x:v>
      </x:c>
      <x:c r="C429" s="83" t="str">
        <x:v>LCSW 2026 Comprehensive Simulation Form B</x:v>
      </x:c>
      <x:c r="D429" s="83" t="n">
        <x:v>102</x:v>
      </x:c>
      <x:c r="E429" s="83" t="str">
        <x:v>Scored-Style</x:v>
      </x:c>
      <x:c r="F429" s="83" t="str">
        <x:v>II. Assessment and Planning</x:v>
      </x:c>
      <x:c r="G429" s="83" t="str">
        <x:v>Readiness for change</x:v>
      </x:c>
      <x:c r="H429" s="83" t="str">
        <x:v>Moderate</x:v>
      </x:c>
      <x:c r="I429" s="83" t="str">
        <x:v>Application</x:v>
      </x:c>
      <x:c r="J429" s="83" t="n">
        <x:v>3</x:v>
      </x:c>
      <x:c r="K429" s="83" t="str">
        <x:v>C</x:v>
      </x:c>
      <x:c r="L429" s="83" t="n">
        <x:v>1</x:v>
      </x:c>
      <x:c r="M429" s="83" t="str">
        <x:v>LCSW-ALT-014</x:v>
      </x:c>
      <x:c r="N429" s="83" t="str">
        <x:v>Released</x:v>
      </x:c>
      <x:c r="O429" s="89" t="str">
        <x:v>Form B only; paired alternate retained on the other comprehensive form</x:v>
      </x:c>
    </x:row>
    <x:row r="430">
      <x:c r="A430" s="88" t="str">
        <x:v>CTA-LCSW-MQB-0429</x:v>
      </x:c>
      <x:c r="B430" s="83" t="str">
        <x:v>LCSW-MQB-FB-IP-035</x:v>
      </x:c>
      <x:c r="C430" s="83" t="str">
        <x:v>LCSW 2026 Comprehensive Simulation Form B</x:v>
      </x:c>
      <x:c r="D430" s="83" t="n">
        <x:v>103</x:v>
      </x:c>
      <x:c r="E430" s="83" t="str">
        <x:v>Scored-Style</x:v>
      </x:c>
      <x:c r="F430" s="83" t="str">
        <x:v>III. Intervention and Practice</x:v>
      </x:c>
      <x:c r="G430" s="83" t="str">
        <x:v>Family intervention and coercion</x:v>
      </x:c>
      <x:c r="H430" s="83" t="str">
        <x:v>Difficult</x:v>
      </x:c>
      <x:c r="I430" s="83" t="str">
        <x:v>Integrated Clinical Reasoning</x:v>
      </x:c>
      <x:c r="J430" s="83" t="n">
        <x:v>4</x:v>
      </x:c>
      <x:c r="K430" s="83" t="str">
        <x:v>A</x:v>
      </x:c>
      <x:c r="L430" s="83" t="n">
        <x:v>1</x:v>
      </x:c>
      <x:c r="M430" s="83" t="str">
        <x:v>LCSW-ALT-074</x:v>
      </x:c>
      <x:c r="N430" s="83" t="str">
        <x:v>Released</x:v>
      </x:c>
      <x:c r="O430" s="89" t="str">
        <x:v>Form B only; paired alternate retained on the other comprehensive form</x:v>
      </x:c>
    </x:row>
    <x:row r="431">
      <x:c r="A431" s="88" t="str">
        <x:v>CTA-LCSW-MQB-0430</x:v>
      </x:c>
      <x:c r="B431" s="83" t="str">
        <x:v>LCSW-MQB-FB-IP-016</x:v>
      </x:c>
      <x:c r="C431" s="83" t="str">
        <x:v>LCSW 2026 Comprehensive Simulation Form B</x:v>
      </x:c>
      <x:c r="D431" s="83" t="n">
        <x:v>104</x:v>
      </x:c>
      <x:c r="E431" s="83" t="str">
        <x:v>Scored-Style</x:v>
      </x:c>
      <x:c r="F431" s="83" t="str">
        <x:v>III. Intervention and Practice</x:v>
      </x:c>
      <x:c r="G431" s="83" t="str">
        <x:v>Research literacy</x:v>
      </x:c>
      <x:c r="H431" s="83" t="str">
        <x:v>Moderate</x:v>
      </x:c>
      <x:c r="I431" s="83" t="str">
        <x:v>Application</x:v>
      </x:c>
      <x:c r="J431" s="83" t="n">
        <x:v>3</x:v>
      </x:c>
      <x:c r="K431" s="83" t="str">
        <x:v>A</x:v>
      </x:c>
      <x:c r="L431" s="83" t="n">
        <x:v>1</x:v>
      </x:c>
      <x:c r="M431" s="83" t="str">
        <x:v>LCSW-ALT-055</x:v>
      </x:c>
      <x:c r="N431" s="83" t="str">
        <x:v>Released</x:v>
      </x:c>
      <x:c r="O431" s="89" t="str">
        <x:v>Form B only; paired alternate retained on the other comprehensive form</x:v>
      </x:c>
    </x:row>
    <x:row r="432">
      <x:c r="A432" s="88" t="str">
        <x:v>CTA-LCSW-MQB-0431</x:v>
      </x:c>
      <x:c r="B432" s="83" t="str">
        <x:v>LCSW-MQB-FB-AP-006</x:v>
      </x:c>
      <x:c r="C432" s="83" t="str">
        <x:v>LCSW 2026 Comprehensive Simulation Form B</x:v>
      </x:c>
      <x:c r="D432" s="83" t="n">
        <x:v>105</x:v>
      </x:c>
      <x:c r="E432" s="83" t="str">
        <x:v>Scored-Style</x:v>
      </x:c>
      <x:c r="F432" s="83" t="str">
        <x:v>II. Assessment and Planning</x:v>
      </x:c>
      <x:c r="G432" s="83" t="str">
        <x:v>Mood and affect</x:v>
      </x:c>
      <x:c r="H432" s="83" t="str">
        <x:v>Easy</x:v>
      </x:c>
      <x:c r="I432" s="83" t="str">
        <x:v>Application</x:v>
      </x:c>
      <x:c r="J432" s="83" t="n">
        <x:v>3</x:v>
      </x:c>
      <x:c r="K432" s="83" t="str">
        <x:v>C</x:v>
      </x:c>
      <x:c r="L432" s="83" t="n">
        <x:v>1</x:v>
      </x:c>
      <x:c r="M432" s="83" t="str">
        <x:v>LCSW-ALT-006</x:v>
      </x:c>
      <x:c r="N432" s="83" t="str">
        <x:v>Released</x:v>
      </x:c>
      <x:c r="O432" s="89" t="str">
        <x:v>Form B only; paired alternate retained on the other comprehensive form</x:v>
      </x:c>
    </x:row>
    <x:row r="433">
      <x:c r="A433" s="88" t="str">
        <x:v>CTA-LCSW-MQB-0432</x:v>
      </x:c>
      <x:c r="B433" s="83" t="str">
        <x:v>LCSW-MQB-FB-IP-009</x:v>
      </x:c>
      <x:c r="C433" s="83" t="str">
        <x:v>LCSW 2026 Comprehensive Simulation Form B</x:v>
      </x:c>
      <x:c r="D433" s="83" t="n">
        <x:v>106</x:v>
      </x:c>
      <x:c r="E433" s="83" t="str">
        <x:v>Pretest-Style</x:v>
      </x:c>
      <x:c r="F433" s="83" t="str">
        <x:v>III. Intervention and Practice</x:v>
      </x:c>
      <x:c r="G433" s="83" t="str">
        <x:v>Advocacy</x:v>
      </x:c>
      <x:c r="H433" s="83" t="str">
        <x:v>Easy</x:v>
      </x:c>
      <x:c r="I433" s="83" t="str">
        <x:v>Application</x:v>
      </x:c>
      <x:c r="J433" s="83" t="n">
        <x:v>3</x:v>
      </x:c>
      <x:c r="K433" s="83" t="str">
        <x:v>C</x:v>
      </x:c>
      <x:c r="L433" s="83" t="n">
        <x:v>1</x:v>
      </x:c>
      <x:c r="M433" s="83" t="str">
        <x:v>LCSW-ALT-048</x:v>
      </x:c>
      <x:c r="N433" s="83" t="str">
        <x:v>Released</x:v>
      </x:c>
      <x:c r="O433" s="89" t="str">
        <x:v>Form B only; paired alternate retained on the other comprehensive form</x:v>
      </x:c>
    </x:row>
    <x:row r="434">
      <x:c r="A434" s="88" t="str">
        <x:v>CTA-LCSW-MQB-0433</x:v>
      </x:c>
      <x:c r="B434" s="83" t="str">
        <x:v>LCSW-MQB-FB-AP-029</x:v>
      </x:c>
      <x:c r="C434" s="83" t="str">
        <x:v>LCSW 2026 Comprehensive Simulation Form B</x:v>
      </x:c>
      <x:c r="D434" s="83" t="n">
        <x:v>107</x:v>
      </x:c>
      <x:c r="E434" s="83" t="str">
        <x:v>Scored-Style</x:v>
      </x:c>
      <x:c r="F434" s="83" t="str">
        <x:v>II. Assessment and Planning</x:v>
      </x:c>
      <x:c r="G434" s="83" t="str">
        <x:v>Older-adult exploitation</x:v>
      </x:c>
      <x:c r="H434" s="83" t="str">
        <x:v>Moderate</x:v>
      </x:c>
      <x:c r="I434" s="83" t="str">
        <x:v>Scenario-Based</x:v>
      </x:c>
      <x:c r="J434" s="83" t="n">
        <x:v>4</x:v>
      </x:c>
      <x:c r="K434" s="83" t="str">
        <x:v>D</x:v>
      </x:c>
      <x:c r="L434" s="83" t="n">
        <x:v>1</x:v>
      </x:c>
      <x:c r="M434" s="83" t="str">
        <x:v>LCSW-ALT-029</x:v>
      </x:c>
      <x:c r="N434" s="83" t="str">
        <x:v>Released</x:v>
      </x:c>
      <x:c r="O434" s="89" t="str">
        <x:v>Form B only; paired alternate retained on the other comprehensive form</x:v>
      </x:c>
    </x:row>
    <x:row r="435">
      <x:c r="A435" s="88" t="str">
        <x:v>CTA-LCSW-MQB-0434</x:v>
      </x:c>
      <x:c r="B435" s="83" t="str">
        <x:v>LCSW-MQB-FB-VE-027</x:v>
      </x:c>
      <x:c r="C435" s="83" t="str">
        <x:v>LCSW 2026 Comprehensive Simulation Form B</x:v>
      </x:c>
      <x:c r="D435" s="83" t="n">
        <x:v>108</x:v>
      </x:c>
      <x:c r="E435" s="83" t="str">
        <x:v>Scored-Style</x:v>
      </x:c>
      <x:c r="F435" s="83" t="str">
        <x:v>I. Values and Ethics</x:v>
      </x:c>
      <x:c r="G435" s="83" t="str">
        <x:v>Subpoena response</x:v>
      </x:c>
      <x:c r="H435" s="83" t="str">
        <x:v>Moderate</x:v>
      </x:c>
      <x:c r="I435" s="83" t="str">
        <x:v>Scenario-Based</x:v>
      </x:c>
      <x:c r="J435" s="83" t="n">
        <x:v>3</x:v>
      </x:c>
      <x:c r="K435" s="83" t="str">
        <x:v>A</x:v>
      </x:c>
      <x:c r="L435" s="83" t="n">
        <x:v>1</x:v>
      </x:c>
      <x:c r="M435" s="83" t="str">
        <x:v>LCSW-ALT-105</x:v>
      </x:c>
      <x:c r="N435" s="83" t="str">
        <x:v>Released</x:v>
      </x:c>
      <x:c r="O435" s="89" t="str">
        <x:v>Form B only; paired alternate retained on the other comprehensive form</x:v>
      </x:c>
    </x:row>
    <x:row r="436">
      <x:c r="A436" s="88" t="str">
        <x:v>CTA-LCSW-MQB-0435</x:v>
      </x:c>
      <x:c r="B436" s="83" t="str">
        <x:v>LCSW-MQB-FB-IP-030</x:v>
      </x:c>
      <x:c r="C436" s="83" t="str">
        <x:v>LCSW 2026 Comprehensive Simulation Form B</x:v>
      </x:c>
      <x:c r="D436" s="83" t="n">
        <x:v>109</x:v>
      </x:c>
      <x:c r="E436" s="83" t="str">
        <x:v>Scored-Style</x:v>
      </x:c>
      <x:c r="F436" s="83" t="str">
        <x:v>III. Intervention and Practice</x:v>
      </x:c>
      <x:c r="G436" s="83" t="str">
        <x:v>Caregiver support</x:v>
      </x:c>
      <x:c r="H436" s="83" t="str">
        <x:v>Difficult</x:v>
      </x:c>
      <x:c r="I436" s="83" t="str">
        <x:v>Scenario-Based</x:v>
      </x:c>
      <x:c r="J436" s="83" t="n">
        <x:v>4</x:v>
      </x:c>
      <x:c r="K436" s="83" t="str">
        <x:v>D</x:v>
      </x:c>
      <x:c r="L436" s="83" t="n">
        <x:v>1</x:v>
      </x:c>
      <x:c r="M436" s="83" t="str">
        <x:v>LCSW-ALT-069</x:v>
      </x:c>
      <x:c r="N436" s="83" t="str">
        <x:v>Released</x:v>
      </x:c>
      <x:c r="O436" s="89" t="str">
        <x:v>Form B only; paired alternate retained on the other comprehensive form</x:v>
      </x:c>
    </x:row>
    <x:row r="437">
      <x:c r="A437" s="88" t="str">
        <x:v>CTA-LCSW-MQB-0436</x:v>
      </x:c>
      <x:c r="B437" s="83" t="str">
        <x:v>LCSW-MQB-FB-AP-003</x:v>
      </x:c>
      <x:c r="C437" s="83" t="str">
        <x:v>LCSW 2026 Comprehensive Simulation Form B</x:v>
      </x:c>
      <x:c r="D437" s="83" t="n">
        <x:v>110</x:v>
      </x:c>
      <x:c r="E437" s="83" t="str">
        <x:v>Scored-Style</x:v>
      </x:c>
      <x:c r="F437" s="83" t="str">
        <x:v>II. Assessment and Planning</x:v>
      </x:c>
      <x:c r="G437" s="83" t="str">
        <x:v>Protective factors</x:v>
      </x:c>
      <x:c r="H437" s="83" t="str">
        <x:v>Easy</x:v>
      </x:c>
      <x:c r="I437" s="83" t="str">
        <x:v>Knowledge &amp; Recall</x:v>
      </x:c>
      <x:c r="J437" s="83" t="n">
        <x:v>3</x:v>
      </x:c>
      <x:c r="K437" s="83" t="str">
        <x:v>B</x:v>
      </x:c>
      <x:c r="L437" s="83" t="n">
        <x:v>1</x:v>
      </x:c>
      <x:c r="M437" s="83" t="str">
        <x:v>LCSW-ALT-003</x:v>
      </x:c>
      <x:c r="N437" s="83" t="str">
        <x:v>Released</x:v>
      </x:c>
      <x:c r="O437" s="89" t="str">
        <x:v>Form B only; paired alternate retained on the other comprehensive form</x:v>
      </x:c>
    </x:row>
    <x:row r="438">
      <x:c r="A438" s="88" t="str">
        <x:v>CTA-LCSW-MQB-0437</x:v>
      </x:c>
      <x:c r="B438" s="83" t="str">
        <x:v>LCSW-MQB-FB-AP-032</x:v>
      </x:c>
      <x:c r="C438" s="83" t="str">
        <x:v>LCSW 2026 Comprehensive Simulation Form B</x:v>
      </x:c>
      <x:c r="D438" s="83" t="n">
        <x:v>111</x:v>
      </x:c>
      <x:c r="E438" s="83" t="str">
        <x:v>Scored-Style</x:v>
      </x:c>
      <x:c r="F438" s="83" t="str">
        <x:v>II. Assessment and Planning</x:v>
      </x:c>
      <x:c r="G438" s="83" t="str">
        <x:v>Service planning with limited resources</x:v>
      </x:c>
      <x:c r="H438" s="83" t="str">
        <x:v>Difficult</x:v>
      </x:c>
      <x:c r="I438" s="83" t="str">
        <x:v>Scenario-Based</x:v>
      </x:c>
      <x:c r="J438" s="83" t="n">
        <x:v>4</x:v>
      </x:c>
      <x:c r="K438" s="83" t="str">
        <x:v>B</x:v>
      </x:c>
      <x:c r="L438" s="83" t="n">
        <x:v>1</x:v>
      </x:c>
      <x:c r="M438" s="83" t="str">
        <x:v>LCSW-ALT-032</x:v>
      </x:c>
      <x:c r="N438" s="83" t="str">
        <x:v>Released</x:v>
      </x:c>
      <x:c r="O438" s="89" t="str">
        <x:v>Form B only; paired alternate retained on the other comprehensive form</x:v>
      </x:c>
    </x:row>
    <x:row r="439">
      <x:c r="A439" s="88" t="str">
        <x:v>CTA-LCSW-MQB-0438</x:v>
      </x:c>
      <x:c r="B439" s="83" t="str">
        <x:v>LCSW-MQB-FB-VE-013</x:v>
      </x:c>
      <x:c r="C439" s="83" t="str">
        <x:v>LCSW 2026 Comprehensive Simulation Form B</x:v>
      </x:c>
      <x:c r="D439" s="83" t="n">
        <x:v>112</x:v>
      </x:c>
      <x:c r="E439" s="83" t="str">
        <x:v>Scored-Style</x:v>
      </x:c>
      <x:c r="F439" s="83" t="str">
        <x:v>I. Values and Ethics</x:v>
      </x:c>
      <x:c r="G439" s="83" t="str">
        <x:v>Mandated services</x:v>
      </x:c>
      <x:c r="H439" s="83" t="str">
        <x:v>Moderate</x:v>
      </x:c>
      <x:c r="I439" s="83" t="str">
        <x:v>Application</x:v>
      </x:c>
      <x:c r="J439" s="83" t="n">
        <x:v>3</x:v>
      </x:c>
      <x:c r="K439" s="83" t="str">
        <x:v>B</x:v>
      </x:c>
      <x:c r="L439" s="83" t="n">
        <x:v>1</x:v>
      </x:c>
      <x:c r="M439" s="83" t="str">
        <x:v>LCSW-ALT-091</x:v>
      </x:c>
      <x:c r="N439" s="83" t="str">
        <x:v>Released</x:v>
      </x:c>
      <x:c r="O439" s="89" t="str">
        <x:v>Form B only; paired alternate retained on the other comprehensive form</x:v>
      </x:c>
    </x:row>
    <x:row r="440">
      <x:c r="A440" s="88" t="str">
        <x:v>CTA-LCSW-MQB-0439</x:v>
      </x:c>
      <x:c r="B440" s="83" t="str">
        <x:v>LCSW-MQB-FB-VE-021</x:v>
      </x:c>
      <x:c r="C440" s="83" t="str">
        <x:v>LCSW 2026 Comprehensive Simulation Form B</x:v>
      </x:c>
      <x:c r="D440" s="83" t="n">
        <x:v>113</x:v>
      </x:c>
      <x:c r="E440" s="83" t="str">
        <x:v>Scored-Style</x:v>
      </x:c>
      <x:c r="F440" s="83" t="str">
        <x:v>I. Values and Ethics</x:v>
      </x:c>
      <x:c r="G440" s="83" t="str">
        <x:v>Group confidentiality</x:v>
      </x:c>
      <x:c r="H440" s="83" t="str">
        <x:v>Moderate</x:v>
      </x:c>
      <x:c r="I440" s="83" t="str">
        <x:v>Application</x:v>
      </x:c>
      <x:c r="J440" s="83" t="n">
        <x:v>3</x:v>
      </x:c>
      <x:c r="K440" s="83" t="str">
        <x:v>A</x:v>
      </x:c>
      <x:c r="L440" s="83" t="n">
        <x:v>1</x:v>
      </x:c>
      <x:c r="M440" s="83" t="str">
        <x:v>LCSW-ALT-099</x:v>
      </x:c>
      <x:c r="N440" s="83" t="str">
        <x:v>Released</x:v>
      </x:c>
      <x:c r="O440" s="89" t="str">
        <x:v>Form B only; paired alternate retained on the other comprehensive form</x:v>
      </x:c>
    </x:row>
    <x:row r="441">
      <x:c r="A441" s="88" t="str">
        <x:v>CTA-LCSW-MQB-0440</x:v>
      </x:c>
      <x:c r="B441" s="83" t="str">
        <x:v>LCSW-MQB-FB-AP-010</x:v>
      </x:c>
      <x:c r="C441" s="83" t="str">
        <x:v>LCSW 2026 Comprehensive Simulation Form B</x:v>
      </x:c>
      <x:c r="D441" s="83" t="n">
        <x:v>114</x:v>
      </x:c>
      <x:c r="E441" s="83" t="str">
        <x:v>Pretest-Style</x:v>
      </x:c>
      <x:c r="F441" s="83" t="str">
        <x:v>II. Assessment and Planning</x:v>
      </x:c>
      <x:c r="G441" s="83" t="str">
        <x:v>Strengths assessment</x:v>
      </x:c>
      <x:c r="H441" s="83" t="str">
        <x:v>Easy</x:v>
      </x:c>
      <x:c r="I441" s="83" t="str">
        <x:v>Application</x:v>
      </x:c>
      <x:c r="J441" s="83" t="n">
        <x:v>3</x:v>
      </x:c>
      <x:c r="K441" s="83" t="str">
        <x:v>B</x:v>
      </x:c>
      <x:c r="L441" s="83" t="n">
        <x:v>1</x:v>
      </x:c>
      <x:c r="M441" s="83" t="str">
        <x:v>LCSW-ALT-010</x:v>
      </x:c>
      <x:c r="N441" s="83" t="str">
        <x:v>Released</x:v>
      </x:c>
      <x:c r="O441" s="89" t="str">
        <x:v>Form B only; paired alternate retained on the other comprehensive form</x:v>
      </x:c>
    </x:row>
    <x:row r="442">
      <x:c r="A442" s="88" t="str">
        <x:v>CTA-LCSW-MQB-0441</x:v>
      </x:c>
      <x:c r="B442" s="83" t="str">
        <x:v>LCSW-MQB-FB-VE-012</x:v>
      </x:c>
      <x:c r="C442" s="83" t="str">
        <x:v>LCSW 2026 Comprehensive Simulation Form B</x:v>
      </x:c>
      <x:c r="D442" s="83" t="n">
        <x:v>115</x:v>
      </x:c>
      <x:c r="E442" s="83" t="str">
        <x:v>Scored-Style</x:v>
      </x:c>
      <x:c r="F442" s="83" t="str">
        <x:v>I. Values and Ethics</x:v>
      </x:c>
      <x:c r="G442" s="83" t="str">
        <x:v>Conflict of interest</x:v>
      </x:c>
      <x:c r="H442" s="83" t="str">
        <x:v>Easy</x:v>
      </x:c>
      <x:c r="I442" s="83" t="str">
        <x:v>Application</x:v>
      </x:c>
      <x:c r="J442" s="83" t="n">
        <x:v>3</x:v>
      </x:c>
      <x:c r="K442" s="83" t="str">
        <x:v>B</x:v>
      </x:c>
      <x:c r="L442" s="83" t="n">
        <x:v>1</x:v>
      </x:c>
      <x:c r="M442" s="83" t="str">
        <x:v>LCSW-ALT-090</x:v>
      </x:c>
      <x:c r="N442" s="83" t="str">
        <x:v>Released</x:v>
      </x:c>
      <x:c r="O442" s="89" t="str">
        <x:v>Form B only; paired alternate retained on the other comprehensive form</x:v>
      </x:c>
    </x:row>
    <x:row r="443">
      <x:c r="A443" s="88" t="str">
        <x:v>CTA-LCSW-MQB-0442</x:v>
      </x:c>
      <x:c r="B443" s="83" t="str">
        <x:v>LCSW-MQB-FB-AP-037</x:v>
      </x:c>
      <x:c r="C443" s="83" t="str">
        <x:v>LCSW 2026 Comprehensive Simulation Form B</x:v>
      </x:c>
      <x:c r="D443" s="83" t="n">
        <x:v>116</x:v>
      </x:c>
      <x:c r="E443" s="83" t="str">
        <x:v>Scored-Style</x:v>
      </x:c>
      <x:c r="F443" s="83" t="str">
        <x:v>II. Assessment and Planning</x:v>
      </x:c>
      <x:c r="G443" s="83" t="str">
        <x:v>Medical, medication, and mood differential</x:v>
      </x:c>
      <x:c r="H443" s="83" t="str">
        <x:v>Difficult</x:v>
      </x:c>
      <x:c r="I443" s="83" t="str">
        <x:v>Integrated Clinical Reasoning</x:v>
      </x:c>
      <x:c r="J443" s="83" t="n">
        <x:v>4</x:v>
      </x:c>
      <x:c r="K443" s="83" t="str">
        <x:v>C</x:v>
      </x:c>
      <x:c r="L443" s="83" t="n">
        <x:v>1</x:v>
      </x:c>
      <x:c r="M443" s="83" t="str">
        <x:v>LCSW-ALT-037</x:v>
      </x:c>
      <x:c r="N443" s="83" t="str">
        <x:v>Released</x:v>
      </x:c>
      <x:c r="O443" s="89" t="str">
        <x:v>Form B only; paired alternate retained on the other comprehensive form</x:v>
      </x:c>
    </x:row>
    <x:row r="444">
      <x:c r="A444" s="88" t="str">
        <x:v>CTA-LCSW-MQB-0443</x:v>
      </x:c>
      <x:c r="B444" s="83" t="str">
        <x:v>LCSW-MQB-FB-AP-013</x:v>
      </x:c>
      <x:c r="C444" s="83" t="str">
        <x:v>LCSW 2026 Comprehensive Simulation Form B</x:v>
      </x:c>
      <x:c r="D444" s="83" t="n">
        <x:v>117</x:v>
      </x:c>
      <x:c r="E444" s="83" t="str">
        <x:v>Scored-Style</x:v>
      </x:c>
      <x:c r="F444" s="83" t="str">
        <x:v>II. Assessment and Planning</x:v>
      </x:c>
      <x:c r="G444" s="83" t="str">
        <x:v>Screening measure limits</x:v>
      </x:c>
      <x:c r="H444" s="83" t="str">
        <x:v>Moderate</x:v>
      </x:c>
      <x:c r="I444" s="83" t="str">
        <x:v>Application</x:v>
      </x:c>
      <x:c r="J444" s="83" t="n">
        <x:v>3</x:v>
      </x:c>
      <x:c r="K444" s="83" t="str">
        <x:v>C</x:v>
      </x:c>
      <x:c r="L444" s="83" t="n">
        <x:v>1</x:v>
      </x:c>
      <x:c r="M444" s="83" t="str">
        <x:v>LCSW-ALT-013</x:v>
      </x:c>
      <x:c r="N444" s="83" t="str">
        <x:v>Released</x:v>
      </x:c>
      <x:c r="O444" s="89" t="str">
        <x:v>Form B only; paired alternate retained on the other comprehensive form</x:v>
      </x:c>
    </x:row>
    <x:row r="445">
      <x:c r="A445" s="88" t="str">
        <x:v>CTA-LCSW-MQB-0444</x:v>
      </x:c>
      <x:c r="B445" s="83" t="str">
        <x:v>LCSW-MQB-FB-VE-015</x:v>
      </x:c>
      <x:c r="C445" s="83" t="str">
        <x:v>LCSW 2026 Comprehensive Simulation Form B</x:v>
      </x:c>
      <x:c r="D445" s="83" t="n">
        <x:v>118</x:v>
      </x:c>
      <x:c r="E445" s="83" t="str">
        <x:v>Scored-Style</x:v>
      </x:c>
      <x:c r="F445" s="83" t="str">
        <x:v>I. Values and Ethics</x:v>
      </x:c>
      <x:c r="G445" s="83" t="str">
        <x:v>Fee transparency</x:v>
      </x:c>
      <x:c r="H445" s="83" t="str">
        <x:v>Moderate</x:v>
      </x:c>
      <x:c r="I445" s="83" t="str">
        <x:v>Application</x:v>
      </x:c>
      <x:c r="J445" s="83" t="n">
        <x:v>3</x:v>
      </x:c>
      <x:c r="K445" s="83" t="str">
        <x:v>B</x:v>
      </x:c>
      <x:c r="L445" s="83" t="n">
        <x:v>1</x:v>
      </x:c>
      <x:c r="M445" s="83" t="str">
        <x:v>LCSW-ALT-093</x:v>
      </x:c>
      <x:c r="N445" s="83" t="str">
        <x:v>Released</x:v>
      </x:c>
      <x:c r="O445" s="89" t="str">
        <x:v>Form B only; paired alternate retained on the other comprehensive form</x:v>
      </x:c>
    </x:row>
    <x:row r="446">
      <x:c r="A446" s="88" t="str">
        <x:v>CTA-LCSW-MQB-0445</x:v>
      </x:c>
      <x:c r="B446" s="83" t="str">
        <x:v>LCSW-MQB-FB-IP-038</x:v>
      </x:c>
      <x:c r="C446" s="83" t="str">
        <x:v>LCSW 2026 Comprehensive Simulation Form B</x:v>
      </x:c>
      <x:c r="D446" s="83" t="n">
        <x:v>119</x:v>
      </x:c>
      <x:c r="E446" s="83" t="str">
        <x:v>Scored-Style</x:v>
      </x:c>
      <x:c r="F446" s="83" t="str">
        <x:v>III. Intervention and Practice</x:v>
      </x:c>
      <x:c r="G446" s="83" t="str">
        <x:v>Interdisciplinary disagreement and autonomy</x:v>
      </x:c>
      <x:c r="H446" s="83" t="str">
        <x:v>Difficult</x:v>
      </x:c>
      <x:c r="I446" s="83" t="str">
        <x:v>Integrated Clinical Reasoning</x:v>
      </x:c>
      <x:c r="J446" s="83" t="n">
        <x:v>4</x:v>
      </x:c>
      <x:c r="K446" s="83" t="str">
        <x:v>A</x:v>
      </x:c>
      <x:c r="L446" s="83" t="n">
        <x:v>1</x:v>
      </x:c>
      <x:c r="M446" s="83" t="str">
        <x:v>LCSW-ALT-077</x:v>
      </x:c>
      <x:c r="N446" s="83" t="str">
        <x:v>Released</x:v>
      </x:c>
      <x:c r="O446" s="89" t="str">
        <x:v>Form B only; paired alternate retained on the other comprehensive form</x:v>
      </x:c>
    </x:row>
    <x:row r="447">
      <x:c r="A447" s="88" t="str">
        <x:v>CTA-LCSW-MQB-0446</x:v>
      </x:c>
      <x:c r="B447" s="83" t="str">
        <x:v>LCSW-MQB-FB-IP-018</x:v>
      </x:c>
      <x:c r="C447" s="83" t="str">
        <x:v>LCSW 2026 Comprehensive Simulation Form B</x:v>
      </x:c>
      <x:c r="D447" s="83" t="n">
        <x:v>120</x:v>
      </x:c>
      <x:c r="E447" s="83" t="str">
        <x:v>Pretest-Style</x:v>
      </x:c>
      <x:c r="F447" s="83" t="str">
        <x:v>III. Intervention and Practice</x:v>
      </x:c>
      <x:c r="G447" s="83" t="str">
        <x:v>Termination review</x:v>
      </x:c>
      <x:c r="H447" s="83" t="str">
        <x:v>Moderate</x:v>
      </x:c>
      <x:c r="I447" s="83" t="str">
        <x:v>Application</x:v>
      </x:c>
      <x:c r="J447" s="83" t="n">
        <x:v>3</x:v>
      </x:c>
      <x:c r="K447" s="83" t="str">
        <x:v>A</x:v>
      </x:c>
      <x:c r="L447" s="83" t="n">
        <x:v>1</x:v>
      </x:c>
      <x:c r="M447" s="83" t="str">
        <x:v>LCSW-ALT-057</x:v>
      </x:c>
      <x:c r="N447" s="83" t="str">
        <x:v>Released</x:v>
      </x:c>
      <x:c r="O447" s="89" t="str">
        <x:v>Form B only; paired alternate retained on the other comprehensive form</x:v>
      </x:c>
    </x:row>
    <x:row r="448">
      <x:c r="A448" s="88" t="str">
        <x:v>CTA-LCSW-MQB-0447</x:v>
      </x:c>
      <x:c r="B448" s="83" t="str">
        <x:v>LCSW-MQB-FB-AP-015</x:v>
      </x:c>
      <x:c r="C448" s="83" t="str">
        <x:v>LCSW 2026 Comprehensive Simulation Form B</x:v>
      </x:c>
      <x:c r="D448" s="83" t="n">
        <x:v>121</x:v>
      </x:c>
      <x:c r="E448" s="83" t="str">
        <x:v>Scored-Style</x:v>
      </x:c>
      <x:c r="F448" s="83" t="str">
        <x:v>II. Assessment and Planning</x:v>
      </x:c>
      <x:c r="G448" s="83" t="str">
        <x:v>Level of care</x:v>
      </x:c>
      <x:c r="H448" s="83" t="str">
        <x:v>Moderate</x:v>
      </x:c>
      <x:c r="I448" s="83" t="str">
        <x:v>Application</x:v>
      </x:c>
      <x:c r="J448" s="83" t="n">
        <x:v>3</x:v>
      </x:c>
      <x:c r="K448" s="83" t="str">
        <x:v>C</x:v>
      </x:c>
      <x:c r="L448" s="83" t="n">
        <x:v>1</x:v>
      </x:c>
      <x:c r="M448" s="83" t="str">
        <x:v>LCSW-ALT-015</x:v>
      </x:c>
      <x:c r="N448" s="83" t="str">
        <x:v>Released</x:v>
      </x:c>
      <x:c r="O448" s="89" t="str">
        <x:v>Form B only; paired alternate retained on the other comprehensive form</x:v>
      </x:c>
    </x:row>
    <x:row r="449">
      <x:c r="A449" s="90" t="str">
        <x:v>CTA-LCSW-MQB-0448</x:v>
      </x:c>
      <x:c r="B449" s="91" t="str">
        <x:v>LCSW-MQB-FB-IP-029</x:v>
      </x:c>
      <x:c r="C449" s="91" t="str">
        <x:v>LCSW 2026 Comprehensive Simulation Form B</x:v>
      </x:c>
      <x:c r="D449" s="91" t="n">
        <x:v>122</x:v>
      </x:c>
      <x:c r="E449" s="91" t="str">
        <x:v>Scored-Style</x:v>
      </x:c>
      <x:c r="F449" s="91" t="str">
        <x:v>III. Intervention and Practice</x:v>
      </x:c>
      <x:c r="G449" s="91" t="str">
        <x:v>Child behavioral intervention</x:v>
      </x:c>
      <x:c r="H449" s="91" t="str">
        <x:v>Difficult</x:v>
      </x:c>
      <x:c r="I449" s="91" t="str">
        <x:v>Scenario-Based</x:v>
      </x:c>
      <x:c r="J449" s="91" t="n">
        <x:v>4</x:v>
      </x:c>
      <x:c r="K449" s="91" t="str">
        <x:v>A</x:v>
      </x:c>
      <x:c r="L449" s="91" t="n">
        <x:v>1</x:v>
      </x:c>
      <x:c r="M449" s="91" t="str">
        <x:v>LCSW-ALT-068</x:v>
      </x:c>
      <x:c r="N449" s="91" t="str">
        <x:v>Released</x:v>
      </x:c>
      <x:c r="O449" s="92" t="str">
        <x:v>Form B only; paired alternate retained on the other comprehensive form</x:v>
      </x:c>
    </x:row>
  </x:sheetData>
  <x:pageMargins left="0.7" right="0.7" top="0.75" bottom="0.75" header="0.3" footer="0.3"/>
  <x:tableParts count="1">
    <x:tablePart xmlns:r="http://schemas.openxmlformats.org/officeDocument/2006/relationships" r:id="R0ac60e0299a3408b"/>
  </x:tableParts>
</x:worksheet>
</file>

<file path=xl/worksheets/sheet6.xml><?xml version="1.0" encoding="utf-8"?>
<x:worksheet xmlns:x="http://schemas.openxmlformats.org/spreadsheetml/2006/main">
  <x:sheetFormatPr defaultRowHeight="15"/>
  <x:cols>
    <x:col min="1" max="1" width="10" hidden="0" customWidth="1"/>
    <x:col min="2" max="2" width="40" hidden="0" customWidth="1"/>
    <x:col min="3" max="3" width="34" hidden="0" customWidth="1"/>
    <x:col min="4" max="4" width="11" hidden="0" customWidth="1"/>
    <x:col min="5" max="5" width="11" hidden="0" customWidth="1"/>
    <x:col min="6" max="6" width="11" hidden="0" customWidth="1"/>
    <x:col min="7" max="7" width="10" hidden="0" customWidth="1"/>
    <x:col min="8" max="8" width="11" hidden="0" customWidth="1"/>
    <x:col min="9" max="9" width="11" hidden="0" customWidth="1"/>
    <x:col min="10" max="10" width="8" hidden="0" customWidth="1"/>
    <x:col min="11" max="11" width="8" hidden="0" customWidth="1"/>
    <x:col min="12" max="12" width="8" hidden="0" customWidth="1"/>
    <x:col min="13" max="13" width="8" hidden="0" customWidth="1"/>
    <x:col min="14" max="14" width="16" hidden="0" customWidth="1"/>
    <x:col min="15" max="15" width="13" hidden="0" customWidth="1"/>
    <x:col min="16" max="16" width="15" hidden="0" customWidth="1"/>
    <x:col min="17" max="17" width="18" hidden="0" customWidth="1"/>
    <x:col min="18" max="18" width="18" hidden="0" customWidth="1"/>
  </x:cols>
  <x:sheetData>
    <x:row r="1">
      <x:c r="A1" s="5" t="str">
        <x:v>LCSW Workbook Question-Bank Summary</x:v>
      </x:c>
      <x:c r="B1" s="5"/>
      <x:c r="C1" s="5"/>
      <x:c r="D1" s="5"/>
      <x:c r="E1" s="5"/>
      <x:c r="F1" s="5"/>
      <x:c r="G1" s="5"/>
      <x:c r="H1" s="5"/>
      <x:c r="I1" s="5"/>
      <x:c r="J1" s="5"/>
      <x:c r="K1" s="5"/>
      <x:c r="L1" s="5"/>
      <x:c r="M1" s="5"/>
      <x:c r="N1" s="5"/>
      <x:c r="O1" s="5"/>
      <x:c r="P1" s="5"/>
      <x:c r="Q1" s="5"/>
      <x:c r="R1" s="5"/>
    </x:row>
    <x:row r="3">
      <x:c r="A3" s="34" t="str">
        <x:v>Workbook</x:v>
      </x:c>
      <x:c r="B3" s="34" t="str">
        <x:v>Workbook Title</x:v>
      </x:c>
      <x:c r="C3" s="34" t="str">
        <x:v>Assigned Content Area</x:v>
      </x:c>
      <x:c r="D3" s="34" t="str">
        <x:v>Questions</x:v>
      </x:c>
      <x:c r="E3" s="34" t="str">
        <x:v>3-Option</x:v>
      </x:c>
      <x:c r="F3" s="34" t="str">
        <x:v>4-Option</x:v>
      </x:c>
      <x:c r="G3" s="34" t="str">
        <x:v>Easy</x:v>
      </x:c>
      <x:c r="H3" s="34" t="str">
        <x:v>Moderate</x:v>
      </x:c>
      <x:c r="I3" s="34" t="str">
        <x:v>Difficult</x:v>
      </x:c>
      <x:c r="J3" s="34" t="str">
        <x:v>A</x:v>
      </x:c>
      <x:c r="K3" s="34" t="str">
        <x:v>B</x:v>
      </x:c>
      <x:c r="L3" s="34" t="str">
        <x:v>C</x:v>
      </x:c>
      <x:c r="M3" s="34" t="str">
        <x:v>D</x:v>
      </x:c>
      <x:c r="N3" s="34" t="str">
        <x:v>Knowledge &amp; Recall</x:v>
      </x:c>
      <x:c r="O3" s="34" t="str">
        <x:v>Application</x:v>
      </x:c>
      <x:c r="P3" s="34" t="str">
        <x:v>Scenario-Based</x:v>
      </x:c>
      <x:c r="Q3" s="34" t="str">
        <x:v>Integrated Reasoning</x:v>
      </x:c>
      <x:c r="R3" s="34" t="str">
        <x:v>Difficulty Standard</x:v>
      </x:c>
    </x:row>
    <x:row r="4">
      <x:c r="A4" s="61" t="n">
        <x:v>1</x:v>
      </x:c>
      <x:c r="B4" s="62" t="str">
        <x:v>ASWB Exam Strategy and Applied Reasoning</x:v>
      </x:c>
      <x:c r="C4" s="62" t="str">
        <x:v>Exam Strategy / Cross-Domain</x:v>
      </x:c>
      <x:c r="D4" s="62" t="n">
        <x:f>COUNTIF('Master Inventory'!$E$2:$E$449,A4)</x:f>
        <x:v>17</x:v>
      </x:c>
      <x:c r="E4" s="62" t="n">
        <x:f>COUNTIFS('Master Inventory'!$E$2:$E$449,A4,'Master Inventory'!$Q$2:$Q$449,3)</x:f>
        <x:v>10</x:v>
      </x:c>
      <x:c r="F4" s="62" t="n">
        <x:f>COUNTIFS('Master Inventory'!$E$2:$E$449,A4,'Master Inventory'!$Q$2:$Q$449,4)</x:f>
        <x:v>7</x:v>
      </x:c>
      <x:c r="G4" s="62" t="n">
        <x:f>COUNTIFS('Master Inventory'!$E$2:$E$449,A4,'Master Inventory'!$N$2:$N$449,"Easy")</x:f>
        <x:v>5</x:v>
      </x:c>
      <x:c r="H4" s="62" t="n">
        <x:f>COUNTIFS('Master Inventory'!$E$2:$E$449,A4,'Master Inventory'!$N$2:$N$449,"Moderate")</x:f>
        <x:v>7</x:v>
      </x:c>
      <x:c r="I4" s="62" t="n">
        <x:f>COUNTIFS('Master Inventory'!$E$2:$E$449,A4,'Master Inventory'!$N$2:$N$449,"Difficult")</x:f>
        <x:v>5</x:v>
      </x:c>
      <x:c r="J4" s="62" t="n">
        <x:f>COUNTIFS('Master Inventory'!$E$2:$E$449,A4,'Master Inventory'!$R$2:$R$449,"A")</x:f>
        <x:v>5</x:v>
      </x:c>
      <x:c r="K4" s="62" t="n">
        <x:f>COUNTIFS('Master Inventory'!$E$2:$E$449,A4,'Master Inventory'!$R$2:$R$449,"B")</x:f>
        <x:v>4</x:v>
      </x:c>
      <x:c r="L4" s="62" t="n">
        <x:f>COUNTIFS('Master Inventory'!$E$2:$E$449,A4,'Master Inventory'!$R$2:$R$449,"C")</x:f>
        <x:v>4</x:v>
      </x:c>
      <x:c r="M4" s="62" t="n">
        <x:f>COUNTIFS('Master Inventory'!$E$2:$E$449,A4,'Master Inventory'!$R$2:$R$449,"D")</x:f>
        <x:v>4</x:v>
      </x:c>
      <x:c r="N4" s="62" t="n">
        <x:f>COUNTIFS('Master Inventory'!$E$2:$E$449,A4,'Master Inventory'!$P$2:$P$449,"Knowledge &amp; Recall")</x:f>
        <x:v>4</x:v>
      </x:c>
      <x:c r="O4" s="62" t="n">
        <x:f>COUNTIFS('Master Inventory'!$E$2:$E$449,A4,'Master Inventory'!$P$2:$P$449,"Application")</x:f>
        <x:v>6</x:v>
      </x:c>
      <x:c r="P4" s="62" t="n">
        <x:f>COUNTIFS('Master Inventory'!$E$2:$E$449,A4,'Master Inventory'!$P$2:$P$449,"Scenario-Based")</x:f>
        <x:v>4</x:v>
      </x:c>
      <x:c r="Q4" s="62" t="n">
        <x:f>COUNTIFS('Master Inventory'!$E$2:$E$449,A4,'Master Inventory'!$P$2:$P$449,"Integrated Clinical Reasoning")</x:f>
        <x:v>3</x:v>
      </x:c>
      <x:c r="R4" s="63" t="str">
        <x:f>IF(AND(G4=5,H4=7,I4=5),"Pass","Review")</x:f>
        <x:v>Pass</x:v>
      </x:c>
    </x:row>
    <x:row r="5">
      <x:c r="A5" s="64" t="n">
        <x:v>2</x:v>
      </x:c>
      <x:c r="B5" s="10" t="str">
        <x:v>Values, Ethics, Self-Determination, and Social Justice</x:v>
      </x:c>
      <x:c r="C5" s="10" t="str">
        <x:v>I. Values and Ethics</x:v>
      </x:c>
      <x:c r="D5" s="10" t="n">
        <x:f>COUNTIF('Master Inventory'!$E$2:$E$449,A5)</x:f>
        <x:v>17</x:v>
      </x:c>
      <x:c r="E5" s="10" t="n">
        <x:f>COUNTIFS('Master Inventory'!$E$2:$E$449,A5,'Master Inventory'!$Q$2:$Q$449,3)</x:f>
        <x:v>10</x:v>
      </x:c>
      <x:c r="F5" s="10" t="n">
        <x:f>COUNTIFS('Master Inventory'!$E$2:$E$449,A5,'Master Inventory'!$Q$2:$Q$449,4)</x:f>
        <x:v>7</x:v>
      </x:c>
      <x:c r="G5" s="10" t="n">
        <x:f>COUNTIFS('Master Inventory'!$E$2:$E$449,A5,'Master Inventory'!$N$2:$N$449,"Easy")</x:f>
        <x:v>5</x:v>
      </x:c>
      <x:c r="H5" s="10" t="n">
        <x:f>COUNTIFS('Master Inventory'!$E$2:$E$449,A5,'Master Inventory'!$N$2:$N$449,"Moderate")</x:f>
        <x:v>7</x:v>
      </x:c>
      <x:c r="I5" s="10" t="n">
        <x:f>COUNTIFS('Master Inventory'!$E$2:$E$449,A5,'Master Inventory'!$N$2:$N$449,"Difficult")</x:f>
        <x:v>5</x:v>
      </x:c>
      <x:c r="J5" s="10" t="n">
        <x:f>COUNTIFS('Master Inventory'!$E$2:$E$449,A5,'Master Inventory'!$R$2:$R$449,"A")</x:f>
        <x:v>5</x:v>
      </x:c>
      <x:c r="K5" s="10" t="n">
        <x:f>COUNTIFS('Master Inventory'!$E$2:$E$449,A5,'Master Inventory'!$R$2:$R$449,"B")</x:f>
        <x:v>4</x:v>
      </x:c>
      <x:c r="L5" s="10" t="n">
        <x:f>COUNTIFS('Master Inventory'!$E$2:$E$449,A5,'Master Inventory'!$R$2:$R$449,"C")</x:f>
        <x:v>4</x:v>
      </x:c>
      <x:c r="M5" s="10" t="n">
        <x:f>COUNTIFS('Master Inventory'!$E$2:$E$449,A5,'Master Inventory'!$R$2:$R$449,"D")</x:f>
        <x:v>4</x:v>
      </x:c>
      <x:c r="N5" s="10" t="n">
        <x:f>COUNTIFS('Master Inventory'!$E$2:$E$449,A5,'Master Inventory'!$P$2:$P$449,"Knowledge &amp; Recall")</x:f>
        <x:v>4</x:v>
      </x:c>
      <x:c r="O5" s="10" t="n">
        <x:f>COUNTIFS('Master Inventory'!$E$2:$E$449,A5,'Master Inventory'!$P$2:$P$449,"Application")</x:f>
        <x:v>5</x:v>
      </x:c>
      <x:c r="P5" s="10" t="n">
        <x:f>COUNTIFS('Master Inventory'!$E$2:$E$449,A5,'Master Inventory'!$P$2:$P$449,"Scenario-Based")</x:f>
        <x:v>6</x:v>
      </x:c>
      <x:c r="Q5" s="10" t="n">
        <x:f>COUNTIFS('Master Inventory'!$E$2:$E$449,A5,'Master Inventory'!$P$2:$P$449,"Integrated Clinical Reasoning")</x:f>
        <x:v>2</x:v>
      </x:c>
      <x:c r="R5" s="65" t="str">
        <x:f>IF(AND(G5=5,H5=7,I5=5),"Pass","Review")</x:f>
        <x:v>Pass</x:v>
      </x:c>
    </x:row>
    <x:row r="6">
      <x:c r="A6" s="64" t="n">
        <x:v>3</x:v>
      </x:c>
      <x:c r="B6" s="10" t="str">
        <x:v>Human Development, Diversity, and Person-in-Environment</x:v>
      </x:c>
      <x:c r="C6" s="10" t="str">
        <x:v>II. Assessment and Planning</x:v>
      </x:c>
      <x:c r="D6" s="10" t="n">
        <x:f>COUNTIF('Master Inventory'!$E$2:$E$449,A6)</x:f>
        <x:v>17</x:v>
      </x:c>
      <x:c r="E6" s="10" t="n">
        <x:f>COUNTIFS('Master Inventory'!$E$2:$E$449,A6,'Master Inventory'!$Q$2:$Q$449,3)</x:f>
        <x:v>10</x:v>
      </x:c>
      <x:c r="F6" s="10" t="n">
        <x:f>COUNTIFS('Master Inventory'!$E$2:$E$449,A6,'Master Inventory'!$Q$2:$Q$449,4)</x:f>
        <x:v>7</x:v>
      </x:c>
      <x:c r="G6" s="10" t="n">
        <x:f>COUNTIFS('Master Inventory'!$E$2:$E$449,A6,'Master Inventory'!$N$2:$N$449,"Easy")</x:f>
        <x:v>5</x:v>
      </x:c>
      <x:c r="H6" s="10" t="n">
        <x:f>COUNTIFS('Master Inventory'!$E$2:$E$449,A6,'Master Inventory'!$N$2:$N$449,"Moderate")</x:f>
        <x:v>7</x:v>
      </x:c>
      <x:c r="I6" s="10" t="n">
        <x:f>COUNTIFS('Master Inventory'!$E$2:$E$449,A6,'Master Inventory'!$N$2:$N$449,"Difficult")</x:f>
        <x:v>5</x:v>
      </x:c>
      <x:c r="J6" s="10" t="n">
        <x:f>COUNTIFS('Master Inventory'!$E$2:$E$449,A6,'Master Inventory'!$R$2:$R$449,"A")</x:f>
        <x:v>5</x:v>
      </x:c>
      <x:c r="K6" s="10" t="n">
        <x:f>COUNTIFS('Master Inventory'!$E$2:$E$449,A6,'Master Inventory'!$R$2:$R$449,"B")</x:f>
        <x:v>4</x:v>
      </x:c>
      <x:c r="L6" s="10" t="n">
        <x:f>COUNTIFS('Master Inventory'!$E$2:$E$449,A6,'Master Inventory'!$R$2:$R$449,"C")</x:f>
        <x:v>4</x:v>
      </x:c>
      <x:c r="M6" s="10" t="n">
        <x:f>COUNTIFS('Master Inventory'!$E$2:$E$449,A6,'Master Inventory'!$R$2:$R$449,"D")</x:f>
        <x:v>4</x:v>
      </x:c>
      <x:c r="N6" s="10" t="n">
        <x:f>COUNTIFS('Master Inventory'!$E$2:$E$449,A6,'Master Inventory'!$P$2:$P$449,"Knowledge &amp; Recall")</x:f>
        <x:v>3</x:v>
      </x:c>
      <x:c r="O6" s="10" t="n">
        <x:f>COUNTIFS('Master Inventory'!$E$2:$E$449,A6,'Master Inventory'!$P$2:$P$449,"Application")</x:f>
        <x:v>6</x:v>
      </x:c>
      <x:c r="P6" s="10" t="n">
        <x:f>COUNTIFS('Master Inventory'!$E$2:$E$449,A6,'Master Inventory'!$P$2:$P$449,"Scenario-Based")</x:f>
        <x:v>6</x:v>
      </x:c>
      <x:c r="Q6" s="10" t="n">
        <x:f>COUNTIFS('Master Inventory'!$E$2:$E$449,A6,'Master Inventory'!$P$2:$P$449,"Integrated Clinical Reasoning")</x:f>
        <x:v>2</x:v>
      </x:c>
      <x:c r="R6" s="65" t="str">
        <x:f>IF(AND(G6=5,H6=7,I6=5),"Pass","Review")</x:f>
        <x:v>Pass</x:v>
      </x:c>
    </x:row>
    <x:row r="7">
      <x:c r="A7" s="64" t="n">
        <x:v>4</x:v>
      </x:c>
      <x:c r="B7" s="10" t="str">
        <x:v>Clinical Assessment, Interviewing, and Mental Status</x:v>
      </x:c>
      <x:c r="C7" s="10" t="str">
        <x:v>II. Assessment and Planning</x:v>
      </x:c>
      <x:c r="D7" s="10" t="n">
        <x:f>COUNTIF('Master Inventory'!$E$2:$E$449,A7)</x:f>
        <x:v>17</x:v>
      </x:c>
      <x:c r="E7" s="10" t="n">
        <x:f>COUNTIFS('Master Inventory'!$E$2:$E$449,A7,'Master Inventory'!$Q$2:$Q$449,3)</x:f>
        <x:v>10</x:v>
      </x:c>
      <x:c r="F7" s="10" t="n">
        <x:f>COUNTIFS('Master Inventory'!$E$2:$E$449,A7,'Master Inventory'!$Q$2:$Q$449,4)</x:f>
        <x:v>7</x:v>
      </x:c>
      <x:c r="G7" s="10" t="n">
        <x:f>COUNTIFS('Master Inventory'!$E$2:$E$449,A7,'Master Inventory'!$N$2:$N$449,"Easy")</x:f>
        <x:v>5</x:v>
      </x:c>
      <x:c r="H7" s="10" t="n">
        <x:f>COUNTIFS('Master Inventory'!$E$2:$E$449,A7,'Master Inventory'!$N$2:$N$449,"Moderate")</x:f>
        <x:v>7</x:v>
      </x:c>
      <x:c r="I7" s="10" t="n">
        <x:f>COUNTIFS('Master Inventory'!$E$2:$E$449,A7,'Master Inventory'!$N$2:$N$449,"Difficult")</x:f>
        <x:v>5</x:v>
      </x:c>
      <x:c r="J7" s="10" t="n">
        <x:f>COUNTIFS('Master Inventory'!$E$2:$E$449,A7,'Master Inventory'!$R$2:$R$449,"A")</x:f>
        <x:v>5</x:v>
      </x:c>
      <x:c r="K7" s="10" t="n">
        <x:f>COUNTIFS('Master Inventory'!$E$2:$E$449,A7,'Master Inventory'!$R$2:$R$449,"B")</x:f>
        <x:v>4</x:v>
      </x:c>
      <x:c r="L7" s="10" t="n">
        <x:f>COUNTIFS('Master Inventory'!$E$2:$E$449,A7,'Master Inventory'!$R$2:$R$449,"C")</x:f>
        <x:v>4</x:v>
      </x:c>
      <x:c r="M7" s="10" t="n">
        <x:f>COUNTIFS('Master Inventory'!$E$2:$E$449,A7,'Master Inventory'!$R$2:$R$449,"D")</x:f>
        <x:v>4</x:v>
      </x:c>
      <x:c r="N7" s="10" t="n">
        <x:f>COUNTIFS('Master Inventory'!$E$2:$E$449,A7,'Master Inventory'!$P$2:$P$449,"Knowledge &amp; Recall")</x:f>
        <x:v>4</x:v>
      </x:c>
      <x:c r="O7" s="10" t="n">
        <x:f>COUNTIFS('Master Inventory'!$E$2:$E$449,A7,'Master Inventory'!$P$2:$P$449,"Application")</x:f>
        <x:v>5</x:v>
      </x:c>
      <x:c r="P7" s="10" t="n">
        <x:f>COUNTIFS('Master Inventory'!$E$2:$E$449,A7,'Master Inventory'!$P$2:$P$449,"Scenario-Based")</x:f>
        <x:v>5</x:v>
      </x:c>
      <x:c r="Q7" s="10" t="n">
        <x:f>COUNTIFS('Master Inventory'!$E$2:$E$449,A7,'Master Inventory'!$P$2:$P$449,"Integrated Clinical Reasoning")</x:f>
        <x:v>3</x:v>
      </x:c>
      <x:c r="R7" s="65" t="str">
        <x:f>IF(AND(G7=5,H7=7,I7=5),"Pass","Review")</x:f>
        <x:v>Pass</x:v>
      </x:c>
    </x:row>
    <x:row r="8">
      <x:c r="A8" s="64" t="n">
        <x:v>5</x:v>
      </x:c>
      <x:c r="B8" s="10" t="str">
        <x:v>Diagnosis, Medical Factors, and Psychopharmacology</x:v>
      </x:c>
      <x:c r="C8" s="10" t="str">
        <x:v>II. Assessment and Planning</x:v>
      </x:c>
      <x:c r="D8" s="10" t="n">
        <x:f>COUNTIF('Master Inventory'!$E$2:$E$449,A8)</x:f>
        <x:v>17</x:v>
      </x:c>
      <x:c r="E8" s="10" t="n">
        <x:f>COUNTIFS('Master Inventory'!$E$2:$E$449,A8,'Master Inventory'!$Q$2:$Q$449,3)</x:f>
        <x:v>10</x:v>
      </x:c>
      <x:c r="F8" s="10" t="n">
        <x:f>COUNTIFS('Master Inventory'!$E$2:$E$449,A8,'Master Inventory'!$Q$2:$Q$449,4)</x:f>
        <x:v>7</x:v>
      </x:c>
      <x:c r="G8" s="10" t="n">
        <x:f>COUNTIFS('Master Inventory'!$E$2:$E$449,A8,'Master Inventory'!$N$2:$N$449,"Easy")</x:f>
        <x:v>5</x:v>
      </x:c>
      <x:c r="H8" s="10" t="n">
        <x:f>COUNTIFS('Master Inventory'!$E$2:$E$449,A8,'Master Inventory'!$N$2:$N$449,"Moderate")</x:f>
        <x:v>7</x:v>
      </x:c>
      <x:c r="I8" s="10" t="n">
        <x:f>COUNTIFS('Master Inventory'!$E$2:$E$449,A8,'Master Inventory'!$N$2:$N$449,"Difficult")</x:f>
        <x:v>5</x:v>
      </x:c>
      <x:c r="J8" s="10" t="n">
        <x:f>COUNTIFS('Master Inventory'!$E$2:$E$449,A8,'Master Inventory'!$R$2:$R$449,"A")</x:f>
        <x:v>5</x:v>
      </x:c>
      <x:c r="K8" s="10" t="n">
        <x:f>COUNTIFS('Master Inventory'!$E$2:$E$449,A8,'Master Inventory'!$R$2:$R$449,"B")</x:f>
        <x:v>4</x:v>
      </x:c>
      <x:c r="L8" s="10" t="n">
        <x:f>COUNTIFS('Master Inventory'!$E$2:$E$449,A8,'Master Inventory'!$R$2:$R$449,"C")</x:f>
        <x:v>4</x:v>
      </x:c>
      <x:c r="M8" s="10" t="n">
        <x:f>COUNTIFS('Master Inventory'!$E$2:$E$449,A8,'Master Inventory'!$R$2:$R$449,"D")</x:f>
        <x:v>4</x:v>
      </x:c>
      <x:c r="N8" s="10" t="n">
        <x:f>COUNTIFS('Master Inventory'!$E$2:$E$449,A8,'Master Inventory'!$P$2:$P$449,"Knowledge &amp; Recall")</x:f>
        <x:v>5</x:v>
      </x:c>
      <x:c r="O8" s="10" t="n">
        <x:f>COUNTIFS('Master Inventory'!$E$2:$E$449,A8,'Master Inventory'!$P$2:$P$449,"Application")</x:f>
        <x:v>3</x:v>
      </x:c>
      <x:c r="P8" s="10" t="n">
        <x:f>COUNTIFS('Master Inventory'!$E$2:$E$449,A8,'Master Inventory'!$P$2:$P$449,"Scenario-Based")</x:f>
        <x:v>4</x:v>
      </x:c>
      <x:c r="Q8" s="10" t="n">
        <x:f>COUNTIFS('Master Inventory'!$E$2:$E$449,A8,'Master Inventory'!$P$2:$P$449,"Integrated Clinical Reasoning")</x:f>
        <x:v>5</x:v>
      </x:c>
      <x:c r="R8" s="65" t="str">
        <x:f>IF(AND(G8=5,H8=7,I8=5),"Pass","Review")</x:f>
        <x:v>Pass</x:v>
      </x:c>
    </x:row>
    <x:row r="9">
      <x:c r="A9" s="64" t="n">
        <x:v>6</x:v>
      </x:c>
      <x:c r="B9" s="10" t="str">
        <x:v>Crisis, Abuse, and Risk Assessment</x:v>
      </x:c>
      <x:c r="C9" s="10" t="str">
        <x:v>II. Assessment and Planning</x:v>
      </x:c>
      <x:c r="D9" s="10" t="n">
        <x:f>COUNTIF('Master Inventory'!$E$2:$E$449,A9)</x:f>
        <x:v>17</x:v>
      </x:c>
      <x:c r="E9" s="10" t="n">
        <x:f>COUNTIFS('Master Inventory'!$E$2:$E$449,A9,'Master Inventory'!$Q$2:$Q$449,3)</x:f>
        <x:v>10</x:v>
      </x:c>
      <x:c r="F9" s="10" t="n">
        <x:f>COUNTIFS('Master Inventory'!$E$2:$E$449,A9,'Master Inventory'!$Q$2:$Q$449,4)</x:f>
        <x:v>7</x:v>
      </x:c>
      <x:c r="G9" s="10" t="n">
        <x:f>COUNTIFS('Master Inventory'!$E$2:$E$449,A9,'Master Inventory'!$N$2:$N$449,"Easy")</x:f>
        <x:v>5</x:v>
      </x:c>
      <x:c r="H9" s="10" t="n">
        <x:f>COUNTIFS('Master Inventory'!$E$2:$E$449,A9,'Master Inventory'!$N$2:$N$449,"Moderate")</x:f>
        <x:v>7</x:v>
      </x:c>
      <x:c r="I9" s="10" t="n">
        <x:f>COUNTIFS('Master Inventory'!$E$2:$E$449,A9,'Master Inventory'!$N$2:$N$449,"Difficult")</x:f>
        <x:v>5</x:v>
      </x:c>
      <x:c r="J9" s="10" t="n">
        <x:f>COUNTIFS('Master Inventory'!$E$2:$E$449,A9,'Master Inventory'!$R$2:$R$449,"A")</x:f>
        <x:v>5</x:v>
      </x:c>
      <x:c r="K9" s="10" t="n">
        <x:f>COUNTIFS('Master Inventory'!$E$2:$E$449,A9,'Master Inventory'!$R$2:$R$449,"B")</x:f>
        <x:v>4</x:v>
      </x:c>
      <x:c r="L9" s="10" t="n">
        <x:f>COUNTIFS('Master Inventory'!$E$2:$E$449,A9,'Master Inventory'!$R$2:$R$449,"C")</x:f>
        <x:v>4</x:v>
      </x:c>
      <x:c r="M9" s="10" t="n">
        <x:f>COUNTIFS('Master Inventory'!$E$2:$E$449,A9,'Master Inventory'!$R$2:$R$449,"D")</x:f>
        <x:v>4</x:v>
      </x:c>
      <x:c r="N9" s="10" t="n">
        <x:f>COUNTIFS('Master Inventory'!$E$2:$E$449,A9,'Master Inventory'!$P$2:$P$449,"Knowledge &amp; Recall")</x:f>
        <x:v>3</x:v>
      </x:c>
      <x:c r="O9" s="10" t="n">
        <x:f>COUNTIFS('Master Inventory'!$E$2:$E$449,A9,'Master Inventory'!$P$2:$P$449,"Application")</x:f>
        <x:v>4</x:v>
      </x:c>
      <x:c r="P9" s="10" t="n">
        <x:f>COUNTIFS('Master Inventory'!$E$2:$E$449,A9,'Master Inventory'!$P$2:$P$449,"Scenario-Based")</x:f>
        <x:v>5</x:v>
      </x:c>
      <x:c r="Q9" s="10" t="n">
        <x:f>COUNTIFS('Master Inventory'!$E$2:$E$449,A9,'Master Inventory'!$P$2:$P$449,"Integrated Clinical Reasoning")</x:f>
        <x:v>5</x:v>
      </x:c>
      <x:c r="R9" s="65" t="str">
        <x:f>IF(AND(G9=5,H9=7,I9=5),"Pass","Review")</x:f>
        <x:v>Pass</x:v>
      </x:c>
    </x:row>
    <x:row r="10">
      <x:c r="A10" s="64" t="n">
        <x:v>7</x:v>
      </x:c>
      <x:c r="B10" s="10" t="str">
        <x:v>Treatment and Service Planning</x:v>
      </x:c>
      <x:c r="C10" s="10" t="str">
        <x:v>II. Assessment and Planning</x:v>
      </x:c>
      <x:c r="D10" s="10" t="n">
        <x:f>COUNTIF('Master Inventory'!$E$2:$E$449,A10)</x:f>
        <x:v>17</x:v>
      </x:c>
      <x:c r="E10" s="10" t="n">
        <x:f>COUNTIFS('Master Inventory'!$E$2:$E$449,A10,'Master Inventory'!$Q$2:$Q$449,3)</x:f>
        <x:v>0</x:v>
      </x:c>
      <x:c r="F10" s="10" t="n">
        <x:f>COUNTIFS('Master Inventory'!$E$2:$E$449,A10,'Master Inventory'!$Q$2:$Q$449,4)</x:f>
        <x:v>17</x:v>
      </x:c>
      <x:c r="G10" s="10" t="n">
        <x:f>COUNTIFS('Master Inventory'!$E$2:$E$449,A10,'Master Inventory'!$N$2:$N$449,"Easy")</x:f>
        <x:v>5</x:v>
      </x:c>
      <x:c r="H10" s="10" t="n">
        <x:f>COUNTIFS('Master Inventory'!$E$2:$E$449,A10,'Master Inventory'!$N$2:$N$449,"Moderate")</x:f>
        <x:v>7</x:v>
      </x:c>
      <x:c r="I10" s="10" t="n">
        <x:f>COUNTIFS('Master Inventory'!$E$2:$E$449,A10,'Master Inventory'!$N$2:$N$449,"Difficult")</x:f>
        <x:v>5</x:v>
      </x:c>
      <x:c r="J10" s="10" t="n">
        <x:f>COUNTIFS('Master Inventory'!$E$2:$E$449,A10,'Master Inventory'!$R$2:$R$449,"A")</x:f>
        <x:v>5</x:v>
      </x:c>
      <x:c r="K10" s="10" t="n">
        <x:f>COUNTIFS('Master Inventory'!$E$2:$E$449,A10,'Master Inventory'!$R$2:$R$449,"B")</x:f>
        <x:v>4</x:v>
      </x:c>
      <x:c r="L10" s="10" t="n">
        <x:f>COUNTIFS('Master Inventory'!$E$2:$E$449,A10,'Master Inventory'!$R$2:$R$449,"C")</x:f>
        <x:v>4</x:v>
      </x:c>
      <x:c r="M10" s="10" t="n">
        <x:f>COUNTIFS('Master Inventory'!$E$2:$E$449,A10,'Master Inventory'!$R$2:$R$449,"D")</x:f>
        <x:v>4</x:v>
      </x:c>
      <x:c r="N10" s="10" t="n">
        <x:f>COUNTIFS('Master Inventory'!$E$2:$E$449,A10,'Master Inventory'!$P$2:$P$449,"Knowledge &amp; Recall")</x:f>
        <x:v>3</x:v>
      </x:c>
      <x:c r="O10" s="10" t="n">
        <x:f>COUNTIFS('Master Inventory'!$E$2:$E$449,A10,'Master Inventory'!$P$2:$P$449,"Application")</x:f>
        <x:v>4</x:v>
      </x:c>
      <x:c r="P10" s="10" t="n">
        <x:f>COUNTIFS('Master Inventory'!$E$2:$E$449,A10,'Master Inventory'!$P$2:$P$449,"Scenario-Based")</x:f>
        <x:v>5</x:v>
      </x:c>
      <x:c r="Q10" s="10" t="n">
        <x:f>COUNTIFS('Master Inventory'!$E$2:$E$449,A10,'Master Inventory'!$P$2:$P$449,"Integrated Clinical Reasoning")</x:f>
        <x:v>5</x:v>
      </x:c>
      <x:c r="R10" s="65" t="str">
        <x:f>IF(AND(G10=5,H10=7,I10=5),"Pass","Review")</x:f>
        <x:v>Pass</x:v>
      </x:c>
    </x:row>
    <x:row r="11">
      <x:c r="A11" s="64" t="n">
        <x:v>8</x:v>
      </x:c>
      <x:c r="B11" s="10" t="str">
        <x:v>Clinical Interventions and Trauma-Informed Practice</x:v>
      </x:c>
      <x:c r="C11" s="10" t="str">
        <x:v>III. Intervention and Practice</x:v>
      </x:c>
      <x:c r="D11" s="10" t="n">
        <x:f>COUNTIF('Master Inventory'!$E$2:$E$449,A11)</x:f>
        <x:v>17</x:v>
      </x:c>
      <x:c r="E11" s="10" t="n">
        <x:f>COUNTIFS('Master Inventory'!$E$2:$E$449,A11,'Master Inventory'!$Q$2:$Q$449,3)</x:f>
        <x:v>0</x:v>
      </x:c>
      <x:c r="F11" s="10" t="n">
        <x:f>COUNTIFS('Master Inventory'!$E$2:$E$449,A11,'Master Inventory'!$Q$2:$Q$449,4)</x:f>
        <x:v>17</x:v>
      </x:c>
      <x:c r="G11" s="10" t="n">
        <x:f>COUNTIFS('Master Inventory'!$E$2:$E$449,A11,'Master Inventory'!$N$2:$N$449,"Easy")</x:f>
        <x:v>5</x:v>
      </x:c>
      <x:c r="H11" s="10" t="n">
        <x:f>COUNTIFS('Master Inventory'!$E$2:$E$449,A11,'Master Inventory'!$N$2:$N$449,"Moderate")</x:f>
        <x:v>7</x:v>
      </x:c>
      <x:c r="I11" s="10" t="n">
        <x:f>COUNTIFS('Master Inventory'!$E$2:$E$449,A11,'Master Inventory'!$N$2:$N$449,"Difficult")</x:f>
        <x:v>5</x:v>
      </x:c>
      <x:c r="J11" s="10" t="n">
        <x:f>COUNTIFS('Master Inventory'!$E$2:$E$449,A11,'Master Inventory'!$R$2:$R$449,"A")</x:f>
        <x:v>5</x:v>
      </x:c>
      <x:c r="K11" s="10" t="n">
        <x:f>COUNTIFS('Master Inventory'!$E$2:$E$449,A11,'Master Inventory'!$R$2:$R$449,"B")</x:f>
        <x:v>4</x:v>
      </x:c>
      <x:c r="L11" s="10" t="n">
        <x:f>COUNTIFS('Master Inventory'!$E$2:$E$449,A11,'Master Inventory'!$R$2:$R$449,"C")</x:f>
        <x:v>4</x:v>
      </x:c>
      <x:c r="M11" s="10" t="n">
        <x:f>COUNTIFS('Master Inventory'!$E$2:$E$449,A11,'Master Inventory'!$R$2:$R$449,"D")</x:f>
        <x:v>4</x:v>
      </x:c>
      <x:c r="N11" s="10" t="n">
        <x:f>COUNTIFS('Master Inventory'!$E$2:$E$449,A11,'Master Inventory'!$P$2:$P$449,"Knowledge &amp; Recall")</x:f>
        <x:v>3</x:v>
      </x:c>
      <x:c r="O11" s="10" t="n">
        <x:f>COUNTIFS('Master Inventory'!$E$2:$E$449,A11,'Master Inventory'!$P$2:$P$449,"Application")</x:f>
        <x:v>4</x:v>
      </x:c>
      <x:c r="P11" s="10" t="n">
        <x:f>COUNTIFS('Master Inventory'!$E$2:$E$449,A11,'Master Inventory'!$P$2:$P$449,"Scenario-Based")</x:f>
        <x:v>5</x:v>
      </x:c>
      <x:c r="Q11" s="10" t="n">
        <x:f>COUNTIFS('Master Inventory'!$E$2:$E$449,A11,'Master Inventory'!$P$2:$P$449,"Integrated Clinical Reasoning")</x:f>
        <x:v>5</x:v>
      </x:c>
      <x:c r="R11" s="65" t="str">
        <x:f>IF(AND(G11=5,H11=7,I11=5),"Pass","Review")</x:f>
        <x:v>Pass</x:v>
      </x:c>
    </x:row>
    <x:row r="12">
      <x:c r="A12" s="64" t="n">
        <x:v>9</x:v>
      </x:c>
      <x:c r="B12" s="10" t="str">
        <x:v>Family, Couple, Group, and Parenting Interventions</x:v>
      </x:c>
      <x:c r="C12" s="10" t="str">
        <x:v>III. Intervention and Practice</x:v>
      </x:c>
      <x:c r="D12" s="10" t="n">
        <x:f>COUNTIF('Master Inventory'!$E$2:$E$449,A12)</x:f>
        <x:v>17</x:v>
      </x:c>
      <x:c r="E12" s="10" t="n">
        <x:f>COUNTIFS('Master Inventory'!$E$2:$E$449,A12,'Master Inventory'!$Q$2:$Q$449,3)</x:f>
        <x:v>0</x:v>
      </x:c>
      <x:c r="F12" s="10" t="n">
        <x:f>COUNTIFS('Master Inventory'!$E$2:$E$449,A12,'Master Inventory'!$Q$2:$Q$449,4)</x:f>
        <x:v>17</x:v>
      </x:c>
      <x:c r="G12" s="10" t="n">
        <x:f>COUNTIFS('Master Inventory'!$E$2:$E$449,A12,'Master Inventory'!$N$2:$N$449,"Easy")</x:f>
        <x:v>5</x:v>
      </x:c>
      <x:c r="H12" s="10" t="n">
        <x:f>COUNTIFS('Master Inventory'!$E$2:$E$449,A12,'Master Inventory'!$N$2:$N$449,"Moderate")</x:f>
        <x:v>7</x:v>
      </x:c>
      <x:c r="I12" s="10" t="n">
        <x:f>COUNTIFS('Master Inventory'!$E$2:$E$449,A12,'Master Inventory'!$N$2:$N$449,"Difficult")</x:f>
        <x:v>5</x:v>
      </x:c>
      <x:c r="J12" s="10" t="n">
        <x:f>COUNTIFS('Master Inventory'!$E$2:$E$449,A12,'Master Inventory'!$R$2:$R$449,"A")</x:f>
        <x:v>5</x:v>
      </x:c>
      <x:c r="K12" s="10" t="n">
        <x:f>COUNTIFS('Master Inventory'!$E$2:$E$449,A12,'Master Inventory'!$R$2:$R$449,"B")</x:f>
        <x:v>4</x:v>
      </x:c>
      <x:c r="L12" s="10" t="n">
        <x:f>COUNTIFS('Master Inventory'!$E$2:$E$449,A12,'Master Inventory'!$R$2:$R$449,"C")</x:f>
        <x:v>4</x:v>
      </x:c>
      <x:c r="M12" s="10" t="n">
        <x:f>COUNTIFS('Master Inventory'!$E$2:$E$449,A12,'Master Inventory'!$R$2:$R$449,"D")</x:f>
        <x:v>4</x:v>
      </x:c>
      <x:c r="N12" s="10" t="n">
        <x:f>COUNTIFS('Master Inventory'!$E$2:$E$449,A12,'Master Inventory'!$P$2:$P$449,"Knowledge &amp; Recall")</x:f>
        <x:v>3</x:v>
      </x:c>
      <x:c r="O12" s="10" t="n">
        <x:f>COUNTIFS('Master Inventory'!$E$2:$E$449,A12,'Master Inventory'!$P$2:$P$449,"Application")</x:f>
        <x:v>4</x:v>
      </x:c>
      <x:c r="P12" s="10" t="n">
        <x:f>COUNTIFS('Master Inventory'!$E$2:$E$449,A12,'Master Inventory'!$P$2:$P$449,"Scenario-Based")</x:f>
        <x:v>5</x:v>
      </x:c>
      <x:c r="Q12" s="10" t="n">
        <x:f>COUNTIFS('Master Inventory'!$E$2:$E$449,A12,'Master Inventory'!$P$2:$P$449,"Integrated Clinical Reasoning")</x:f>
        <x:v>5</x:v>
      </x:c>
      <x:c r="R12" s="65" t="str">
        <x:f>IF(AND(G12=5,H12=7,I12=5),"Pass","Review")</x:f>
        <x:v>Pass</x:v>
      </x:c>
    </x:row>
    <x:row r="13">
      <x:c r="A13" s="64" t="n">
        <x:v>10</x:v>
      </x:c>
      <x:c r="B13" s="10" t="str">
        <x:v>Case Management, Advocacy, Resources, and Collaboration</x:v>
      </x:c>
      <x:c r="C13" s="10" t="str">
        <x:v>III. Intervention and Practice</x:v>
      </x:c>
      <x:c r="D13" s="10" t="n">
        <x:f>COUNTIF('Master Inventory'!$E$2:$E$449,A13)</x:f>
        <x:v>17</x:v>
      </x:c>
      <x:c r="E13" s="10" t="n">
        <x:f>COUNTIFS('Master Inventory'!$E$2:$E$449,A13,'Master Inventory'!$Q$2:$Q$449,3)</x:f>
        <x:v>0</x:v>
      </x:c>
      <x:c r="F13" s="10" t="n">
        <x:f>COUNTIFS('Master Inventory'!$E$2:$E$449,A13,'Master Inventory'!$Q$2:$Q$449,4)</x:f>
        <x:v>17</x:v>
      </x:c>
      <x:c r="G13" s="10" t="n">
        <x:f>COUNTIFS('Master Inventory'!$E$2:$E$449,A13,'Master Inventory'!$N$2:$N$449,"Easy")</x:f>
        <x:v>5</x:v>
      </x:c>
      <x:c r="H13" s="10" t="n">
        <x:f>COUNTIFS('Master Inventory'!$E$2:$E$449,A13,'Master Inventory'!$N$2:$N$449,"Moderate")</x:f>
        <x:v>7</x:v>
      </x:c>
      <x:c r="I13" s="10" t="n">
        <x:f>COUNTIFS('Master Inventory'!$E$2:$E$449,A13,'Master Inventory'!$N$2:$N$449,"Difficult")</x:f>
        <x:v>5</x:v>
      </x:c>
      <x:c r="J13" s="10" t="n">
        <x:f>COUNTIFS('Master Inventory'!$E$2:$E$449,A13,'Master Inventory'!$R$2:$R$449,"A")</x:f>
        <x:v>5</x:v>
      </x:c>
      <x:c r="K13" s="10" t="n">
        <x:f>COUNTIFS('Master Inventory'!$E$2:$E$449,A13,'Master Inventory'!$R$2:$R$449,"B")</x:f>
        <x:v>4</x:v>
      </x:c>
      <x:c r="L13" s="10" t="n">
        <x:f>COUNTIFS('Master Inventory'!$E$2:$E$449,A13,'Master Inventory'!$R$2:$R$449,"C")</x:f>
        <x:v>4</x:v>
      </x:c>
      <x:c r="M13" s="10" t="n">
        <x:f>COUNTIFS('Master Inventory'!$E$2:$E$449,A13,'Master Inventory'!$R$2:$R$449,"D")</x:f>
        <x:v>4</x:v>
      </x:c>
      <x:c r="N13" s="10" t="n">
        <x:f>COUNTIFS('Master Inventory'!$E$2:$E$449,A13,'Master Inventory'!$P$2:$P$449,"Knowledge &amp; Recall")</x:f>
        <x:v>3</x:v>
      </x:c>
      <x:c r="O13" s="10" t="n">
        <x:f>COUNTIFS('Master Inventory'!$E$2:$E$449,A13,'Master Inventory'!$P$2:$P$449,"Application")</x:f>
        <x:v>4</x:v>
      </x:c>
      <x:c r="P13" s="10" t="n">
        <x:f>COUNTIFS('Master Inventory'!$E$2:$E$449,A13,'Master Inventory'!$P$2:$P$449,"Scenario-Based")</x:f>
        <x:v>5</x:v>
      </x:c>
      <x:c r="Q13" s="10" t="n">
        <x:f>COUNTIFS('Master Inventory'!$E$2:$E$449,A13,'Master Inventory'!$P$2:$P$449,"Integrated Clinical Reasoning")</x:f>
        <x:v>5</x:v>
      </x:c>
      <x:c r="R13" s="65" t="str">
        <x:f>IF(AND(G13=5,H13=7,I13=5),"Pass","Review")</x:f>
        <x:v>Pass</x:v>
      </x:c>
    </x:row>
    <x:row r="14">
      <x:c r="A14" s="64" t="n">
        <x:v>11</x:v>
      </x:c>
      <x:c r="B14" s="10" t="str">
        <x:v>Practice Evaluation, Research, Supervision, and Administration</x:v>
      </x:c>
      <x:c r="C14" s="10" t="str">
        <x:v>III. Intervention and Practice</x:v>
      </x:c>
      <x:c r="D14" s="10" t="n">
        <x:f>COUNTIF('Master Inventory'!$E$2:$E$449,A14)</x:f>
        <x:v>17</x:v>
      </x:c>
      <x:c r="E14" s="10" t="n">
        <x:f>COUNTIFS('Master Inventory'!$E$2:$E$449,A14,'Master Inventory'!$Q$2:$Q$449,3)</x:f>
        <x:v>0</x:v>
      </x:c>
      <x:c r="F14" s="10" t="n">
        <x:f>COUNTIFS('Master Inventory'!$E$2:$E$449,A14,'Master Inventory'!$Q$2:$Q$449,4)</x:f>
        <x:v>17</x:v>
      </x:c>
      <x:c r="G14" s="10" t="n">
        <x:f>COUNTIFS('Master Inventory'!$E$2:$E$449,A14,'Master Inventory'!$N$2:$N$449,"Easy")</x:f>
        <x:v>5</x:v>
      </x:c>
      <x:c r="H14" s="10" t="n">
        <x:f>COUNTIFS('Master Inventory'!$E$2:$E$449,A14,'Master Inventory'!$N$2:$N$449,"Moderate")</x:f>
        <x:v>7</x:v>
      </x:c>
      <x:c r="I14" s="10" t="n">
        <x:f>COUNTIFS('Master Inventory'!$E$2:$E$449,A14,'Master Inventory'!$N$2:$N$449,"Difficult")</x:f>
        <x:v>5</x:v>
      </x:c>
      <x:c r="J14" s="10" t="n">
        <x:f>COUNTIFS('Master Inventory'!$E$2:$E$449,A14,'Master Inventory'!$R$2:$R$449,"A")</x:f>
        <x:v>5</x:v>
      </x:c>
      <x:c r="K14" s="10" t="n">
        <x:f>COUNTIFS('Master Inventory'!$E$2:$E$449,A14,'Master Inventory'!$R$2:$R$449,"B")</x:f>
        <x:v>4</x:v>
      </x:c>
      <x:c r="L14" s="10" t="n">
        <x:f>COUNTIFS('Master Inventory'!$E$2:$E$449,A14,'Master Inventory'!$R$2:$R$449,"C")</x:f>
        <x:v>4</x:v>
      </x:c>
      <x:c r="M14" s="10" t="n">
        <x:f>COUNTIFS('Master Inventory'!$E$2:$E$449,A14,'Master Inventory'!$R$2:$R$449,"D")</x:f>
        <x:v>4</x:v>
      </x:c>
      <x:c r="N14" s="10" t="n">
        <x:f>COUNTIFS('Master Inventory'!$E$2:$E$449,A14,'Master Inventory'!$P$2:$P$449,"Knowledge &amp; Recall")</x:f>
        <x:v>3</x:v>
      </x:c>
      <x:c r="O14" s="10" t="n">
        <x:f>COUNTIFS('Master Inventory'!$E$2:$E$449,A14,'Master Inventory'!$P$2:$P$449,"Application")</x:f>
        <x:v>4</x:v>
      </x:c>
      <x:c r="P14" s="10" t="n">
        <x:f>COUNTIFS('Master Inventory'!$E$2:$E$449,A14,'Master Inventory'!$P$2:$P$449,"Scenario-Based")</x:f>
        <x:v>5</x:v>
      </x:c>
      <x:c r="Q14" s="10" t="n">
        <x:f>COUNTIFS('Master Inventory'!$E$2:$E$449,A14,'Master Inventory'!$P$2:$P$449,"Integrated Clinical Reasoning")</x:f>
        <x:v>5</x:v>
      </x:c>
      <x:c r="R14" s="65" t="str">
        <x:f>IF(AND(G14=5,H14=7,I14=5),"Pass","Review")</x:f>
        <x:v>Pass</x:v>
      </x:c>
    </x:row>
    <x:row r="15">
      <x:c r="A15" s="66" t="n">
        <x:v>12</x:v>
      </x:c>
      <x:c r="B15" s="67" t="str">
        <x:v>Integrated Review and Mini-Mock Reasoning</x:v>
      </x:c>
      <x:c r="C15" s="67" t="str">
        <x:v>Integrated Review / Cross-Domain</x:v>
      </x:c>
      <x:c r="D15" s="67" t="n">
        <x:f>COUNTIF('Master Inventory'!$E$2:$E$449,A15)</x:f>
        <x:v>17</x:v>
      </x:c>
      <x:c r="E15" s="67" t="n">
        <x:f>COUNTIFS('Master Inventory'!$E$2:$E$449,A15,'Master Inventory'!$Q$2:$Q$449,3)</x:f>
        <x:v>0</x:v>
      </x:c>
      <x:c r="F15" s="67" t="n">
        <x:f>COUNTIFS('Master Inventory'!$E$2:$E$449,A15,'Master Inventory'!$Q$2:$Q$449,4)</x:f>
        <x:v>17</x:v>
      </x:c>
      <x:c r="G15" s="67" t="n">
        <x:f>COUNTIFS('Master Inventory'!$E$2:$E$449,A15,'Master Inventory'!$N$2:$N$449,"Easy")</x:f>
        <x:v>5</x:v>
      </x:c>
      <x:c r="H15" s="67" t="n">
        <x:f>COUNTIFS('Master Inventory'!$E$2:$E$449,A15,'Master Inventory'!$N$2:$N$449,"Moderate")</x:f>
        <x:v>7</x:v>
      </x:c>
      <x:c r="I15" s="67" t="n">
        <x:f>COUNTIFS('Master Inventory'!$E$2:$E$449,A15,'Master Inventory'!$N$2:$N$449,"Difficult")</x:f>
        <x:v>5</x:v>
      </x:c>
      <x:c r="J15" s="67" t="n">
        <x:f>COUNTIFS('Master Inventory'!$E$2:$E$449,A15,'Master Inventory'!$R$2:$R$449,"A")</x:f>
        <x:v>5</x:v>
      </x:c>
      <x:c r="K15" s="67" t="n">
        <x:f>COUNTIFS('Master Inventory'!$E$2:$E$449,A15,'Master Inventory'!$R$2:$R$449,"B")</x:f>
        <x:v>4</x:v>
      </x:c>
      <x:c r="L15" s="67" t="n">
        <x:f>COUNTIFS('Master Inventory'!$E$2:$E$449,A15,'Master Inventory'!$R$2:$R$449,"C")</x:f>
        <x:v>4</x:v>
      </x:c>
      <x:c r="M15" s="67" t="n">
        <x:f>COUNTIFS('Master Inventory'!$E$2:$E$449,A15,'Master Inventory'!$R$2:$R$449,"D")</x:f>
        <x:v>4</x:v>
      </x:c>
      <x:c r="N15" s="67" t="n">
        <x:f>COUNTIFS('Master Inventory'!$E$2:$E$449,A15,'Master Inventory'!$P$2:$P$449,"Knowledge &amp; Recall")</x:f>
        <x:v>3</x:v>
      </x:c>
      <x:c r="O15" s="67" t="n">
        <x:f>COUNTIFS('Master Inventory'!$E$2:$E$449,A15,'Master Inventory'!$P$2:$P$449,"Application")</x:f>
        <x:v>4</x:v>
      </x:c>
      <x:c r="P15" s="67" t="n">
        <x:f>COUNTIFS('Master Inventory'!$E$2:$E$449,A15,'Master Inventory'!$P$2:$P$449,"Scenario-Based")</x:f>
        <x:v>5</x:v>
      </x:c>
      <x:c r="Q15" s="67" t="n">
        <x:f>COUNTIFS('Master Inventory'!$E$2:$E$449,A15,'Master Inventory'!$P$2:$P$449,"Integrated Clinical Reasoning")</x:f>
        <x:v>5</x:v>
      </x:c>
      <x:c r="R15" s="68" t="str">
        <x:f>IF(AND(G15=5,H15=7,I15=5),"Pass","Review")</x:f>
        <x:v>Pass</x:v>
      </x:c>
    </x:row>
  </x:sheetData>
  <x:mergeCells>
    <x:mergeCell ref="A1:R1"/>
  </x:mergeCells>
  <x:pageMargins left="0.7" right="0.7" top="0.75" bottom="0.75" header="0.3" footer="0.3"/>
</x:worksheet>
</file>

<file path=xl/worksheets/sheet7.xml><?xml version="1.0" encoding="utf-8"?>
<x:worksheet xmlns:x="http://schemas.openxmlformats.org/spreadsheetml/2006/main">
  <x:sheetFormatPr defaultRowHeight="15"/>
  <x:cols>
    <x:col min="1" max="1" width="20" hidden="0" customWidth="1"/>
    <x:col min="2" max="2" width="16" hidden="0" customWidth="1"/>
    <x:col min="3" max="3" width="28" hidden="0" customWidth="1"/>
    <x:col min="4" max="4" width="28" hidden="0" customWidth="1"/>
    <x:col min="5" max="5" width="64" hidden="0" customWidth="1"/>
    <x:col min="6" max="6" width="56" hidden="0" customWidth="1"/>
  </x:cols>
  <x:sheetData>
    <x:row r="1">
      <x:c r="A1" s="34" t="str">
        <x:v>Category</x:v>
      </x:c>
      <x:c r="B1" s="34" t="str">
        <x:v>Severity</x:v>
      </x:c>
      <x:c r="C1" s="34" t="str">
        <x:v>Scope</x:v>
      </x:c>
      <x:c r="D1" s="34" t="str">
        <x:v>Item / Metric</x:v>
      </x:c>
      <x:c r="E1" s="34" t="str">
        <x:v>Finding</x:v>
      </x:c>
      <x:c r="F1" s="34" t="str">
        <x:v>Recommended Action</x:v>
      </x:c>
    </x:row>
    <x:row r="2">
      <x:c r="A2" s="85" t="str">
        <x:v>ID Integrity</x:v>
      </x:c>
      <x:c r="B2" s="86" t="str">
        <x:v>Pass</x:v>
      </x:c>
      <x:c r="C2" s="86" t="str">
        <x:v>All LCSW sources</x:v>
      </x:c>
      <x:c r="D2" s="86" t="str">
        <x:v>Master item count</x:v>
      </x:c>
      <x:c r="E2" s="86" t="str">
        <x:v>448 unique items imported: 204 workbook-bank items, 122 Form A items, and 122 Form B items.</x:v>
      </x:c>
      <x:c r="F2" s="87" t="str">
        <x:v>None.</x:v>
      </x:c>
    </x:row>
    <x:row r="3">
      <x:c r="A3" s="88" t="str">
        <x:v>ID Integrity</x:v>
      </x:c>
      <x:c r="B3" s="83" t="str">
        <x:v>Pass</x:v>
      </x:c>
      <x:c r="C3" s="83" t="str">
        <x:v>All LCSW sources</x:v>
      </x:c>
      <x:c r="D3" s="83" t="str">
        <x:v>Duplicate original IDs</x:v>
      </x:c>
      <x:c r="E3" s="83" t="str">
        <x:v>No duplicate original question IDs detected.</x:v>
      </x:c>
      <x:c r="F3" s="89" t="str">
        <x:v>None.</x:v>
      </x:c>
    </x:row>
    <x:row r="4">
      <x:c r="A4" s="88" t="str">
        <x:v>Question Structure</x:v>
      </x:c>
      <x:c r="B4" s="83" t="str">
        <x:v>Pass</x:v>
      </x:c>
      <x:c r="C4" s="83" t="str">
        <x:v>All 448 items</x:v>
      </x:c>
      <x:c r="D4" s="83" t="str">
        <x:v>Required content</x:v>
      </x:c>
      <x:c r="E4" s="83" t="str">
        <x:v>Every item contains one stem, three or four answer options, a keyed answer, an option-level rationale for each available choice, and a CTA Exam Strategy.</x:v>
      </x:c>
      <x:c r="F4" s="89" t="str">
        <x:v>None.</x:v>
      </x:c>
    </x:row>
    <x:row r="5">
      <x:c r="A5" s="88" t="str">
        <x:v>Option Format</x:v>
      </x:c>
      <x:c r="B5" s="83" t="str">
        <x:v>Pass</x:v>
      </x:c>
      <x:c r="C5" s="83" t="str">
        <x:v>All 448 items</x:v>
      </x:c>
      <x:c r="D5" s="83" t="str">
        <x:v>Three-/four-option distribution</x:v>
      </x:c>
      <x:c r="E5" s="83" t="str">
        <x:v>206 three-option items and 242 four-option items.</x:v>
      </x:c>
      <x:c r="F5" s="89" t="str">
        <x:v>Retain option count as a controlled field; never add a placeholder D option to a three-option item.</x:v>
      </x:c>
    </x:row>
    <x:row r="6">
      <x:c r="A6" s="88" t="str">
        <x:v>Difficulty</x:v>
      </x:c>
      <x:c r="B6" s="83" t="str">
        <x:v>Pass</x:v>
      </x:c>
      <x:c r="C6" s="83" t="str">
        <x:v>All 448 items</x:v>
      </x:c>
      <x:c r="D6" s="83" t="str">
        <x:v>Difficulty distribution</x:v>
      </x:c>
      <x:c r="E6" s="83" t="str">
        <x:v>122 Easy, 206 Moderate, and 120 Difficult.</x:v>
      </x:c>
      <x:c r="F6" s="89" t="str">
        <x:v>Retain source difficulty labels and controlled dropdown values.</x:v>
      </x:c>
    </x:row>
    <x:row r="7">
      <x:c r="A7" s="88" t="str">
        <x:v>Answer Distribution</x:v>
      </x:c>
      <x:c r="B7" s="83" t="str">
        <x:v>Pass</x:v>
      </x:c>
      <x:c r="C7" s="83" t="str">
        <x:v>All 448 items</x:v>
      </x:c>
      <x:c r="D7" s="83" t="str">
        <x:v>Correct-answer positions</x:v>
      </x:c>
      <x:c r="E7" s="83" t="str">
        <x:v>A=134, B=120, C=122, D=72.</x:v>
      </x:c>
      <x:c r="F7" s="89" t="str">
        <x:v>Review answer placement and option count together when constructing any future form.</x:v>
      </x:c>
    </x:row>
    <x:row r="8">
      <x:c r="A8" s="88" t="str">
        <x:v>Usage Status</x:v>
      </x:c>
      <x:c r="B8" s="83" t="str">
        <x:v>Pass</x:v>
      </x:c>
      <x:c r="C8" s="83" t="str">
        <x:v>Comprehensive forms</x:v>
      </x:c>
      <x:c r="D8" s="83" t="str">
        <x:v>Scored/pretest designations</x:v>
      </x:c>
      <x:c r="E8" s="83" t="str">
        <x:v>220 scored-style and 24 pretest-style items are tracked across Forms A and B.</x:v>
      </x:c>
      <x:c r="F8" s="89" t="str">
        <x:v>Do not expose pretest-style designations in student exam files.</x:v>
      </x:c>
    </x:row>
    <x:row r="9">
      <x:c r="A9" s="88" t="str">
        <x:v>Overlap</x:v>
      </x:c>
      <x:c r="B9" s="83" t="str">
        <x:v>Controlled</x:v>
      </x:c>
      <x:c r="C9" s="83" t="str">
        <x:v>Forms A and B</x:v>
      </x:c>
      <x:c r="D9" s="83" t="str">
        <x:v>Alternate-form pairs</x:v>
      </x:c>
      <x:c r="E9" s="83" t="str">
        <x:v>122 Form A/Form B alternate pairs are explicitly linked.</x:v>
      </x:c>
      <x:c r="F9" s="89" t="str">
        <x:v>Keep paired items on separate forms and revise them together when either item changes.</x:v>
      </x:c>
    </x:row>
    <x:row r="10">
      <x:c r="A10" s="88" t="str">
        <x:v>Overlap</x:v>
      </x:c>
      <x:c r="B10" s="83" t="str">
        <x:v>Review</x:v>
      </x:c>
      <x:c r="C10" s="83" t="str">
        <x:v>Workbook banks vs. comprehensive forms</x:v>
      </x:c>
      <x:c r="D10" s="83" t="str">
        <x:v>Similarity candidates</x:v>
      </x:c>
      <x:c r="E10" s="83" t="str">
        <x:v>11 workbook-to-form pairs met the administrative similarity threshold; 15 unique items are flagged for review.</x:v>
      </x:c>
      <x:c r="F10" s="89" t="str">
        <x:v>Compare each pair for independent reasoning, distractor design, and option-format suitability before future reuse.</x:v>
      </x:c>
    </x:row>
    <x:row r="11">
      <x:c r="A11" s="88" t="str">
        <x:v>Originality</x:v>
      </x:c>
      <x:c r="B11" s="83" t="str">
        <x:v>Pass</x:v>
      </x:c>
      <x:c r="C11" s="83" t="str">
        <x:v>All 448 stems</x:v>
      </x:c>
      <x:c r="D11" s="83" t="str">
        <x:v>Exact normalized duplicate stems</x:v>
      </x:c>
      <x:c r="E11" s="83" t="str">
        <x:v>0 exact normalized duplicate-stem groups detected.</x:v>
      </x:c>
      <x:c r="F11" s="89" t="str">
        <x:v>None.</x:v>
      </x:c>
    </x:row>
    <x:row r="12">
      <x:c r="A12" s="88" t="str">
        <x:v>Blueprint</x:v>
      </x:c>
      <x:c r="B12" s="83" t="str">
        <x:v>Administrative Note</x:v>
      </x:c>
      <x:c r="C12" s="83" t="str">
        <x:v>Workbook 1 and Workbook 12</x:v>
      </x:c>
      <x:c r="D12" s="83" t="str">
        <x:v>Cross-domain classification</x:v>
      </x:c>
      <x:c r="E12" s="83" t="str">
        <x:v>Workbook 1 teaches examination strategy and Workbook 12 provides integrated review. Both are retained in administrative cross-domain categories rather than forced into one official 2026 content area.</x:v>
      </x:c>
      <x:c r="F12" s="89" t="str">
        <x:v>Preserve cross-domain labels unless item-level review assigns a defensible primary area.</x:v>
      </x:c>
    </x:row>
    <x:row r="13">
      <x:c r="A13" s="88" t="str">
        <x:v>Bias Review</x:v>
      </x:c>
      <x:c r="B13" s="83" t="str">
        <x:v>Pending</x:v>
      </x:c>
      <x:c r="C13" s="83" t="str">
        <x:v>All 448 items</x:v>
      </x:c>
      <x:c r="D13" s="83" t="str">
        <x:v>Dedicated bias/cultural review</x:v>
      </x:c>
      <x:c r="E13" s="83" t="str">
        <x:v>The inventory preserves prior source QA but does not represent a new independent bias review of every item.</x:v>
      </x:c>
      <x:c r="F13" s="89" t="str">
        <x:v>Complete the Bias / Cultural Review field during the next master-level content review.</x:v>
      </x:c>
    </x:row>
    <x:row r="14">
      <x:c r="A14" s="90" t="str">
        <x:v>Accuracy Review</x:v>
      </x:c>
      <x:c r="B14" s="91" t="str">
        <x:v>Scope Note</x:v>
      </x:c>
      <x:c r="C14" s="91" t="str">
        <x:v>All 448 items</x:v>
      </x:c>
      <x:c r="D14" s="91" t="str">
        <x:v>Current-content verification</x:v>
      </x:c>
      <x:c r="E14" s="91" t="str">
        <x:v>This build is a structural inventory of the approved source files. It does not silently revise or independently re-verify every clinical, diagnostic, legal, or ASWB-format statement.</x:v>
      </x:c>
      <x:c r="F14" s="92" t="str">
        <x:v>Use the Source Accuracy Date and Last Master Review Date fields for controlled future updates.</x:v>
      </x:c>
    </x:row>
  </x:sheetData>
  <x:conditionalFormatting sqref="B2:B14">
    <x:cfRule type="expression" dxfId="6" priority="1">
      <x:formula>$B2="Pass"</x:formula>
    </x:cfRule>
    <x:cfRule type="expression" dxfId="7" priority="2">
      <x:formula>OR($B2="Review",$B2="Pending")</x:formula>
    </x:cfRule>
  </x:conditionalFormatting>
  <x:pageMargins left="0.7" right="0.7" top="0.75" bottom="0.75" header="0.3" footer="0.3"/>
  <x:tableParts count="1">
    <x:tablePart xmlns:r="http://schemas.openxmlformats.org/officeDocument/2006/relationships" r:id="R9644c1dae1ed40c9"/>
  </x:tableParts>
</x:worksheet>
</file>

<file path=xl/worksheets/sheet8.xml><?xml version="1.0" encoding="utf-8"?>
<x:worksheet xmlns:x="http://schemas.openxmlformats.org/spreadsheetml/2006/main">
  <x:sheetFormatPr defaultRowHeight="15"/>
  <x:cols>
    <x:col min="1" max="1" width="15" hidden="0" customWidth="1"/>
    <x:col min="2" max="2" width="13" hidden="0" customWidth="1"/>
    <x:col min="3" max="3" width="24" hidden="0" customWidth="1"/>
    <x:col min="4" max="4" width="20" hidden="0" customWidth="1"/>
    <x:col min="5" max="5" width="14" hidden="0" customWidth="1"/>
    <x:col min="6" max="6" width="28" hidden="0" customWidth="1"/>
    <x:col min="7" max="7" width="50" hidden="0" customWidth="1"/>
    <x:col min="8" max="8" width="24" hidden="0" customWidth="1"/>
    <x:col min="9" max="9" width="20" hidden="0" customWidth="1"/>
    <x:col min="10" max="10" width="14" hidden="0" customWidth="1"/>
    <x:col min="11" max="11" width="28" hidden="0" customWidth="1"/>
    <x:col min="12" max="12" width="50" hidden="0" customWidth="1"/>
    <x:col min="13" max="13" width="18" hidden="0" customWidth="1"/>
    <x:col min="14" max="14" width="50" hidden="0" customWidth="1"/>
  </x:cols>
  <x:sheetData>
    <x:row r="1">
      <x:c r="A1" s="34" t="str">
        <x:v>Pair ID</x:v>
      </x:c>
      <x:c r="B1" s="34" t="str">
        <x:v>Similarity Score</x:v>
      </x:c>
      <x:c r="C1" s="34" t="str">
        <x:v>Question ID 1</x:v>
      </x:c>
      <x:c r="D1" s="34" t="str">
        <x:v>Master ID 1</x:v>
      </x:c>
      <x:c r="E1" s="34" t="str">
        <x:v>Source 1</x:v>
      </x:c>
      <x:c r="F1" s="34" t="str">
        <x:v>Primary Concept 1</x:v>
      </x:c>
      <x:c r="G1" s="34" t="str">
        <x:v>Stem 1</x:v>
      </x:c>
      <x:c r="H1" s="34" t="str">
        <x:v>Question ID 2</x:v>
      </x:c>
      <x:c r="I1" s="34" t="str">
        <x:v>Master ID 2</x:v>
      </x:c>
      <x:c r="J1" s="34" t="str">
        <x:v>Source 2</x:v>
      </x:c>
      <x:c r="K1" s="34" t="str">
        <x:v>Primary Concept 2</x:v>
      </x:c>
      <x:c r="L1" s="34" t="str">
        <x:v>Stem 2</x:v>
      </x:c>
      <x:c r="M1" s="34" t="str">
        <x:v>Classification</x:v>
      </x:c>
      <x:c r="N1" s="34" t="str">
        <x:v>Recommended Review</x:v>
      </x:c>
    </x:row>
    <x:row r="2">
      <x:c r="A2" s="85" t="str">
        <x:v>LCSW-ALT-001</x:v>
      </x:c>
      <x:c r="B2" s="119" t="n">
        <x:v>0.5149528439600747</x:v>
      </x:c>
      <x:c r="C2" s="86" t="str">
        <x:v>LCSW-MQB-FA-AP-001</x:v>
      </x:c>
      <x:c r="D2" s="86" t="str">
        <x:v>CTA-LCSW-MQB-0244</x:v>
      </x:c>
      <x:c r="E2" s="86" t="str">
        <x:v>Form A</x:v>
      </x:c>
      <x:c r="F2" s="86" t="str">
        <x:v>Mental status orientation</x:v>
      </x:c>
      <x:c r="G2" s="86" t="str">
        <x:v>Which mental-status function is assessed by asking a client to identify the date, location, and situation?</x:v>
      </x:c>
      <x:c r="H2" s="86" t="str">
        <x:v>LCSW-MQB-FB-AP-001</x:v>
      </x:c>
      <x:c r="I2" s="86" t="str">
        <x:v>CTA-LCSW-MQB-0379</x:v>
      </x:c>
      <x:c r="J2" s="86" t="str">
        <x:v>Form B</x:v>
      </x:c>
      <x:c r="K2" s="86" t="str">
        <x:v>Mental status orientation</x:v>
      </x:c>
      <x:c r="L2" s="86" t="str">
        <x:v>During a home visit, a client correctly states their name but cannot identify the day, the city, or why the social worker is present. Which mental-status domain is most directly affected?</x:v>
      </x:c>
      <x:c r="M2" s="86" t="str">
        <x:v>Alternate Form</x:v>
      </x:c>
      <x:c r="N2" s="87" t="str">
        <x:v>Keep on separate forms; review both items together before future revision, option-count changes, or reuse.</x:v>
      </x:c>
    </x:row>
    <x:row r="3">
      <x:c r="A3" s="88" t="str">
        <x:v>LCSW-ALT-002</x:v>
      </x:c>
      <x:c r="B3" s="117" t="n">
        <x:v>0.637963264022028</x:v>
      </x:c>
      <x:c r="C3" s="83" t="str">
        <x:v>LCSW-MQB-FA-AP-002</x:v>
      </x:c>
      <x:c r="D3" s="83" t="str">
        <x:v>CTA-LCSW-MQB-0309</x:v>
      </x:c>
      <x:c r="E3" s="83" t="str">
        <x:v>Form A</x:v>
      </x:c>
      <x:c r="F3" s="83" t="str">
        <x:v>Person-in-environment</x:v>
      </x:c>
      <x:c r="G3" s="83" t="str">
        <x:v>During case formulation, why should a social worker examine housing, discrimination, family roles, and community supports together with symptoms?</x:v>
      </x:c>
      <x:c r="H3" s="83" t="str">
        <x:v>LCSW-MQB-FB-AP-002</x:v>
      </x:c>
      <x:c r="I3" s="83" t="str">
        <x:v>CTA-LCSW-MQB-0388</x:v>
      </x:c>
      <x:c r="J3" s="83" t="str">
        <x:v>Form B</x:v>
      </x:c>
      <x:c r="K3" s="83" t="str">
        <x:v>Person-in-environment</x:v>
      </x:c>
      <x:c r="L3" s="83" t="str">
        <x:v>A client presents with anxiety while also facing eviction, workplace discrimination, caregiving demands, and limited neighborhood supports. Why should these conditions be included in the formulation?</x:v>
      </x:c>
      <x:c r="M3" s="83" t="str">
        <x:v>Alternate Form</x:v>
      </x:c>
      <x:c r="N3" s="89" t="str">
        <x:v>Keep on separate forms; review both items together before future revision, option-count changes, or reuse.</x:v>
      </x:c>
    </x:row>
    <x:row r="4">
      <x:c r="A4" s="88" t="str">
        <x:v>LCSW-ALT-003</x:v>
      </x:c>
      <x:c r="B4" s="117" t="n">
        <x:v>0.5496635610363715</x:v>
      </x:c>
      <x:c r="C4" s="83" t="str">
        <x:v>LCSW-MQB-FA-AP-003</x:v>
      </x:c>
      <x:c r="D4" s="83" t="str">
        <x:v>CTA-LCSW-MQB-0300</x:v>
      </x:c>
      <x:c r="E4" s="83" t="str">
        <x:v>Form A</x:v>
      </x:c>
      <x:c r="F4" s="83" t="str">
        <x:v>Protective factors</x:v>
      </x:c>
      <x:c r="G4" s="83" t="str">
        <x:v>Which finding is a protective factor in a suicide assessment?</x:v>
      </x:c>
      <x:c r="H4" s="83" t="str">
        <x:v>LCSW-MQB-FB-AP-003</x:v>
      </x:c>
      <x:c r="I4" s="83" t="str">
        <x:v>CTA-LCSW-MQB-0436</x:v>
      </x:c>
      <x:c r="J4" s="83" t="str">
        <x:v>Form B</x:v>
      </x:c>
      <x:c r="K4" s="83" t="str">
        <x:v>Protective factors</x:v>
      </x:c>
      <x:c r="L4" s="83" t="str">
        <x:v>In evaluating suicide risk, which finding would most clearly indicate an existing source of protection that can be strengthened in the safety plan?</x:v>
      </x:c>
      <x:c r="M4" s="83" t="str">
        <x:v>Alternate Form</x:v>
      </x:c>
      <x:c r="N4" s="89" t="str">
        <x:v>Keep on separate forms; review both items together before future revision, option-count changes, or reuse.</x:v>
      </x:c>
    </x:row>
    <x:row r="5">
      <x:c r="A5" s="88" t="str">
        <x:v>LCSW-ALT-004</x:v>
      </x:c>
      <x:c r="B5" s="117" t="n">
        <x:v>0.6705677505736942</x:v>
      </x:c>
      <x:c r="C5" s="83" t="str">
        <x:v>LCSW-MQB-FA-AP-004</x:v>
      </x:c>
      <x:c r="D5" s="83" t="str">
        <x:v>CTA-LCSW-MQB-0210</x:v>
      </x:c>
      <x:c r="E5" s="83" t="str">
        <x:v>Form A</x:v>
      </x:c>
      <x:c r="F5" s="83" t="str">
        <x:v>Provisional diagnosis</x:v>
      </x:c>
      <x:c r="G5" s="83" t="str">
        <x:v>A social worker has substantial evidence for a disorder, but duration and a medical rule-out remain unresolved. How should the diagnostic impression be documented?</x:v>
      </x:c>
      <x:c r="H5" s="83" t="str">
        <x:v>LCSW-MQB-FB-AP-004</x:v>
      </x:c>
      <x:c r="I5" s="83" t="str">
        <x:v>CTA-LCSW-MQB-0340</x:v>
      </x:c>
      <x:c r="J5" s="83" t="str">
        <x:v>Form B</x:v>
      </x:c>
      <x:c r="K5" s="83" t="str">
        <x:v>Provisional diagnosis</x:v>
      </x:c>
      <x:c r="L5" s="83" t="str">
        <x:v>The available history strongly suggests a mood disorder, but the required time course and possible thyroid contribution have not yet been clarified. When is a provisional diagnostic impression appropriate?</x:v>
      </x:c>
      <x:c r="M5" s="83" t="str">
        <x:v>Alternate Form</x:v>
      </x:c>
      <x:c r="N5" s="89" t="str">
        <x:v>Keep on separate forms; review both items together before future revision, option-count changes, or reuse.</x:v>
      </x:c>
    </x:row>
    <x:row r="6">
      <x:c r="A6" s="88" t="str">
        <x:v>LCSW-ALT-005</x:v>
      </x:c>
      <x:c r="B6" s="117" t="n">
        <x:v>0.5723912913031365</x:v>
      </x:c>
      <x:c r="C6" s="83" t="str">
        <x:v>LCSW-MQB-FA-AP-005</x:v>
      </x:c>
      <x:c r="D6" s="83" t="str">
        <x:v>CTA-LCSW-MQB-0310</x:v>
      </x:c>
      <x:c r="E6" s="83" t="str">
        <x:v>Form A</x:v>
      </x:c>
      <x:c r="F6" s="83" t="str">
        <x:v>Open-ended assessment</x:v>
      </x:c>
      <x:c r="G6" s="83" t="str">
        <x:v>A client gives brief answers and appears unsure why the agency asked so many questions. What should the social worker do?</x:v>
      </x:c>
      <x:c r="H6" s="83" t="str">
        <x:v>LCSW-MQB-FB-AP-005</x:v>
      </x:c>
      <x:c r="I6" s="83" t="str">
        <x:v>CTA-LCSW-MQB-0360</x:v>
      </x:c>
      <x:c r="J6" s="83" t="str">
        <x:v>Form B</x:v>
      </x:c>
      <x:c r="K6" s="83" t="str">
        <x:v>Open-ended assessment</x:v>
      </x:c>
      <x:c r="L6" s="83" t="str">
        <x:v>At intake, a client answers a structured checklist with one-word responses and asks what the information will be used for. What is the best next interviewing step?</x:v>
      </x:c>
      <x:c r="M6" s="83" t="str">
        <x:v>Alternate Form</x:v>
      </x:c>
      <x:c r="N6" s="89" t="str">
        <x:v>Keep on separate forms; review both items together before future revision, option-count changes, or reuse.</x:v>
      </x:c>
    </x:row>
    <x:row r="7">
      <x:c r="A7" s="88" t="str">
        <x:v>LCSW-ALT-006</x:v>
      </x:c>
      <x:c r="B7" s="117" t="n">
        <x:v>0.6152482992570019</x:v>
      </x:c>
      <x:c r="C7" s="83" t="str">
        <x:v>LCSW-MQB-FA-AP-006</x:v>
      </x:c>
      <x:c r="D7" s="83" t="str">
        <x:v>CTA-LCSW-MQB-0318</x:v>
      </x:c>
      <x:c r="E7" s="83" t="str">
        <x:v>Form A</x:v>
      </x:c>
      <x:c r="F7" s="83" t="str">
        <x:v>Mood and affect</x:v>
      </x:c>
      <x:c r="G7" s="83" t="str">
        <x:v>A client says “I am fine” while speaking slowly and appearing tearful. How should the social worker document this?</x:v>
      </x:c>
      <x:c r="H7" s="83" t="str">
        <x:v>LCSW-MQB-FB-AP-006</x:v>
      </x:c>
      <x:c r="I7" s="83" t="str">
        <x:v>CTA-LCSW-MQB-0431</x:v>
      </x:c>
      <x:c r="J7" s="83" t="str">
        <x:v>Form B</x:v>
      </x:c>
      <x:c r="K7" s="83" t="str">
        <x:v>Mood and affect</x:v>
      </x:c>
      <x:c r="L7" s="83" t="str">
        <x:v>A client reports feeling “okay,” yet has a constricted facial expression, slowed speech, and tears throughout the interview. How should the mental-status note address this?</x:v>
      </x:c>
      <x:c r="M7" s="83" t="str">
        <x:v>Alternate Form</x:v>
      </x:c>
      <x:c r="N7" s="89" t="str">
        <x:v>Keep on separate forms; review both items together before future revision, option-count changes, or reuse.</x:v>
      </x:c>
    </x:row>
    <x:row r="8">
      <x:c r="A8" s="88" t="str">
        <x:v>LCSW-ALT-007</x:v>
      </x:c>
      <x:c r="B8" s="117" t="n">
        <x:v>0.6823665000651026</x:v>
      </x:c>
      <x:c r="C8" s="83" t="str">
        <x:v>LCSW-MQB-FA-AP-007</x:v>
      </x:c>
      <x:c r="D8" s="83" t="str">
        <x:v>CTA-LCSW-MQB-0235</x:v>
      </x:c>
      <x:c r="E8" s="83" t="str">
        <x:v>Form A</x:v>
      </x:c>
      <x:c r="F8" s="83" t="str">
        <x:v>Collateral discrepancy</x:v>
      </x:c>
      <x:c r="G8" s="83" t="str">
        <x:v>A client denies anger problems, but a partner reports frequent property destruction. What should the social worker do?</x:v>
      </x:c>
      <x:c r="H8" s="83" t="str">
        <x:v>LCSW-MQB-FB-AP-007</x:v>
      </x:c>
      <x:c r="I8" s="83" t="str">
        <x:v>CTA-LCSW-MQB-0389</x:v>
      </x:c>
      <x:c r="J8" s="83" t="str">
        <x:v>Form B</x:v>
      </x:c>
      <x:c r="K8" s="83" t="str">
        <x:v>Collateral discrepancy</x:v>
      </x:c>
      <x:c r="L8" s="83" t="str">
        <x:v>A client describes the home as peaceful, while an authorized collateral source reports repeated threats and broken furniture. What should the social worker do before reaching a conclusion?</x:v>
      </x:c>
      <x:c r="M8" s="83" t="str">
        <x:v>Alternate Form</x:v>
      </x:c>
      <x:c r="N8" s="89" t="str">
        <x:v>Keep on separate forms; review both items together before future revision, option-count changes, or reuse.</x:v>
      </x:c>
    </x:row>
    <x:row r="9">
      <x:c r="A9" s="88" t="str">
        <x:v>LCSW-ALT-008</x:v>
      </x:c>
      <x:c r="B9" s="117" t="n">
        <x:v>0.6417716724405113</x:v>
      </x:c>
      <x:c r="C9" s="83" t="str">
        <x:v>LCSW-MQB-FA-AP-008</x:v>
      </x:c>
      <x:c r="D9" s="83" t="str">
        <x:v>CTA-LCSW-MQB-0276</x:v>
      </x:c>
      <x:c r="E9" s="83" t="str">
        <x:v>Form A</x:v>
      </x:c>
      <x:c r="F9" s="83" t="str">
        <x:v>Medication timing</x:v>
      </x:c>
      <x:c r="G9" s="83" t="str">
        <x:v>A client reports new agitation and insomnia shortly after a medication dose increase. What should the social worker do?</x:v>
      </x:c>
      <x:c r="H9" s="83" t="str">
        <x:v>LCSW-MQB-FB-AP-008</x:v>
      </x:c>
      <x:c r="I9" s="83" t="str">
        <x:v>CTA-LCSW-MQB-0349</x:v>
      </x:c>
      <x:c r="J9" s="83" t="str">
        <x:v>Form B</x:v>
      </x:c>
      <x:c r="K9" s="83" t="str">
        <x:v>Medication timing</x:v>
      </x:c>
      <x:c r="L9" s="83" t="str">
        <x:v>Three days after an antidepressant increase, a client develops marked restlessness, reduced sleep, and irritability. What should the social worker do next?</x:v>
      </x:c>
      <x:c r="M9" s="83" t="str">
        <x:v>Alternate Form</x:v>
      </x:c>
      <x:c r="N9" s="89" t="str">
        <x:v>Keep on separate forms; review both items together before future revision, option-count changes, or reuse.</x:v>
      </x:c>
    </x:row>
    <x:row r="10">
      <x:c r="A10" s="88" t="str">
        <x:v>LCSW-ALT-009</x:v>
      </x:c>
      <x:c r="B10" s="117" t="n">
        <x:v>0.6701679774744401</x:v>
      </x:c>
      <x:c r="C10" s="83" t="str">
        <x:v>LCSW-MQB-FA-AP-009</x:v>
      </x:c>
      <x:c r="D10" s="83" t="str">
        <x:v>CTA-LCSW-MQB-0219</x:v>
      </x:c>
      <x:c r="E10" s="83" t="str">
        <x:v>Form A</x:v>
      </x:c>
      <x:c r="F10" s="83" t="str">
        <x:v>Developmental context</x:v>
      </x:c>
      <x:c r="G10" s="83" t="str">
        <x:v>A 9-year-old becomes clingy after a move and the birth of a sibling. What should the social worker assess?</x:v>
      </x:c>
      <x:c r="H10" s="83" t="str">
        <x:v>LCSW-MQB-FB-AP-009</x:v>
      </x:c>
      <x:c r="I10" s="83" t="str">
        <x:v>CTA-LCSW-MQB-0398</x:v>
      </x:c>
      <x:c r="J10" s="83" t="str">
        <x:v>Form B</x:v>
      </x:c>
      <x:c r="K10" s="83" t="str">
        <x:v>Developmental context</x:v>
      </x:c>
      <x:c r="L10" s="83" t="str">
        <x:v>An 8-year-old resumes sleeping in a caregiver’s bed after changing schools and learning that a grandparent is seriously ill. What should the social worker assess first?</x:v>
      </x:c>
      <x:c r="M10" s="83" t="str">
        <x:v>Alternate Form</x:v>
      </x:c>
      <x:c r="N10" s="89" t="str">
        <x:v>Keep on separate forms; review both items together before future revision, option-count changes, or reuse.</x:v>
      </x:c>
    </x:row>
    <x:row r="11">
      <x:c r="A11" s="88" t="str">
        <x:v>LCSW-ALT-010</x:v>
      </x:c>
      <x:c r="B11" s="117" t="n">
        <x:v>0.700234089924111</x:v>
      </x:c>
      <x:c r="C11" s="83" t="str">
        <x:v>LCSW-MQB-FA-AP-010</x:v>
      </x:c>
      <x:c r="D11" s="83" t="str">
        <x:v>CTA-LCSW-MQB-0249</x:v>
      </x:c>
      <x:c r="E11" s="83" t="str">
        <x:v>Form A</x:v>
      </x:c>
      <x:c r="F11" s="83" t="str">
        <x:v>Strengths assessment</x:v>
      </x:c>
      <x:c r="G11" s="83" t="str">
        <x:v>A family reports severe conflict but reliably cooperates during medical emergencies. How should the social worker use this information?</x:v>
      </x:c>
      <x:c r="H11" s="83" t="str">
        <x:v>LCSW-MQB-FB-AP-010</x:v>
      </x:c>
      <x:c r="I11" s="83" t="str">
        <x:v>CTA-LCSW-MQB-0440</x:v>
      </x:c>
      <x:c r="J11" s="83" t="str">
        <x:v>Form B</x:v>
      </x:c>
      <x:c r="K11" s="83" t="str">
        <x:v>Strengths assessment</x:v>
      </x:c>
      <x:c r="L11" s="83" t="str">
        <x:v>Although family members argue frequently, they organize effectively whenever a relative has a medical emergency. How should this pattern inform assessment and planning?</x:v>
      </x:c>
      <x:c r="M11" s="83" t="str">
        <x:v>Alternate Form</x:v>
      </x:c>
      <x:c r="N11" s="89" t="str">
        <x:v>Keep on separate forms; review both items together before future revision, option-count changes, or reuse.</x:v>
      </x:c>
    </x:row>
    <x:row r="12">
      <x:c r="A12" s="88" t="str">
        <x:v>LCSW-ALT-011</x:v>
      </x:c>
      <x:c r="B12" s="117" t="n">
        <x:v>0.7432839930213292</x:v>
      </x:c>
      <x:c r="C12" s="83" t="str">
        <x:v>LCSW-MQB-FA-AP-011</x:v>
      </x:c>
      <x:c r="D12" s="83" t="str">
        <x:v>CTA-LCSW-MQB-0239</x:v>
      </x:c>
      <x:c r="E12" s="83" t="str">
        <x:v>Form A</x:v>
      </x:c>
      <x:c r="F12" s="83" t="str">
        <x:v>Substance-use pattern</x:v>
      </x:c>
      <x:c r="G12" s="83" t="str">
        <x:v>A client describes drinking as “social,” despite work absences and a recent impaired-driving charge. What should the social worker ask?</x:v>
      </x:c>
      <x:c r="H12" s="83" t="str">
        <x:v>LCSW-MQB-FB-AP-011</x:v>
      </x:c>
      <x:c r="I12" s="83" t="str">
        <x:v>CTA-LCSW-MQB-0353</x:v>
      </x:c>
      <x:c r="J12" s="83" t="str">
        <x:v>Form B</x:v>
      </x:c>
      <x:c r="K12" s="83" t="str">
        <x:v>Substance-use pattern</x:v>
      </x:c>
      <x:c r="L12" s="83" t="str">
        <x:v>A client calls weekend drinking “normal,” yet reports blackouts, missed shifts, and repeated conflict about alcohol. What line of questioning is most useful?</x:v>
      </x:c>
      <x:c r="M12" s="83" t="str">
        <x:v>Alternate Form</x:v>
      </x:c>
      <x:c r="N12" s="89" t="str">
        <x:v>Keep on separate forms; review both items together before future revision, option-count changes, or reuse.</x:v>
      </x:c>
    </x:row>
    <x:row r="13">
      <x:c r="A13" s="88" t="str">
        <x:v>LCSW-ALT-012</x:v>
      </x:c>
      <x:c r="B13" s="117" t="n">
        <x:v>0.6025385158239775</x:v>
      </x:c>
      <x:c r="C13" s="83" t="str">
        <x:v>LCSW-MQB-FA-AP-012</x:v>
      </x:c>
      <x:c r="D13" s="83" t="str">
        <x:v>CTA-LCSW-MQB-0280</x:v>
      </x:c>
      <x:c r="E13" s="83" t="str">
        <x:v>Form A</x:v>
      </x:c>
      <x:c r="F13" s="83" t="str">
        <x:v>Cultural formulation</x:v>
      </x:c>
      <x:c r="G13" s="83" t="str">
        <x:v>A client says spiritual experiences are central to coping, but a prior clinician called them symptoms. What should the social worker do?</x:v>
      </x:c>
      <x:c r="H13" s="83" t="str">
        <x:v>LCSW-MQB-FB-AP-012</x:v>
      </x:c>
      <x:c r="I13" s="83" t="str">
        <x:v>CTA-LCSW-MQB-0405</x:v>
      </x:c>
      <x:c r="J13" s="83" t="str">
        <x:v>Form B</x:v>
      </x:c>
      <x:c r="K13" s="83" t="str">
        <x:v>Cultural formulation</x:v>
      </x:c>
      <x:c r="L13" s="83" t="str">
        <x:v>A client describes sensing an ancestor’s presence during prayer and says the experience is comforting and culturally expected. How should the social worker evaluate it?</x:v>
      </x:c>
      <x:c r="M13" s="83" t="str">
        <x:v>Alternate Form</x:v>
      </x:c>
      <x:c r="N13" s="89" t="str">
        <x:v>Keep on separate forms; review both items together before future revision, option-count changes, or reuse.</x:v>
      </x:c>
    </x:row>
    <x:row r="14">
      <x:c r="A14" s="88" t="str">
        <x:v>LCSW-ALT-013</x:v>
      </x:c>
      <x:c r="B14" s="117" t="n">
        <x:v>0.6697374237607289</x:v>
      </x:c>
      <x:c r="C14" s="83" t="str">
        <x:v>LCSW-MQB-FA-AP-013</x:v>
      </x:c>
      <x:c r="D14" s="83" t="str">
        <x:v>CTA-LCSW-MQB-0229</x:v>
      </x:c>
      <x:c r="E14" s="83" t="str">
        <x:v>Form A</x:v>
      </x:c>
      <x:c r="F14" s="83" t="str">
        <x:v>Screening measure limits</x:v>
      </x:c>
      <x:c r="G14" s="83" t="str">
        <x:v>A depression screening score is high, but several items were misunderstood because of literacy barriers. What should the social worker do?</x:v>
      </x:c>
      <x:c r="H14" s="83" t="str">
        <x:v>LCSW-MQB-FB-AP-013</x:v>
      </x:c>
      <x:c r="I14" s="83" t="str">
        <x:v>CTA-LCSW-MQB-0443</x:v>
      </x:c>
      <x:c r="J14" s="83" t="str">
        <x:v>Form B</x:v>
      </x:c>
      <x:c r="K14" s="83" t="str">
        <x:v>Screening measure limits</x:v>
      </x:c>
      <x:c r="L14" s="83" t="str">
        <x:v>A standardized anxiety screen is elevated, but the client says several items were difficult to read and were guessed. What should the social worker do with the result?</x:v>
      </x:c>
      <x:c r="M14" s="83" t="str">
        <x:v>Alternate Form</x:v>
      </x:c>
      <x:c r="N14" s="89" t="str">
        <x:v>Keep on separate forms; review both items together before future revision, option-count changes, or reuse.</x:v>
      </x:c>
    </x:row>
    <x:row r="15">
      <x:c r="A15" s="88" t="str">
        <x:v>LCSW-ALT-014</x:v>
      </x:c>
      <x:c r="B15" s="117" t="n">
        <x:v>0.5711330034739363</x:v>
      </x:c>
      <x:c r="C15" s="83" t="str">
        <x:v>LCSW-MQB-FA-AP-014</x:v>
      </x:c>
      <x:c r="D15" s="83" t="str">
        <x:v>CTA-LCSW-MQB-0316</x:v>
      </x:c>
      <x:c r="E15" s="83" t="str">
        <x:v>Form A</x:v>
      </x:c>
      <x:c r="F15" s="83" t="str">
        <x:v>Readiness for change</x:v>
      </x:c>
      <x:c r="G15" s="83" t="str">
        <x:v>A client acknowledges substance-related consequences but is uncertain about changing. What planning approach is BEST?</x:v>
      </x:c>
      <x:c r="H15" s="83" t="str">
        <x:v>LCSW-MQB-FB-AP-014</x:v>
      </x:c>
      <x:c r="I15" s="83" t="str">
        <x:v>CTA-LCSW-MQB-0428</x:v>
      </x:c>
      <x:c r="J15" s="83" t="str">
        <x:v>Form B</x:v>
      </x:c>
      <x:c r="K15" s="83" t="str">
        <x:v>Readiness for change</x:v>
      </x:c>
      <x:c r="L15" s="83" t="str">
        <x:v>A client sees the harms caused by stimulant use but says, “I am not sure I am ready to stop.” Which planning approach best matches the client’s current readiness?</x:v>
      </x:c>
      <x:c r="M15" s="83" t="str">
        <x:v>Alternate Form</x:v>
      </x:c>
      <x:c r="N15" s="89" t="str">
        <x:v>Keep on separate forms; review both items together before future revision, option-count changes, or reuse.</x:v>
      </x:c>
    </x:row>
    <x:row r="16">
      <x:c r="A16" s="88" t="str">
        <x:v>LCSW-ALT-015</x:v>
      </x:c>
      <x:c r="B16" s="117" t="n">
        <x:v>0.6732349190766909</x:v>
      </x:c>
      <x:c r="C16" s="83" t="str">
        <x:v>LCSW-MQB-FA-AP-015</x:v>
      </x:c>
      <x:c r="D16" s="83" t="str">
        <x:v>CTA-LCSW-MQB-0294</x:v>
      </x:c>
      <x:c r="E16" s="83" t="str">
        <x:v>Form A</x:v>
      </x:c>
      <x:c r="F16" s="83" t="str">
        <x:v>Level of care</x:v>
      </x:c>
      <x:c r="G16" s="83" t="str">
        <x:v>A client has repeated self-harm, unstable housing, and cannot use an outpatient safety plan. What should the social worker consider?</x:v>
      </x:c>
      <x:c r="H16" s="83" t="str">
        <x:v>LCSW-MQB-FB-AP-015</x:v>
      </x:c>
      <x:c r="I16" s="83" t="str">
        <x:v>CTA-LCSW-MQB-0447</x:v>
      </x:c>
      <x:c r="J16" s="83" t="str">
        <x:v>Form B</x:v>
      </x:c>
      <x:c r="K16" s="83" t="str">
        <x:v>Level of care</x:v>
      </x:c>
      <x:c r="L16" s="83" t="str">
        <x:v>A client continues to cut, has no stable place to stay, and cannot reliably follow a crisis plan between weekly visits. What should be considered in service planning?</x:v>
      </x:c>
      <x:c r="M16" s="83" t="str">
        <x:v>Alternate Form</x:v>
      </x:c>
      <x:c r="N16" s="89" t="str">
        <x:v>Keep on separate forms; review both items together before future revision, option-count changes, or reuse.</x:v>
      </x:c>
    </x:row>
    <x:row r="17">
      <x:c r="A17" s="88" t="str">
        <x:v>LCSW-ALT-016</x:v>
      </x:c>
      <x:c r="B17" s="117" t="n">
        <x:v>0.6446696499805777</x:v>
      </x:c>
      <x:c r="C17" s="83" t="str">
        <x:v>LCSW-MQB-FA-AP-016</x:v>
      </x:c>
      <x:c r="D17" s="83" t="str">
        <x:v>CTA-LCSW-MQB-0293</x:v>
      </x:c>
      <x:c r="E17" s="83" t="str">
        <x:v>Form A</x:v>
      </x:c>
      <x:c r="F17" s="83" t="str">
        <x:v>Environmental barriers</x:v>
      </x:c>
      <x:c r="G17" s="83" t="str">
        <x:v>A client repeatedly misses medical appointments because the bus route requires three transfers and the client has mobility limitations. What belongs in the assessment?</x:v>
      </x:c>
      <x:c r="H17" s="83" t="str">
        <x:v>LCSW-MQB-FB-AP-016</x:v>
      </x:c>
      <x:c r="I17" s="83" t="str">
        <x:v>CTA-LCSW-MQB-0364</x:v>
      </x:c>
      <x:c r="J17" s="83" t="str">
        <x:v>Form B</x:v>
      </x:c>
      <x:c r="K17" s="83" t="str">
        <x:v>Environmental barriers</x:v>
      </x:c>
      <x:c r="L17" s="83" t="str">
        <x:v>A client with chronic pain misses specialty appointments because the accessible transit service is frequently unavailable. How should this information be represented in the assessment?</x:v>
      </x:c>
      <x:c r="M17" s="83" t="str">
        <x:v>Alternate Form</x:v>
      </x:c>
      <x:c r="N17" s="89" t="str">
        <x:v>Keep on separate forms; review both items together before future revision, option-count changes, or reuse.</x:v>
      </x:c>
    </x:row>
    <x:row r="18">
      <x:c r="A18" s="88" t="str">
        <x:v>LCSW-ALT-017</x:v>
      </x:c>
      <x:c r="B18" s="117" t="n">
        <x:v>0.6963968430238566</x:v>
      </x:c>
      <x:c r="C18" s="83" t="str">
        <x:v>LCSW-MQB-FA-AP-017</x:v>
      </x:c>
      <x:c r="D18" s="83" t="str">
        <x:v>CTA-LCSW-MQB-0325</x:v>
      </x:c>
      <x:c r="E18" s="83" t="str">
        <x:v>Form A</x:v>
      </x:c>
      <x:c r="F18" s="83" t="str">
        <x:v>Grief assessment</x:v>
      </x:c>
      <x:c r="G18" s="83" t="str">
        <x:v>A bereaved client reports sadness and vivid dreams of the deceased but continues working and connecting with supports. What should the social worker do?</x:v>
      </x:c>
      <x:c r="H18" s="83" t="str">
        <x:v>LCSW-MQB-FB-AP-017</x:v>
      </x:c>
      <x:c r="I18" s="83" t="str">
        <x:v>CTA-LCSW-MQB-0383</x:v>
      </x:c>
      <x:c r="J18" s="83" t="str">
        <x:v>Form B</x:v>
      </x:c>
      <x:c r="K18" s="83" t="str">
        <x:v>Grief assessment</x:v>
      </x:c>
      <x:c r="L18" s="83" t="str">
        <x:v>Several months after a spouse’s death, a client experiences waves of sadness and dreams of the spouse while maintaining work, friendships, and reality testing. What is the best next step?</x:v>
      </x:c>
      <x:c r="M18" s="83" t="str">
        <x:v>Alternate Form</x:v>
      </x:c>
      <x:c r="N18" s="89" t="str">
        <x:v>Keep on separate forms; review both items together before future revision, option-count changes, or reuse.</x:v>
      </x:c>
    </x:row>
    <x:row r="19">
      <x:c r="A19" s="88" t="str">
        <x:v>LCSW-ALT-018</x:v>
      </x:c>
      <x:c r="B19" s="117" t="n">
        <x:v>0.6022199772038789</x:v>
      </x:c>
      <x:c r="C19" s="83" t="str">
        <x:v>LCSW-MQB-FA-AP-018</x:v>
      </x:c>
      <x:c r="D19" s="83" t="str">
        <x:v>CTA-LCSW-MQB-0267</x:v>
      </x:c>
      <x:c r="E19" s="83" t="str">
        <x:v>Form A</x:v>
      </x:c>
      <x:c r="F19" s="83" t="str">
        <x:v>Medical rule-out</x:v>
      </x:c>
      <x:c r="G19" s="83" t="str">
        <x:v>An older adult has abrupt confusion and fluctuating attention after an infection. What should the social worker prioritize?</x:v>
      </x:c>
      <x:c r="H19" s="83" t="str">
        <x:v>LCSW-MQB-FB-AP-018</x:v>
      </x:c>
      <x:c r="I19" s="83" t="str">
        <x:v>CTA-LCSW-MQB-0329</x:v>
      </x:c>
      <x:c r="J19" s="83" t="str">
        <x:v>Form B</x:v>
      </x:c>
      <x:c r="K19" s="83" t="str">
        <x:v>Medical rule-out</x:v>
      </x:c>
      <x:c r="L19" s="83" t="str">
        <x:v>An older client who was functioning independently becomes suddenly inattentive and confused during treatment for pneumonia. What should the social worker prioritize?</x:v>
      </x:c>
      <x:c r="M19" s="83" t="str">
        <x:v>Alternate Form</x:v>
      </x:c>
      <x:c r="N19" s="89" t="str">
        <x:v>Keep on separate forms; review both items together before future revision, option-count changes, or reuse.</x:v>
      </x:c>
    </x:row>
    <x:row r="20">
      <x:c r="A20" s="88" t="str">
        <x:v>LCSW-ALT-019</x:v>
      </x:c>
      <x:c r="B20" s="117" t="n">
        <x:v>0.7335931097266227</x:v>
      </x:c>
      <x:c r="C20" s="83" t="str">
        <x:v>LCSW-MQB-FA-AP-019</x:v>
      </x:c>
      <x:c r="D20" s="83" t="str">
        <x:v>CTA-LCSW-MQB-0217</x:v>
      </x:c>
      <x:c r="E20" s="83" t="str">
        <x:v>Form A</x:v>
      </x:c>
      <x:c r="F20" s="83" t="str">
        <x:v>Family role assessment</x:v>
      </x:c>
      <x:c r="G20" s="83" t="str">
        <x:v>A caregiver says, “Everyone depends on me,” but appears exhausted and resentful. What should the social worker assess?</x:v>
      </x:c>
      <x:c r="H20" s="83" t="str">
        <x:v>LCSW-MQB-FB-AP-019</x:v>
      </x:c>
      <x:c r="I20" s="83" t="str">
        <x:v>CTA-LCSW-MQB-0374</x:v>
      </x:c>
      <x:c r="J20" s="83" t="str">
        <x:v>Form B</x:v>
      </x:c>
      <x:c r="K20" s="83" t="str">
        <x:v>Family role assessment</x:v>
      </x:c>
      <x:c r="L20" s="83" t="str">
        <x:v>A parent caring for two relatives says, “If I stop, everything falls apart,” while reporting anger, fatigue, and no time for medical care. What should be assessed?</x:v>
      </x:c>
      <x:c r="M20" s="83" t="str">
        <x:v>Alternate Form</x:v>
      </x:c>
      <x:c r="N20" s="89" t="str">
        <x:v>Keep on separate forms; review both items together before future revision, option-count changes, or reuse.</x:v>
      </x:c>
    </x:row>
    <x:row r="21">
      <x:c r="A21" s="88" t="str">
        <x:v>LCSW-ALT-020</x:v>
      </x:c>
      <x:c r="B21" s="117" t="n">
        <x:v>0.6520919959606744</x:v>
      </x:c>
      <x:c r="C21" s="83" t="str">
        <x:v>LCSW-MQB-FA-AP-020</x:v>
      </x:c>
      <x:c r="D21" s="83" t="str">
        <x:v>CTA-LCSW-MQB-0225</x:v>
      </x:c>
      <x:c r="E21" s="83" t="str">
        <x:v>Form A</x:v>
      </x:c>
      <x:c r="F21" s="83" t="str">
        <x:v>Collaborative goals</x:v>
      </x:c>
      <x:c r="G21" s="83" t="str">
        <x:v>A client identifies “feeling less overwhelmed” as a goal. What should the social worker do?</x:v>
      </x:c>
      <x:c r="H21" s="83" t="str">
        <x:v>LCSW-MQB-FB-AP-020</x:v>
      </x:c>
      <x:c r="I21" s="83" t="str">
        <x:v>CTA-LCSW-MQB-0404</x:v>
      </x:c>
      <x:c r="J21" s="83" t="str">
        <x:v>Form B</x:v>
      </x:c>
      <x:c r="K21" s="83" t="str">
        <x:v>Collaborative goals</x:v>
      </x:c>
      <x:c r="L21" s="83" t="str">
        <x:v>A client says the main goal is to “get life under control.” What should the social worker do to make the goal useful for treatment planning?</x:v>
      </x:c>
      <x:c r="M21" s="83" t="str">
        <x:v>Alternate Form</x:v>
      </x:c>
      <x:c r="N21" s="89" t="str">
        <x:v>Keep on separate forms; review both items together before future revision, option-count changes, or reuse.</x:v>
      </x:c>
    </x:row>
    <x:row r="22">
      <x:c r="A22" s="88" t="str">
        <x:v>LCSW-ALT-021</x:v>
      </x:c>
      <x:c r="B22" s="117" t="n">
        <x:v>0.5905124308024298</x:v>
      </x:c>
      <x:c r="C22" s="83" t="str">
        <x:v>LCSW-MQB-FA-AP-021</x:v>
      </x:c>
      <x:c r="D22" s="83" t="str">
        <x:v>CTA-LCSW-MQB-0273</x:v>
      </x:c>
      <x:c r="E22" s="83" t="str">
        <x:v>Form A</x:v>
      </x:c>
      <x:c r="F22" s="83" t="str">
        <x:v>Suicide assessment sequence</x:v>
      </x:c>
      <x:c r="G22" s="83" t="str">
        <x:v>A recently separated client says, “There is no reason for me to wake up tomorrow,” and looks away. What should the social worker ask about FIRST?</x:v>
      </x:c>
      <x:c r="H22" s="83" t="str">
        <x:v>LCSW-MQB-FB-AP-021</x:v>
      </x:c>
      <x:c r="I22" s="83" t="str">
        <x:v>CTA-LCSW-MQB-0421</x:v>
      </x:c>
      <x:c r="J22" s="83" t="str">
        <x:v>Form B</x:v>
      </x:c>
      <x:c r="K22" s="83" t="str">
        <x:v>Suicide assessment sequence</x:v>
      </x:c>
      <x:c r="L22" s="83" t="str">
        <x:v>After losing a job, a client says, “My family would be better off if I disappeared.” What should the social worker clarify first?</x:v>
      </x:c>
      <x:c r="M22" s="83" t="str">
        <x:v>Alternate Form</x:v>
      </x:c>
      <x:c r="N22" s="89" t="str">
        <x:v>Keep on separate forms; review both items together before future revision, option-count changes, or reuse.</x:v>
      </x:c>
    </x:row>
    <x:row r="23">
      <x:c r="A23" s="88" t="str">
        <x:v>LCSW-ALT-022</x:v>
      </x:c>
      <x:c r="B23" s="117" t="n">
        <x:v>0.6847415411784032</x:v>
      </x:c>
      <x:c r="C23" s="83" t="str">
        <x:v>LCSW-MQB-FA-AP-022</x:v>
      </x:c>
      <x:c r="D23" s="83" t="str">
        <x:v>CTA-LCSW-MQB-0264</x:v>
      </x:c>
      <x:c r="E23" s="83" t="str">
        <x:v>Form A</x:v>
      </x:c>
      <x:c r="F23" s="83" t="str">
        <x:v>Violence risk</x:v>
      </x:c>
      <x:c r="G23" s="83" t="str">
        <x:v>A client reports escalating fantasies of harming a coworker and recently purchased a weapon. What should the social worker do NEXT?</x:v>
      </x:c>
      <x:c r="H23" s="83" t="str">
        <x:v>LCSW-MQB-FB-AP-022</x:v>
      </x:c>
      <x:c r="I23" s="83" t="str">
        <x:v>CTA-LCSW-MQB-0337</x:v>
      </x:c>
      <x:c r="J23" s="83" t="str">
        <x:v>Form B</x:v>
      </x:c>
      <x:c r="K23" s="83" t="str">
        <x:v>Violence risk</x:v>
      </x:c>
      <x:c r="L23" s="83" t="str">
        <x:v>A client describes increasingly specific thoughts of attacking a former supervisor and reports recently obtaining a firearm. What should the social worker do next?</x:v>
      </x:c>
      <x:c r="M23" s="83" t="str">
        <x:v>Alternate Form</x:v>
      </x:c>
      <x:c r="N23" s="89" t="str">
        <x:v>Keep on separate forms; review both items together before future revision, option-count changes, or reuse.</x:v>
      </x:c>
    </x:row>
    <x:row r="24">
      <x:c r="A24" s="88" t="str">
        <x:v>LCSW-ALT-023</x:v>
      </x:c>
      <x:c r="B24" s="117" t="n">
        <x:v>0.7105986568037046</x:v>
      </x:c>
      <x:c r="C24" s="83" t="str">
        <x:v>LCSW-MQB-FA-AP-023</x:v>
      </x:c>
      <x:c r="D24" s="83" t="str">
        <x:v>CTA-LCSW-MQB-0260</x:v>
      </x:c>
      <x:c r="E24" s="83" t="str">
        <x:v>Form A</x:v>
      </x:c>
      <x:c r="F24" s="83" t="str">
        <x:v>Child abuse concern</x:v>
      </x:c>
      <x:c r="G24" s="83" t="str">
        <x:v>A child describes being locked in a closet for long periods as punishment. What should the social worker do?</x:v>
      </x:c>
      <x:c r="H24" s="83" t="str">
        <x:v>LCSW-MQB-FB-AP-023</x:v>
      </x:c>
      <x:c r="I24" s="83" t="str">
        <x:v>CTA-LCSW-MQB-0375</x:v>
      </x:c>
      <x:c r="J24" s="83" t="str">
        <x:v>Form B</x:v>
      </x:c>
      <x:c r="K24" s="83" t="str">
        <x:v>Child abuse concern</x:v>
      </x:c>
      <x:c r="L24" s="83" t="str">
        <x:v>A school-age child reports being tied to a chair for hours when homework is incomplete. What should the social worker do?</x:v>
      </x:c>
      <x:c r="M24" s="83" t="str">
        <x:v>Alternate Form</x:v>
      </x:c>
      <x:c r="N24" s="89" t="str">
        <x:v>Keep on separate forms; review both items together before future revision, option-count changes, or reuse.</x:v>
      </x:c>
    </x:row>
    <x:row r="25">
      <x:c r="A25" s="88" t="str">
        <x:v>LCSW-ALT-024</x:v>
      </x:c>
      <x:c r="B25" s="117" t="n">
        <x:v>0.762536613954858</x:v>
      </x:c>
      <x:c r="C25" s="83" t="str">
        <x:v>LCSW-MQB-FA-AP-024</x:v>
      </x:c>
      <x:c r="D25" s="83" t="str">
        <x:v>CTA-LCSW-MQB-0252</x:v>
      </x:c>
      <x:c r="E25" s="83" t="str">
        <x:v>Form A</x:v>
      </x:c>
      <x:c r="F25" s="83" t="str">
        <x:v>Domestic violence assessment</x:v>
      </x:c>
      <x:c r="G25" s="83" t="str">
        <x:v>A pregnant client says a partner controls money, transportation, and contact with friends. What should the social worker do NEXT?</x:v>
      </x:c>
      <x:c r="H25" s="83" t="str">
        <x:v>LCSW-MQB-FB-AP-024</x:v>
      </x:c>
      <x:c r="I25" s="83" t="str">
        <x:v>CTA-LCSW-MQB-0342</x:v>
      </x:c>
      <x:c r="J25" s="83" t="str">
        <x:v>Form B</x:v>
      </x:c>
      <x:c r="K25" s="83" t="str">
        <x:v>Domestic violence assessment</x:v>
      </x:c>
      <x:c r="L25" s="83" t="str">
        <x:v>A client says a partner monitors calls, withholds identification documents, and threatens to take the children if the client leaves. What should the social worker do next?</x:v>
      </x:c>
      <x:c r="M25" s="83" t="str">
        <x:v>Alternate Form</x:v>
      </x:c>
      <x:c r="N25" s="89" t="str">
        <x:v>Keep on separate forms; review both items together before future revision, option-count changes, or reuse.</x:v>
      </x:c>
    </x:row>
    <x:row r="26">
      <x:c r="A26" s="88" t="str">
        <x:v>LCSW-ALT-025</x:v>
      </x:c>
      <x:c r="B26" s="117" t="n">
        <x:v>0.7358579141143026</x:v>
      </x:c>
      <x:c r="C26" s="83" t="str">
        <x:v>LCSW-MQB-FA-AP-025</x:v>
      </x:c>
      <x:c r="D26" s="83" t="str">
        <x:v>CTA-LCSW-MQB-0237</x:v>
      </x:c>
      <x:c r="E26" s="83" t="str">
        <x:v>Form A</x:v>
      </x:c>
      <x:c r="F26" s="83" t="str">
        <x:v>Mania differential</x:v>
      </x:c>
      <x:c r="G26" s="83" t="str">
        <x:v>A client has slept two hours nightly for a week, speaks rapidly, spends impulsively, and feels unusually powerful. What should the social worker do FIRST?</x:v>
      </x:c>
      <x:c r="H26" s="83" t="str">
        <x:v>LCSW-MQB-FB-AP-025</x:v>
      </x:c>
      <x:c r="I26" s="83" t="str">
        <x:v>CTA-LCSW-MQB-0400</x:v>
      </x:c>
      <x:c r="J26" s="83" t="str">
        <x:v>Form B</x:v>
      </x:c>
      <x:c r="K26" s="83" t="str">
        <x:v>Mania differential</x:v>
      </x:c>
      <x:c r="L26" s="83" t="str">
        <x:v>For ten days, a client has slept very little, talked continuously, started several costly projects, and expressed grandiose plans. What should the social worker do first?</x:v>
      </x:c>
      <x:c r="M26" s="83" t="str">
        <x:v>Alternate Form</x:v>
      </x:c>
      <x:c r="N26" s="89" t="str">
        <x:v>Keep on separate forms; review both items together before future revision, option-count changes, or reuse.</x:v>
      </x:c>
    </x:row>
    <x:row r="27">
      <x:c r="A27" s="88" t="str">
        <x:v>LCSW-ALT-026</x:v>
      </x:c>
      <x:c r="B27" s="117" t="n">
        <x:v>0.7871873241455858</x:v>
      </x:c>
      <x:c r="C27" s="83" t="str">
        <x:v>LCSW-MQB-FA-AP-026</x:v>
      </x:c>
      <x:c r="D27" s="83" t="str">
        <x:v>CTA-LCSW-MQB-0324</x:v>
      </x:c>
      <x:c r="E27" s="83" t="str">
        <x:v>Form A</x:v>
      </x:c>
      <x:c r="F27" s="83" t="str">
        <x:v>Psychosis and culture</x:v>
      </x:c>
      <x:c r="G27" s="83" t="str">
        <x:v>A newly arrived refugee reports hearing the voice of a deceased relative during a culturally recognized mourning ritual. What should the social worker do NEXT?</x:v>
      </x:c>
      <x:c r="H27" s="83" t="str">
        <x:v>LCSW-MQB-FB-AP-026</x:v>
      </x:c>
      <x:c r="I27" s="83" t="str">
        <x:v>CTA-LCSW-MQB-0372</x:v>
      </x:c>
      <x:c r="J27" s="83" t="str">
        <x:v>Form B</x:v>
      </x:c>
      <x:c r="K27" s="83" t="str">
        <x:v>Psychosis and culture</x:v>
      </x:c>
      <x:c r="L27" s="83" t="str">
        <x:v>During a traditional mourning period, a client reports brief conversations with a deceased family member that are accepted within the client’s community. What should the social worker do next?</x:v>
      </x:c>
      <x:c r="M27" s="83" t="str">
        <x:v>Alternate Form</x:v>
      </x:c>
      <x:c r="N27" s="89" t="str">
        <x:v>Keep on separate forms; review both items together before future revision, option-count changes, or reuse.</x:v>
      </x:c>
    </x:row>
    <x:row r="28">
      <x:c r="A28" s="88" t="str">
        <x:v>LCSW-ALT-027</x:v>
      </x:c>
      <x:c r="B28" s="117" t="n">
        <x:v>0.7593331298857225</x:v>
      </x:c>
      <x:c r="C28" s="83" t="str">
        <x:v>LCSW-MQB-FA-AP-027</x:v>
      </x:c>
      <x:c r="D28" s="83" t="str">
        <x:v>CTA-LCSW-MQB-0288</x:v>
      </x:c>
      <x:c r="E28" s="83" t="str">
        <x:v>Form A</x:v>
      </x:c>
      <x:c r="F28" s="83" t="str">
        <x:v>Trauma pacing</x:v>
      </x:c>
      <x:c r="G28" s="83" t="str">
        <x:v>A trauma survivor becomes detached and stops responding during detailed questioning. What should the social worker do FIRST?</x:v>
      </x:c>
      <x:c r="H28" s="83" t="str">
        <x:v>LCSW-MQB-FB-AP-027</x:v>
      </x:c>
      <x:c r="I28" s="83" t="str">
        <x:v>CTA-LCSW-MQB-0359</x:v>
      </x:c>
      <x:c r="J28" s="83" t="str">
        <x:v>Form B</x:v>
      </x:c>
      <x:c r="K28" s="83" t="str">
        <x:v>Trauma pacing</x:v>
      </x:c>
      <x:c r="L28" s="83" t="str">
        <x:v>When asked for trauma details, a client stares blankly, stops tracking the conversation, and appears disconnected from the room. What should the social worker do first?</x:v>
      </x:c>
      <x:c r="M28" s="83" t="str">
        <x:v>Alternate Form</x:v>
      </x:c>
      <x:c r="N28" s="89" t="str">
        <x:v>Keep on separate forms; review both items together before future revision, option-count changes, or reuse.</x:v>
      </x:c>
    </x:row>
    <x:row r="29">
      <x:c r="A29" s="88" t="str">
        <x:v>LCSW-ALT-028</x:v>
      </x:c>
      <x:c r="B29" s="117" t="n">
        <x:v>0.8610240588907232</x:v>
      </x:c>
      <x:c r="C29" s="83" t="str">
        <x:v>LCSW-MQB-FA-AP-028</x:v>
      </x:c>
      <x:c r="D29" s="83" t="str">
        <x:v>CTA-LCSW-MQB-0247</x:v>
      </x:c>
      <x:c r="E29" s="83" t="str">
        <x:v>Form A</x:v>
      </x:c>
      <x:c r="F29" s="83" t="str">
        <x:v>Eating-disorder medical risk</x:v>
      </x:c>
      <x:c r="G29" s="83" t="str">
        <x:v>A client reports severe restriction, fainting, and rapid weight change. What should the social worker do NEXT?</x:v>
      </x:c>
      <x:c r="H29" s="83" t="str">
        <x:v>LCSW-MQB-FB-AP-028</x:v>
      </x:c>
      <x:c r="I29" s="83" t="str">
        <x:v>CTA-LCSW-MQB-0410</x:v>
      </x:c>
      <x:c r="J29" s="83" t="str">
        <x:v>Form B</x:v>
      </x:c>
      <x:c r="K29" s="83" t="str">
        <x:v>Eating-disorder medical risk</x:v>
      </x:c>
      <x:c r="L29" s="83" t="str">
        <x:v>A client reports prolonged food restriction, dizziness on standing, and a recent collapse at work. What should the social worker do next?</x:v>
      </x:c>
      <x:c r="M29" s="83" t="str">
        <x:v>Alternate Form</x:v>
      </x:c>
      <x:c r="N29" s="89" t="str">
        <x:v>Keep on separate forms; review both items together before future revision, option-count changes, or reuse.</x:v>
      </x:c>
    </x:row>
    <x:row r="30">
      <x:c r="A30" s="88" t="str">
        <x:v>LCSW-ALT-029</x:v>
      </x:c>
      <x:c r="B30" s="117" t="n">
        <x:v>0.8220870103061003</x:v>
      </x:c>
      <x:c r="C30" s="83" t="str">
        <x:v>LCSW-MQB-FA-AP-029</x:v>
      </x:c>
      <x:c r="D30" s="83" t="str">
        <x:v>CTA-LCSW-MQB-0271</x:v>
      </x:c>
      <x:c r="E30" s="83" t="str">
        <x:v>Form A</x:v>
      </x:c>
      <x:c r="F30" s="83" t="str">
        <x:v>Older-adult exploitation</x:v>
      </x:c>
      <x:c r="G30" s="83" t="str">
        <x:v>An older client says a nephew now controls all banking and becomes angry when the client asks questions. What should the social worker do?</x:v>
      </x:c>
      <x:c r="H30" s="83" t="str">
        <x:v>LCSW-MQB-FB-AP-029</x:v>
      </x:c>
      <x:c r="I30" s="83" t="str">
        <x:v>CTA-LCSW-MQB-0433</x:v>
      </x:c>
      <x:c r="J30" s="83" t="str">
        <x:v>Form B</x:v>
      </x:c>
      <x:c r="K30" s="83" t="str">
        <x:v>Older-adult exploitation</x:v>
      </x:c>
      <x:c r="L30" s="83" t="str">
        <x:v>An older adult says a new companion changed online banking passwords and becomes angry whenever account statements are requested. What should the social worker do?</x:v>
      </x:c>
      <x:c r="M30" s="83" t="str">
        <x:v>Alternate Form</x:v>
      </x:c>
      <x:c r="N30" s="89" t="str">
        <x:v>Keep on separate forms; review both items together before future revision, option-count changes, or reuse.</x:v>
      </x:c>
    </x:row>
    <x:row r="31">
      <x:c r="A31" s="88" t="str">
        <x:v>LCSW-ALT-030</x:v>
      </x:c>
      <x:c r="B31" s="117" t="n">
        <x:v>0.840701254458444</x:v>
      </x:c>
      <x:c r="C31" s="83" t="str">
        <x:v>LCSW-MQB-FA-AP-030</x:v>
      </x:c>
      <x:c r="D31" s="83" t="str">
        <x:v>CTA-LCSW-MQB-0304</x:v>
      </x:c>
      <x:c r="E31" s="83" t="str">
        <x:v>Form A</x:v>
      </x:c>
      <x:c r="F31" s="83" t="str">
        <x:v>Adolescent confidentiality</x:v>
      </x:c>
      <x:c r="G31" s="83" t="str">
        <x:v>An adolescent asks what information will be shared with caregivers before disclosing a sensitive concern. What should the social worker do?</x:v>
      </x:c>
      <x:c r="H31" s="83" t="str">
        <x:v>LCSW-MQB-FB-AP-030</x:v>
      </x:c>
      <x:c r="I31" s="83" t="str">
        <x:v>CTA-LCSW-MQB-0369</x:v>
      </x:c>
      <x:c r="J31" s="83" t="str">
        <x:v>Form B</x:v>
      </x:c>
      <x:c r="K31" s="83" t="str">
        <x:v>Adolescent confidentiality</x:v>
      </x:c>
      <x:c r="L31" s="83" t="str">
        <x:v>Before discussing a pregnancy concern, a 15-year-old asks exactly what may be told to a caregiver. What should the social worker do?</x:v>
      </x:c>
      <x:c r="M31" s="83" t="str">
        <x:v>Alternate Form</x:v>
      </x:c>
      <x:c r="N31" s="89" t="str">
        <x:v>Keep on separate forms; review both items together before future revision, option-count changes, or reuse.</x:v>
      </x:c>
    </x:row>
    <x:row r="32">
      <x:c r="A32" s="88" t="str">
        <x:v>LCSW-ALT-031</x:v>
      </x:c>
      <x:c r="B32" s="117" t="n">
        <x:v>0.7880038586231191</x:v>
      </x:c>
      <x:c r="C32" s="83" t="str">
        <x:v>LCSW-MQB-FA-AP-031</x:v>
      </x:c>
      <x:c r="D32" s="83" t="str">
        <x:v>CTA-LCSW-MQB-0299</x:v>
      </x:c>
      <x:c r="E32" s="83" t="str">
        <x:v>Form A</x:v>
      </x:c>
      <x:c r="F32" s="83" t="str">
        <x:v>Housing and psychiatric symptoms</x:v>
      </x:c>
      <x:c r="G32" s="83" t="str">
        <x:v>A client’s paranoia worsens after repeated shelter assaults and sleep deprivation. What should the social worker assess?</x:v>
      </x:c>
      <x:c r="H32" s="83" t="str">
        <x:v>LCSW-MQB-FB-AP-031</x:v>
      </x:c>
      <x:c r="I32" s="83" t="str">
        <x:v>CTA-LCSW-MQB-0417</x:v>
      </x:c>
      <x:c r="J32" s="83" t="str">
        <x:v>Form B</x:v>
      </x:c>
      <x:c r="K32" s="83" t="str">
        <x:v>Housing and psychiatric symptoms</x:v>
      </x:c>
      <x:c r="L32" s="83" t="str">
        <x:v>A client becomes increasingly suspicious after repeated thefts and assaults in an overcrowded shelter. What should the social worker assess before attributing the symptoms only to a psychiatric disorder?</x:v>
      </x:c>
      <x:c r="M32" s="83" t="str">
        <x:v>Alternate Form</x:v>
      </x:c>
      <x:c r="N32" s="89" t="str">
        <x:v>Keep on separate forms; review both items together before future revision, option-count changes, or reuse.</x:v>
      </x:c>
    </x:row>
    <x:row r="33">
      <x:c r="A33" s="88" t="str">
        <x:v>LCSW-ALT-032</x:v>
      </x:c>
      <x:c r="B33" s="117" t="n">
        <x:v>0.8362035285327083</x:v>
      </x:c>
      <x:c r="C33" s="83" t="str">
        <x:v>LCSW-MQB-FA-AP-032</x:v>
      </x:c>
      <x:c r="D33" s="83" t="str">
        <x:v>CTA-LCSW-MQB-0216</x:v>
      </x:c>
      <x:c r="E33" s="83" t="str">
        <x:v>Form A</x:v>
      </x:c>
      <x:c r="F33" s="83" t="str">
        <x:v>Service planning with limited resources</x:v>
      </x:c>
      <x:c r="G33" s="83" t="str">
        <x:v>A client wants intensive outpatient treatment, but transportation and childcare make attendance impossible. What should the social worker do NEXT?</x:v>
      </x:c>
      <x:c r="H33" s="83" t="str">
        <x:v>LCSW-MQB-FB-AP-032</x:v>
      </x:c>
      <x:c r="I33" s="83" t="str">
        <x:v>CTA-LCSW-MQB-0437</x:v>
      </x:c>
      <x:c r="J33" s="83" t="str">
        <x:v>Form B</x:v>
      </x:c>
      <x:c r="K33" s="83" t="str">
        <x:v>Service planning with limited resources</x:v>
      </x:c>
      <x:c r="L33" s="83" t="str">
        <x:v>A parent is clinically appropriate for a day program but cannot attend because of shift work and lack of childcare. What should the social worker do next?</x:v>
      </x:c>
      <x:c r="M33" s="83" t="str">
        <x:v>Alternate Form</x:v>
      </x:c>
      <x:c r="N33" s="89" t="str">
        <x:v>Keep on separate forms; review both items together before future revision, option-count changes, or reuse.</x:v>
      </x:c>
    </x:row>
    <x:row r="34">
      <x:c r="A34" s="88" t="str">
        <x:v>LCSW-ALT-033</x:v>
      </x:c>
      <x:c r="B34" s="117" t="n">
        <x:v>0.8160165406342795</x:v>
      </x:c>
      <x:c r="C34" s="83" t="str">
        <x:v>LCSW-MQB-FA-AP-033</x:v>
      </x:c>
      <x:c r="D34" s="83" t="str">
        <x:v>CTA-LCSW-MQB-0307</x:v>
      </x:c>
      <x:c r="E34" s="83" t="str">
        <x:v>Form A</x:v>
      </x:c>
      <x:c r="F34" s="83" t="str">
        <x:v>Diagnosis and grief</x:v>
      </x:c>
      <x:c r="G34" s="83" t="str">
        <x:v>Six weeks after a death, a client has intense yearning, waves of sadness, and preserved reality testing but significant sleep disruption. What should the social worker do NEXT?</x:v>
      </x:c>
      <x:c r="H34" s="83" t="str">
        <x:v>LCSW-MQB-FB-AP-033</x:v>
      </x:c>
      <x:c r="I34" s="83" t="str">
        <x:v>CTA-LCSW-MQB-0332</x:v>
      </x:c>
      <x:c r="J34" s="83" t="str">
        <x:v>Form B</x:v>
      </x:c>
      <x:c r="K34" s="83" t="str">
        <x:v>Diagnosis and grief</x:v>
      </x:c>
      <x:c r="L34" s="83" t="str">
        <x:v>Two months after a sibling’s death, a client reports intense longing, disrupted sleep, and intermittent sadness without psychosis or pervasive hopelessness. What should the social worker do next?</x:v>
      </x:c>
      <x:c r="M34" s="83" t="str">
        <x:v>Alternate Form</x:v>
      </x:c>
      <x:c r="N34" s="89" t="str">
        <x:v>Keep on separate forms; review both items together before future revision, option-count changes, or reuse.</x:v>
      </x:c>
    </x:row>
    <x:row r="35">
      <x:c r="A35" s="88" t="str">
        <x:v>LCSW-ALT-034</x:v>
      </x:c>
      <x:c r="B35" s="117" t="n">
        <x:v>0.8243090438300297</x:v>
      </x:c>
      <x:c r="C35" s="83" t="str">
        <x:v>LCSW-MQB-FA-AP-034</x:v>
      </x:c>
      <x:c r="D35" s="83" t="str">
        <x:v>CTA-LCSW-MQB-0241</x:v>
      </x:c>
      <x:c r="E35" s="83" t="str">
        <x:v>Form A</x:v>
      </x:c>
      <x:c r="F35" s="83" t="str">
        <x:v>Acute confusion and risk</x:v>
      </x:c>
      <x:c r="G35" s="83" t="str">
        <x:v>An older adult with a recent medication change becomes abruptly disoriented, attempts to leave home at night, and cannot recognize a caregiver. What should the social worker do?</x:v>
      </x:c>
      <x:c r="H35" s="83" t="str">
        <x:v>LCSW-MQB-FB-AP-034</x:v>
      </x:c>
      <x:c r="I35" s="83" t="str">
        <x:v>CTA-LCSW-MQB-0327</x:v>
      </x:c>
      <x:c r="J35" s="83" t="str">
        <x:v>Form B</x:v>
      </x:c>
      <x:c r="K35" s="83" t="str">
        <x:v>Acute confusion and risk</x:v>
      </x:c>
      <x:c r="L35" s="83" t="str">
        <x:v>After a new prescription, an older client becomes disoriented, wanders outside at night, and intermittently fails to recognize family. What should the social worker do?</x:v>
      </x:c>
      <x:c r="M35" s="83" t="str">
        <x:v>Alternate Form</x:v>
      </x:c>
      <x:c r="N35" s="89" t="str">
        <x:v>Keep on separate forms; review both items together before future revision, option-count changes, or reuse.</x:v>
      </x:c>
    </x:row>
    <x:row r="36">
      <x:c r="A36" s="88" t="str">
        <x:v>LCSW-ALT-035</x:v>
      </x:c>
      <x:c r="B36" s="117" t="n">
        <x:v>0.817765070451772</x:v>
      </x:c>
      <x:c r="C36" s="83" t="str">
        <x:v>LCSW-MQB-FA-AP-035</x:v>
      </x:c>
      <x:c r="D36" s="83" t="str">
        <x:v>CTA-LCSW-MQB-0224</x:v>
      </x:c>
      <x:c r="E36" s="83" t="str">
        <x:v>Form A</x:v>
      </x:c>
      <x:c r="F36" s="83" t="str">
        <x:v>Suicide, substance use, and housing</x:v>
      </x:c>
      <x:c r="G36" s="83" t="str">
        <x:v>A recently discharged client reports suicidal thoughts, heavy drinking, eviction, and no phone. What should the social worker do?</x:v>
      </x:c>
      <x:c r="H36" s="83" t="str">
        <x:v>LCSW-MQB-FB-AP-035</x:v>
      </x:c>
      <x:c r="I36" s="83" t="str">
        <x:v>CTA-LCSW-MQB-0413</x:v>
      </x:c>
      <x:c r="J36" s="83" t="str">
        <x:v>Form B</x:v>
      </x:c>
      <x:c r="K36" s="83" t="str">
        <x:v>Suicide, substance use, and housing</x:v>
      </x:c>
      <x:c r="L36" s="83" t="str">
        <x:v>A client discharged from inpatient care reports suicidal thoughts, daily intoxication, a pending lockout, and no reliable way to receive follow-up calls. What should the social worker do?</x:v>
      </x:c>
      <x:c r="M36" s="83" t="str">
        <x:v>Alternate Form</x:v>
      </x:c>
      <x:c r="N36" s="89" t="str">
        <x:v>Keep on separate forms; review both items together before future revision, option-count changes, or reuse.</x:v>
      </x:c>
    </x:row>
    <x:row r="37">
      <x:c r="A37" s="88" t="str">
        <x:v>LCSW-ALT-036</x:v>
      </x:c>
      <x:c r="B37" s="117" t="n">
        <x:v>0.8237931141911747</x:v>
      </x:c>
      <x:c r="C37" s="83" t="str">
        <x:v>LCSW-MQB-FA-AP-036</x:v>
      </x:c>
      <x:c r="D37" s="83" t="str">
        <x:v>CTA-LCSW-MQB-0207</x:v>
      </x:c>
      <x:c r="E37" s="83" t="str">
        <x:v>Form A</x:v>
      </x:c>
      <x:c r="F37" s="83" t="str">
        <x:v>Child development and family stress</x:v>
      </x:c>
      <x:c r="G37" s="83" t="str">
        <x:v>A child’s aggression began after parental separation, repeated school changes, and loss of contact with extended family. What is the BEST formulation?</x:v>
      </x:c>
      <x:c r="H37" s="83" t="str">
        <x:v>LCSW-MQB-FB-AP-036</x:v>
      </x:c>
      <x:c r="I37" s="83" t="str">
        <x:v>CTA-LCSW-MQB-0407</x:v>
      </x:c>
      <x:c r="J37" s="83" t="str">
        <x:v>Form B</x:v>
      </x:c>
      <x:c r="K37" s="83" t="str">
        <x:v>Child development and family stress</x:v>
      </x:c>
      <x:c r="L37" s="83" t="str">
        <x:v>A child begins fighting after a parent is incarcerated, the family moves twice, and contact with supportive relatives is lost. Which formulation is most complete?</x:v>
      </x:c>
      <x:c r="M37" s="83" t="str">
        <x:v>Alternate Form</x:v>
      </x:c>
      <x:c r="N37" s="89" t="str">
        <x:v>Keep on separate forms; review both items together before future revision, option-count changes, or reuse.</x:v>
      </x:c>
    </x:row>
    <x:row r="38">
      <x:c r="A38" s="88" t="str">
        <x:v>LCSW-ALT-037</x:v>
      </x:c>
      <x:c r="B38" s="117" t="n">
        <x:v>0.9138426043302414</x:v>
      </x:c>
      <x:c r="C38" s="83" t="str">
        <x:v>LCSW-MQB-FA-AP-037</x:v>
      </x:c>
      <x:c r="D38" s="83" t="str">
        <x:v>CTA-LCSW-MQB-0314</x:v>
      </x:c>
      <x:c r="E38" s="83" t="str">
        <x:v>Form A</x:v>
      </x:c>
      <x:c r="F38" s="83" t="str">
        <x:v>Medical, medication, and mood differential</x:v>
      </x:c>
      <x:c r="G38" s="83" t="str">
        <x:v>A client with depression develops tremor, sweating, confusion, and agitation after several medication changes. What should the social worker do?</x:v>
      </x:c>
      <x:c r="H38" s="83" t="str">
        <x:v>LCSW-MQB-FB-AP-037</x:v>
      </x:c>
      <x:c r="I38" s="83" t="str">
        <x:v>CTA-LCSW-MQB-0442</x:v>
      </x:c>
      <x:c r="J38" s="83" t="str">
        <x:v>Form B</x:v>
      </x:c>
      <x:c r="K38" s="83" t="str">
        <x:v>Medical, medication, and mood differential</x:v>
      </x:c>
      <x:c r="L38" s="83" t="str">
        <x:v>Following several medication changes, a client develops feverish sweating, shaking, confusion, and marked agitation. What should the social worker do?</x:v>
      </x:c>
      <x:c r="M38" s="83" t="str">
        <x:v>Alternate Form</x:v>
      </x:c>
      <x:c r="N38" s="89" t="str">
        <x:v>Keep on separate forms; review both items together before future revision, option-count changes, or reuse.</x:v>
      </x:c>
    </x:row>
    <x:row r="39">
      <x:c r="A39" s="88" t="str">
        <x:v>LCSW-ALT-038</x:v>
      </x:c>
      <x:c r="B39" s="117" t="n">
        <x:v>0.8236943244420948</x:v>
      </x:c>
      <x:c r="C39" s="83" t="str">
        <x:v>LCSW-MQB-FA-AP-038</x:v>
      </x:c>
      <x:c r="D39" s="83" t="str">
        <x:v>CTA-LCSW-MQB-0278</x:v>
      </x:c>
      <x:c r="E39" s="83" t="str">
        <x:v>Form A</x:v>
      </x:c>
      <x:c r="F39" s="83" t="str">
        <x:v>Capacity, autonomy, and exploitation</x:v>
      </x:c>
      <x:c r="G39" s="83" t="str">
        <x:v>An adult with mild cognitive impairment wants to give a large sum to a new acquaintance, while family members demand control of all finances. What should the social worker do?</x:v>
      </x:c>
      <x:c r="H39" s="83" t="str">
        <x:v>LCSW-MQB-FB-AP-038</x:v>
      </x:c>
      <x:c r="I39" s="83" t="str">
        <x:v>CTA-LCSW-MQB-0345</x:v>
      </x:c>
      <x:c r="J39" s="83" t="str">
        <x:v>Form B</x:v>
      </x:c>
      <x:c r="K39" s="83" t="str">
        <x:v>Capacity, autonomy, and exploitation</x:v>
      </x:c>
      <x:c r="L39" s="83" t="str">
        <x:v>An adult with mild memory problems wants to transfer substantial savings to a recent acquaintance, while relatives insist on taking over every financial decision. What should the social worker do?</x:v>
      </x:c>
      <x:c r="M39" s="83" t="str">
        <x:v>Alternate Form</x:v>
      </x:c>
      <x:c r="N39" s="89" t="str">
        <x:v>Keep on separate forms; review both items together before future revision, option-count changes, or reuse.</x:v>
      </x:c>
    </x:row>
    <x:row r="40">
      <x:c r="A40" s="88" t="str">
        <x:v>LCSW-ALT-039</x:v>
      </x:c>
      <x:c r="B40" s="117" t="n">
        <x:v>0.8222446508577157</x:v>
      </x:c>
      <x:c r="C40" s="83" t="str">
        <x:v>LCSW-MQB-FA-AP-039</x:v>
      </x:c>
      <x:c r="D40" s="83" t="str">
        <x:v>CTA-LCSW-MQB-0230</x:v>
      </x:c>
      <x:c r="E40" s="83" t="str">
        <x:v>Form A</x:v>
      </x:c>
      <x:c r="F40" s="83" t="str">
        <x:v>Collaborative planning across systems</x:v>
      </x:c>
      <x:c r="G40" s="83" t="str">
        <x:v>A client with psychosis is stable on medication but repeatedly loses housing because of benefit interruptions and landlord discrimination. What should the plan include?</x:v>
      </x:c>
      <x:c r="H40" s="83" t="str">
        <x:v>LCSW-MQB-FB-AP-039</x:v>
      </x:c>
      <x:c r="I40" s="83" t="str">
        <x:v>CTA-LCSW-MQB-0348</x:v>
      </x:c>
      <x:c r="J40" s="83" t="str">
        <x:v>Form B</x:v>
      </x:c>
      <x:c r="K40" s="83" t="str">
        <x:v>Collaborative planning across systems</x:v>
      </x:c>
      <x:c r="L40" s="83" t="str">
        <x:v>A client’s hallucinations are controlled, but repeated benefit suspensions, inaccessible housing, and landlord bias keep causing homelessness. What should the service plan include?</x:v>
      </x:c>
      <x:c r="M40" s="83" t="str">
        <x:v>Alternate Form</x:v>
      </x:c>
      <x:c r="N40" s="89" t="str">
        <x:v>Keep on separate forms; review both items together before future revision, option-count changes, or reuse.</x:v>
      </x:c>
    </x:row>
    <x:row r="41">
      <x:c r="A41" s="88" t="str">
        <x:v>LCSW-ALT-040</x:v>
      </x:c>
      <x:c r="B41" s="117" t="n">
        <x:v>0.832368443870326</x:v>
      </x:c>
      <x:c r="C41" s="83" t="str">
        <x:v>LCSW-MQB-FA-IP-001</x:v>
      </x:c>
      <x:c r="D41" s="83" t="str">
        <x:v>CTA-LCSW-MQB-0302</x:v>
      </x:c>
      <x:c r="E41" s="83" t="str">
        <x:v>Form A</x:v>
      </x:c>
      <x:c r="F41" s="83" t="str">
        <x:v>Motivational interviewing</x:v>
      </x:c>
      <x:c r="G41" s="83" t="str">
        <x:v>Which response is MOST consistent with motivational interviewing?</x:v>
      </x:c>
      <x:c r="H41" s="83" t="str">
        <x:v>LCSW-MQB-FB-IP-001</x:v>
      </x:c>
      <x:c r="I41" s="83" t="str">
        <x:v>CTA-LCSW-MQB-0403</x:v>
      </x:c>
      <x:c r="J41" s="83" t="str">
        <x:v>Form B</x:v>
      </x:c>
      <x:c r="K41" s="83" t="str">
        <x:v>Motivational interviewing</x:v>
      </x:c>
      <x:c r="L41" s="83" t="str">
        <x:v>A client is ambivalent about changing cannabis use. Which social-worker response best reflects the spirit and method of motivational interviewing?</x:v>
      </x:c>
      <x:c r="M41" s="83" t="str">
        <x:v>Alternate Form</x:v>
      </x:c>
      <x:c r="N41" s="89" t="str">
        <x:v>Keep on separate forms; review both items together before future revision, option-count changes, or reuse.</x:v>
      </x:c>
    </x:row>
    <x:row r="42">
      <x:c r="A42" s="88" t="str">
        <x:v>LCSW-ALT-041</x:v>
      </x:c>
      <x:c r="B42" s="117" t="n">
        <x:v>0.7614945472008884</x:v>
      </x:c>
      <x:c r="C42" s="83" t="str">
        <x:v>LCSW-MQB-FA-IP-002</x:v>
      </x:c>
      <x:c r="D42" s="83" t="str">
        <x:v>CTA-LCSW-MQB-0222</x:v>
      </x:c>
      <x:c r="E42" s="83" t="str">
        <x:v>Form A</x:v>
      </x:c>
      <x:c r="F42" s="83" t="str">
        <x:v>Program evaluation</x:v>
      </x:c>
      <x:c r="G42" s="83" t="str">
        <x:v>What is the primary purpose of outcome evaluation in clinical services?</x:v>
      </x:c>
      <x:c r="H42" s="83" t="str">
        <x:v>LCSW-MQB-FB-IP-002</x:v>
      </x:c>
      <x:c r="I42" s="83" t="str">
        <x:v>CTA-LCSW-MQB-0355</x:v>
      </x:c>
      <x:c r="J42" s="83" t="str">
        <x:v>Form B</x:v>
      </x:c>
      <x:c r="K42" s="83" t="str">
        <x:v>Program evaluation</x:v>
      </x:c>
      <x:c r="L42" s="83" t="str">
        <x:v>Why should a clinical program routinely compare participant outcomes with the services that were delivered?</x:v>
      </x:c>
      <x:c r="M42" s="83" t="str">
        <x:v>Alternate Form</x:v>
      </x:c>
      <x:c r="N42" s="89" t="str">
        <x:v>Keep on separate forms; review both items together before future revision, option-count changes, or reuse.</x:v>
      </x:c>
    </x:row>
    <x:row r="43">
      <x:c r="A43" s="88" t="str">
        <x:v>LCSW-ALT-042</x:v>
      </x:c>
      <x:c r="B43" s="117" t="n">
        <x:v>0.6987240464688944</x:v>
      </x:c>
      <x:c r="C43" s="83" t="str">
        <x:v>LCSW-MQB-FA-IP-003</x:v>
      </x:c>
      <x:c r="D43" s="83" t="str">
        <x:v>CTA-LCSW-MQB-0275</x:v>
      </x:c>
      <x:c r="E43" s="83" t="str">
        <x:v>Form A</x:v>
      </x:c>
      <x:c r="F43" s="83" t="str">
        <x:v>Reflective listening</x:v>
      </x:c>
      <x:c r="G43" s="83" t="str">
        <x:v>A client says, “I know drinking is hurting my work, but it is the only way I relax.” What response is BEST?</x:v>
      </x:c>
      <x:c r="H43" s="83" t="str">
        <x:v>LCSW-MQB-FB-IP-003</x:v>
      </x:c>
      <x:c r="I43" s="83" t="str">
        <x:v>CTA-LCSW-MQB-0376</x:v>
      </x:c>
      <x:c r="J43" s="83" t="str">
        <x:v>Form B</x:v>
      </x:c>
      <x:c r="K43" s="83" t="str">
        <x:v>Reflective listening</x:v>
      </x:c>
      <x:c r="L43" s="83" t="str">
        <x:v>A client says, “I hate what alcohol is doing to my family, but it is the only thing that quiets my mind.” Which response is most therapeutic?</x:v>
      </x:c>
      <x:c r="M43" s="83" t="str">
        <x:v>Alternate Form</x:v>
      </x:c>
      <x:c r="N43" s="89" t="str">
        <x:v>Keep on separate forms; review both items together before future revision, option-count changes, or reuse.</x:v>
      </x:c>
    </x:row>
    <x:row r="44">
      <x:c r="A44" s="88" t="str">
        <x:v>LCSW-ALT-043</x:v>
      </x:c>
      <x:c r="B44" s="117" t="n">
        <x:v>0.796251443254996</x:v>
      </x:c>
      <x:c r="C44" s="83" t="str">
        <x:v>LCSW-MQB-FA-IP-004</x:v>
      </x:c>
      <x:c r="D44" s="83" t="str">
        <x:v>CTA-LCSW-MQB-0283</x:v>
      </x:c>
      <x:c r="E44" s="83" t="str">
        <x:v>Form A</x:v>
      </x:c>
      <x:c r="F44" s="83" t="str">
        <x:v>Behavioral activation</x:v>
      </x:c>
      <x:c r="G44" s="83" t="str">
        <x:v>A depressed client has stopped all pleasurable and routine activity. What is an appropriate first behavioral-activation step?</x:v>
      </x:c>
      <x:c r="H44" s="83" t="str">
        <x:v>LCSW-MQB-FB-IP-004</x:v>
      </x:c>
      <x:c r="I44" s="83" t="str">
        <x:v>CTA-LCSW-MQB-0424</x:v>
      </x:c>
      <x:c r="J44" s="83" t="str">
        <x:v>Form B</x:v>
      </x:c>
      <x:c r="K44" s="83" t="str">
        <x:v>Behavioral activation</x:v>
      </x:c>
      <x:c r="L44" s="83" t="str">
        <x:v>A client with depression spends nearly every day in bed and has stopped cooking, walking, and contacting friends. What is an appropriate first behavioral-activation task?</x:v>
      </x:c>
      <x:c r="M44" s="83" t="str">
        <x:v>Alternate Form</x:v>
      </x:c>
      <x:c r="N44" s="89" t="str">
        <x:v>Keep on separate forms; review both items together before future revision, option-count changes, or reuse.</x:v>
      </x:c>
    </x:row>
    <x:row r="45">
      <x:c r="A45" s="88" t="str">
        <x:v>LCSW-ALT-044</x:v>
      </x:c>
      <x:c r="B45" s="117" t="n">
        <x:v>0.7203168994884389</x:v>
      </x:c>
      <x:c r="C45" s="83" t="str">
        <x:v>LCSW-MQB-FA-IP-005</x:v>
      </x:c>
      <x:c r="D45" s="83" t="str">
        <x:v>CTA-LCSW-MQB-0214</x:v>
      </x:c>
      <x:c r="E45" s="83" t="str">
        <x:v>Form A</x:v>
      </x:c>
      <x:c r="F45" s="83" t="str">
        <x:v>Grounding</x:v>
      </x:c>
      <x:c r="G45" s="83" t="str">
        <x:v>A trauma client becomes overwhelmed by a trigger but remains oriented and able to follow directions. What intervention is appropriate?</x:v>
      </x:c>
      <x:c r="H45" s="83" t="str">
        <x:v>LCSW-MQB-FB-IP-005</x:v>
      </x:c>
      <x:c r="I45" s="83" t="str">
        <x:v>CTA-LCSW-MQB-0397</x:v>
      </x:c>
      <x:c r="J45" s="83" t="str">
        <x:v>Form B</x:v>
      </x:c>
      <x:c r="K45" s="83" t="str">
        <x:v>Grounding</x:v>
      </x:c>
      <x:c r="L45" s="83" t="str">
        <x:v>During discussion of a reminder of past trauma, a client becomes highly distressed but remains alert and responsive. Which intervention is appropriate in the moment?</x:v>
      </x:c>
      <x:c r="M45" s="83" t="str">
        <x:v>Alternate Form</x:v>
      </x:c>
      <x:c r="N45" s="89" t="str">
        <x:v>Keep on separate forms; review both items together before future revision, option-count changes, or reuse.</x:v>
      </x:c>
    </x:row>
    <x:row r="46">
      <x:c r="A46" s="88" t="str">
        <x:v>LCSW-ALT-045</x:v>
      </x:c>
      <x:c r="B46" s="117" t="n">
        <x:v>0.6007049644920415</x:v>
      </x:c>
      <x:c r="C46" s="83" t="str">
        <x:v>LCSW-MQB-FA-IP-006</x:v>
      </x:c>
      <x:c r="D46" s="83" t="str">
        <x:v>CTA-LCSW-MQB-0289</x:v>
      </x:c>
      <x:c r="E46" s="83" t="str">
        <x:v>Form A</x:v>
      </x:c>
      <x:c r="F46" s="83" t="str">
        <x:v>Solution-focused exceptions</x:v>
      </x:c>
      <x:c r="G46" s="83" t="str">
        <x:v>A client says, “Nothing ever goes right,” but later mentions one evening when conflict was less intense. What should the social worker do?</x:v>
      </x:c>
      <x:c r="H46" s="83" t="str">
        <x:v>LCSW-MQB-FB-IP-006</x:v>
      </x:c>
      <x:c r="I46" s="83" t="str">
        <x:v>CTA-LCSW-MQB-0338</x:v>
      </x:c>
      <x:c r="J46" s="83" t="str">
        <x:v>Form B</x:v>
      </x:c>
      <x:c r="K46" s="83" t="str">
        <x:v>Solution-focused exceptions</x:v>
      </x:c>
      <x:c r="L46" s="83" t="str">
        <x:v>A client insists that arguments are “always terrible,” then recalls one recent disagreement that ended calmly. What should the social worker do with that exception?</x:v>
      </x:c>
      <x:c r="M46" s="83" t="str">
        <x:v>Alternate Form</x:v>
      </x:c>
      <x:c r="N46" s="89" t="str">
        <x:v>Keep on separate forms; review both items together before future revision, option-count changes, or reuse.</x:v>
      </x:c>
    </x:row>
    <x:row r="47">
      <x:c r="A47" s="88" t="str">
        <x:v>LCSW-ALT-046</x:v>
      </x:c>
      <x:c r="B47" s="117" t="n">
        <x:v>0.6941713048080149</x:v>
      </x:c>
      <x:c r="C47" s="83" t="str">
        <x:v>LCSW-MQB-FA-IP-007</x:v>
      </x:c>
      <x:c r="D47" s="83" t="str">
        <x:v>CTA-LCSW-MQB-0290</x:v>
      </x:c>
      <x:c r="E47" s="83" t="str">
        <x:v>Form A</x:v>
      </x:c>
      <x:c r="F47" s="83" t="str">
        <x:v>Psychoeducation</x:v>
      </x:c>
      <x:c r="G47" s="83" t="str">
        <x:v>A family is confused about why a relative with psychosis may need ongoing treatment after symptoms improve. What should the social worker do?</x:v>
      </x:c>
      <x:c r="H47" s="83" t="str">
        <x:v>LCSW-MQB-FB-IP-007</x:v>
      </x:c>
      <x:c r="I47" s="83" t="str">
        <x:v>CTA-LCSW-MQB-0358</x:v>
      </x:c>
      <x:c r="J47" s="83" t="str">
        <x:v>Form B</x:v>
      </x:c>
      <x:c r="K47" s="83" t="str">
        <x:v>Psychoeducation</x:v>
      </x:c>
      <x:c r="L47" s="83" t="str">
        <x:v>Relatives assume that a family member no longer needs follow-up because psychotic symptoms have decreased. What should the social worker do?</x:v>
      </x:c>
      <x:c r="M47" s="83" t="str">
        <x:v>Alternate Form</x:v>
      </x:c>
      <x:c r="N47" s="89" t="str">
        <x:v>Keep on separate forms; review both items together before future revision, option-count changes, or reuse.</x:v>
      </x:c>
    </x:row>
    <x:row r="48">
      <x:c r="A48" s="88" t="str">
        <x:v>LCSW-ALT-047</x:v>
      </x:c>
      <x:c r="B48" s="117" t="n">
        <x:v>0.7799298793909802</x:v>
      </x:c>
      <x:c r="C48" s="83" t="str">
        <x:v>LCSW-MQB-FA-IP-008</x:v>
      </x:c>
      <x:c r="D48" s="83" t="str">
        <x:v>CTA-LCSW-MQB-0206</x:v>
      </x:c>
      <x:c r="E48" s="83" t="str">
        <x:v>Form A</x:v>
      </x:c>
      <x:c r="F48" s="83" t="str">
        <x:v>Case management</x:v>
      </x:c>
      <x:c r="G48" s="83" t="str">
        <x:v>A client needs therapy, transportation, food assistance, and medication follow-up. What is the BEST case-management response?</x:v>
      </x:c>
      <x:c r="H48" s="83" t="str">
        <x:v>LCSW-MQB-FB-IP-008</x:v>
      </x:c>
      <x:c r="I48" s="83" t="str">
        <x:v>CTA-LCSW-MQB-0328</x:v>
      </x:c>
      <x:c r="J48" s="83" t="str">
        <x:v>Form B</x:v>
      </x:c>
      <x:c r="K48" s="83" t="str">
        <x:v>Case management</x:v>
      </x:c>
      <x:c r="L48" s="83" t="str">
        <x:v>A client is juggling counseling, food insecurity, missed medical visits, and an unreliable ride to work. What is the best case-management response?</x:v>
      </x:c>
      <x:c r="M48" s="83" t="str">
        <x:v>Alternate Form</x:v>
      </x:c>
      <x:c r="N48" s="89" t="str">
        <x:v>Keep on separate forms; review both items together before future revision, option-count changes, or reuse.</x:v>
      </x:c>
    </x:row>
    <x:row r="49">
      <x:c r="A49" s="88" t="str">
        <x:v>LCSW-ALT-048</x:v>
      </x:c>
      <x:c r="B49" s="117" t="n">
        <x:v>0.7340356966122137</x:v>
      </x:c>
      <x:c r="C49" s="83" t="str">
        <x:v>LCSW-MQB-FA-IP-009</x:v>
      </x:c>
      <x:c r="D49" s="83" t="str">
        <x:v>CTA-LCSW-MQB-0215</x:v>
      </x:c>
      <x:c r="E49" s="83" t="str">
        <x:v>Form A</x:v>
      </x:c>
      <x:c r="F49" s="83" t="str">
        <x:v>Advocacy</x:v>
      </x:c>
      <x:c r="G49" s="83" t="str">
        <x:v>A client is denied an accommodation because an agency employee misunderstands the policy. What should the social worker do?</x:v>
      </x:c>
      <x:c r="H49" s="83" t="str">
        <x:v>LCSW-MQB-FB-IP-009</x:v>
      </x:c>
      <x:c r="I49" s="83" t="str">
        <x:v>CTA-LCSW-MQB-0432</x:v>
      </x:c>
      <x:c r="J49" s="83" t="str">
        <x:v>Form B</x:v>
      </x:c>
      <x:c r="K49" s="83" t="str">
        <x:v>Advocacy</x:v>
      </x:c>
      <x:c r="L49" s="83" t="str">
        <x:v>A benefits office denies a qualified client’s request because staff applied the wrong eligibility rule. What should the social worker do?</x:v>
      </x:c>
      <x:c r="M49" s="83" t="str">
        <x:v>Alternate Form</x:v>
      </x:c>
      <x:c r="N49" s="89" t="str">
        <x:v>Keep on separate forms; review both items together before future revision, option-count changes, or reuse.</x:v>
      </x:c>
    </x:row>
    <x:row r="50">
      <x:c r="A50" s="88" t="str">
        <x:v>LCSW-ALT-049</x:v>
      </x:c>
      <x:c r="B50" s="117" t="n">
        <x:v>0.7974713402861092</x:v>
      </x:c>
      <x:c r="C50" s="83" t="str">
        <x:v>LCSW-MQB-FA-IP-010</x:v>
      </x:c>
      <x:c r="D50" s="83" t="str">
        <x:v>CTA-LCSW-MQB-0303</x:v>
      </x:c>
      <x:c r="E50" s="83" t="str">
        <x:v>Form A</x:v>
      </x:c>
      <x:c r="F50" s="83" t="str">
        <x:v>Referral fit</x:v>
      </x:c>
      <x:c r="G50" s="83" t="str">
        <x:v>A social worker lacks competence in a specialized treatment the client needs. What should the social worker do?</x:v>
      </x:c>
      <x:c r="H50" s="83" t="str">
        <x:v>LCSW-MQB-FB-IP-010</x:v>
      </x:c>
      <x:c r="I50" s="83" t="str">
        <x:v>CTA-LCSW-MQB-0381</x:v>
      </x:c>
      <x:c r="J50" s="83" t="str">
        <x:v>Form B</x:v>
      </x:c>
      <x:c r="K50" s="83" t="str">
        <x:v>Referral fit</x:v>
      </x:c>
      <x:c r="L50" s="83" t="str">
        <x:v>A client requests a trauma method for which the social worker has no training or supervised experience. What should the social worker do?</x:v>
      </x:c>
      <x:c r="M50" s="83" t="str">
        <x:v>Alternate Form</x:v>
      </x:c>
      <x:c r="N50" s="89" t="str">
        <x:v>Keep on separate forms; review both items together before future revision, option-count changes, or reuse.</x:v>
      </x:c>
    </x:row>
    <x:row r="51">
      <x:c r="A51" s="88" t="str">
        <x:v>LCSW-ALT-050</x:v>
      </x:c>
      <x:c r="B51" s="117" t="n">
        <x:v>0.6181037664024014</x:v>
      </x:c>
      <x:c r="C51" s="83" t="str">
        <x:v>LCSW-MQB-FA-IP-011</x:v>
      </x:c>
      <x:c r="D51" s="83" t="str">
        <x:v>CTA-LCSW-MQB-0236</x:v>
      </x:c>
      <x:c r="E51" s="83" t="str">
        <x:v>Form A</x:v>
      </x:c>
      <x:c r="F51" s="83" t="str">
        <x:v>Interdisciplinary collaboration</x:v>
      </x:c>
      <x:c r="G51" s="83" t="str">
        <x:v>A medical provider and social worker disagree about discharge readiness. What should the social worker do?</x:v>
      </x:c>
      <x:c r="H51" s="83" t="str">
        <x:v>LCSW-MQB-FB-IP-011</x:v>
      </x:c>
      <x:c r="I51" s="83" t="str">
        <x:v>CTA-LCSW-MQB-0378</x:v>
      </x:c>
      <x:c r="J51" s="83" t="str">
        <x:v>Form B</x:v>
      </x:c>
      <x:c r="K51" s="83" t="str">
        <x:v>Interdisciplinary collaboration</x:v>
      </x:c>
      <x:c r="L51" s="83" t="str">
        <x:v>A nurse believes a client can be discharged today, while the social worker identifies unresolved safety and housing problems. What should the social worker do?</x:v>
      </x:c>
      <x:c r="M51" s="83" t="str">
        <x:v>Alternate Form</x:v>
      </x:c>
      <x:c r="N51" s="89" t="str">
        <x:v>Keep on separate forms; review both items together before future revision, option-count changes, or reuse.</x:v>
      </x:c>
    </x:row>
    <x:row r="52">
      <x:c r="A52" s="88" t="str">
        <x:v>LCSW-ALT-051</x:v>
      </x:c>
      <x:c r="B52" s="117" t="n">
        <x:v>0.7442727086387975</x:v>
      </x:c>
      <x:c r="C52" s="83" t="str">
        <x:v>LCSW-MQB-FA-IP-012</x:v>
      </x:c>
      <x:c r="D52" s="83" t="str">
        <x:v>CTA-LCSW-MQB-0212</x:v>
      </x:c>
      <x:c r="E52" s="83" t="str">
        <x:v>Form A</x:v>
      </x:c>
      <x:c r="F52" s="83" t="str">
        <x:v>Group facilitation</x:v>
      </x:c>
      <x:c r="G52" s="83" t="str">
        <x:v>Two group members dominate every discussion. What should the facilitator do?</x:v>
      </x:c>
      <x:c r="H52" s="83" t="str">
        <x:v>LCSW-MQB-FB-IP-012</x:v>
      </x:c>
      <x:c r="I52" s="83" t="str">
        <x:v>CTA-LCSW-MQB-0350</x:v>
      </x:c>
      <x:c r="J52" s="83" t="str">
        <x:v>Form B</x:v>
      </x:c>
      <x:c r="K52" s="83" t="str">
        <x:v>Group facilitation</x:v>
      </x:c>
      <x:c r="L52" s="83" t="str">
        <x:v>In a support group, two members answer nearly every question and quieter participants stop contributing. What should the facilitator do?</x:v>
      </x:c>
      <x:c r="M52" s="83" t="str">
        <x:v>Alternate Form</x:v>
      </x:c>
      <x:c r="N52" s="89" t="str">
        <x:v>Keep on separate forms; review both items together before future revision, option-count changes, or reuse.</x:v>
      </x:c>
    </x:row>
    <x:row r="53">
      <x:c r="A53" s="88" t="str">
        <x:v>LCSW-ALT-052</x:v>
      </x:c>
      <x:c r="B53" s="117" t="n">
        <x:v>0.828981487844973</x:v>
      </x:c>
      <x:c r="C53" s="83" t="str">
        <x:v>LCSW-MQB-FA-IP-013</x:v>
      </x:c>
      <x:c r="D53" s="83" t="str">
        <x:v>CTA-LCSW-MQB-0298</x:v>
      </x:c>
      <x:c r="E53" s="83" t="str">
        <x:v>Form A</x:v>
      </x:c>
      <x:c r="F53" s="83" t="str">
        <x:v>Parenting intervention</x:v>
      </x:c>
      <x:c r="G53" s="83" t="str">
        <x:v>A parent wants help with a child’s tantrums. What initial intervention is MOST useful?</x:v>
      </x:c>
      <x:c r="H53" s="83" t="str">
        <x:v>LCSW-MQB-FB-IP-013</x:v>
      </x:c>
      <x:c r="I53" s="83" t="str">
        <x:v>CTA-LCSW-MQB-0411</x:v>
      </x:c>
      <x:c r="J53" s="83" t="str">
        <x:v>Form B</x:v>
      </x:c>
      <x:c r="K53" s="83" t="str">
        <x:v>Parenting intervention</x:v>
      </x:c>
      <x:c r="L53" s="83" t="str">
        <x:v>A caregiver asks for help reducing a young child’s explosive behavior. Which initial parenting intervention is most useful?</x:v>
      </x:c>
      <x:c r="M53" s="83" t="str">
        <x:v>Alternate Form</x:v>
      </x:c>
      <x:c r="N53" s="89" t="str">
        <x:v>Keep on separate forms; review both items together before future revision, option-count changes, or reuse.</x:v>
      </x:c>
    </x:row>
    <x:row r="54">
      <x:c r="A54" s="88" t="str">
        <x:v>LCSW-ALT-053</x:v>
      </x:c>
      <x:c r="B54" s="117" t="n">
        <x:v>0.7166280862842748</x:v>
      </x:c>
      <x:c r="C54" s="83" t="str">
        <x:v>LCSW-MQB-FA-IP-014</x:v>
      </x:c>
      <x:c r="D54" s="83" t="str">
        <x:v>CTA-LCSW-MQB-0312</x:v>
      </x:c>
      <x:c r="E54" s="83" t="str">
        <x:v>Form A</x:v>
      </x:c>
      <x:c r="F54" s="83" t="str">
        <x:v>Grief intervention</x:v>
      </x:c>
      <x:c r="G54" s="83" t="str">
        <x:v>A bereaved client wants space to talk about the deceased but friends keep changing the subject. What should the social worker do?</x:v>
      </x:c>
      <x:c r="H54" s="83" t="str">
        <x:v>LCSW-MQB-FB-IP-014</x:v>
      </x:c>
      <x:c r="I54" s="83" t="str">
        <x:v>CTA-LCSW-MQB-0335</x:v>
      </x:c>
      <x:c r="J54" s="83" t="str">
        <x:v>Form B</x:v>
      </x:c>
      <x:c r="K54" s="83" t="str">
        <x:v>Grief intervention</x:v>
      </x:c>
      <x:c r="L54" s="83" t="str">
        <x:v>A grieving client says others avoid mentioning the deceased and the client needs a place to remember the relationship. What should the social worker do?</x:v>
      </x:c>
      <x:c r="M54" s="83" t="str">
        <x:v>Alternate Form</x:v>
      </x:c>
      <x:c r="N54" s="89" t="str">
        <x:v>Keep on separate forms; review both items together before future revision, option-count changes, or reuse.</x:v>
      </x:c>
    </x:row>
    <x:row r="55">
      <x:c r="A55" s="88" t="str">
        <x:v>LCSW-ALT-054</x:v>
      </x:c>
      <x:c r="B55" s="117" t="n">
        <x:v>0.6844799567426146</x:v>
      </x:c>
      <x:c r="C55" s="83" t="str">
        <x:v>LCSW-MQB-FA-IP-015</x:v>
      </x:c>
      <x:c r="D55" s="83" t="str">
        <x:v>CTA-LCSW-MQB-0297</x:v>
      </x:c>
      <x:c r="E55" s="83" t="str">
        <x:v>Form A</x:v>
      </x:c>
      <x:c r="F55" s="83" t="str">
        <x:v>Measurement-based care</x:v>
      </x:c>
      <x:c r="G55" s="83" t="str">
        <x:v>A symptom measure improves, but the client says daily functioning has worsened. What should the social worker do?</x:v>
      </x:c>
      <x:c r="H55" s="83" t="str">
        <x:v>LCSW-MQB-FB-IP-015</x:v>
      </x:c>
      <x:c r="I55" s="83" t="str">
        <x:v>CTA-LCSW-MQB-0393</x:v>
      </x:c>
      <x:c r="J55" s="83" t="str">
        <x:v>Form B</x:v>
      </x:c>
      <x:c r="K55" s="83" t="str">
        <x:v>Measurement-based care</x:v>
      </x:c>
      <x:c r="L55" s="83" t="str">
        <x:v>A rating scale shows fewer symptoms, but the client reports losing a job and becoming less able to manage daily tasks. What should the social worker do?</x:v>
      </x:c>
      <x:c r="M55" s="83" t="str">
        <x:v>Alternate Form</x:v>
      </x:c>
      <x:c r="N55" s="89" t="str">
        <x:v>Keep on separate forms; review both items together before future revision, option-count changes, or reuse.</x:v>
      </x:c>
    </x:row>
    <x:row r="56">
      <x:c r="A56" s="88" t="str">
        <x:v>LCSW-ALT-055</x:v>
      </x:c>
      <x:c r="B56" s="117" t="n">
        <x:v>0.7212987437446929</x:v>
      </x:c>
      <x:c r="C56" s="83" t="str">
        <x:v>LCSW-MQB-FA-IP-016</x:v>
      </x:c>
      <x:c r="D56" s="83" t="str">
        <x:v>CTA-LCSW-MQB-0317</x:v>
      </x:c>
      <x:c r="E56" s="83" t="str">
        <x:v>Form A</x:v>
      </x:c>
      <x:c r="F56" s="83" t="str">
        <x:v>Research literacy</x:v>
      </x:c>
      <x:c r="G56" s="83" t="str">
        <x:v>A study reports a treatment was effective but had a small nonrepresentative sample and high dropout. How should the social worker use the finding?</x:v>
      </x:c>
      <x:c r="H56" s="83" t="str">
        <x:v>LCSW-MQB-FB-IP-016</x:v>
      </x:c>
      <x:c r="I56" s="83" t="str">
        <x:v>CTA-LCSW-MQB-0430</x:v>
      </x:c>
      <x:c r="J56" s="83" t="str">
        <x:v>Form B</x:v>
      </x:c>
      <x:c r="K56" s="83" t="str">
        <x:v>Research literacy</x:v>
      </x:c>
      <x:c r="L56" s="83" t="str">
        <x:v>A promising intervention study used only 18 participants from one clinic and lost nearly half before follow-up. How should the social worker use the result?</x:v>
      </x:c>
      <x:c r="M56" s="83" t="str">
        <x:v>Alternate Form</x:v>
      </x:c>
      <x:c r="N56" s="89" t="str">
        <x:v>Keep on separate forms; review both items together before future revision, option-count changes, or reuse.</x:v>
      </x:c>
    </x:row>
    <x:row r="57">
      <x:c r="A57" s="88" t="str">
        <x:v>LCSW-ALT-056</x:v>
      </x:c>
      <x:c r="B57" s="117" t="n">
        <x:v>0.7930859679952085</x:v>
      </x:c>
      <x:c r="C57" s="83" t="str">
        <x:v>LCSW-MQB-FA-IP-017</x:v>
      </x:c>
      <x:c r="D57" s="83" t="str">
        <x:v>CTA-LCSW-MQB-0218</x:v>
      </x:c>
      <x:c r="E57" s="83" t="str">
        <x:v>Form A</x:v>
      </x:c>
      <x:c r="F57" s="83" t="str">
        <x:v>Supervision feedback</x:v>
      </x:c>
      <x:c r="G57" s="83" t="str">
        <x:v>A supervisee becomes defensive when given feedback. What should the supervisor do?</x:v>
      </x:c>
      <x:c r="H57" s="83" t="str">
        <x:v>LCSW-MQB-FB-IP-017</x:v>
      </x:c>
      <x:c r="I57" s="83" t="str">
        <x:v>CTA-LCSW-MQB-0384</x:v>
      </x:c>
      <x:c r="J57" s="83" t="str">
        <x:v>Form B</x:v>
      </x:c>
      <x:c r="K57" s="83" t="str">
        <x:v>Supervision feedback</x:v>
      </x:c>
      <x:c r="L57" s="83" t="str">
        <x:v>A supervisee argues with each corrective comment and says the supervisor “does not understand the case.” What should the supervisor do?</x:v>
      </x:c>
      <x:c r="M57" s="83" t="str">
        <x:v>Alternate Form</x:v>
      </x:c>
      <x:c r="N57" s="89" t="str">
        <x:v>Keep on separate forms; review both items together before future revision, option-count changes, or reuse.</x:v>
      </x:c>
    </x:row>
    <x:row r="58">
      <x:c r="A58" s="88" t="str">
        <x:v>LCSW-ALT-057</x:v>
      </x:c>
      <x:c r="B58" s="117" t="n">
        <x:v>0.836868297565613</x:v>
      </x:c>
      <x:c r="C58" s="83" t="str">
        <x:v>LCSW-MQB-FA-IP-018</x:v>
      </x:c>
      <x:c r="D58" s="83" t="str">
        <x:v>CTA-LCSW-MQB-0323</x:v>
      </x:c>
      <x:c r="E58" s="83" t="str">
        <x:v>Form A</x:v>
      </x:c>
      <x:c r="F58" s="83" t="str">
        <x:v>Termination review</x:v>
      </x:c>
      <x:c r="G58" s="83" t="str">
        <x:v>A client has met goals and wants to end. What should the social worker do?</x:v>
      </x:c>
      <x:c r="H58" s="83" t="str">
        <x:v>LCSW-MQB-FB-IP-018</x:v>
      </x:c>
      <x:c r="I58" s="83" t="str">
        <x:v>CTA-LCSW-MQB-0446</x:v>
      </x:c>
      <x:c r="J58" s="83" t="str">
        <x:v>Form B</x:v>
      </x:c>
      <x:c r="K58" s="83" t="str">
        <x:v>Termination review</x:v>
      </x:c>
      <x:c r="L58" s="83" t="str">
        <x:v>Treatment goals have been achieved and a client proposes ending services. What should occur before termination?</x:v>
      </x:c>
      <x:c r="M58" s="83" t="str">
        <x:v>Alternate Form</x:v>
      </x:c>
      <x:c r="N58" s="89" t="str">
        <x:v>Keep on separate forms; review both items together before future revision, option-count changes, or reuse.</x:v>
      </x:c>
    </x:row>
    <x:row r="59">
      <x:c r="A59" s="88" t="str">
        <x:v>LCSW-ALT-058</x:v>
      </x:c>
      <x:c r="B59" s="117" t="n">
        <x:v>0.6885725086052803</x:v>
      </x:c>
      <x:c r="C59" s="83" t="str">
        <x:v>LCSW-MQB-FA-IP-019</x:v>
      </x:c>
      <x:c r="D59" s="83" t="str">
        <x:v>CTA-LCSW-MQB-0250</x:v>
      </x:c>
      <x:c r="E59" s="83" t="str">
        <x:v>Form A</x:v>
      </x:c>
      <x:c r="F59" s="83" t="str">
        <x:v>Crisis de-escalation</x:v>
      </x:c>
      <x:c r="G59" s="83" t="str">
        <x:v>An agitated client is pacing, shouting, and moving closer to staff. What should the social worker do FIRST?</x:v>
      </x:c>
      <x:c r="H59" s="83" t="str">
        <x:v>LCSW-MQB-FB-IP-019</x:v>
      </x:c>
      <x:c r="I59" s="83" t="str">
        <x:v>CTA-LCSW-MQB-0426</x:v>
      </x:c>
      <x:c r="J59" s="83" t="str">
        <x:v>Form B</x:v>
      </x:c>
      <x:c r="K59" s="83" t="str">
        <x:v>Crisis de-escalation</x:v>
      </x:c>
      <x:c r="L59" s="83" t="str">
        <x:v>In a lobby, a distressed client shouts, clenches fists, and moves into another person’s space. What should the social worker do first?</x:v>
      </x:c>
      <x:c r="M59" s="83" t="str">
        <x:v>Alternate Form</x:v>
      </x:c>
      <x:c r="N59" s="89" t="str">
        <x:v>Keep on separate forms; review both items together before future revision, option-count changes, or reuse.</x:v>
      </x:c>
    </x:row>
    <x:row r="60">
      <x:c r="A60" s="88" t="str">
        <x:v>LCSW-ALT-059</x:v>
      </x:c>
      <x:c r="B60" s="117" t="n">
        <x:v>0.8233749413927722</x:v>
      </x:c>
      <x:c r="C60" s="83" t="str">
        <x:v>LCSW-MQB-FA-IP-020</x:v>
      </x:c>
      <x:c r="D60" s="83" t="str">
        <x:v>CTA-LCSW-MQB-0255</x:v>
      </x:c>
      <x:c r="E60" s="83" t="str">
        <x:v>Form A</x:v>
      </x:c>
      <x:c r="F60" s="83" t="str">
        <x:v>Suicide intervention</x:v>
      </x:c>
      <x:c r="G60" s="83" t="str">
        <x:v>A client has intent, a specific plan, access to means, and cannot commit to immediate safety. What should the social worker do?</x:v>
      </x:c>
      <x:c r="H60" s="83" t="str">
        <x:v>LCSW-MQB-FB-IP-020</x:v>
      </x:c>
      <x:c r="I60" s="83" t="str">
        <x:v>CTA-LCSW-MQB-0418</x:v>
      </x:c>
      <x:c r="J60" s="83" t="str">
        <x:v>Form B</x:v>
      </x:c>
      <x:c r="K60" s="83" t="str">
        <x:v>Suicide intervention</x:v>
      </x:c>
      <x:c r="L60" s="83" t="str">
        <x:v>A client states an intention to die tonight, describes the method, has access to the means, and cannot participate in a safety plan. What should the social worker do?</x:v>
      </x:c>
      <x:c r="M60" s="83" t="str">
        <x:v>Alternate Form</x:v>
      </x:c>
      <x:c r="N60" s="89" t="str">
        <x:v>Keep on separate forms; review both items together before future revision, option-count changes, or reuse.</x:v>
      </x:c>
    </x:row>
    <x:row r="61">
      <x:c r="A61" s="88" t="str">
        <x:v>LCSW-ALT-060</x:v>
      </x:c>
      <x:c r="B61" s="117" t="n">
        <x:v>0.7227192876692086</x:v>
      </x:c>
      <x:c r="C61" s="83" t="str">
        <x:v>LCSW-MQB-FA-IP-021</x:v>
      </x:c>
      <x:c r="D61" s="83" t="str">
        <x:v>CTA-LCSW-MQB-0272</x:v>
      </x:c>
      <x:c r="E61" s="83" t="str">
        <x:v>Form A</x:v>
      </x:c>
      <x:c r="F61" s="83" t="str">
        <x:v>Domestic violence safety planning</x:v>
      </x:c>
      <x:c r="G61" s="83" t="str">
        <x:v>A client experiencing partner violence is not ready to leave. What should the social worker do?</x:v>
      </x:c>
      <x:c r="H61" s="83" t="str">
        <x:v>LCSW-MQB-FB-IP-021</x:v>
      </x:c>
      <x:c r="I61" s="83" t="str">
        <x:v>CTA-LCSW-MQB-0370</x:v>
      </x:c>
      <x:c r="J61" s="83" t="str">
        <x:v>Form B</x:v>
      </x:c>
      <x:c r="K61" s="83" t="str">
        <x:v>Domestic violence safety planning</x:v>
      </x:c>
      <x:c r="L61" s="83" t="str">
        <x:v>A survivor of partner violence wants support but is not prepared to separate from the partner. What should the social worker do?</x:v>
      </x:c>
      <x:c r="M61" s="83" t="str">
        <x:v>Alternate Form</x:v>
      </x:c>
      <x:c r="N61" s="89" t="str">
        <x:v>Keep on separate forms; review both items together before future revision, option-count changes, or reuse.</x:v>
      </x:c>
    </x:row>
    <x:row r="62">
      <x:c r="A62" s="88" t="str">
        <x:v>LCSW-ALT-061</x:v>
      </x:c>
      <x:c r="B62" s="117" t="n">
        <x:v>0.7363443889882976</x:v>
      </x:c>
      <x:c r="C62" s="83" t="str">
        <x:v>LCSW-MQB-FA-IP-022</x:v>
      </x:c>
      <x:c r="D62" s="83" t="str">
        <x:v>CTA-LCSW-MQB-0270</x:v>
      </x:c>
      <x:c r="E62" s="83" t="str">
        <x:v>Form A</x:v>
      </x:c>
      <x:c r="F62" s="83" t="str">
        <x:v>Psychosis engagement</x:v>
      </x:c>
      <x:c r="G62" s="83" t="str">
        <x:v>A client experiencing persecutory beliefs refuses medication and distrusts the clinic. What should the social worker do FIRST?</x:v>
      </x:c>
      <x:c r="H62" s="83" t="str">
        <x:v>LCSW-MQB-FB-IP-022</x:v>
      </x:c>
      <x:c r="I62" s="83" t="str">
        <x:v>CTA-LCSW-MQB-0343</x:v>
      </x:c>
      <x:c r="J62" s="83" t="str">
        <x:v>Form B</x:v>
      </x:c>
      <x:c r="K62" s="83" t="str">
        <x:v>Psychosis engagement</x:v>
      </x:c>
      <x:c r="L62" s="83" t="str">
        <x:v>A client who believes clinic staff are part of a conspiracy refuses medication and says no one can be trusted. What should the social worker do first?</x:v>
      </x:c>
      <x:c r="M62" s="83" t="str">
        <x:v>Alternate Form</x:v>
      </x:c>
      <x:c r="N62" s="89" t="str">
        <x:v>Keep on separate forms; review both items together before future revision, option-count changes, or reuse.</x:v>
      </x:c>
    </x:row>
    <x:row r="63">
      <x:c r="A63" s="88" t="str">
        <x:v>LCSW-ALT-062</x:v>
      </x:c>
      <x:c r="B63" s="117" t="n">
        <x:v>0.8853304665204463</x:v>
      </x:c>
      <x:c r="C63" s="83" t="str">
        <x:v>LCSW-MQB-FA-IP-023</x:v>
      </x:c>
      <x:c r="D63" s="83" t="str">
        <x:v>CTA-LCSW-MQB-0263</x:v>
      </x:c>
      <x:c r="E63" s="83" t="str">
        <x:v>Form A</x:v>
      </x:c>
      <x:c r="F63" s="83" t="str">
        <x:v>Substance harm reduction</x:v>
      </x:c>
      <x:c r="G63" s="83" t="str">
        <x:v>A client is not ready for abstinence but wants fewer overdoses. What should the social worker do?</x:v>
      </x:c>
      <x:c r="H63" s="83" t="str">
        <x:v>LCSW-MQB-FB-IP-023</x:v>
      </x:c>
      <x:c r="I63" s="83" t="str">
        <x:v>CTA-LCSW-MQB-0422</x:v>
      </x:c>
      <x:c r="J63" s="83" t="str">
        <x:v>Form B</x:v>
      </x:c>
      <x:c r="K63" s="83" t="str">
        <x:v>Substance harm reduction</x:v>
      </x:c>
      <x:c r="L63" s="83" t="str">
        <x:v>A client who uses opioids declines abstinence treatment but asks how to lower the chance of another overdose. What should the social worker do?</x:v>
      </x:c>
      <x:c r="M63" s="83" t="str">
        <x:v>Alternate Form</x:v>
      </x:c>
      <x:c r="N63" s="89" t="str">
        <x:v>Keep on separate forms; review both items together before future revision, option-count changes, or reuse.</x:v>
      </x:c>
    </x:row>
    <x:row r="64">
      <x:c r="A64" s="88" t="str">
        <x:v>LCSW-ALT-063</x:v>
      </x:c>
      <x:c r="B64" s="117" t="n">
        <x:v>0.8921651252303211</x:v>
      </x:c>
      <x:c r="C64" s="83" t="str">
        <x:v>LCSW-MQB-FA-IP-024</x:v>
      </x:c>
      <x:c r="D64" s="83" t="str">
        <x:v>CTA-LCSW-MQB-0251</x:v>
      </x:c>
      <x:c r="E64" s="83" t="str">
        <x:v>Form A</x:v>
      </x:c>
      <x:c r="F64" s="83" t="str">
        <x:v>Trauma exposure pacing</x:v>
      </x:c>
      <x:c r="G64" s="83" t="str">
        <x:v>A client wants to begin exposure work but has frequent dissociation and no reliable stabilization skills. What should the social worker do?</x:v>
      </x:c>
      <x:c r="H64" s="83" t="str">
        <x:v>LCSW-MQB-FB-IP-024</x:v>
      </x:c>
      <x:c r="I64" s="83" t="str">
        <x:v>CTA-LCSW-MQB-0367</x:v>
      </x:c>
      <x:c r="J64" s="83" t="str">
        <x:v>Form B</x:v>
      </x:c>
      <x:c r="K64" s="83" t="str">
        <x:v>Trauma exposure pacing</x:v>
      </x:c>
      <x:c r="L64" s="83" t="str">
        <x:v>A client asks to start intensive trauma exposure despite frequent dissociation and an inability to use grounding skills. What should the social worker do?</x:v>
      </x:c>
      <x:c r="M64" s="83" t="str">
        <x:v>Alternate Form</x:v>
      </x:c>
      <x:c r="N64" s="89" t="str">
        <x:v>Keep on separate forms; review both items together before future revision, option-count changes, or reuse.</x:v>
      </x:c>
    </x:row>
    <x:row r="65">
      <x:c r="A65" s="88" t="str">
        <x:v>LCSW-ALT-064</x:v>
      </x:c>
      <x:c r="B65" s="117" t="n">
        <x:v>0.8742044552661973</x:v>
      </x:c>
      <x:c r="C65" s="83" t="str">
        <x:v>LCSW-MQB-FA-IP-025</x:v>
      </x:c>
      <x:c r="D65" s="83" t="str">
        <x:v>CTA-LCSW-MQB-0322</x:v>
      </x:c>
      <x:c r="E65" s="83" t="str">
        <x:v>Form A</x:v>
      </x:c>
      <x:c r="F65" s="83" t="str">
        <x:v>Family conflict and safety</x:v>
      </x:c>
      <x:c r="G65" s="83" t="str">
        <x:v>A family requests joint sessions, but one member privately reports fear of retaliation after speaking. What should the social worker do NEXT?</x:v>
      </x:c>
      <x:c r="H65" s="83" t="str">
        <x:v>LCSW-MQB-FB-IP-025</x:v>
      </x:c>
      <x:c r="I65" s="83" t="str">
        <x:v>CTA-LCSW-MQB-0391</x:v>
      </x:c>
      <x:c r="J65" s="83" t="str">
        <x:v>Form B</x:v>
      </x:c>
      <x:c r="K65" s="83" t="str">
        <x:v>Family conflict and safety</x:v>
      </x:c>
      <x:c r="L65" s="83" t="str">
        <x:v>Before a planned family meeting, one participant privately says speaking honestly at home leads to retaliation. What should the social worker do next?</x:v>
      </x:c>
      <x:c r="M65" s="83" t="str">
        <x:v>Alternate Form</x:v>
      </x:c>
      <x:c r="N65" s="89" t="str">
        <x:v>Keep on separate forms; review both items together before future revision, option-count changes, or reuse.</x:v>
      </x:c>
    </x:row>
    <x:row r="66">
      <x:c r="A66" s="88" t="str">
        <x:v>LCSW-ALT-065</x:v>
      </x:c>
      <x:c r="B66" s="117" t="n">
        <x:v>0.8855163725110927</x:v>
      </x:c>
      <x:c r="C66" s="83" t="str">
        <x:v>LCSW-MQB-FA-IP-026</x:v>
      </x:c>
      <x:c r="D66" s="83" t="str">
        <x:v>CTA-LCSW-MQB-0315</x:v>
      </x:c>
      <x:c r="E66" s="83" t="str">
        <x:v>Form A</x:v>
      </x:c>
      <x:c r="F66" s="83" t="str">
        <x:v>Group conflict</x:v>
      </x:c>
      <x:c r="G66" s="83" t="str">
        <x:v>Two group members begin threatening each other. What should the facilitator do FIRST?</x:v>
      </x:c>
      <x:c r="H66" s="83" t="str">
        <x:v>LCSW-MQB-FB-IP-026</x:v>
      </x:c>
      <x:c r="I66" s="83" t="str">
        <x:v>CTA-LCSW-MQB-0385</x:v>
      </x:c>
      <x:c r="J66" s="83" t="str">
        <x:v>Form B</x:v>
      </x:c>
      <x:c r="K66" s="83" t="str">
        <x:v>Group conflict</x:v>
      </x:c>
      <x:c r="L66" s="83" t="str">
        <x:v>During group, two members stand up, exchange threats, and ignore requests to stop. What should the facilitator do first?</x:v>
      </x:c>
      <x:c r="M66" s="83" t="str">
        <x:v>Alternate Form</x:v>
      </x:c>
      <x:c r="N66" s="89" t="str">
        <x:v>Keep on separate forms; review both items together before future revision, option-count changes, or reuse.</x:v>
      </x:c>
    </x:row>
    <x:row r="67">
      <x:c r="A67" s="88" t="str">
        <x:v>LCSW-ALT-066</x:v>
      </x:c>
      <x:c r="B67" s="117" t="n">
        <x:v>0.8902043944392852</x:v>
      </x:c>
      <x:c r="C67" s="83" t="str">
        <x:v>LCSW-MQB-FA-IP-027</x:v>
      </x:c>
      <x:c r="D67" s="83" t="str">
        <x:v>CTA-LCSW-MQB-0319</x:v>
      </x:c>
      <x:c r="E67" s="83" t="str">
        <x:v>Form A</x:v>
      </x:c>
      <x:c r="F67" s="83" t="str">
        <x:v>Warm referral</x:v>
      </x:c>
      <x:c r="G67" s="83" t="str">
        <x:v>A client repeatedly fails to connect with a specialty clinic because the intake process is confusing. What should the social worker do?</x:v>
      </x:c>
      <x:c r="H67" s="83" t="str">
        <x:v>LCSW-MQB-FB-IP-027</x:v>
      </x:c>
      <x:c r="I67" s="83" t="str">
        <x:v>CTA-LCSW-MQB-0416</x:v>
      </x:c>
      <x:c r="J67" s="83" t="str">
        <x:v>Form B</x:v>
      </x:c>
      <x:c r="K67" s="83" t="str">
        <x:v>Warm referral</x:v>
      </x:c>
      <x:c r="L67" s="83" t="str">
        <x:v>A client repeatedly misses a specialty clinic’s intake because forms, phone menus, and required documents are confusing. What should the social worker do?</x:v>
      </x:c>
      <x:c r="M67" s="83" t="str">
        <x:v>Alternate Form</x:v>
      </x:c>
      <x:c r="N67" s="89" t="str">
        <x:v>Keep on separate forms; review both items together before future revision, option-count changes, or reuse.</x:v>
      </x:c>
    </x:row>
    <x:row r="68">
      <x:c r="A68" s="88" t="str">
        <x:v>LCSW-ALT-067</x:v>
      </x:c>
      <x:c r="B68" s="117" t="n">
        <x:v>0.8455334410432824</x:v>
      </x:c>
      <x:c r="C68" s="83" t="str">
        <x:v>LCSW-MQB-FA-IP-028</x:v>
      </x:c>
      <x:c r="D68" s="83" t="str">
        <x:v>CTA-LCSW-MQB-0223</x:v>
      </x:c>
      <x:c r="E68" s="83" t="str">
        <x:v>Form A</x:v>
      </x:c>
      <x:c r="F68" s="83" t="str">
        <x:v>Hospital discharge advocacy</x:v>
      </x:c>
      <x:c r="G68" s="83" t="str">
        <x:v>A hospital plans discharge to a shelter that cannot accommodate the client’s wheelchair. What should the social worker do?</x:v>
      </x:c>
      <x:c r="H68" s="83" t="str">
        <x:v>LCSW-MQB-FB-IP-028</x:v>
      </x:c>
      <x:c r="I68" s="83" t="str">
        <x:v>CTA-LCSW-MQB-0387</x:v>
      </x:c>
      <x:c r="J68" s="83" t="str">
        <x:v>Form B</x:v>
      </x:c>
      <x:c r="K68" s="83" t="str">
        <x:v>Hospital discharge advocacy</x:v>
      </x:c>
      <x:c r="L68" s="83" t="str">
        <x:v>A rehabilitation hospital proposes discharge to a residence with stairs and no accessible bathroom for a client who uses a wheelchair. What should the social worker do?</x:v>
      </x:c>
      <x:c r="M68" s="83" t="str">
        <x:v>Alternate Form</x:v>
      </x:c>
      <x:c r="N68" s="89" t="str">
        <x:v>Keep on separate forms; review both items together before future revision, option-count changes, or reuse.</x:v>
      </x:c>
    </x:row>
    <x:row r="69">
      <x:c r="A69" s="88" t="str">
        <x:v>LCSW-ALT-068</x:v>
      </x:c>
      <x:c r="B69" s="117" t="n">
        <x:v>0.7143125460225405</x:v>
      </x:c>
      <x:c r="C69" s="83" t="str">
        <x:v>LCSW-MQB-FA-IP-029</x:v>
      </x:c>
      <x:c r="D69" s="83" t="str">
        <x:v>CTA-LCSW-MQB-0205</x:v>
      </x:c>
      <x:c r="E69" s="83" t="str">
        <x:v>Form A</x:v>
      </x:c>
      <x:c r="F69" s="83" t="str">
        <x:v>Child behavioral intervention</x:v>
      </x:c>
      <x:c r="G69" s="83" t="str">
        <x:v>A child’s disruptive behavior occurs mainly during difficult schoolwork. What should the school social worker do NEXT?</x:v>
      </x:c>
      <x:c r="H69" s="83" t="str">
        <x:v>LCSW-MQB-FB-IP-029</x:v>
      </x:c>
      <x:c r="I69" s="83" t="str">
        <x:v>CTA-LCSW-MQB-0448</x:v>
      </x:c>
      <x:c r="J69" s="83" t="str">
        <x:v>Form B</x:v>
      </x:c>
      <x:c r="K69" s="83" t="str">
        <x:v>Child behavioral intervention</x:v>
      </x:c>
      <x:c r="L69" s="83" t="str">
        <x:v>A student’s outbursts appear almost exclusively when reading assignments exceed current skill level. What should the school social worker do next?</x:v>
      </x:c>
      <x:c r="M69" s="83" t="str">
        <x:v>Alternate Form</x:v>
      </x:c>
      <x:c r="N69" s="89" t="str">
        <x:v>Keep on separate forms; review both items together before future revision, option-count changes, or reuse.</x:v>
      </x:c>
    </x:row>
    <x:row r="70">
      <x:c r="A70" s="88" t="str">
        <x:v>LCSW-ALT-069</x:v>
      </x:c>
      <x:c r="B70" s="117" t="n">
        <x:v>0.8046277854210118</x:v>
      </x:c>
      <x:c r="C70" s="83" t="str">
        <x:v>LCSW-MQB-FA-IP-030</x:v>
      </x:c>
      <x:c r="D70" s="83" t="str">
        <x:v>CTA-LCSW-MQB-0227</x:v>
      </x:c>
      <x:c r="E70" s="83" t="str">
        <x:v>Form A</x:v>
      </x:c>
      <x:c r="F70" s="83" t="str">
        <x:v>Caregiver support</x:v>
      </x:c>
      <x:c r="G70" s="83" t="str">
        <x:v>A caregiver reports exhaustion and occasional thoughts of abandoning responsibilities. What should the social worker do?</x:v>
      </x:c>
      <x:c r="H70" s="83" t="str">
        <x:v>LCSW-MQB-FB-IP-030</x:v>
      </x:c>
      <x:c r="I70" s="83" t="str">
        <x:v>CTA-LCSW-MQB-0435</x:v>
      </x:c>
      <x:c r="J70" s="83" t="str">
        <x:v>Form B</x:v>
      </x:c>
      <x:c r="K70" s="83" t="str">
        <x:v>Caregiver support</x:v>
      </x:c>
      <x:c r="L70" s="83" t="str">
        <x:v>A family caregiver says, “I am so depleted that sometimes I want to walk away and never return.” What should the social worker do?</x:v>
      </x:c>
      <x:c r="M70" s="83" t="str">
        <x:v>Alternate Form</x:v>
      </x:c>
      <x:c r="N70" s="89" t="str">
        <x:v>Keep on separate forms; review both items together before future revision, option-count changes, or reuse.</x:v>
      </x:c>
    </x:row>
    <x:row r="71">
      <x:c r="A71" s="88" t="str">
        <x:v>LCSW-ALT-070</x:v>
      </x:c>
      <x:c r="B71" s="117" t="n">
        <x:v>0.8509709896112337</x:v>
      </x:c>
      <x:c r="C71" s="83" t="str">
        <x:v>LCSW-MQB-FA-IP-031</x:v>
      </x:c>
      <x:c r="D71" s="83" t="str">
        <x:v>CTA-LCSW-MQB-0233</x:v>
      </x:c>
      <x:c r="E71" s="83" t="str">
        <x:v>Form A</x:v>
      </x:c>
      <x:c r="F71" s="83" t="str">
        <x:v>Program fidelity and adaptation</x:v>
      </x:c>
      <x:c r="G71" s="83" t="str">
        <x:v>A culturally adapted group is losing key therapeutic components. What should the program social worker do?</x:v>
      </x:c>
      <x:c r="H71" s="83" t="str">
        <x:v>LCSW-MQB-FB-IP-031</x:v>
      </x:c>
      <x:c r="I71" s="83" t="str">
        <x:v>CTA-LCSW-MQB-0361</x:v>
      </x:c>
      <x:c r="J71" s="83" t="str">
        <x:v>Form B</x:v>
      </x:c>
      <x:c r="K71" s="83" t="str">
        <x:v>Program fidelity and adaptation</x:v>
      </x:c>
      <x:c r="L71" s="83" t="str">
        <x:v>A community group has been culturally modified, but staff have removed the core practice elements associated with benefit. What should the program social worker do?</x:v>
      </x:c>
      <x:c r="M71" s="83" t="str">
        <x:v>Alternate Form</x:v>
      </x:c>
      <x:c r="N71" s="89" t="str">
        <x:v>Keep on separate forms; review both items together before future revision, option-count changes, or reuse.</x:v>
      </x:c>
    </x:row>
    <x:row r="72">
      <x:c r="A72" s="88" t="str">
        <x:v>LCSW-ALT-071</x:v>
      </x:c>
      <x:c r="B72" s="117" t="n">
        <x:v>0.8809871141541188</x:v>
      </x:c>
      <x:c r="C72" s="83" t="str">
        <x:v>LCSW-MQB-FA-IP-032</x:v>
      </x:c>
      <x:c r="D72" s="83" t="str">
        <x:v>CTA-LCSW-MQB-0286</x:v>
      </x:c>
      <x:c r="E72" s="83" t="str">
        <x:v>Form A</x:v>
      </x:c>
      <x:c r="F72" s="83" t="str">
        <x:v>Supervision and client risk</x:v>
      </x:c>
      <x:c r="G72" s="83" t="str">
        <x:v>A supervisee repeatedly misses suicide-risk cues despite prior instruction. What should the supervisor do?</x:v>
      </x:c>
      <x:c r="H72" s="83" t="str">
        <x:v>LCSW-MQB-FB-IP-032</x:v>
      </x:c>
      <x:c r="I72" s="83" t="str">
        <x:v>CTA-LCSW-MQB-0366</x:v>
      </x:c>
      <x:c r="J72" s="83" t="str">
        <x:v>Form B</x:v>
      </x:c>
      <x:c r="K72" s="83" t="str">
        <x:v>Supervision and client risk</x:v>
      </x:c>
      <x:c r="L72" s="83" t="str">
        <x:v>Despite coaching, a supervisee continues overlooking warning signs in high-risk cases. What should the supervisor do?</x:v>
      </x:c>
      <x:c r="M72" s="83" t="str">
        <x:v>Alternate Form</x:v>
      </x:c>
      <x:c r="N72" s="89" t="str">
        <x:v>Keep on separate forms; review both items together before future revision, option-count changes, or reuse.</x:v>
      </x:c>
    </x:row>
    <x:row r="73">
      <x:c r="A73" s="88" t="str">
        <x:v>LCSW-ALT-072</x:v>
      </x:c>
      <x:c r="B73" s="117" t="n">
        <x:v>0.8363442766791623</x:v>
      </x:c>
      <x:c r="C73" s="83" t="str">
        <x:v>LCSW-MQB-FA-IP-033</x:v>
      </x:c>
      <x:c r="D73" s="83" t="str">
        <x:v>CTA-LCSW-MQB-0262</x:v>
      </x:c>
      <x:c r="E73" s="83" t="str">
        <x:v>Form A</x:v>
      </x:c>
      <x:c r="F73" s="83" t="str">
        <x:v>Termination after dropout</x:v>
      </x:c>
      <x:c r="G73" s="83" t="str">
        <x:v>A high-risk client stops attending and does not respond to routine messages. What should the social worker do?</x:v>
      </x:c>
      <x:c r="H73" s="83" t="str">
        <x:v>LCSW-MQB-FB-IP-033</x:v>
      </x:c>
      <x:c r="I73" s="83" t="str">
        <x:v>CTA-LCSW-MQB-0380</x:v>
      </x:c>
      <x:c r="J73" s="83" t="str">
        <x:v>Form B</x:v>
      </x:c>
      <x:c r="K73" s="83" t="str">
        <x:v>Termination after dropout</x:v>
      </x:c>
      <x:c r="L73" s="83" t="str">
        <x:v>A client with recent suicidal behavior abruptly stops attending and does not answer usual outreach. What should the social worker do?</x:v>
      </x:c>
      <x:c r="M73" s="83" t="str">
        <x:v>Alternate Form</x:v>
      </x:c>
      <x:c r="N73" s="89" t="str">
        <x:v>Keep on separate forms; review both items together before future revision, option-count changes, or reuse.</x:v>
      </x:c>
    </x:row>
    <x:row r="74">
      <x:c r="A74" s="88" t="str">
        <x:v>LCSW-ALT-073</x:v>
      </x:c>
      <x:c r="B74" s="117" t="n">
        <x:v>0.8992109441272911</x:v>
      </x:c>
      <x:c r="C74" s="83" t="str">
        <x:v>LCSW-MQB-FA-IP-034</x:v>
      </x:c>
      <x:c r="D74" s="83" t="str">
        <x:v>CTA-LCSW-MQB-0326</x:v>
      </x:c>
      <x:c r="E74" s="83" t="str">
        <x:v>Form A</x:v>
      </x:c>
      <x:c r="F74" s="83" t="str">
        <x:v>Crisis, housing, and continuity</x:v>
      </x:c>
      <x:c r="G74" s="83" t="str">
        <x:v>A client in crisis is medically stable but cannot return to an unsafe encampment and has no phone or transportation. What should the social worker do?</x:v>
      </x:c>
      <x:c r="H74" s="83" t="str">
        <x:v>LCSW-MQB-FB-IP-034</x:v>
      </x:c>
      <x:c r="I74" s="83" t="str">
        <x:v>CTA-LCSW-MQB-0347</x:v>
      </x:c>
      <x:c r="J74" s="83" t="str">
        <x:v>Form B</x:v>
      </x:c>
      <x:c r="K74" s="83" t="str">
        <x:v>Crisis, housing, and continuity</x:v>
      </x:c>
      <x:c r="L74" s="83" t="str">
        <x:v>A client is medically cleared after a crisis but has only an unsafe outdoor location, no transportation, and no working phone. What should the social worker do?</x:v>
      </x:c>
      <x:c r="M74" s="83" t="str">
        <x:v>Alternate Form</x:v>
      </x:c>
      <x:c r="N74" s="89" t="str">
        <x:v>Keep on separate forms; review both items together before future revision, option-count changes, or reuse.</x:v>
      </x:c>
    </x:row>
    <x:row r="75">
      <x:c r="A75" s="88" t="str">
        <x:v>LCSW-ALT-074</x:v>
      </x:c>
      <x:c r="B75" s="117" t="n">
        <x:v>0.8197546324128</x:v>
      </x:c>
      <x:c r="C75" s="83" t="str">
        <x:v>LCSW-MQB-FA-IP-035</x:v>
      </x:c>
      <x:c r="D75" s="83" t="str">
        <x:v>CTA-LCSW-MQB-0208</x:v>
      </x:c>
      <x:c r="E75" s="83" t="str">
        <x:v>Form A</x:v>
      </x:c>
      <x:c r="F75" s="83" t="str">
        <x:v>Family intervention and coercion</x:v>
      </x:c>
      <x:c r="G75" s="83" t="str">
        <x:v>A family requests communication training, but assessment reveals one member uses threats, surveillance, and financial control. What should the social worker do?</x:v>
      </x:c>
      <x:c r="H75" s="83" t="str">
        <x:v>LCSW-MQB-FB-IP-035</x:v>
      </x:c>
      <x:c r="I75" s="83" t="str">
        <x:v>CTA-LCSW-MQB-0429</x:v>
      </x:c>
      <x:c r="J75" s="83" t="str">
        <x:v>Form B</x:v>
      </x:c>
      <x:c r="K75" s="83" t="str">
        <x:v>Family intervention and coercion</x:v>
      </x:c>
      <x:c r="L75" s="83" t="str">
        <x:v>A family asks for conflict-resolution exercises, but one person reports stalking, threats, and control of money by another member. What should the social worker do?</x:v>
      </x:c>
      <x:c r="M75" s="83" t="str">
        <x:v>Alternate Form</x:v>
      </x:c>
      <x:c r="N75" s="89" t="str">
        <x:v>Keep on separate forms; review both items together before future revision, option-count changes, or reuse.</x:v>
      </x:c>
    </x:row>
    <x:row r="76">
      <x:c r="A76" s="88" t="str">
        <x:v>LCSW-ALT-075</x:v>
      </x:c>
      <x:c r="B76" s="117" t="n">
        <x:v>0.8233710373580752</x:v>
      </x:c>
      <x:c r="C76" s="83" t="str">
        <x:v>LCSW-MQB-FA-IP-036</x:v>
      </x:c>
      <x:c r="D76" s="83" t="str">
        <x:v>CTA-LCSW-MQB-0245</x:v>
      </x:c>
      <x:c r="E76" s="83" t="str">
        <x:v>Form A</x:v>
      </x:c>
      <x:c r="F76" s="83" t="str">
        <x:v>Evidence, culture, and preference</x:v>
      </x:c>
      <x:c r="G76" s="83" t="str">
        <x:v>A strongly supported treatment conflicts with a client’s cultural values and prior harmful experiences in institutions. What should the social worker do?</x:v>
      </x:c>
      <x:c r="H76" s="83" t="str">
        <x:v>LCSW-MQB-FB-IP-036</x:v>
      </x:c>
      <x:c r="I76" s="83" t="str">
        <x:v>CTA-LCSW-MQB-0412</x:v>
      </x:c>
      <x:c r="J76" s="83" t="str">
        <x:v>Form B</x:v>
      </x:c>
      <x:c r="K76" s="83" t="str">
        <x:v>Evidence, culture, and preference</x:v>
      </x:c>
      <x:c r="L76" s="83" t="str">
        <x:v>A recommended intervention has strong evidence, but the client associates the setting and method with prior discrimination and says it conflicts with important cultural values. What should the social worker do?</x:v>
      </x:c>
      <x:c r="M76" s="83" t="str">
        <x:v>Alternate Form</x:v>
      </x:c>
      <x:c r="N76" s="89" t="str">
        <x:v>Keep on separate forms; review both items together before future revision, option-count changes, or reuse.</x:v>
      </x:c>
    </x:row>
    <x:row r="77">
      <x:c r="A77" s="88" t="str">
        <x:v>LCSW-ALT-076</x:v>
      </x:c>
      <x:c r="B77" s="117" t="n">
        <x:v>0.8013025236824034</x:v>
      </x:c>
      <x:c r="C77" s="83" t="str">
        <x:v>LCSW-MQB-FA-IP-037</x:v>
      </x:c>
      <x:c r="D77" s="83" t="str">
        <x:v>CTA-LCSW-MQB-0292</x:v>
      </x:c>
      <x:c r="E77" s="83" t="str">
        <x:v>Form A</x:v>
      </x:c>
      <x:c r="F77" s="83" t="str">
        <x:v>Program evaluation and equity</x:v>
      </x:c>
      <x:c r="G77" s="83" t="str">
        <x:v>A program’s average outcomes improve, but clients who need interpreters have much higher dropout. What should the social worker do?</x:v>
      </x:c>
      <x:c r="H77" s="83" t="str">
        <x:v>LCSW-MQB-FB-IP-037</x:v>
      </x:c>
      <x:c r="I77" s="83" t="str">
        <x:v>CTA-LCSW-MQB-0341</x:v>
      </x:c>
      <x:c r="J77" s="83" t="str">
        <x:v>Form B</x:v>
      </x:c>
      <x:c r="K77" s="83" t="str">
        <x:v>Program evaluation and equity</x:v>
      </x:c>
      <x:c r="L77" s="83" t="str">
        <x:v>Overall program scores rise, yet participants using language services are leaving treatment at twice the rate of other participants. What should the social worker do?</x:v>
      </x:c>
      <x:c r="M77" s="83" t="str">
        <x:v>Alternate Form</x:v>
      </x:c>
      <x:c r="N77" s="89" t="str">
        <x:v>Keep on separate forms; review both items together before future revision, option-count changes, or reuse.</x:v>
      </x:c>
    </x:row>
    <x:row r="78">
      <x:c r="A78" s="88" t="str">
        <x:v>LCSW-ALT-077</x:v>
      </x:c>
      <x:c r="B78" s="117" t="n">
        <x:v>0.904990801681942</x:v>
      </x:c>
      <x:c r="C78" s="83" t="str">
        <x:v>LCSW-MQB-FA-IP-038</x:v>
      </x:c>
      <x:c r="D78" s="83" t="str">
        <x:v>CTA-LCSW-MQB-0257</x:v>
      </x:c>
      <x:c r="E78" s="83" t="str">
        <x:v>Form A</x:v>
      </x:c>
      <x:c r="F78" s="83" t="str">
        <x:v>Interdisciplinary disagreement and autonomy</x:v>
      </x:c>
      <x:c r="G78" s="83" t="str">
        <x:v>A team recommends residential care, but a capable client prefers intensive community treatment. What should the social worker do?</x:v>
      </x:c>
      <x:c r="H78" s="83" t="str">
        <x:v>LCSW-MQB-FB-IP-038</x:v>
      </x:c>
      <x:c r="I78" s="83" t="str">
        <x:v>CTA-LCSW-MQB-0445</x:v>
      </x:c>
      <x:c r="J78" s="83" t="str">
        <x:v>Form B</x:v>
      </x:c>
      <x:c r="K78" s="83" t="str">
        <x:v>Interdisciplinary disagreement and autonomy</x:v>
      </x:c>
      <x:c r="L78" s="83" t="str">
        <x:v>A capable client chooses intensive home-based services after the team recommends residential placement. What should the social worker do?</x:v>
      </x:c>
      <x:c r="M78" s="83" t="str">
        <x:v>Alternate Form</x:v>
      </x:c>
      <x:c r="N78" s="89" t="str">
        <x:v>Keep on separate forms; review both items together before future revision, option-count changes, or reuse.</x:v>
      </x:c>
    </x:row>
    <x:row r="79">
      <x:c r="A79" s="88" t="str">
        <x:v>LCSW-ALT-078</x:v>
      </x:c>
      <x:c r="B79" s="117" t="n">
        <x:v>0.814632048035045</x:v>
      </x:c>
      <x:c r="C79" s="83" t="str">
        <x:v>LCSW-MQB-FA-IP-039</x:v>
      </x:c>
      <x:c r="D79" s="83" t="str">
        <x:v>CTA-LCSW-MQB-0265</x:v>
      </x:c>
      <x:c r="E79" s="83" t="str">
        <x:v>Form A</x:v>
      </x:c>
      <x:c r="F79" s="83" t="str">
        <x:v>Supervision, administration, and quality improvement</x:v>
      </x:c>
      <x:c r="G79" s="83" t="str">
        <x:v>An agency finds repeated documentation delays across many staff, linked to an electronic system that crashes daily. What should leadership do?</x:v>
      </x:c>
      <x:c r="H79" s="83" t="str">
        <x:v>LCSW-MQB-FB-IP-039</x:v>
      </x:c>
      <x:c r="I79" s="83" t="str">
        <x:v>CTA-LCSW-MQB-0396</x:v>
      </x:c>
      <x:c r="J79" s="83" t="str">
        <x:v>Form B</x:v>
      </x:c>
      <x:c r="K79" s="83" t="str">
        <x:v>Supervision, administration, and quality improvement</x:v>
      </x:c>
      <x:c r="L79" s="83" t="str">
        <x:v>An agency’s notes are late across multiple teams, and staff report that the record system freezes repeatedly each day. What should administrators do?</x:v>
      </x:c>
      <x:c r="M79" s="83" t="str">
        <x:v>Alternate Form</x:v>
      </x:c>
      <x:c r="N79" s="89" t="str">
        <x:v>Keep on separate forms; review both items together before future revision, option-count changes, or reuse.</x:v>
      </x:c>
    </x:row>
    <x:row r="80">
      <x:c r="A80" s="88" t="str">
        <x:v>LCSW-ALT-079</x:v>
      </x:c>
      <x:c r="B80" s="117" t="n">
        <x:v>0.5624830237534193</x:v>
      </x:c>
      <x:c r="C80" s="83" t="str">
        <x:v>LCSW-MQB-FA-VE-001</x:v>
      </x:c>
      <x:c r="D80" s="83" t="str">
        <x:v>CTA-LCSW-MQB-0253</x:v>
      </x:c>
      <x:c r="E80" s="83" t="str">
        <x:v>Form A</x:v>
      </x:c>
      <x:c r="F80" s="83" t="str">
        <x:v>Self-determination</x:v>
      </x:c>
      <x:c r="G80" s="83" t="str">
        <x:v>What is the central purpose of client self-determination in social work practice?</x:v>
      </x:c>
      <x:c r="H80" s="83" t="str">
        <x:v>LCSW-MQB-FB-VE-001</x:v>
      </x:c>
      <x:c r="I80" s="83" t="str">
        <x:v>CTA-LCSW-MQB-0373</x:v>
      </x:c>
      <x:c r="J80" s="83" t="str">
        <x:v>Form B</x:v>
      </x:c>
      <x:c r="K80" s="83" t="str">
        <x:v>Self-determination</x:v>
      </x:c>
      <x:c r="L80" s="83" t="str">
        <x:v>Which statement best describes why social workers protect a capable client’s right to participate in decisions about goals and services?</x:v>
      </x:c>
      <x:c r="M80" s="83" t="str">
        <x:v>Alternate Form</x:v>
      </x:c>
      <x:c r="N80" s="89" t="str">
        <x:v>Keep on separate forms; review both items together before future revision, option-count changes, or reuse.</x:v>
      </x:c>
    </x:row>
    <x:row r="81">
      <x:c r="A81" s="88" t="str">
        <x:v>LCSW-ALT-080</x:v>
      </x:c>
      <x:c r="B81" s="117" t="n">
        <x:v>0.6863002836161436</x:v>
      </x:c>
      <x:c r="C81" s="83" t="str">
        <x:v>LCSW-MQB-FA-VE-002</x:v>
      </x:c>
      <x:c r="D81" s="83" t="str">
        <x:v>CTA-LCSW-MQB-0282</x:v>
      </x:c>
      <x:c r="E81" s="83" t="str">
        <x:v>Form A</x:v>
      </x:c>
      <x:c r="F81" s="83" t="str">
        <x:v>Informed consent</x:v>
      </x:c>
      <x:c r="G81" s="83" t="str">
        <x:v>A client signs intake forms but cannot explain the proposed service, risks, or alternatives. Which conclusion is MOST accurate?</x:v>
      </x:c>
      <x:c r="H81" s="83" t="str">
        <x:v>LCSW-MQB-FB-VE-002</x:v>
      </x:c>
      <x:c r="I81" s="83" t="str">
        <x:v>CTA-LCSW-MQB-0357</x:v>
      </x:c>
      <x:c r="J81" s="83" t="str">
        <x:v>Form B</x:v>
      </x:c>
      <x:c r="K81" s="83" t="str">
        <x:v>Informed consent</x:v>
      </x:c>
      <x:c r="L81" s="83" t="str">
        <x:v>At a second session, a client reveals that the service, likely risks, and alternatives were not understood when the forms were signed. What is the most accurate conclusion?</x:v>
      </x:c>
      <x:c r="M81" s="83" t="str">
        <x:v>Alternate Form</x:v>
      </x:c>
      <x:c r="N81" s="89" t="str">
        <x:v>Keep on separate forms; review both items together before future revision, option-count changes, or reuse.</x:v>
      </x:c>
    </x:row>
    <x:row r="82">
      <x:c r="A82" s="88" t="str">
        <x:v>LCSW-ALT-081</x:v>
      </x:c>
      <x:c r="B82" s="117" t="n">
        <x:v>0.778324938206488</x:v>
      </x:c>
      <x:c r="C82" s="83" t="str">
        <x:v>LCSW-MQB-FA-VE-003</x:v>
      </x:c>
      <x:c r="D82" s="83" t="str">
        <x:v>CTA-LCSW-MQB-0254</x:v>
      </x:c>
      <x:c r="E82" s="83" t="str">
        <x:v>Form A</x:v>
      </x:c>
      <x:c r="F82" s="83" t="str">
        <x:v>Confidentiality and privilege</x:v>
      </x:c>
      <x:c r="G82" s="83" t="str">
        <x:v>Which statement MOST accurately distinguishes confidentiality from privilege?</x:v>
      </x:c>
      <x:c r="H82" s="83" t="str">
        <x:v>LCSW-MQB-FB-VE-003</x:v>
      </x:c>
      <x:c r="I82" s="83" t="str">
        <x:v>CTA-LCSW-MQB-0408</x:v>
      </x:c>
      <x:c r="J82" s="83" t="str">
        <x:v>Form B</x:v>
      </x:c>
      <x:c r="K82" s="83" t="str">
        <x:v>Confidentiality and privilege</x:v>
      </x:c>
      <x:c r="L82" s="83" t="str">
        <x:v>A social worker is deciding whether to release information routinely and whether to testify in court. Which distinction between confidentiality and privilege is most important?</x:v>
      </x:c>
      <x:c r="M82" s="83" t="str">
        <x:v>Alternate Form</x:v>
      </x:c>
      <x:c r="N82" s="89" t="str">
        <x:v>Keep on separate forms; review both items together before future revision, option-count changes, or reuse.</x:v>
      </x:c>
    </x:row>
    <x:row r="83">
      <x:c r="A83" s="88" t="str">
        <x:v>LCSW-ALT-082</x:v>
      </x:c>
      <x:c r="B83" s="117" t="n">
        <x:v>0.8734061787688977</x:v>
      </x:c>
      <x:c r="C83" s="83" t="str">
        <x:v>LCSW-MQB-FA-VE-004</x:v>
      </x:c>
      <x:c r="D83" s="83" t="str">
        <x:v>CTA-LCSW-MQB-0277</x:v>
      </x:c>
      <x:c r="E83" s="83" t="str">
        <x:v>Form A</x:v>
      </x:c>
      <x:c r="F83" s="83" t="str">
        <x:v>Cultural humility</x:v>
      </x:c>
      <x:c r="G83" s="83" t="str">
        <x:v>What does cultural humility require from a clinical social worker?</x:v>
      </x:c>
      <x:c r="H83" s="83" t="str">
        <x:v>LCSW-MQB-FB-VE-004</x:v>
      </x:c>
      <x:c r="I83" s="83" t="str">
        <x:v>CTA-LCSW-MQB-0362</x:v>
      </x:c>
      <x:c r="J83" s="83" t="str">
        <x:v>Form B</x:v>
      </x:c>
      <x:c r="K83" s="83" t="str">
        <x:v>Cultural humility</x:v>
      </x:c>
      <x:c r="L83" s="83" t="str">
        <x:v>Which professional stance most closely reflects cultural humility in an assessment with a client whose background differs from the social worker’s?</x:v>
      </x:c>
      <x:c r="M83" s="83" t="str">
        <x:v>Alternate Form</x:v>
      </x:c>
      <x:c r="N83" s="89" t="str">
        <x:v>Keep on separate forms; review both items together before future revision, option-count changes, or reuse.</x:v>
      </x:c>
    </x:row>
    <x:row r="84">
      <x:c r="A84" s="88" t="str">
        <x:v>LCSW-ALT-083</x:v>
      </x:c>
      <x:c r="B84" s="117" t="n">
        <x:v>0.7006712141977989</x:v>
      </x:c>
      <x:c r="C84" s="83" t="str">
        <x:v>LCSW-MQB-FA-VE-005</x:v>
      </x:c>
      <x:c r="D84" s="83" t="str">
        <x:v>CTA-LCSW-MQB-0285</x:v>
      </x:c>
      <x:c r="E84" s="83" t="str">
        <x:v>Form A</x:v>
      </x:c>
      <x:c r="F84" s="83" t="str">
        <x:v>Professional competence</x:v>
      </x:c>
      <x:c r="G84" s="83" t="str">
        <x:v>What is the BEST indicator that a social worker is competent to provide a specialized service?</x:v>
      </x:c>
      <x:c r="H84" s="83" t="str">
        <x:v>LCSW-MQB-FB-VE-005</x:v>
      </x:c>
      <x:c r="I84" s="83" t="str">
        <x:v>CTA-LCSW-MQB-0371</x:v>
      </x:c>
      <x:c r="J84" s="83" t="str">
        <x:v>Form B</x:v>
      </x:c>
      <x:c r="K84" s="83" t="str">
        <x:v>Professional competence</x:v>
      </x:c>
      <x:c r="L84" s="83" t="str">
        <x:v>Before offering a highly specialized intervention, what evidence most strongly supports that the social worker is competent to provide it?</x:v>
      </x:c>
      <x:c r="M84" s="83" t="str">
        <x:v>Alternate Form</x:v>
      </x:c>
      <x:c r="N84" s="89" t="str">
        <x:v>Keep on separate forms; review both items together before future revision, option-count changes, or reuse.</x:v>
      </x:c>
    </x:row>
    <x:row r="85">
      <x:c r="A85" s="88" t="str">
        <x:v>LCSW-ALT-084</x:v>
      </x:c>
      <x:c r="B85" s="117" t="n">
        <x:v>0.6832393211816645</x:v>
      </x:c>
      <x:c r="C85" s="83" t="str">
        <x:v>LCSW-MQB-FA-VE-006</x:v>
      </x:c>
      <x:c r="D85" s="83" t="str">
        <x:v>CTA-LCSW-MQB-0258</x:v>
      </x:c>
      <x:c r="E85" s="83" t="str">
        <x:v>Form A</x:v>
      </x:c>
      <x:c r="F85" s="83" t="str">
        <x:v>Client-defined goals</x:v>
      </x:c>
      <x:c r="G85" s="83" t="str">
        <x:v>A client seeks help improving sleep, but the social worker believes the client should focus first on family conflict. What should the social worker do?</x:v>
      </x:c>
      <x:c r="H85" s="83" t="str">
        <x:v>LCSW-MQB-FB-VE-006</x:v>
      </x:c>
      <x:c r="I85" s="83" t="str">
        <x:v>CTA-LCSW-MQB-0423</x:v>
      </x:c>
      <x:c r="J85" s="83" t="str">
        <x:v>Form B</x:v>
      </x:c>
      <x:c r="K85" s="83" t="str">
        <x:v>Client-defined goals</x:v>
      </x:c>
      <x:c r="L85" s="83" t="str">
        <x:v>A client wants help returning to work, while the social worker thinks unresolved grief is the more important issue. What should the social worker do?</x:v>
      </x:c>
      <x:c r="M85" s="83" t="str">
        <x:v>Alternate Form</x:v>
      </x:c>
      <x:c r="N85" s="89" t="str">
        <x:v>Keep on separate forms; review both items together before future revision, option-count changes, or reuse.</x:v>
      </x:c>
    </x:row>
    <x:row r="86">
      <x:c r="A86" s="88" t="str">
        <x:v>LCSW-ALT-085</x:v>
      </x:c>
      <x:c r="B86" s="117" t="n">
        <x:v>0.6695310979741006</x:v>
      </x:c>
      <x:c r="C86" s="83" t="str">
        <x:v>LCSW-MQB-FA-VE-007</x:v>
      </x:c>
      <x:c r="D86" s="83" t="str">
        <x:v>CTA-LCSW-MQB-0256</x:v>
      </x:c>
      <x:c r="E86" s="83" t="str">
        <x:v>Form A</x:v>
      </x:c>
      <x:c r="F86" s="83" t="str">
        <x:v>Language access</x:v>
      </x:c>
      <x:c r="G86" s="83" t="str">
        <x:v>A client understands conversational English but struggles with complex consent language. What should the social worker do?</x:v>
      </x:c>
      <x:c r="H86" s="83" t="str">
        <x:v>LCSW-MQB-FB-VE-007</x:v>
      </x:c>
      <x:c r="I86" s="83" t="str">
        <x:v>CTA-LCSW-MQB-0368</x:v>
      </x:c>
      <x:c r="J86" s="83" t="str">
        <x:v>Form B</x:v>
      </x:c>
      <x:c r="K86" s="83" t="str">
        <x:v>Language access</x:v>
      </x:c>
      <x:c r="L86" s="83" t="str">
        <x:v>A client can converse in English but cannot follow the legal and clinical terminology in the service agreement. What should the social worker do?</x:v>
      </x:c>
      <x:c r="M86" s="83" t="str">
        <x:v>Alternate Form</x:v>
      </x:c>
      <x:c r="N86" s="89" t="str">
        <x:v>Keep on separate forms; review both items together before future revision, option-count changes, or reuse.</x:v>
      </x:c>
    </x:row>
    <x:row r="87">
      <x:c r="A87" s="88" t="str">
        <x:v>LCSW-ALT-086</x:v>
      </x:c>
      <x:c r="B87" s="117" t="n">
        <x:v>0.7561244181051174</x:v>
      </x:c>
      <x:c r="C87" s="83" t="str">
        <x:v>LCSW-MQB-FA-VE-008</x:v>
      </x:c>
      <x:c r="D87" s="83" t="str">
        <x:v>CTA-LCSW-MQB-0246</x:v>
      </x:c>
      <x:c r="E87" s="83" t="str">
        <x:v>Form A</x:v>
      </x:c>
      <x:c r="F87" s="83" t="str">
        <x:v>Gift boundaries</x:v>
      </x:c>
      <x:c r="G87" s="83" t="str">
        <x:v>A long-term client offers the social worker a small handmade item that has important cultural meaning. What should the social worker do?</x:v>
      </x:c>
      <x:c r="H87" s="83" t="str">
        <x:v>LCSW-MQB-FB-VE-008</x:v>
      </x:c>
      <x:c r="I87" s="83" t="str">
        <x:v>CTA-LCSW-MQB-0344</x:v>
      </x:c>
      <x:c r="J87" s="83" t="str">
        <x:v>Form B</x:v>
      </x:c>
      <x:c r="K87" s="83" t="str">
        <x:v>Gift boundaries</x:v>
      </x:c>
      <x:c r="L87" s="83" t="str">
        <x:v>Near the end of services, a client offers a modest ceremonial item connected to the client’s community traditions. What should the social worker do?</x:v>
      </x:c>
      <x:c r="M87" s="83" t="str">
        <x:v>Alternate Form</x:v>
      </x:c>
      <x:c r="N87" s="89" t="str">
        <x:v>Keep on separate forms; review both items together before future revision, option-count changes, or reuse.</x:v>
      </x:c>
    </x:row>
    <x:row r="88">
      <x:c r="A88" s="88" t="str">
        <x:v>LCSW-ALT-087</x:v>
      </x:c>
      <x:c r="B88" s="117" t="n">
        <x:v>0.902379873143577</x:v>
      </x:c>
      <x:c r="C88" s="83" t="str">
        <x:v>LCSW-MQB-FA-VE-009</x:v>
      </x:c>
      <x:c r="D88" s="83" t="str">
        <x:v>CTA-LCSW-MQB-0211</x:v>
      </x:c>
      <x:c r="E88" s="83" t="str">
        <x:v>Form A</x:v>
      </x:c>
      <x:c r="F88" s="83" t="str">
        <x:v>Social media boundaries</x:v>
      </x:c>
      <x:c r="G88" s="83" t="str">
        <x:v>A client sends a friend request to the social worker’s personal social-media account. What is the BEST response?</x:v>
      </x:c>
      <x:c r="H88" s="83" t="str">
        <x:v>LCSW-MQB-FB-VE-009</x:v>
      </x:c>
      <x:c r="I88" s="83" t="str">
        <x:v>CTA-LCSW-MQB-0331</x:v>
      </x:c>
      <x:c r="J88" s="83" t="str">
        <x:v>Form B</x:v>
      </x:c>
      <x:c r="K88" s="83" t="str">
        <x:v>Social media boundaries</x:v>
      </x:c>
      <x:c r="L88" s="83" t="str">
        <x:v>A current client asks to follow the social worker’s private account and sends a personal connection request. What is the best response?</x:v>
      </x:c>
      <x:c r="M88" s="83" t="str">
        <x:v>Alternate Form</x:v>
      </x:c>
      <x:c r="N88" s="89" t="str">
        <x:v>Keep on separate forms; review both items together before future revision, option-count changes, or reuse.</x:v>
      </x:c>
    </x:row>
    <x:row r="89">
      <x:c r="A89" s="88" t="str">
        <x:v>LCSW-ALT-088</x:v>
      </x:c>
      <x:c r="B89" s="117" t="n">
        <x:v>0.6683339719165714</x:v>
      </x:c>
      <x:c r="C89" s="83" t="str">
        <x:v>LCSW-MQB-FA-VE-010</x:v>
      </x:c>
      <x:c r="D89" s="83" t="str">
        <x:v>CTA-LCSW-MQB-0228</x:v>
      </x:c>
      <x:c r="E89" s="83" t="str">
        <x:v>Form A</x:v>
      </x:c>
      <x:c r="F89" s="83" t="str">
        <x:v>Accurate documentation</x:v>
      </x:c>
      <x:c r="G89" s="83" t="str">
        <x:v>An agency supervisor asks a social worker to copy forward a risk assessment without updating it because the caseload is high. What should the social worker do?</x:v>
      </x:c>
      <x:c r="H89" s="83" t="str">
        <x:v>LCSW-MQB-FB-VE-010</x:v>
      </x:c>
      <x:c r="I89" s="83" t="str">
        <x:v>CTA-LCSW-MQB-0419</x:v>
      </x:c>
      <x:c r="J89" s="83" t="str">
        <x:v>Form B</x:v>
      </x:c>
      <x:c r="K89" s="83" t="str">
        <x:v>Accurate documentation</x:v>
      </x:c>
      <x:c r="L89" s="83" t="str">
        <x:v>Because of productivity pressure, a supervisor directs staff to reuse last month’s risk narrative without reassessing the client. What should the social worker do?</x:v>
      </x:c>
      <x:c r="M89" s="83" t="str">
        <x:v>Alternate Form</x:v>
      </x:c>
      <x:c r="N89" s="89" t="str">
        <x:v>Keep on separate forms; review both items together before future revision, option-count changes, or reuse.</x:v>
      </x:c>
    </x:row>
    <x:row r="90">
      <x:c r="A90" s="88" t="str">
        <x:v>LCSW-ALT-089</x:v>
      </x:c>
      <x:c r="B90" s="117" t="n">
        <x:v>0.7568603694095226</x:v>
      </x:c>
      <x:c r="C90" s="83" t="str">
        <x:v>LCSW-MQB-FA-VE-011</x:v>
      </x:c>
      <x:c r="D90" s="83" t="str">
        <x:v>CTA-LCSW-MQB-0305</x:v>
      </x:c>
      <x:c r="E90" s="83" t="str">
        <x:v>Form A</x:v>
      </x:c>
      <x:c r="F90" s="83" t="str">
        <x:v>Minimum necessary disclosure</x:v>
      </x:c>
      <x:c r="G90" s="83" t="str">
        <x:v>A coordinated-care partner requests the client’s entire psychotherapy record, but only current housing needs are relevant. What should the social worker do?</x:v>
      </x:c>
      <x:c r="H90" s="83" t="str">
        <x:v>LCSW-MQB-FB-VE-011</x:v>
      </x:c>
      <x:c r="I90" s="83" t="str">
        <x:v>CTA-LCSW-MQB-0414</x:v>
      </x:c>
      <x:c r="J90" s="83" t="str">
        <x:v>Form B</x:v>
      </x:c>
      <x:c r="K90" s="83" t="str">
        <x:v>Minimum necessary disclosure</x:v>
      </x:c>
      <x:c r="L90" s="83" t="str">
        <x:v>A housing advocate asks for all clinical notes even though only disability-related functional information is needed. What should the social worker do?</x:v>
      </x:c>
      <x:c r="M90" s="83" t="str">
        <x:v>Alternate Form</x:v>
      </x:c>
      <x:c r="N90" s="89" t="str">
        <x:v>Keep on separate forms; review both items together before future revision, option-count changes, or reuse.</x:v>
      </x:c>
    </x:row>
    <x:row r="91">
      <x:c r="A91" s="88" t="str">
        <x:v>LCSW-ALT-090</x:v>
      </x:c>
      <x:c r="B91" s="117" t="n">
        <x:v>0.7303725759891373</x:v>
      </x:c>
      <x:c r="C91" s="83" t="str">
        <x:v>LCSW-MQB-FA-VE-012</x:v>
      </x:c>
      <x:c r="D91" s="83" t="str">
        <x:v>CTA-LCSW-MQB-0306</x:v>
      </x:c>
      <x:c r="E91" s="83" t="str">
        <x:v>Form A</x:v>
      </x:c>
      <x:c r="F91" s="83" t="str">
        <x:v>Conflict of interest</x:v>
      </x:c>
      <x:c r="G91" s="83" t="str">
        <x:v>A social worker evaluating housing eligibility learns that the applicant is a close friend’s sibling. What should the social worker do?</x:v>
      </x:c>
      <x:c r="H91" s="83" t="str">
        <x:v>LCSW-MQB-FB-VE-012</x:v>
      </x:c>
      <x:c r="I91" s="83" t="str">
        <x:v>CTA-LCSW-MQB-0441</x:v>
      </x:c>
      <x:c r="J91" s="83" t="str">
        <x:v>Form B</x:v>
      </x:c>
      <x:c r="K91" s="83" t="str">
        <x:v>Conflict of interest</x:v>
      </x:c>
      <x:c r="L91" s="83" t="str">
        <x:v>While reviewing an application for emergency funds, a social worker discovers that the applicant is a close neighbor and family friend. What should the social worker do?</x:v>
      </x:c>
      <x:c r="M91" s="83" t="str">
        <x:v>Alternate Form</x:v>
      </x:c>
      <x:c r="N91" s="89" t="str">
        <x:v>Keep on separate forms; review both items together before future revision, option-count changes, or reuse.</x:v>
      </x:c>
    </x:row>
    <x:row r="92">
      <x:c r="A92" s="88" t="str">
        <x:v>LCSW-ALT-091</x:v>
      </x:c>
      <x:c r="B92" s="117" t="n">
        <x:v>0.7339965414419424</x:v>
      </x:c>
      <x:c r="C92" s="83" t="str">
        <x:v>LCSW-MQB-FA-VE-013</x:v>
      </x:c>
      <x:c r="D92" s="83" t="str">
        <x:v>CTA-LCSW-MQB-0243</x:v>
      </x:c>
      <x:c r="E92" s="83" t="str">
        <x:v>Form A</x:v>
      </x:c>
      <x:c r="F92" s="83" t="str">
        <x:v>Mandated services</x:v>
      </x:c>
      <x:c r="G92" s="83" t="str">
        <x:v>A court-referred client says, “Since I have to be here, I have no choices.” What should the social worker explain?</x:v>
      </x:c>
      <x:c r="H92" s="83" t="str">
        <x:v>LCSW-MQB-FB-VE-013</x:v>
      </x:c>
      <x:c r="I92" s="83" t="str">
        <x:v>CTA-LCSW-MQB-0438</x:v>
      </x:c>
      <x:c r="J92" s="83" t="str">
        <x:v>Form B</x:v>
      </x:c>
      <x:c r="K92" s="83" t="str">
        <x:v>Mandated services</x:v>
      </x:c>
      <x:c r="L92" s="83" t="str">
        <x:v>A probation-referred client says mandatory attendance means the agency can disclose anything and decide every treatment detail. What should the social worker explain?</x:v>
      </x:c>
      <x:c r="M92" s="83" t="str">
        <x:v>Alternate Form</x:v>
      </x:c>
      <x:c r="N92" s="89" t="str">
        <x:v>Keep on separate forms; review both items together before future revision, option-count changes, or reuse.</x:v>
      </x:c>
    </x:row>
    <x:row r="93">
      <x:c r="A93" s="88" t="str">
        <x:v>LCSW-ALT-092</x:v>
      </x:c>
      <x:c r="B93" s="117" t="n">
        <x:v>0.7386358716719079</x:v>
      </x:c>
      <x:c r="C93" s="83" t="str">
        <x:v>LCSW-MQB-FA-VE-014</x:v>
      </x:c>
      <x:c r="D93" s="83" t="str">
        <x:v>CTA-LCSW-MQB-0226</x:v>
      </x:c>
      <x:c r="E93" s="83" t="str">
        <x:v>Form A</x:v>
      </x:c>
      <x:c r="F93" s="83" t="str">
        <x:v>Record correction</x:v>
      </x:c>
      <x:c r="G93" s="83" t="str">
        <x:v>A client identifies a factual error in a progress note. What should the social worker do?</x:v>
      </x:c>
      <x:c r="H93" s="83" t="str">
        <x:v>LCSW-MQB-FB-VE-014</x:v>
      </x:c>
      <x:c r="I93" s="83" t="str">
        <x:v>CTA-LCSW-MQB-0415</x:v>
      </x:c>
      <x:c r="J93" s="83" t="str">
        <x:v>Form B</x:v>
      </x:c>
      <x:c r="K93" s="83" t="str">
        <x:v>Record correction</x:v>
      </x:c>
      <x:c r="L93" s="83" t="str">
        <x:v>A client points out that the record lists the wrong employer and an inaccurate date. What should the social worker do?</x:v>
      </x:c>
      <x:c r="M93" s="83" t="str">
        <x:v>Alternate Form</x:v>
      </x:c>
      <x:c r="N93" s="89" t="str">
        <x:v>Keep on separate forms; review both items together before future revision, option-count changes, or reuse.</x:v>
      </x:c>
    </x:row>
    <x:row r="94">
      <x:c r="A94" s="88" t="str">
        <x:v>LCSW-ALT-093</x:v>
      </x:c>
      <x:c r="B94" s="117" t="n">
        <x:v>0.6983029724355084</x:v>
      </x:c>
      <x:c r="C94" s="83" t="str">
        <x:v>LCSW-MQB-FA-VE-015</x:v>
      </x:c>
      <x:c r="D94" s="83" t="str">
        <x:v>CTA-LCSW-MQB-0248</x:v>
      </x:c>
      <x:c r="E94" s="83" t="str">
        <x:v>Form A</x:v>
      </x:c>
      <x:c r="F94" s="83" t="str">
        <x:v>Fee transparency</x:v>
      </x:c>
      <x:c r="G94" s="83" t="str">
        <x:v>A client is surprised by a missed-appointment charge that was never discussed. What should the social worker do?</x:v>
      </x:c>
      <x:c r="H94" s="83" t="str">
        <x:v>LCSW-MQB-FB-VE-015</x:v>
      </x:c>
      <x:c r="I94" s="83" t="str">
        <x:v>CTA-LCSW-MQB-0444</x:v>
      </x:c>
      <x:c r="J94" s="83" t="str">
        <x:v>Form B</x:v>
      </x:c>
      <x:c r="K94" s="83" t="str">
        <x:v>Fee transparency</x:v>
      </x:c>
      <x:c r="L94" s="83" t="str">
        <x:v>A client receives an invoice containing a cancellation fee that was not included in the original fee discussion. What should the social worker do?</x:v>
      </x:c>
      <x:c r="M94" s="83" t="str">
        <x:v>Alternate Form</x:v>
      </x:c>
      <x:c r="N94" s="89" t="str">
        <x:v>Keep on separate forms; review both items together before future revision, option-count changes, or reuse.</x:v>
      </x:c>
    </x:row>
    <x:row r="95">
      <x:c r="A95" s="88" t="str">
        <x:v>LCSW-ALT-094</x:v>
      </x:c>
      <x:c r="B95" s="117" t="n">
        <x:v>0.6432139900967195</x:v>
      </x:c>
      <x:c r="C95" s="83" t="str">
        <x:v>LCSW-MQB-FA-VE-016</x:v>
      </x:c>
      <x:c r="D95" s="83" t="str">
        <x:v>CTA-LCSW-MQB-0296</x:v>
      </x:c>
      <x:c r="E95" s="83" t="str">
        <x:v>Form A</x:v>
      </x:c>
      <x:c r="F95" s="83" t="str">
        <x:v>Professional use of self</x:v>
      </x:c>
      <x:c r="G95" s="83" t="str">
        <x:v>A client’s criticism strongly reminds the social worker of a painful family relationship. What should the social worker do?</x:v>
      </x:c>
      <x:c r="H95" s="83" t="str">
        <x:v>LCSW-MQB-FB-VE-016</x:v>
      </x:c>
      <x:c r="I95" s="83" t="str">
        <x:v>CTA-LCSW-MQB-0427</x:v>
      </x:c>
      <x:c r="J95" s="83" t="str">
        <x:v>Form B</x:v>
      </x:c>
      <x:c r="K95" s="83" t="str">
        <x:v>Professional use of self</x:v>
      </x:c>
      <x:c r="L95" s="83" t="str">
        <x:v>A client’s manner closely resembles an abusive relative from the social worker’s past, and the social worker notices unusually strong anger. What should the social worker do?</x:v>
      </x:c>
      <x:c r="M95" s="83" t="str">
        <x:v>Alternate Form</x:v>
      </x:c>
      <x:c r="N95" s="89" t="str">
        <x:v>Keep on separate forms; review both items together before future revision, option-count changes, or reuse.</x:v>
      </x:c>
    </x:row>
    <x:row r="96">
      <x:c r="A96" s="88" t="str">
        <x:v>LCSW-ALT-095</x:v>
      </x:c>
      <x:c r="B96" s="117" t="n">
        <x:v>0.7397041155019861</x:v>
      </x:c>
      <x:c r="C96" s="83" t="str">
        <x:v>LCSW-MQB-FA-VE-017</x:v>
      </x:c>
      <x:c r="D96" s="83" t="str">
        <x:v>CTA-LCSW-MQB-0261</x:v>
      </x:c>
      <x:c r="E96" s="83" t="str">
        <x:v>Form A</x:v>
      </x:c>
      <x:c r="F96" s="83" t="str">
        <x:v>Technology competence</x:v>
      </x:c>
      <x:c r="G96" s="83" t="str">
        <x:v>An agency adopts an automated clinical-summary tool. What should the social worker do before relying on it?</x:v>
      </x:c>
      <x:c r="H96" s="83" t="str">
        <x:v>LCSW-MQB-FB-VE-017</x:v>
      </x:c>
      <x:c r="I96" s="83" t="str">
        <x:v>CTA-LCSW-MQB-0399</x:v>
      </x:c>
      <x:c r="J96" s="83" t="str">
        <x:v>Form B</x:v>
      </x:c>
      <x:c r="K96" s="83" t="str">
        <x:v>Technology competence</x:v>
      </x:c>
      <x:c r="L96" s="83" t="str">
        <x:v>Before using an AI-generated case summary in assessment and documentation, what should the social worker do?</x:v>
      </x:c>
      <x:c r="M96" s="83" t="str">
        <x:v>Alternate Form</x:v>
      </x:c>
      <x:c r="N96" s="89" t="str">
        <x:v>Keep on separate forms; review both items together before future revision, option-count changes, or reuse.</x:v>
      </x:c>
    </x:row>
    <x:row r="97">
      <x:c r="A97" s="88" t="str">
        <x:v>LCSW-ALT-096</x:v>
      </x:c>
      <x:c r="B97" s="117" t="n">
        <x:v>0.7186301706280098</x:v>
      </x:c>
      <x:c r="C97" s="83" t="str">
        <x:v>LCSW-MQB-FA-VE-018</x:v>
      </x:c>
      <x:c r="D97" s="83" t="str">
        <x:v>CTA-LCSW-MQB-0268</x:v>
      </x:c>
      <x:c r="E97" s="83" t="str">
        <x:v>Form A</x:v>
      </x:c>
      <x:c r="F97" s="83" t="str">
        <x:v>Impairment and functioning</x:v>
      </x:c>
      <x:c r="G97" s="83" t="str">
        <x:v>A social worker has a well-managed health condition and consistently performs duties safely. Which conclusion is MOST accurate?</x:v>
      </x:c>
      <x:c r="H97" s="83" t="str">
        <x:v>LCSW-MQB-FB-VE-018</x:v>
      </x:c>
      <x:c r="I97" s="83" t="str">
        <x:v>CTA-LCSW-MQB-0382</x:v>
      </x:c>
      <x:c r="J97" s="83" t="str">
        <x:v>Form B</x:v>
      </x:c>
      <x:c r="K97" s="83" t="str">
        <x:v>Impairment and functioning</x:v>
      </x:c>
      <x:c r="L97" s="83" t="str">
        <x:v>A clinician manages a chronic condition with effective treatment and accommodations and continues to practice safely. Which conclusion is most accurate?</x:v>
      </x:c>
      <x:c r="M97" s="83" t="str">
        <x:v>Alternate Form</x:v>
      </x:c>
      <x:c r="N97" s="89" t="str">
        <x:v>Keep on separate forms; review both items together before future revision, option-count changes, or reuse.</x:v>
      </x:c>
    </x:row>
    <x:row r="98">
      <x:c r="A98" s="88" t="str">
        <x:v>LCSW-ALT-097</x:v>
      </x:c>
      <x:c r="B98" s="117" t="n">
        <x:v>0.776661178917562</x:v>
      </x:c>
      <x:c r="C98" s="83" t="str">
        <x:v>LCSW-MQB-FA-VE-019</x:v>
      </x:c>
      <x:c r="D98" s="83" t="str">
        <x:v>CTA-LCSW-MQB-0287</x:v>
      </x:c>
      <x:c r="E98" s="83" t="str">
        <x:v>Form A</x:v>
      </x:c>
      <x:c r="F98" s="83" t="str">
        <x:v>Supervision boundaries</x:v>
      </x:c>
      <x:c r="G98" s="83" t="str">
        <x:v>A supervisor asks a supervisee to provide a service the supervisee has not been trained to deliver. What should the supervisee do?</x:v>
      </x:c>
      <x:c r="H98" s="83" t="str">
        <x:v>LCSW-MQB-FB-VE-019</x:v>
      </x:c>
      <x:c r="I98" s="83" t="str">
        <x:v>CTA-LCSW-MQB-0420</x:v>
      </x:c>
      <x:c r="J98" s="83" t="str">
        <x:v>Form B</x:v>
      </x:c>
      <x:c r="K98" s="83" t="str">
        <x:v>Supervision boundaries</x:v>
      </x:c>
      <x:c r="L98" s="83" t="str">
        <x:v>A supervisor assigns a complex forensic task to a new supervisee who has received no relevant training. What should the supervisee do?</x:v>
      </x:c>
      <x:c r="M98" s="83" t="str">
        <x:v>Alternate Form</x:v>
      </x:c>
      <x:c r="N98" s="89" t="str">
        <x:v>Keep on separate forms; review both items together before future revision, option-count changes, or reuse.</x:v>
      </x:c>
    </x:row>
    <x:row r="99">
      <x:c r="A99" s="88" t="str">
        <x:v>LCSW-ALT-098</x:v>
      </x:c>
      <x:c r="B99" s="117" t="n">
        <x:v>0.7458649113335901</x:v>
      </x:c>
      <x:c r="C99" s="83" t="str">
        <x:v>LCSW-MQB-FA-VE-020</x:v>
      </x:c>
      <x:c r="D99" s="83" t="str">
        <x:v>CTA-LCSW-MQB-0284</x:v>
      </x:c>
      <x:c r="E99" s="83" t="str">
        <x:v>Form A</x:v>
      </x:c>
      <x:c r="F99" s="83" t="str">
        <x:v>Ethical consultation</x:v>
      </x:c>
      <x:c r="G99" s="83" t="str">
        <x:v>When is ethical consultation MOST useful?</x:v>
      </x:c>
      <x:c r="H99" s="83" t="str">
        <x:v>LCSW-MQB-FB-VE-020</x:v>
      </x:c>
      <x:c r="I99" s="83" t="str">
        <x:v>CTA-LCSW-MQB-0351</x:v>
      </x:c>
      <x:c r="J99" s="83" t="str">
        <x:v>Form B</x:v>
      </x:c>
      <x:c r="K99" s="83" t="str">
        <x:v>Ethical consultation</x:v>
      </x:c>
      <x:c r="L99" s="83" t="str">
        <x:v>A social worker encounters competing ethical duties and is unsure whether an exception applies. When would consultation add the most value?</x:v>
      </x:c>
      <x:c r="M99" s="83" t="str">
        <x:v>Alternate Form</x:v>
      </x:c>
      <x:c r="N99" s="89" t="str">
        <x:v>Keep on separate forms; review both items together before future revision, option-count changes, or reuse.</x:v>
      </x:c>
    </x:row>
    <x:row r="100">
      <x:c r="A100" s="88" t="str">
        <x:v>LCSW-ALT-099</x:v>
      </x:c>
      <x:c r="B100" s="117" t="n">
        <x:v>0.770281120264446</x:v>
      </x:c>
      <x:c r="C100" s="83" t="str">
        <x:v>LCSW-MQB-FA-VE-021</x:v>
      </x:c>
      <x:c r="D100" s="83" t="str">
        <x:v>CTA-LCSW-MQB-0234</x:v>
      </x:c>
      <x:c r="E100" s="83" t="str">
        <x:v>Form A</x:v>
      </x:c>
      <x:c r="F100" s="83" t="str">
        <x:v>Group confidentiality</x:v>
      </x:c>
      <x:c r="G100" s="83" t="str">
        <x:v>At the first group meeting, a member asks whether the social worker can guarantee that other members will keep everything private. What should the social worker say?</x:v>
      </x:c>
      <x:c r="H100" s="83" t="str">
        <x:v>LCSW-MQB-FB-VE-021</x:v>
      </x:c>
      <x:c r="I100" s="83" t="str">
        <x:v>CTA-LCSW-MQB-0439</x:v>
      </x:c>
      <x:c r="J100" s="83" t="str">
        <x:v>Form B</x:v>
      </x:c>
      <x:c r="K100" s="83" t="str">
        <x:v>Group confidentiality</x:v>
      </x:c>
      <x:c r="L100" s="83" t="str">
        <x:v>Before a therapy group begins, a participant asks the facilitator to promise that no member will ever repeat what is said. What should the social worker explain?</x:v>
      </x:c>
      <x:c r="M100" s="83" t="str">
        <x:v>Alternate Form</x:v>
      </x:c>
      <x:c r="N100" s="89" t="str">
        <x:v>Keep on separate forms; review both items together before future revision, option-count changes, or reuse.</x:v>
      </x:c>
    </x:row>
    <x:row r="101">
      <x:c r="A101" s="88" t="str">
        <x:v>LCSW-ALT-100</x:v>
      </x:c>
      <x:c r="B101" s="117" t="n">
        <x:v>0.6825966107197387</x:v>
      </x:c>
      <x:c r="C101" s="83" t="str">
        <x:v>LCSW-MQB-FA-VE-022</x:v>
      </x:c>
      <x:c r="D101" s="83" t="str">
        <x:v>CTA-LCSW-MQB-0266</x:v>
      </x:c>
      <x:c r="E101" s="83" t="str">
        <x:v>Form A</x:v>
      </x:c>
      <x:c r="F101" s="83" t="str">
        <x:v>Billing integrity</x:v>
      </x:c>
      <x:c r="G101" s="83" t="str">
        <x:v>A colleague suggests billing a longer service code than the session provided because the client needs continued care. What should the social worker do?</x:v>
      </x:c>
      <x:c r="H101" s="83" t="str">
        <x:v>LCSW-MQB-FB-VE-022</x:v>
      </x:c>
      <x:c r="I101" s="83" t="str">
        <x:v>CTA-LCSW-MQB-0386</x:v>
      </x:c>
      <x:c r="J101" s="83" t="str">
        <x:v>Form B</x:v>
      </x:c>
      <x:c r="K101" s="83" t="str">
        <x:v>Billing integrity</x:v>
      </x:c>
      <x:c r="L101" s="83" t="str">
        <x:v>A coworker proposes billing for a 60-minute service after only 30 minutes were delivered because the agency needs the revenue. What should the social worker do?</x:v>
      </x:c>
      <x:c r="M101" s="83" t="str">
        <x:v>Alternate Form</x:v>
      </x:c>
      <x:c r="N101" s="89" t="str">
        <x:v>Keep on separate forms; review both items together before future revision, option-count changes, or reuse.</x:v>
      </x:c>
    </x:row>
    <x:row r="102">
      <x:c r="A102" s="88" t="str">
        <x:v>LCSW-ALT-101</x:v>
      </x:c>
      <x:c r="B102" s="117" t="n">
        <x:v>0.8738822665496191</x:v>
      </x:c>
      <x:c r="C102" s="83" t="str">
        <x:v>LCSW-MQB-FA-VE-023</x:v>
      </x:c>
      <x:c r="D102" s="83" t="str">
        <x:v>CTA-LCSW-MQB-0238</x:v>
      </x:c>
      <x:c r="E102" s="83" t="str">
        <x:v>Form A</x:v>
      </x:c>
      <x:c r="F102" s="83" t="str">
        <x:v>Policy conflict</x:v>
      </x:c>
      <x:c r="G102" s="83" t="str">
        <x:v>An agency policy appears to conflict with professional ethics and may harm clients. What should the social worker do FIRST?</x:v>
      </x:c>
      <x:c r="H102" s="83" t="str">
        <x:v>LCSW-MQB-FB-VE-023</x:v>
      </x:c>
      <x:c r="I102" s="83" t="str">
        <x:v>CTA-LCSW-MQB-0394</x:v>
      </x:c>
      <x:c r="J102" s="83" t="str">
        <x:v>Form B</x:v>
      </x:c>
      <x:c r="K102" s="83" t="str">
        <x:v>Policy conflict</x:v>
      </x:c>
      <x:c r="L102" s="83" t="str">
        <x:v>A new agency rule restricts services in a way that appears harmful and inconsistent with professional obligations. What should the social worker do first?</x:v>
      </x:c>
      <x:c r="M102" s="83" t="str">
        <x:v>Alternate Form</x:v>
      </x:c>
      <x:c r="N102" s="89" t="str">
        <x:v>Keep on separate forms; review both items together before future revision, option-count changes, or reuse.</x:v>
      </x:c>
    </x:row>
    <x:row r="103">
      <x:c r="A103" s="88" t="str">
        <x:v>LCSW-ALT-102</x:v>
      </x:c>
      <x:c r="B103" s="117" t="n">
        <x:v>0.6690581271788222</x:v>
      </x:c>
      <x:c r="C103" s="83" t="str">
        <x:v>LCSW-MQB-FA-VE-024</x:v>
      </x:c>
      <x:c r="D103" s="83" t="str">
        <x:v>CTA-LCSW-MQB-0291</x:v>
      </x:c>
      <x:c r="E103" s="83" t="str">
        <x:v>Form A</x:v>
      </x:c>
      <x:c r="F103" s="83" t="str">
        <x:v>Informed refusal</x:v>
      </x:c>
      <x:c r="G103" s="83" t="str">
        <x:v>A competent adult understands a recommended service and declines it. What should the social worker do NEXT?</x:v>
      </x:c>
      <x:c r="H103" s="83" t="str">
        <x:v>LCSW-MQB-FB-VE-024</x:v>
      </x:c>
      <x:c r="I103" s="83" t="str">
        <x:v>CTA-LCSW-MQB-0365</x:v>
      </x:c>
      <x:c r="J103" s="83" t="str">
        <x:v>Form B</x:v>
      </x:c>
      <x:c r="K103" s="83" t="str">
        <x:v>Informed refusal</x:v>
      </x:c>
      <x:c r="L103" s="83" t="str">
        <x:v>After receiving adequate information, a capable voluntary client refuses the recommended program. What should the social worker do next?</x:v>
      </x:c>
      <x:c r="M103" s="83" t="str">
        <x:v>Alternate Form</x:v>
      </x:c>
      <x:c r="N103" s="89" t="str">
        <x:v>Keep on separate forms; review both items together before future revision, option-count changes, or reuse.</x:v>
      </x:c>
    </x:row>
    <x:row r="104">
      <x:c r="A104" s="88" t="str">
        <x:v>LCSW-ALT-103</x:v>
      </x:c>
      <x:c r="B104" s="117" t="n">
        <x:v>0.6056628604472011</x:v>
      </x:c>
      <x:c r="C104" s="83" t="str">
        <x:v>LCSW-MQB-FA-VE-025</x:v>
      </x:c>
      <x:c r="D104" s="83" t="str">
        <x:v>CTA-LCSW-MQB-0240</x:v>
      </x:c>
      <x:c r="E104" s="83" t="str">
        <x:v>Form A</x:v>
      </x:c>
      <x:c r="F104" s="83" t="str">
        <x:v>Boundary drift</x:v>
      </x:c>
      <x:c r="G104" s="83" t="str">
        <x:v>A client begins bringing expensive gifts and asking the social worker to attend family events. What should the social worker do FIRST?</x:v>
      </x:c>
      <x:c r="H104" s="83" t="str">
        <x:v>LCSW-MQB-FB-VE-025</x:v>
      </x:c>
      <x:c r="I104" s="83" t="str">
        <x:v>CTA-LCSW-MQB-0333</x:v>
      </x:c>
      <x:c r="J104" s="83" t="str">
        <x:v>Form B</x:v>
      </x:c>
      <x:c r="K104" s="83" t="str">
        <x:v>Boundary drift</x:v>
      </x:c>
      <x:c r="L104" s="83" t="str">
        <x:v>Over several weeks, a client offers costly items, seeks personal contact, and asks the social worker to join family celebrations. What should the social worker do first?</x:v>
      </x:c>
      <x:c r="M104" s="83" t="str">
        <x:v>Alternate Form</x:v>
      </x:c>
      <x:c r="N104" s="89" t="str">
        <x:v>Keep on separate forms; review both items together before future revision, option-count changes, or reuse.</x:v>
      </x:c>
    </x:row>
    <x:row r="105">
      <x:c r="A105" s="88" t="str">
        <x:v>LCSW-ALT-104</x:v>
      </x:c>
      <x:c r="B105" s="117" t="n">
        <x:v>0.7081504788781906</x:v>
      </x:c>
      <x:c r="C105" s="83" t="str">
        <x:v>LCSW-MQB-FA-VE-026</x:v>
      </x:c>
      <x:c r="D105" s="83" t="str">
        <x:v>CTA-LCSW-MQB-0259</x:v>
      </x:c>
      <x:c r="E105" s="83" t="str">
        <x:v>Form A</x:v>
      </x:c>
      <x:c r="F105" s="83" t="str">
        <x:v>Confidential message</x:v>
      </x:c>
      <x:c r="G105" s="83" t="str">
        <x:v>A parent privately emails a family social worker with allegations about another family member and demands secrecy. What should the social worker do NEXT?</x:v>
      </x:c>
      <x:c r="H105" s="83" t="str">
        <x:v>LCSW-MQB-FB-VE-026</x:v>
      </x:c>
      <x:c r="I105" s="83" t="str">
        <x:v>CTA-LCSW-MQB-0409</x:v>
      </x:c>
      <x:c r="J105" s="83" t="str">
        <x:v>Form B</x:v>
      </x:c>
      <x:c r="K105" s="83" t="str">
        <x:v>Confidential message</x:v>
      </x:c>
      <x:c r="L105" s="83" t="str">
        <x:v>In family work, one caregiver sends accusations about another participant and insists that the message remain secret. What should the social worker do next?</x:v>
      </x:c>
      <x:c r="M105" s="83" t="str">
        <x:v>Alternate Form</x:v>
      </x:c>
      <x:c r="N105" s="89" t="str">
        <x:v>Keep on separate forms; review both items together before future revision, option-count changes, or reuse.</x:v>
      </x:c>
    </x:row>
    <x:row r="106">
      <x:c r="A106" s="88" t="str">
        <x:v>LCSW-ALT-105</x:v>
      </x:c>
      <x:c r="B106" s="117" t="n">
        <x:v>0.8265012840480086</x:v>
      </x:c>
      <x:c r="C106" s="83" t="str">
        <x:v>LCSW-MQB-FA-VE-027</x:v>
      </x:c>
      <x:c r="D106" s="83" t="str">
        <x:v>CTA-LCSW-MQB-0311</x:v>
      </x:c>
      <x:c r="E106" s="83" t="str">
        <x:v>Form A</x:v>
      </x:c>
      <x:c r="F106" s="83" t="str">
        <x:v>Subpoena response</x:v>
      </x:c>
      <x:c r="G106" s="83" t="str">
        <x:v>A social worker receives a subpoena requesting a full record. What should the social worker do FIRST?</x:v>
      </x:c>
      <x:c r="H106" s="83" t="str">
        <x:v>LCSW-MQB-FB-VE-027</x:v>
      </x:c>
      <x:c r="I106" s="83" t="str">
        <x:v>CTA-LCSW-MQB-0434</x:v>
      </x:c>
      <x:c r="J106" s="83" t="str">
        <x:v>Form B</x:v>
      </x:c>
      <x:c r="K106" s="83" t="str">
        <x:v>Subpoena response</x:v>
      </x:c>
      <x:c r="L106" s="83" t="str">
        <x:v>A legal demand for the complete client file arrives at the agency. What should the social worker do before releasing anything?</x:v>
      </x:c>
      <x:c r="M106" s="83" t="str">
        <x:v>Alternate Form</x:v>
      </x:c>
      <x:c r="N106" s="89" t="str">
        <x:v>Keep on separate forms; review both items together before future revision, option-count changes, or reuse.</x:v>
      </x:c>
    </x:row>
    <x:row r="107">
      <x:c r="A107" s="88" t="str">
        <x:v>LCSW-ALT-106</x:v>
      </x:c>
      <x:c r="B107" s="117" t="n">
        <x:v>0.8729543183517573</x:v>
      </x:c>
      <x:c r="C107" s="83" t="str">
        <x:v>LCSW-MQB-FA-VE-028</x:v>
      </x:c>
      <x:c r="D107" s="83" t="str">
        <x:v>CTA-LCSW-MQB-0308</x:v>
      </x:c>
      <x:c r="E107" s="83" t="str">
        <x:v>Form A</x:v>
      </x:c>
      <x:c r="F107" s="83" t="str">
        <x:v>Client access and third-party information</x:v>
      </x:c>
      <x:c r="G107" s="83" t="str">
        <x:v>A client requests a copy of the record, which includes sensitive information supplied by another person. What should the social worker do NEXT?</x:v>
      </x:c>
      <x:c r="H107" s="83" t="str">
        <x:v>LCSW-MQB-FB-VE-028</x:v>
      </x:c>
      <x:c r="I107" s="83" t="str">
        <x:v>CTA-LCSW-MQB-0390</x:v>
      </x:c>
      <x:c r="J107" s="83" t="str">
        <x:v>Form B</x:v>
      </x:c>
      <x:c r="K107" s="83" t="str">
        <x:v>Client access and third-party information</x:v>
      </x:c>
      <x:c r="L107" s="83" t="str">
        <x:v>A client asks to inspect the record, which contains information a collateral source expected would remain private. What should the social worker do next?</x:v>
      </x:c>
      <x:c r="M107" s="83" t="str">
        <x:v>Alternate Form</x:v>
      </x:c>
      <x:c r="N107" s="89" t="str">
        <x:v>Keep on separate forms; review both items together before future revision, option-count changes, or reuse.</x:v>
      </x:c>
    </x:row>
    <x:row r="108">
      <x:c r="A108" s="88" t="str">
        <x:v>LCSW-ALT-107</x:v>
      </x:c>
      <x:c r="B108" s="117" t="n">
        <x:v>0.8174386072716129</x:v>
      </x:c>
      <x:c r="C108" s="83" t="str">
        <x:v>LCSW-MQB-FA-VE-029</x:v>
      </x:c>
      <x:c r="D108" s="83" t="str">
        <x:v>CTA-LCSW-MQB-0232</x:v>
      </x:c>
      <x:c r="E108" s="83" t="str">
        <x:v>Form A</x:v>
      </x:c>
      <x:c r="F108" s="83" t="str">
        <x:v>Social justice and service barriers</x:v>
      </x:c>
      <x:c r="G108" s="83" t="str">
        <x:v>A clinic repeatedly closes cases when clients miss appointments, although many clients rely on unreliable public transportation. What should the social worker do?</x:v>
      </x:c>
      <x:c r="H108" s="83" t="str">
        <x:v>LCSW-MQB-FB-VE-029</x:v>
      </x:c>
      <x:c r="I108" s="83" t="str">
        <x:v>CTA-LCSW-MQB-0330</x:v>
      </x:c>
      <x:c r="J108" s="83" t="str">
        <x:v>Form B</x:v>
      </x:c>
      <x:c r="K108" s="83" t="str">
        <x:v>Social justice and service barriers</x:v>
      </x:c>
      <x:c r="L108" s="83" t="str">
        <x:v>A clinic labels clients “noncompliant” and closes their cases after missed visits, even though transportation failures are widespread. What should the social worker do?</x:v>
      </x:c>
      <x:c r="M108" s="83" t="str">
        <x:v>Alternate Form</x:v>
      </x:c>
      <x:c r="N108" s="89" t="str">
        <x:v>Keep on separate forms; review both items together before future revision, option-count changes, or reuse.</x:v>
      </x:c>
    </x:row>
    <x:row r="109">
      <x:c r="A109" s="88" t="str">
        <x:v>LCSW-ALT-108</x:v>
      </x:c>
      <x:c r="B109" s="117" t="n">
        <x:v>0.8093553054789272</x:v>
      </x:c>
      <x:c r="C109" s="83" t="str">
        <x:v>LCSW-MQB-FA-VE-030</x:v>
      </x:c>
      <x:c r="D109" s="83" t="str">
        <x:v>CTA-LCSW-MQB-0221</x:v>
      </x:c>
      <x:c r="E109" s="83" t="str">
        <x:v>Form A</x:v>
      </x:c>
      <x:c r="F109" s="83" t="str">
        <x:v>Supervisor impairment</x:v>
      </x:c>
      <x:c r="G109" s="83" t="str">
        <x:v>A supervisee notices that a supervisor is repeatedly confused, misses urgent consultations, and gives contradictory directions. What should the supervisee do FIRST?</x:v>
      </x:c>
      <x:c r="H109" s="83" t="str">
        <x:v>LCSW-MQB-FB-VE-030</x:v>
      </x:c>
      <x:c r="I109" s="83" t="str">
        <x:v>CTA-LCSW-MQB-0356</x:v>
      </x:c>
      <x:c r="J109" s="83" t="str">
        <x:v>Form B</x:v>
      </x:c>
      <x:c r="K109" s="83" t="str">
        <x:v>Supervisor impairment</x:v>
      </x:c>
      <x:c r="L109" s="83" t="str">
        <x:v>A supervisee observes that the supervisor is increasingly disorganized, unavailable during crises, and inconsistent in direction. What should the supervisee do first?</x:v>
      </x:c>
      <x:c r="M109" s="83" t="str">
        <x:v>Alternate Form</x:v>
      </x:c>
      <x:c r="N109" s="89" t="str">
        <x:v>Keep on separate forms; review both items together before future revision, option-count changes, or reuse.</x:v>
      </x:c>
    </x:row>
    <x:row r="110">
      <x:c r="A110" s="88" t="str">
        <x:v>LCSW-ALT-109</x:v>
      </x:c>
      <x:c r="B110" s="117" t="n">
        <x:v>0.8458557176213283</x:v>
      </x:c>
      <x:c r="C110" s="83" t="str">
        <x:v>LCSW-MQB-FA-VE-031</x:v>
      </x:c>
      <x:c r="D110" s="83" t="str">
        <x:v>CTA-LCSW-MQB-0213</x:v>
      </x:c>
      <x:c r="E110" s="83" t="str">
        <x:v>Form A</x:v>
      </x:c>
      <x:c r="F110" s="83" t="str">
        <x:v>Research participation</x:v>
      </x:c>
      <x:c r="G110" s="83" t="str">
        <x:v>A social worker is recruiting current clients for a study the social worker leads. What should be addressed FIRST?</x:v>
      </x:c>
      <x:c r="H110" s="83" t="str">
        <x:v>LCSW-MQB-FB-VE-031</x:v>
      </x:c>
      <x:c r="I110" s="83" t="str">
        <x:v>CTA-LCSW-MQB-0336</x:v>
      </x:c>
      <x:c r="J110" s="83" t="str">
        <x:v>Form B</x:v>
      </x:c>
      <x:c r="K110" s="83" t="str">
        <x:v>Research participation</x:v>
      </x:c>
      <x:c r="L110" s="83" t="str">
        <x:v>A clinician invites current therapy clients to join a study the clinician directs and can see who declines. What should be addressed first?</x:v>
      </x:c>
      <x:c r="M110" s="83" t="str">
        <x:v>Alternate Form</x:v>
      </x:c>
      <x:c r="N110" s="89" t="str">
        <x:v>Keep on separate forms; review both items together before future revision, option-count changes, or reuse.</x:v>
      </x:c>
    </x:row>
    <x:row r="111">
      <x:c r="A111" s="88" t="str">
        <x:v>LCSW-ALT-110</x:v>
      </x:c>
      <x:c r="B111" s="117" t="n">
        <x:v>0.8186638905615767</x:v>
      </x:c>
      <x:c r="C111" s="83" t="str">
        <x:v>LCSW-MQB-FA-VE-032</x:v>
      </x:c>
      <x:c r="D111" s="83" t="str">
        <x:v>CTA-LCSW-MQB-0242</x:v>
      </x:c>
      <x:c r="E111" s="83" t="str">
        <x:v>Form A</x:v>
      </x:c>
      <x:c r="F111" s="83" t="str">
        <x:v>Telehealth privacy</x:v>
      </x:c>
      <x:c r="G111" s="83" t="str">
        <x:v>During a telehealth session, the client appears to be in a public place and whispers responses. What should the social worker do FIRST?</x:v>
      </x:c>
      <x:c r="H111" s="83" t="str">
        <x:v>LCSW-MQB-FB-VE-032</x:v>
      </x:c>
      <x:c r="I111" s="83" t="str">
        <x:v>CTA-LCSW-MQB-0339</x:v>
      </x:c>
      <x:c r="J111" s="83" t="str">
        <x:v>Form B</x:v>
      </x:c>
      <x:c r="K111" s="83" t="str">
        <x:v>Telehealth privacy</x:v>
      </x:c>
      <x:c r="L111" s="83" t="str">
        <x:v>A client joins a video session from a crowded waiting area and answers sensitive questions in a whisper. What should the social worker do first?</x:v>
      </x:c>
      <x:c r="M111" s="83" t="str">
        <x:v>Alternate Form</x:v>
      </x:c>
      <x:c r="N111" s="89" t="str">
        <x:v>Keep on separate forms; review both items together before future revision, option-count changes, or reuse.</x:v>
      </x:c>
    </x:row>
    <x:row r="112">
      <x:c r="A112" s="88" t="str">
        <x:v>LCSW-ALT-111</x:v>
      </x:c>
      <x:c r="B112" s="117" t="n">
        <x:v>0.8612704881355573</x:v>
      </x:c>
      <x:c r="C112" s="83" t="str">
        <x:v>LCSW-MQB-FA-VE-033</x:v>
      </x:c>
      <x:c r="D112" s="83" t="str">
        <x:v>CTA-LCSW-MQB-0231</x:v>
      </x:c>
      <x:c r="E112" s="83" t="str">
        <x:v>Form A</x:v>
      </x:c>
      <x:c r="F112" s="83" t="str">
        <x:v>Dual-role pressure</x:v>
      </x:c>
      <x:c r="G112" s="83" t="str">
        <x:v>A school social worker is asked to provide therapy to a student and also decide whether the student should be expelled. What should the social worker do?</x:v>
      </x:c>
      <x:c r="H112" s="83" t="str">
        <x:v>LCSW-MQB-FB-VE-033</x:v>
      </x:c>
      <x:c r="I112" s="83" t="str">
        <x:v>CTA-LCSW-MQB-0392</x:v>
      </x:c>
      <x:c r="J112" s="83" t="str">
        <x:v>Form B</x:v>
      </x:c>
      <x:c r="K112" s="83" t="str">
        <x:v>Dual-role pressure</x:v>
      </x:c>
      <x:c r="L112" s="83" t="str">
        <x:v>A school asks the same social worker to counsel a student privately and later serve as the decision-maker in the student’s disciplinary hearing. What should the social worker do?</x:v>
      </x:c>
      <x:c r="M112" s="83" t="str">
        <x:v>Alternate Form</x:v>
      </x:c>
      <x:c r="N112" s="89" t="str">
        <x:v>Keep on separate forms; review both items together before future revision, option-count changes, or reuse.</x:v>
      </x:c>
    </x:row>
    <x:row r="113">
      <x:c r="A113" s="88" t="str">
        <x:v>LCSW-ALT-112</x:v>
      </x:c>
      <x:c r="B113" s="117" t="n">
        <x:v>0.7711620798583912</x:v>
      </x:c>
      <x:c r="C113" s="83" t="str">
        <x:v>LCSW-MQB-FA-VE-034</x:v>
      </x:c>
      <x:c r="D113" s="83" t="str">
        <x:v>CTA-LCSW-MQB-0209</x:v>
      </x:c>
      <x:c r="E113" s="83" t="str">
        <x:v>Form A</x:v>
      </x:c>
      <x:c r="F113" s="83" t="str">
        <x:v>Administrative falsification</x:v>
      </x:c>
      <x:c r="G113" s="83" t="str">
        <x:v>A manager tells staff to document services that were scheduled but not actually provided so a grant target is met. What should the social worker do?</x:v>
      </x:c>
      <x:c r="H113" s="83" t="str">
        <x:v>LCSW-MQB-FB-VE-034</x:v>
      </x:c>
      <x:c r="I113" s="83" t="str">
        <x:v>CTA-LCSW-MQB-0395</x:v>
      </x:c>
      <x:c r="J113" s="83" t="str">
        <x:v>Form B</x:v>
      </x:c>
      <x:c r="K113" s="83" t="str">
        <x:v>Administrative falsification</x:v>
      </x:c>
      <x:c r="L113" s="83" t="str">
        <x:v>An administrator instructs staff to enter completed-service notes for appointments that never occurred so performance targets appear met. What should the social worker do?</x:v>
      </x:c>
      <x:c r="M113" s="83" t="str">
        <x:v>Alternate Form</x:v>
      </x:c>
      <x:c r="N113" s="89" t="str">
        <x:v>Keep on separate forms; review both items together before future revision, option-count changes, or reuse.</x:v>
      </x:c>
    </x:row>
    <x:row r="114">
      <x:c r="A114" s="88" t="str">
        <x:v>LCSW-ALT-113</x:v>
      </x:c>
      <x:c r="B114" s="117" t="n">
        <x:v>0.8538022551360804</x:v>
      </x:c>
      <x:c r="C114" s="83" t="str">
        <x:v>LCSW-MQB-FA-VE-035</x:v>
      </x:c>
      <x:c r="D114" s="83" t="str">
        <x:v>CTA-LCSW-MQB-0313</x:v>
      </x:c>
      <x:c r="E114" s="83" t="str">
        <x:v>Form A</x:v>
      </x:c>
      <x:c r="F114" s="83" t="str">
        <x:v>Termination and continuity</x:v>
      </x:c>
      <x:c r="G114" s="83" t="str">
        <x:v>A social worker is leaving an agency with little notice. Several clients have high needs. What should the social worker do NEXT?</x:v>
      </x:c>
      <x:c r="H114" s="83" t="str">
        <x:v>LCSW-MQB-FB-VE-035</x:v>
      </x:c>
      <x:c r="I114" s="83" t="str">
        <x:v>CTA-LCSW-MQB-0402</x:v>
      </x:c>
      <x:c r="J114" s="83" t="str">
        <x:v>Form B</x:v>
      </x:c>
      <x:c r="K114" s="83" t="str">
        <x:v>Termination and continuity</x:v>
      </x:c>
      <x:c r="L114" s="83" t="str">
        <x:v>A clinician is unexpectedly leaving a program, and several clients need intensive follow-up and coordinated transfer. What should the social worker do next?</x:v>
      </x:c>
      <x:c r="M114" s="83" t="str">
        <x:v>Alternate Form</x:v>
      </x:c>
      <x:c r="N114" s="89" t="str">
        <x:v>Keep on separate forms; review both items together before future revision, option-count changes, or reuse.</x:v>
      </x:c>
    </x:row>
    <x:row r="115">
      <x:c r="A115" s="88" t="str">
        <x:v>LCSW-ALT-114</x:v>
      </x:c>
      <x:c r="B115" s="117" t="n">
        <x:v>0.8320905979924098</x:v>
      </x:c>
      <x:c r="C115" s="83" t="str">
        <x:v>LCSW-MQB-FA-VE-036</x:v>
      </x:c>
      <x:c r="D115" s="83" t="str">
        <x:v>CTA-LCSW-MQB-0274</x:v>
      </x:c>
      <x:c r="E115" s="83" t="str">
        <x:v>Form A</x:v>
      </x:c>
      <x:c r="F115" s="83" t="str">
        <x:v>Client complaint</x:v>
      </x:c>
      <x:c r="G115" s="83" t="str">
        <x:v>A client says the social worker made a culturally insensitive assumption. What should the social worker do FIRST?</x:v>
      </x:c>
      <x:c r="H115" s="83" t="str">
        <x:v>LCSW-MQB-FB-VE-036</x:v>
      </x:c>
      <x:c r="I115" s="83" t="str">
        <x:v>CTA-LCSW-MQB-0352</x:v>
      </x:c>
      <x:c r="J115" s="83" t="str">
        <x:v>Form B</x:v>
      </x:c>
      <x:c r="K115" s="83" t="str">
        <x:v>Client complaint</x:v>
      </x:c>
      <x:c r="L115" s="83" t="str">
        <x:v>A client says the social worker relied on a stereotype and felt dismissive of an important cultural practice. What should the social worker do first?</x:v>
      </x:c>
      <x:c r="M115" s="83" t="str">
        <x:v>Alternate Form</x:v>
      </x:c>
      <x:c r="N115" s="89" t="str">
        <x:v>Keep on separate forms; review both items together before future revision, option-count changes, or reuse.</x:v>
      </x:c>
    </x:row>
    <x:row r="116">
      <x:c r="A116" s="88" t="str">
        <x:v>LCSW-ALT-115</x:v>
      </x:c>
      <x:c r="B116" s="117" t="n">
        <x:v>0.8274617160257454</x:v>
      </x:c>
      <x:c r="C116" s="83" t="str">
        <x:v>LCSW-MQB-FA-VE-037</x:v>
      </x:c>
      <x:c r="D116" s="83" t="str">
        <x:v>CTA-LCSW-MQB-0301</x:v>
      </x:c>
      <x:c r="E116" s="83" t="str">
        <x:v>Form A</x:v>
      </x:c>
      <x:c r="F116" s="83" t="str">
        <x:v>Colleague misconduct</x:v>
      </x:c>
      <x:c r="G116" s="83" t="str">
        <x:v>A social worker learns that a colleague has been sharing identifiable client stories at social events. What should the social worker do?</x:v>
      </x:c>
      <x:c r="H116" s="83" t="str">
        <x:v>LCSW-MQB-FB-VE-037</x:v>
      </x:c>
      <x:c r="I116" s="83" t="str">
        <x:v>CTA-LCSW-MQB-0425</x:v>
      </x:c>
      <x:c r="J116" s="83" t="str">
        <x:v>Form B</x:v>
      </x:c>
      <x:c r="K116" s="83" t="str">
        <x:v>Colleague misconduct</x:v>
      </x:c>
      <x:c r="L116" s="83" t="str">
        <x:v>A social worker learns that a coworker routinely tells recognizable client stories at community gatherings. What should the social worker do?</x:v>
      </x:c>
      <x:c r="M116" s="83" t="str">
        <x:v>Alternate Form</x:v>
      </x:c>
      <x:c r="N116" s="89" t="str">
        <x:v>Keep on separate forms; review both items together before future revision, option-count changes, or reuse.</x:v>
      </x:c>
    </x:row>
    <x:row r="117">
      <x:c r="A117" s="88" t="str">
        <x:v>LCSW-ALT-116</x:v>
      </x:c>
      <x:c r="B117" s="117" t="n">
        <x:v>0.8392158965752925</x:v>
      </x:c>
      <x:c r="C117" s="83" t="str">
        <x:v>LCSW-MQB-FA-VE-038</x:v>
      </x:c>
      <x:c r="D117" s="83" t="str">
        <x:v>CTA-LCSW-MQB-0269</x:v>
      </x:c>
      <x:c r="E117" s="83" t="str">
        <x:v>Form A</x:v>
      </x:c>
      <x:c r="F117" s="83" t="str">
        <x:v>Safety and confidentiality</x:v>
      </x:c>
      <x:c r="G117" s="83" t="str">
        <x:v>A client makes a credible threat toward an identifiable person and then revokes all releases. What should the social worker do?</x:v>
      </x:c>
      <x:c r="H117" s="83" t="str">
        <x:v>LCSW-MQB-FB-VE-038</x:v>
      </x:c>
      <x:c r="I117" s="83" t="str">
        <x:v>CTA-LCSW-MQB-0354</x:v>
      </x:c>
      <x:c r="J117" s="83" t="str">
        <x:v>Form B</x:v>
      </x:c>
      <x:c r="K117" s="83" t="str">
        <x:v>Safety and confidentiality</x:v>
      </x:c>
      <x:c r="L117" s="83" t="str">
        <x:v>A client communicates a specific and credible threat against a named person and withdraws permission to contact anyone. What should the social worker do?</x:v>
      </x:c>
      <x:c r="M117" s="83" t="str">
        <x:v>Alternate Form</x:v>
      </x:c>
      <x:c r="N117" s="89" t="str">
        <x:v>Keep on separate forms; review both items together before future revision, option-count changes, or reuse.</x:v>
      </x:c>
    </x:row>
    <x:row r="118">
      <x:c r="A118" s="88" t="str">
        <x:v>LCSW-ALT-117</x:v>
      </x:c>
      <x:c r="B118" s="117" t="n">
        <x:v>0.8510416974887106</x:v>
      </x:c>
      <x:c r="C118" s="83" t="str">
        <x:v>LCSW-MQB-FA-VE-039</x:v>
      </x:c>
      <x:c r="D118" s="83" t="str">
        <x:v>CTA-LCSW-MQB-0220</x:v>
      </x:c>
      <x:c r="E118" s="83" t="str">
        <x:v>Form A</x:v>
      </x:c>
      <x:c r="F118" s="83" t="str">
        <x:v>Cultural values and autonomy</x:v>
      </x:c>
      <x:c r="G118" s="83" t="str">
        <x:v>An older adult client wants an adult child involved in every decision, while staff insist that independence requires excluding family. What should the social worker do?</x:v>
      </x:c>
      <x:c r="H118" s="83" t="str">
        <x:v>LCSW-MQB-FB-VE-039</x:v>
      </x:c>
      <x:c r="I118" s="83" t="str">
        <x:v>CTA-LCSW-MQB-0346</x:v>
      </x:c>
      <x:c r="J118" s="83" t="str">
        <x:v>Form B</x:v>
      </x:c>
      <x:c r="K118" s="83" t="str">
        <x:v>Cultural values and autonomy</x:v>
      </x:c>
      <x:c r="L118" s="83" t="str">
        <x:v>A capable older client prefers to include a daughter in all service decisions, while the treatment team says autonomy requires excluding relatives. What should the social worker do?</x:v>
      </x:c>
      <x:c r="M118" s="83" t="str">
        <x:v>Alternate Form</x:v>
      </x:c>
      <x:c r="N118" s="89" t="str">
        <x:v>Keep on separate forms; review both items together before future revision, option-count changes, or reuse.</x:v>
      </x:c>
    </x:row>
    <x:row r="119">
      <x:c r="A119" s="88" t="str">
        <x:v>LCSW-ALT-118</x:v>
      </x:c>
      <x:c r="B119" s="117" t="n">
        <x:v>0.8365776248704319</x:v>
      </x:c>
      <x:c r="C119" s="83" t="str">
        <x:v>LCSW-MQB-FA-VE-040</x:v>
      </x:c>
      <x:c r="D119" s="83" t="str">
        <x:v>CTA-LCSW-MQB-0321</x:v>
      </x:c>
      <x:c r="E119" s="83" t="str">
        <x:v>Form A</x:v>
      </x:c>
      <x:c r="F119" s="83" t="str">
        <x:v>Technology, consent, and equity</x:v>
      </x:c>
      <x:c r="G119" s="83" t="str">
        <x:v>An agency plans to require app-only communication, although many clients lack smartphones or private data plans. What should the social worker recommend?</x:v>
      </x:c>
      <x:c r="H119" s="83" t="str">
        <x:v>LCSW-MQB-FB-VE-040</x:v>
      </x:c>
      <x:c r="I119" s="83" t="str">
        <x:v>CTA-LCSW-MQB-0334</x:v>
      </x:c>
      <x:c r="J119" s="83" t="str">
        <x:v>Form B</x:v>
      </x:c>
      <x:c r="K119" s="83" t="str">
        <x:v>Technology, consent, and equity</x:v>
      </x:c>
      <x:c r="L119" s="83" t="str">
        <x:v>A clinic wants all scheduling and clinical communication to occur through a smartphone application despite many clients lacking devices, data, or privacy. What should the social worker recommend?</x:v>
      </x:c>
      <x:c r="M119" s="83" t="str">
        <x:v>Alternate Form</x:v>
      </x:c>
      <x:c r="N119" s="89" t="str">
        <x:v>Keep on separate forms; review both items together before future revision, option-count changes, or reuse.</x:v>
      </x:c>
    </x:row>
    <x:row r="120">
      <x:c r="A120" s="88" t="str">
        <x:v>LCSW-ALT-119</x:v>
      </x:c>
      <x:c r="B120" s="117" t="n">
        <x:v>0.8406084438691473</x:v>
      </x:c>
      <x:c r="C120" s="83" t="str">
        <x:v>LCSW-MQB-FA-VE-041</x:v>
      </x:c>
      <x:c r="D120" s="83" t="str">
        <x:v>CTA-LCSW-MQB-0320</x:v>
      </x:c>
      <x:c r="E120" s="83" t="str">
        <x:v>Form A</x:v>
      </x:c>
      <x:c r="F120" s="83" t="str">
        <x:v>Supervision and documentation</x:v>
      </x:c>
      <x:c r="G120" s="83" t="str">
        <x:v>A supervisee discloses having omitted risk information from several notes because a supervisor discouraged “negative details.” What should the supervising social worker do?</x:v>
      </x:c>
      <x:c r="H120" s="83" t="str">
        <x:v>LCSW-MQB-FB-VE-041</x:v>
      </x:c>
      <x:c r="I120" s="83" t="str">
        <x:v>CTA-LCSW-MQB-0406</x:v>
      </x:c>
      <x:c r="J120" s="83" t="str">
        <x:v>Form B</x:v>
      </x:c>
      <x:c r="K120" s="83" t="str">
        <x:v>Supervision and documentation</x:v>
      </x:c>
      <x:c r="L120" s="83" t="str">
        <x:v>A supervisee reports leaving danger-related facts out of notes after being told that such details make the program look bad. What should the supervising social worker do?</x:v>
      </x:c>
      <x:c r="M120" s="83" t="str">
        <x:v>Alternate Form</x:v>
      </x:c>
      <x:c r="N120" s="89" t="str">
        <x:v>Keep on separate forms; review both items together before future revision, option-count changes, or reuse.</x:v>
      </x:c>
    </x:row>
    <x:row r="121">
      <x:c r="A121" s="88" t="str">
        <x:v>LCSW-ALT-120</x:v>
      </x:c>
      <x:c r="B121" s="117" t="n">
        <x:v>0.821020865626456</x:v>
      </x:c>
      <x:c r="C121" s="83" t="str">
        <x:v>LCSW-MQB-FA-VE-042</x:v>
      </x:c>
      <x:c r="D121" s="83" t="str">
        <x:v>CTA-LCSW-MQB-0295</x:v>
      </x:c>
      <x:c r="E121" s="83" t="str">
        <x:v>Form A</x:v>
      </x:c>
      <x:c r="F121" s="83" t="str">
        <x:v>Organizational ethics and scarce resources</x:v>
      </x:c>
      <x:c r="G121" s="83" t="str">
        <x:v>An agency has one emergency housing slot and two equally eligible clients. What is the BEST ethical approach?</x:v>
      </x:c>
      <x:c r="H121" s="83" t="str">
        <x:v>LCSW-MQB-FB-VE-042</x:v>
      </x:c>
      <x:c r="I121" s="83" t="str">
        <x:v>CTA-LCSW-MQB-0401</x:v>
      </x:c>
      <x:c r="J121" s="83" t="str">
        <x:v>Form B</x:v>
      </x:c>
      <x:c r="K121" s="83" t="str">
        <x:v>Organizational ethics and scarce resources</x:v>
      </x:c>
      <x:c r="L121" s="83" t="str">
        <x:v>Two clients meet the same written criteria for one available crisis-housing placement. What is the best ethical allocation process?</x:v>
      </x:c>
      <x:c r="M121" s="83" t="str">
        <x:v>Alternate Form</x:v>
      </x:c>
      <x:c r="N121" s="89" t="str">
        <x:v>Keep on separate forms; review both items together before future revision, option-count changes, or reuse.</x:v>
      </x:c>
    </x:row>
    <x:row r="122">
      <x:c r="A122" s="88" t="str">
        <x:v>LCSW-ALT-121</x:v>
      </x:c>
      <x:c r="B122" s="117" t="n">
        <x:v>0.8702614919309998</x:v>
      </x:c>
      <x:c r="C122" s="83" t="str">
        <x:v>LCSW-MQB-FA-VE-043</x:v>
      </x:c>
      <x:c r="D122" s="83" t="str">
        <x:v>CTA-LCSW-MQB-0279</x:v>
      </x:c>
      <x:c r="E122" s="83" t="str">
        <x:v>Form A</x:v>
      </x:c>
      <x:c r="F122" s="83" t="str">
        <x:v>Former-client boundary and access</x:v>
      </x:c>
      <x:c r="G122" s="83" t="str">
        <x:v>A former client asks the social worker to become a business partner and offers access to valuable community contacts. What should the social worker do?</x:v>
      </x:c>
      <x:c r="H122" s="83" t="str">
        <x:v>LCSW-MQB-FB-VE-043</x:v>
      </x:c>
      <x:c r="I122" s="83" t="str">
        <x:v>CTA-LCSW-MQB-0363</x:v>
      </x:c>
      <x:c r="J122" s="83" t="str">
        <x:v>Form B</x:v>
      </x:c>
      <x:c r="K122" s="83" t="str">
        <x:v>Former-client boundary and access</x:v>
      </x:c>
      <x:c r="L122" s="83" t="str">
        <x:v>Years after termination, a former client proposes a joint business venture that would benefit from the social worker’s professional contacts. What should the social worker do?</x:v>
      </x:c>
      <x:c r="M122" s="83" t="str">
        <x:v>Alternate Form</x:v>
      </x:c>
      <x:c r="N122" s="89" t="str">
        <x:v>Keep on separate forms; review both items together before future revision, option-count changes, or reuse.</x:v>
      </x:c>
    </x:row>
    <x:row r="123">
      <x:c r="A123" s="88" t="str">
        <x:v>LCSW-ALT-122</x:v>
      </x:c>
      <x:c r="B123" s="117" t="n">
        <x:v>0.8196543484942284</x:v>
      </x:c>
      <x:c r="C123" s="83" t="str">
        <x:v>LCSW-MQB-FA-VE-044</x:v>
      </x:c>
      <x:c r="D123" s="83" t="str">
        <x:v>CTA-LCSW-MQB-0281</x:v>
      </x:c>
      <x:c r="E123" s="83" t="str">
        <x:v>Form A</x:v>
      </x:c>
      <x:c r="F123" s="83" t="str">
        <x:v>Ethical decision-making process</x:v>
      </x:c>
      <x:c r="G123" s="83" t="str">
        <x:v>A social worker faces a conflict among client wishes, agency policy, safety concerns, and uncertain law. What should the social worker do?</x:v>
      </x:c>
      <x:c r="H123" s="83" t="str">
        <x:v>LCSW-MQB-FB-VE-044</x:v>
      </x:c>
      <x:c r="I123" s="83" t="str">
        <x:v>CTA-LCSW-MQB-0377</x:v>
      </x:c>
      <x:c r="J123" s="83" t="str">
        <x:v>Form B</x:v>
      </x:c>
      <x:c r="K123" s="83" t="str">
        <x:v>Ethical decision-making process</x:v>
      </x:c>
      <x:c r="L123" s="83" t="str">
        <x:v>A case presents conflicting client preferences, possible danger, agency directives, and unclear legal requirements. What decision-making process should the social worker use?</x:v>
      </x:c>
      <x:c r="M123" s="83" t="str">
        <x:v>Alternate Form</x:v>
      </x:c>
      <x:c r="N123" s="89" t="str">
        <x:v>Keep on separate forms; review both items together before future revision, option-count changes, or reuse.</x:v>
      </x:c>
    </x:row>
    <x:row r="124">
      <x:c r="A124" s="88" t="str">
        <x:v>LCSW-OVR-001</x:v>
      </x:c>
      <x:c r="B124" s="117" t="n">
        <x:v>0.5735812570773056</x:v>
      </x:c>
      <x:c r="C124" s="83" t="str">
        <x:v>LCSW-WB11-QB-Q016</x:v>
      </x:c>
      <x:c r="D124" s="83" t="str">
        <x:v>CTA-LCSW-MQB-0186</x:v>
      </x:c>
      <x:c r="E124" s="83" t="str">
        <x:v>Workbook 11</x:v>
      </x:c>
      <x:c r="F124" s="83" t="str">
        <x:v>Urgent risk in supervision</x:v>
      </x:c>
      <x:c r="G124" s="83" t="str">
        <x:v>A supervisee reports that a client made a specific escalating threat and that the supervisee is unsure how to assess immediacy. What should the supervisor do?</x:v>
      </x:c>
      <x:c r="H124" s="83" t="str">
        <x:v>LCSW-MQB-FA-VE-019</x:v>
      </x:c>
      <x:c r="I124" s="83" t="str">
        <x:v>CTA-LCSW-MQB-0287</x:v>
      </x:c>
      <x:c r="J124" s="83" t="str">
        <x:v>Form A</x:v>
      </x:c>
      <x:c r="K124" s="83" t="str">
        <x:v>Supervision boundaries</x:v>
      </x:c>
      <x:c r="L124" s="83" t="str">
        <x:v>A supervisor asks a supervisee to provide a service the supervisee has not been trained to deliver. What should the supervisee do?</x:v>
      </x:c>
      <x:c r="M124" s="83" t="str">
        <x:v>Review Candidate</x:v>
      </x:c>
      <x:c r="N124" s="89" t="str">
        <x:v>Compare for substantive redevelopment, independent distractor reasoning, and appropriate three-/four-option design before any future reuse.</x:v>
      </x:c>
    </x:row>
    <x:row r="125">
      <x:c r="A125" s="88" t="str">
        <x:v>LCSW-OVR-002</x:v>
      </x:c>
      <x:c r="B125" s="117" t="n">
        <x:v>0.5668564950095654</x:v>
      </x:c>
      <x:c r="C125" s="83" t="str">
        <x:v>LCSW-WB04-QB-Q014</x:v>
      </x:c>
      <x:c r="D125" s="83" t="str">
        <x:v>CTA-LCSW-MQB-0065</x:v>
      </x:c>
      <x:c r="E125" s="83" t="str">
        <x:v>Workbook 4</x:v>
      </x:c>
      <x:c r="F125" s="83" t="str">
        <x:v>Cultural context and perception</x:v>
      </x:c>
      <x:c r="G125" s="83" t="str">
        <x:v>A client describes communicating with ancestors during a spiritual ceremony. Family members insist this proves psychosis, but the client is organized, functioning, and not distressed. What should the social worker do NEXT?</x:v>
      </x:c>
      <x:c r="H125" s="83" t="str">
        <x:v>LCSW-MQB-FA-AP-012</x:v>
      </x:c>
      <x:c r="I125" s="83" t="str">
        <x:v>CTA-LCSW-MQB-0280</x:v>
      </x:c>
      <x:c r="J125" s="83" t="str">
        <x:v>Form A</x:v>
      </x:c>
      <x:c r="K125" s="83" t="str">
        <x:v>Cultural formulation</x:v>
      </x:c>
      <x:c r="L125" s="83" t="str">
        <x:v>A client says spiritual experiences are central to coping, but a prior clinician called them symptoms. What should the social worker do?</x:v>
      </x:c>
      <x:c r="M125" s="83" t="str">
        <x:v>Review Candidate</x:v>
      </x:c>
      <x:c r="N125" s="89" t="str">
        <x:v>Compare for substantive redevelopment, independent distractor reasoning, and appropriate three-/four-option design before any future reuse.</x:v>
      </x:c>
    </x:row>
    <x:row r="126">
      <x:c r="A126" s="88" t="str">
        <x:v>LCSW-OVR-003</x:v>
      </x:c>
      <x:c r="B126" s="117" t="n">
        <x:v>0.5473269098175415</x:v>
      </x:c>
      <x:c r="C126" s="83" t="str">
        <x:v>LCSW-WB02-QB-Q006</x:v>
      </x:c>
      <x:c r="D126" s="83" t="str">
        <x:v>CTA-LCSW-MQB-0023</x:v>
      </x:c>
      <x:c r="E126" s="83" t="str">
        <x:v>Workbook 2</x:v>
      </x:c>
      <x:c r="F126" s="83" t="str">
        <x:v>Cultural meaning of gifts</x:v>
      </x:c>
      <x:c r="G126" s="83" t="str">
        <x:v>A client offers a small handmade item with significant cultural meaning. What is the social worker's BEST next step?</x:v>
      </x:c>
      <x:c r="H126" s="83" t="str">
        <x:v>LCSW-MQB-FA-VE-008</x:v>
      </x:c>
      <x:c r="I126" s="83" t="str">
        <x:v>CTA-LCSW-MQB-0246</x:v>
      </x:c>
      <x:c r="J126" s="83" t="str">
        <x:v>Form A</x:v>
      </x:c>
      <x:c r="K126" s="83" t="str">
        <x:v>Gift boundaries</x:v>
      </x:c>
      <x:c r="L126" s="83" t="str">
        <x:v>A long-term client offers the social worker a small handmade item that has important cultural meaning. What should the social worker do?</x:v>
      </x:c>
      <x:c r="M126" s="83" t="str">
        <x:v>Review Candidate</x:v>
      </x:c>
      <x:c r="N126" s="89" t="str">
        <x:v>Compare for substantive redevelopment, independent distractor reasoning, and appropriate three-/four-option design before any future reuse.</x:v>
      </x:c>
    </x:row>
    <x:row r="127">
      <x:c r="A127" s="88" t="str">
        <x:v>LCSW-OVR-004</x:v>
      </x:c>
      <x:c r="B127" s="117" t="n">
        <x:v>0.5392477364970888</x:v>
      </x:c>
      <x:c r="C127" s="83" t="str">
        <x:v>LCSW-WB11-QB-Q016</x:v>
      </x:c>
      <x:c r="D127" s="83" t="str">
        <x:v>CTA-LCSW-MQB-0186</x:v>
      </x:c>
      <x:c r="E127" s="83" t="str">
        <x:v>Workbook 11</x:v>
      </x:c>
      <x:c r="F127" s="83" t="str">
        <x:v>Urgent risk in supervision</x:v>
      </x:c>
      <x:c r="G127" s="83" t="str">
        <x:v>A supervisee reports that a client made a specific escalating threat and that the supervisee is unsure how to assess immediacy. What should the supervisor do?</x:v>
      </x:c>
      <x:c r="H127" s="83" t="str">
        <x:v>LCSW-MQB-FA-VE-041</x:v>
      </x:c>
      <x:c r="I127" s="83" t="str">
        <x:v>CTA-LCSW-MQB-0320</x:v>
      </x:c>
      <x:c r="J127" s="83" t="str">
        <x:v>Form A</x:v>
      </x:c>
      <x:c r="K127" s="83" t="str">
        <x:v>Supervision and documentation</x:v>
      </x:c>
      <x:c r="L127" s="83" t="str">
        <x:v>A supervisee discloses having omitted risk information from several notes because a supervisor discouraged “negative details.” What should the supervising social worker do?</x:v>
      </x:c>
      <x:c r="M127" s="83" t="str">
        <x:v>Review Candidate</x:v>
      </x:c>
      <x:c r="N127" s="89" t="str">
        <x:v>Compare for substantive redevelopment, independent distractor reasoning, and appropriate three-/four-option design before any future reuse.</x:v>
      </x:c>
    </x:row>
    <x:row r="128">
      <x:c r="A128" s="88" t="str">
        <x:v>LCSW-OVR-005</x:v>
      </x:c>
      <x:c r="B128" s="117" t="n">
        <x:v>0.5378360329925774</x:v>
      </x:c>
      <x:c r="C128" s="83" t="str">
        <x:v>LCSW-WB11-QB-Q010</x:v>
      </x:c>
      <x:c r="D128" s="83" t="str">
        <x:v>CTA-LCSW-MQB-0180</x:v>
      </x:c>
      <x:c r="E128" s="83" t="str">
        <x:v>Workbook 11</x:v>
      </x:c>
      <x:c r="F128" s="83" t="str">
        <x:v>Supervisor competence and specialized practice</x:v>
      </x:c>
      <x:c r="G128" s="83" t="str">
        <x:v>A supervisor is assigned a supervisee who is beginning a highly specialized intervention that the supervisor has never practiced. What is the BEST response?</x:v>
      </x:c>
      <x:c r="H128" s="83" t="str">
        <x:v>LCSW-MQB-FA-VE-019</x:v>
      </x:c>
      <x:c r="I128" s="83" t="str">
        <x:v>CTA-LCSW-MQB-0287</x:v>
      </x:c>
      <x:c r="J128" s="83" t="str">
        <x:v>Form A</x:v>
      </x:c>
      <x:c r="K128" s="83" t="str">
        <x:v>Supervision boundaries</x:v>
      </x:c>
      <x:c r="L128" s="83" t="str">
        <x:v>A supervisor asks a supervisee to provide a service the supervisee has not been trained to deliver. What should the supervisee do?</x:v>
      </x:c>
      <x:c r="M128" s="83" t="str">
        <x:v>Review Candidate</x:v>
      </x:c>
      <x:c r="N128" s="89" t="str">
        <x:v>Compare for substantive redevelopment, independent distractor reasoning, and appropriate three-/four-option design before any future reuse.</x:v>
      </x:c>
    </x:row>
    <x:row r="129">
      <x:c r="A129" s="88" t="str">
        <x:v>LCSW-OVR-006</x:v>
      </x:c>
      <x:c r="B129" s="117" t="n">
        <x:v>0.5274021943174974</x:v>
      </x:c>
      <x:c r="C129" s="83" t="str">
        <x:v>LCSW-WB11-QB-Q004</x:v>
      </x:c>
      <x:c r="D129" s="83" t="str">
        <x:v>CTA-LCSW-MQB-0174</x:v>
      </x:c>
      <x:c r="E129" s="83" t="str">
        <x:v>Workbook 11</x:v>
      </x:c>
      <x:c r="F129" s="83" t="str">
        <x:v>Function of clinical supervision</x:v>
      </x:c>
      <x:c r="G129" s="83" t="str">
        <x:v>Which statement BEST describes the function of clinical supervision?</x:v>
      </x:c>
      <x:c r="H129" s="83" t="str">
        <x:v>LCSW-MQB-FA-VE-019</x:v>
      </x:c>
      <x:c r="I129" s="83" t="str">
        <x:v>CTA-LCSW-MQB-0287</x:v>
      </x:c>
      <x:c r="J129" s="83" t="str">
        <x:v>Form A</x:v>
      </x:c>
      <x:c r="K129" s="83" t="str">
        <x:v>Supervision boundaries</x:v>
      </x:c>
      <x:c r="L129" s="83" t="str">
        <x:v>A supervisor asks a supervisee to provide a service the supervisee has not been trained to deliver. What should the supervisee do?</x:v>
      </x:c>
      <x:c r="M129" s="83" t="str">
        <x:v>Review Candidate</x:v>
      </x:c>
      <x:c r="N129" s="89" t="str">
        <x:v>Compare for substantive redevelopment, independent distractor reasoning, and appropriate three-/four-option design before any future reuse.</x:v>
      </x:c>
    </x:row>
    <x:row r="130">
      <x:c r="A130" s="88" t="str">
        <x:v>LCSW-OVR-007</x:v>
      </x:c>
      <x:c r="B130" s="117" t="n">
        <x:v>0.5272177642122752</x:v>
      </x:c>
      <x:c r="C130" s="83" t="str">
        <x:v>LCSW-WB11-QB-Q010</x:v>
      </x:c>
      <x:c r="D130" s="83" t="str">
        <x:v>CTA-LCSW-MQB-0180</x:v>
      </x:c>
      <x:c r="E130" s="83" t="str">
        <x:v>Workbook 11</x:v>
      </x:c>
      <x:c r="F130" s="83" t="str">
        <x:v>Supervisor competence and specialized practice</x:v>
      </x:c>
      <x:c r="G130" s="83" t="str">
        <x:v>A supervisor is assigned a supervisee who is beginning a highly specialized intervention that the supervisor has never practiced. What is the BEST response?</x:v>
      </x:c>
      <x:c r="H130" s="83" t="str">
        <x:v>LCSW-MQB-FA-VE-041</x:v>
      </x:c>
      <x:c r="I130" s="83" t="str">
        <x:v>CTA-LCSW-MQB-0320</x:v>
      </x:c>
      <x:c r="J130" s="83" t="str">
        <x:v>Form A</x:v>
      </x:c>
      <x:c r="K130" s="83" t="str">
        <x:v>Supervision and documentation</x:v>
      </x:c>
      <x:c r="L130" s="83" t="str">
        <x:v>A supervisee discloses having omitted risk information from several notes because a supervisor discouraged “negative details.” What should the supervising social worker do?</x:v>
      </x:c>
      <x:c r="M130" s="83" t="str">
        <x:v>Review Candidate</x:v>
      </x:c>
      <x:c r="N130" s="89" t="str">
        <x:v>Compare for substantive redevelopment, independent distractor reasoning, and appropriate three-/four-option design before any future reuse.</x:v>
      </x:c>
    </x:row>
    <x:row r="131">
      <x:c r="A131" s="88" t="str">
        <x:v>LCSW-OVR-008</x:v>
      </x:c>
      <x:c r="B131" s="117" t="n">
        <x:v>0.5186332914178794</x:v>
      </x:c>
      <x:c r="C131" s="83" t="str">
        <x:v>LCSW-WB09-QB-Q007</x:v>
      </x:c>
      <x:c r="D131" s="83" t="str">
        <x:v>CTA-LCSW-MQB-0143</x:v>
      </x:c>
      <x:c r="E131" s="83" t="str">
        <x:v>Workbook 9</x:v>
      </x:c>
      <x:c r="F131" s="83" t="str">
        <x:v>Group process facilitation</x:v>
      </x:c>
      <x:c r="G131" s="83" t="str">
        <x:v>Two group members begin exchanging personal attacks while the rest of the group becomes silent. What should the facilitator do?</x:v>
      </x:c>
      <x:c r="H131" s="83" t="str">
        <x:v>LCSW-MQB-FA-IP-026</x:v>
      </x:c>
      <x:c r="I131" s="83" t="str">
        <x:v>CTA-LCSW-MQB-0315</x:v>
      </x:c>
      <x:c r="J131" s="83" t="str">
        <x:v>Form A</x:v>
      </x:c>
      <x:c r="K131" s="83" t="str">
        <x:v>Group conflict</x:v>
      </x:c>
      <x:c r="L131" s="83" t="str">
        <x:v>Two group members begin threatening each other. What should the facilitator do FIRST?</x:v>
      </x:c>
      <x:c r="M131" s="83" t="str">
        <x:v>Review Candidate</x:v>
      </x:c>
      <x:c r="N131" s="89" t="str">
        <x:v>Compare for substantive redevelopment, independent distractor reasoning, and appropriate three-/four-option design before any future reuse.</x:v>
      </x:c>
    </x:row>
    <x:row r="132">
      <x:c r="A132" s="88" t="str">
        <x:v>LCSW-OVR-009</x:v>
      </x:c>
      <x:c r="B132" s="117" t="n">
        <x:v>0.5131273686892657</x:v>
      </x:c>
      <x:c r="C132" s="83" t="str">
        <x:v>LCSW-WB01-QB-Q016</x:v>
      </x:c>
      <x:c r="D132" s="83" t="str">
        <x:v>CTA-LCSW-MQB-0016</x:v>
      </x:c>
      <x:c r="E132" s="83" t="str">
        <x:v>Workbook 1</x:v>
      </x:c>
      <x:c r="F132" s="83" t="str">
        <x:v>Suicide risk and discharge access</x:v>
      </x:c>
      <x:c r="G132" s="83" t="str">
        <x:v>A hospitalized client remains suicidal, lacks insurance, cannot afford prescribed medication, and has no transportation to follow-up care. The team plans discharge today. What should the social worker do NEXT?</x:v>
      </x:c>
      <x:c r="H132" s="83" t="str">
        <x:v>LCSW-MQB-FA-IP-034</x:v>
      </x:c>
      <x:c r="I132" s="83" t="str">
        <x:v>CTA-LCSW-MQB-0326</x:v>
      </x:c>
      <x:c r="J132" s="83" t="str">
        <x:v>Form A</x:v>
      </x:c>
      <x:c r="K132" s="83" t="str">
        <x:v>Crisis, housing, and continuity</x:v>
      </x:c>
      <x:c r="L132" s="83" t="str">
        <x:v>A client in crisis is medically stable but cannot return to an unsafe encampment and has no phone or transportation. What should the social worker do?</x:v>
      </x:c>
      <x:c r="M132" s="83" t="str">
        <x:v>Review Candidate</x:v>
      </x:c>
      <x:c r="N132" s="89" t="str">
        <x:v>Compare for substantive redevelopment, independent distractor reasoning, and appropriate three-/four-option design before any future reuse.</x:v>
      </x:c>
    </x:row>
    <x:row r="133">
      <x:c r="A133" s="88" t="str">
        <x:v>LCSW-OVR-010</x:v>
      </x:c>
      <x:c r="B133" s="117" t="n">
        <x:v>0.5126120771759811</x:v>
      </x:c>
      <x:c r="C133" s="83" t="str">
        <x:v>LCSW-WB11-QB-Q016</x:v>
      </x:c>
      <x:c r="D133" s="83" t="str">
        <x:v>CTA-LCSW-MQB-0186</x:v>
      </x:c>
      <x:c r="E133" s="83" t="str">
        <x:v>Workbook 11</x:v>
      </x:c>
      <x:c r="F133" s="83" t="str">
        <x:v>Urgent risk in supervision</x:v>
      </x:c>
      <x:c r="G133" s="83" t="str">
        <x:v>A supervisee reports that a client made a specific escalating threat and that the supervisee is unsure how to assess immediacy. What should the supervisor do?</x:v>
      </x:c>
      <x:c r="H133" s="83" t="str">
        <x:v>LCSW-MQB-FB-VE-041</x:v>
      </x:c>
      <x:c r="I133" s="83" t="str">
        <x:v>CTA-LCSW-MQB-0406</x:v>
      </x:c>
      <x:c r="J133" s="83" t="str">
        <x:v>Form B</x:v>
      </x:c>
      <x:c r="K133" s="83" t="str">
        <x:v>Supervision and documentation</x:v>
      </x:c>
      <x:c r="L133" s="83" t="str">
        <x:v>A supervisee reports leaving danger-related facts out of notes after being told that such details make the program look bad. What should the supervising social worker do?</x:v>
      </x:c>
      <x:c r="M133" s="83" t="str">
        <x:v>Review Candidate</x:v>
      </x:c>
      <x:c r="N133" s="89" t="str">
        <x:v>Compare for substantive redevelopment, independent distractor reasoning, and appropriate three-/four-option design before any future reuse.</x:v>
      </x:c>
    </x:row>
    <x:row r="134">
      <x:c r="A134" s="90" t="str">
        <x:v>LCSW-OVR-011</x:v>
      </x:c>
      <x:c r="B134" s="120" t="n">
        <x:v>0.5009506392583918</x:v>
      </x:c>
      <x:c r="C134" s="91" t="str">
        <x:v>LCSW-WB11-QB-Q016</x:v>
      </x:c>
      <x:c r="D134" s="91" t="str">
        <x:v>CTA-LCSW-MQB-0186</x:v>
      </x:c>
      <x:c r="E134" s="91" t="str">
        <x:v>Workbook 11</x:v>
      </x:c>
      <x:c r="F134" s="91" t="str">
        <x:v>Urgent risk in supervision</x:v>
      </x:c>
      <x:c r="G134" s="91" t="str">
        <x:v>A supervisee reports that a client made a specific escalating threat and that the supervisee is unsure how to assess immediacy. What should the supervisor do?</x:v>
      </x:c>
      <x:c r="H134" s="91" t="str">
        <x:v>LCSW-MQB-FB-IP-017</x:v>
      </x:c>
      <x:c r="I134" s="91" t="str">
        <x:v>CTA-LCSW-MQB-0384</x:v>
      </x:c>
      <x:c r="J134" s="91" t="str">
        <x:v>Form B</x:v>
      </x:c>
      <x:c r="K134" s="91" t="str">
        <x:v>Supervision feedback</x:v>
      </x:c>
      <x:c r="L134" s="91" t="str">
        <x:v>A supervisee argues with each corrective comment and says the supervisor “does not understand the case.” What should the supervisor do?</x:v>
      </x:c>
      <x:c r="M134" s="91" t="str">
        <x:v>Review Candidate</x:v>
      </x:c>
      <x:c r="N134" s="92" t="str">
        <x:v>Compare for substantive redevelopment, independent distractor reasoning, and appropriate three-/four-option design before any future reuse.</x:v>
      </x:c>
    </x:row>
  </x:sheetData>
  <x:conditionalFormatting sqref="M2:M134">
    <x:cfRule type="expression" dxfId="8" priority="1">
      <x:formula>$M2="Alternate Form"</x:formula>
    </x:cfRule>
    <x:cfRule type="expression" dxfId="9" priority="2">
      <x:formula>$M2="Review Candidate"</x:formula>
    </x:cfRule>
  </x:conditionalFormatting>
  <x:pageMargins left="0.7" right="0.7" top="0.75" bottom="0.75" header="0.3" footer="0.3"/>
  <x:tableParts count="1">
    <x:tablePart xmlns:r="http://schemas.openxmlformats.org/officeDocument/2006/relationships" r:id="R32b254ffc859414c"/>
  </x:tableParts>
</x:worksheet>
</file>

<file path=xl/worksheets/sheet9.xml><?xml version="1.0" encoding="utf-8"?>
<x:worksheet xmlns:x="http://schemas.openxmlformats.org/spreadsheetml/2006/main">
  <x:sheetFormatPr defaultRowHeight="15"/>
  <x:cols>
    <x:col min="1" max="1" width="20" hidden="0" customWidth="1"/>
    <x:col min="2" max="2" width="24" hidden="0" customWidth="1"/>
    <x:col min="3" max="3" width="14" hidden="0" customWidth="1"/>
    <x:col min="4" max="4" width="32" hidden="0" customWidth="1"/>
    <x:col min="5" max="5" width="40" hidden="0" customWidth="1"/>
    <x:col min="6" max="6" width="12" hidden="0" customWidth="1"/>
    <x:col min="7" max="7" width="14" hidden="0" customWidth="1"/>
    <x:col min="8" max="8" width="24" hidden="0" customWidth="1"/>
    <x:col min="9" max="9" width="60" hidden="0" customWidth="1"/>
  </x:cols>
  <x:sheetData>
    <x:row r="1">
      <x:c r="A1" s="34" t="str">
        <x:v>Master Question ID</x:v>
      </x:c>
      <x:c r="B1" s="34" t="str">
        <x:v>Original Question ID</x:v>
      </x:c>
      <x:c r="C1" s="34" t="str">
        <x:v>Date</x:v>
      </x:c>
      <x:c r="D1" s="34" t="str">
        <x:v>Action</x:v>
      </x:c>
      <x:c r="E1" s="34" t="str">
        <x:v>Product / Source</x:v>
      </x:c>
      <x:c r="F1" s="34" t="str">
        <x:v>Version</x:v>
      </x:c>
      <x:c r="G1" s="34" t="str">
        <x:v>Exposure Change</x:v>
      </x:c>
      <x:c r="H1" s="34" t="str">
        <x:v>Reviewer / Owner</x:v>
      </x:c>
      <x:c r="I1" s="34" t="str">
        <x:v>Notes</x:v>
      </x:c>
    </x:row>
    <x:row r="2">
      <x:c r="A2" s="85" t="str">
        <x:v>CTA-LCSW-MQB-0001</x:v>
      </x:c>
      <x:c r="B2" s="86" t="str">
        <x:v>LCSW-WB01-QB-Q001</x:v>
      </x:c>
      <x:c r="C2" s="101" t="n">
        <x:v>46228</x:v>
      </x:c>
      <x:c r="D2" s="86" t="str">
        <x:v>Imported into LCSW master inventory</x:v>
      </x:c>
      <x:c r="E2" s="86" t="str">
        <x:v>LCSW Workbook 1 Question Bank</x:v>
      </x:c>
      <x:c r="F2" s="86" t="str">
        <x:v>1.0</x:v>
      </x:c>
      <x:c r="G2" s="86" t="n">
        <x:v>1</x:v>
      </x:c>
      <x:c r="H2" s="86" t="str">
        <x:v>Clinical Training Academy</x:v>
      </x:c>
      <x:c r="I2" s="87" t="str">
        <x:v>Source wording and option count preserved; no silent item-content revision during inventory build.</x:v>
      </x:c>
    </x:row>
    <x:row r="3">
      <x:c r="A3" s="88" t="str">
        <x:v>CTA-LCSW-MQB-0002</x:v>
      </x:c>
      <x:c r="B3" s="83" t="str">
        <x:v>LCSW-WB01-QB-Q002</x:v>
      </x:c>
      <x:c r="C3" s="102" t="n">
        <x:v>46228</x:v>
      </x:c>
      <x:c r="D3" s="83" t="str">
        <x:v>Imported into LCSW master inventory</x:v>
      </x:c>
      <x:c r="E3" s="83" t="str">
        <x:v>LCSW Workbook 1 Question Bank</x:v>
      </x:c>
      <x:c r="F3" s="83" t="str">
        <x:v>1.0</x:v>
      </x:c>
      <x:c r="G3" s="83" t="n">
        <x:v>1</x:v>
      </x:c>
      <x:c r="H3" s="83" t="str">
        <x:v>Clinical Training Academy</x:v>
      </x:c>
      <x:c r="I3" s="89" t="str">
        <x:v>Source wording and option count preserved; no silent item-content revision during inventory build.</x:v>
      </x:c>
    </x:row>
    <x:row r="4">
      <x:c r="A4" s="88" t="str">
        <x:v>CTA-LCSW-MQB-0003</x:v>
      </x:c>
      <x:c r="B4" s="83" t="str">
        <x:v>LCSW-WB01-QB-Q003</x:v>
      </x:c>
      <x:c r="C4" s="102" t="n">
        <x:v>46228</x:v>
      </x:c>
      <x:c r="D4" s="83" t="str">
        <x:v>Imported into LCSW master inventory</x:v>
      </x:c>
      <x:c r="E4" s="83" t="str">
        <x:v>LCSW Workbook 1 Question Bank</x:v>
      </x:c>
      <x:c r="F4" s="83" t="str">
        <x:v>1.0</x:v>
      </x:c>
      <x:c r="G4" s="83" t="n">
        <x:v>1</x:v>
      </x:c>
      <x:c r="H4" s="83" t="str">
        <x:v>Clinical Training Academy</x:v>
      </x:c>
      <x:c r="I4" s="89" t="str">
        <x:v>Source wording and option count preserved; no silent item-content revision during inventory build.</x:v>
      </x:c>
    </x:row>
    <x:row r="5">
      <x:c r="A5" s="88" t="str">
        <x:v>CTA-LCSW-MQB-0004</x:v>
      </x:c>
      <x:c r="B5" s="83" t="str">
        <x:v>LCSW-WB01-QB-Q004</x:v>
      </x:c>
      <x:c r="C5" s="102" t="n">
        <x:v>46228</x:v>
      </x:c>
      <x:c r="D5" s="83" t="str">
        <x:v>Imported into LCSW master inventory</x:v>
      </x:c>
      <x:c r="E5" s="83" t="str">
        <x:v>LCSW Workbook 1 Question Bank</x:v>
      </x:c>
      <x:c r="F5" s="83" t="str">
        <x:v>1.0</x:v>
      </x:c>
      <x:c r="G5" s="83" t="n">
        <x:v>1</x:v>
      </x:c>
      <x:c r="H5" s="83" t="str">
        <x:v>Clinical Training Academy</x:v>
      </x:c>
      <x:c r="I5" s="89" t="str">
        <x:v>Source wording and option count preserved; no silent item-content revision during inventory build.</x:v>
      </x:c>
    </x:row>
    <x:row r="6">
      <x:c r="A6" s="88" t="str">
        <x:v>CTA-LCSW-MQB-0005</x:v>
      </x:c>
      <x:c r="B6" s="83" t="str">
        <x:v>LCSW-WB01-QB-Q005</x:v>
      </x:c>
      <x:c r="C6" s="102" t="n">
        <x:v>46228</x:v>
      </x:c>
      <x:c r="D6" s="83" t="str">
        <x:v>Imported into LCSW master inventory</x:v>
      </x:c>
      <x:c r="E6" s="83" t="str">
        <x:v>LCSW Workbook 1 Question Bank</x:v>
      </x:c>
      <x:c r="F6" s="83" t="str">
        <x:v>1.0</x:v>
      </x:c>
      <x:c r="G6" s="83" t="n">
        <x:v>1</x:v>
      </x:c>
      <x:c r="H6" s="83" t="str">
        <x:v>Clinical Training Academy</x:v>
      </x:c>
      <x:c r="I6" s="89" t="str">
        <x:v>Source wording and option count preserved; no silent item-content revision during inventory build.</x:v>
      </x:c>
    </x:row>
    <x:row r="7">
      <x:c r="A7" s="88" t="str">
        <x:v>CTA-LCSW-MQB-0006</x:v>
      </x:c>
      <x:c r="B7" s="83" t="str">
        <x:v>LCSW-WB01-QB-Q006</x:v>
      </x:c>
      <x:c r="C7" s="102" t="n">
        <x:v>46228</x:v>
      </x:c>
      <x:c r="D7" s="83" t="str">
        <x:v>Imported into LCSW master inventory</x:v>
      </x:c>
      <x:c r="E7" s="83" t="str">
        <x:v>LCSW Workbook 1 Question Bank</x:v>
      </x:c>
      <x:c r="F7" s="83" t="str">
        <x:v>1.0</x:v>
      </x:c>
      <x:c r="G7" s="83" t="n">
        <x:v>1</x:v>
      </x:c>
      <x:c r="H7" s="83" t="str">
        <x:v>Clinical Training Academy</x:v>
      </x:c>
      <x:c r="I7" s="89" t="str">
        <x:v>Source wording and option count preserved; no silent item-content revision during inventory build.</x:v>
      </x:c>
    </x:row>
    <x:row r="8">
      <x:c r="A8" s="88" t="str">
        <x:v>CTA-LCSW-MQB-0007</x:v>
      </x:c>
      <x:c r="B8" s="83" t="str">
        <x:v>LCSW-WB01-QB-Q007</x:v>
      </x:c>
      <x:c r="C8" s="102" t="n">
        <x:v>46228</x:v>
      </x:c>
      <x:c r="D8" s="83" t="str">
        <x:v>Imported into LCSW master inventory</x:v>
      </x:c>
      <x:c r="E8" s="83" t="str">
        <x:v>LCSW Workbook 1 Question Bank</x:v>
      </x:c>
      <x:c r="F8" s="83" t="str">
        <x:v>1.0</x:v>
      </x:c>
      <x:c r="G8" s="83" t="n">
        <x:v>1</x:v>
      </x:c>
      <x:c r="H8" s="83" t="str">
        <x:v>Clinical Training Academy</x:v>
      </x:c>
      <x:c r="I8" s="89" t="str">
        <x:v>Source wording and option count preserved; no silent item-content revision during inventory build.</x:v>
      </x:c>
    </x:row>
    <x:row r="9">
      <x:c r="A9" s="88" t="str">
        <x:v>CTA-LCSW-MQB-0008</x:v>
      </x:c>
      <x:c r="B9" s="83" t="str">
        <x:v>LCSW-WB01-QB-Q008</x:v>
      </x:c>
      <x:c r="C9" s="102" t="n">
        <x:v>46228</x:v>
      </x:c>
      <x:c r="D9" s="83" t="str">
        <x:v>Imported into LCSW master inventory</x:v>
      </x:c>
      <x:c r="E9" s="83" t="str">
        <x:v>LCSW Workbook 1 Question Bank</x:v>
      </x:c>
      <x:c r="F9" s="83" t="str">
        <x:v>1.0</x:v>
      </x:c>
      <x:c r="G9" s="83" t="n">
        <x:v>1</x:v>
      </x:c>
      <x:c r="H9" s="83" t="str">
        <x:v>Clinical Training Academy</x:v>
      </x:c>
      <x:c r="I9" s="89" t="str">
        <x:v>Source wording and option count preserved; no silent item-content revision during inventory build.</x:v>
      </x:c>
    </x:row>
    <x:row r="10">
      <x:c r="A10" s="88" t="str">
        <x:v>CTA-LCSW-MQB-0009</x:v>
      </x:c>
      <x:c r="B10" s="83" t="str">
        <x:v>LCSW-WB01-QB-Q009</x:v>
      </x:c>
      <x:c r="C10" s="102" t="n">
        <x:v>46228</x:v>
      </x:c>
      <x:c r="D10" s="83" t="str">
        <x:v>Imported into LCSW master inventory</x:v>
      </x:c>
      <x:c r="E10" s="83" t="str">
        <x:v>LCSW Workbook 1 Question Bank</x:v>
      </x:c>
      <x:c r="F10" s="83" t="str">
        <x:v>1.0</x:v>
      </x:c>
      <x:c r="G10" s="83" t="n">
        <x:v>1</x:v>
      </x:c>
      <x:c r="H10" s="83" t="str">
        <x:v>Clinical Training Academy</x:v>
      </x:c>
      <x:c r="I10" s="89" t="str">
        <x:v>Source wording and option count preserved; no silent item-content revision during inventory build.</x:v>
      </x:c>
    </x:row>
    <x:row r="11">
      <x:c r="A11" s="88" t="str">
        <x:v>CTA-LCSW-MQB-0010</x:v>
      </x:c>
      <x:c r="B11" s="83" t="str">
        <x:v>LCSW-WB01-QB-Q010</x:v>
      </x:c>
      <x:c r="C11" s="102" t="n">
        <x:v>46228</x:v>
      </x:c>
      <x:c r="D11" s="83" t="str">
        <x:v>Imported into LCSW master inventory</x:v>
      </x:c>
      <x:c r="E11" s="83" t="str">
        <x:v>LCSW Workbook 1 Question Bank</x:v>
      </x:c>
      <x:c r="F11" s="83" t="str">
        <x:v>1.0</x:v>
      </x:c>
      <x:c r="G11" s="83" t="n">
        <x:v>1</x:v>
      </x:c>
      <x:c r="H11" s="83" t="str">
        <x:v>Clinical Training Academy</x:v>
      </x:c>
      <x:c r="I11" s="89" t="str">
        <x:v>Source wording and option count preserved; no silent item-content revision during inventory build.</x:v>
      </x:c>
    </x:row>
    <x:row r="12">
      <x:c r="A12" s="88" t="str">
        <x:v>CTA-LCSW-MQB-0011</x:v>
      </x:c>
      <x:c r="B12" s="83" t="str">
        <x:v>LCSW-WB01-QB-Q011</x:v>
      </x:c>
      <x:c r="C12" s="102" t="n">
        <x:v>46228</x:v>
      </x:c>
      <x:c r="D12" s="83" t="str">
        <x:v>Imported into LCSW master inventory</x:v>
      </x:c>
      <x:c r="E12" s="83" t="str">
        <x:v>LCSW Workbook 1 Question Bank</x:v>
      </x:c>
      <x:c r="F12" s="83" t="str">
        <x:v>1.0</x:v>
      </x:c>
      <x:c r="G12" s="83" t="n">
        <x:v>1</x:v>
      </x:c>
      <x:c r="H12" s="83" t="str">
        <x:v>Clinical Training Academy</x:v>
      </x:c>
      <x:c r="I12" s="89" t="str">
        <x:v>Source wording and option count preserved; no silent item-content revision during inventory build.</x:v>
      </x:c>
    </x:row>
    <x:row r="13">
      <x:c r="A13" s="88" t="str">
        <x:v>CTA-LCSW-MQB-0012</x:v>
      </x:c>
      <x:c r="B13" s="83" t="str">
        <x:v>LCSW-WB01-QB-Q012</x:v>
      </x:c>
      <x:c r="C13" s="102" t="n">
        <x:v>46228</x:v>
      </x:c>
      <x:c r="D13" s="83" t="str">
        <x:v>Imported into LCSW master inventory</x:v>
      </x:c>
      <x:c r="E13" s="83" t="str">
        <x:v>LCSW Workbook 1 Question Bank</x:v>
      </x:c>
      <x:c r="F13" s="83" t="str">
        <x:v>1.0</x:v>
      </x:c>
      <x:c r="G13" s="83" t="n">
        <x:v>1</x:v>
      </x:c>
      <x:c r="H13" s="83" t="str">
        <x:v>Clinical Training Academy</x:v>
      </x:c>
      <x:c r="I13" s="89" t="str">
        <x:v>Source wording and option count preserved; no silent item-content revision during inventory build.</x:v>
      </x:c>
    </x:row>
    <x:row r="14">
      <x:c r="A14" s="88" t="str">
        <x:v>CTA-LCSW-MQB-0013</x:v>
      </x:c>
      <x:c r="B14" s="83" t="str">
        <x:v>LCSW-WB01-QB-Q013</x:v>
      </x:c>
      <x:c r="C14" s="102" t="n">
        <x:v>46228</x:v>
      </x:c>
      <x:c r="D14" s="83" t="str">
        <x:v>Imported into LCSW master inventory</x:v>
      </x:c>
      <x:c r="E14" s="83" t="str">
        <x:v>LCSW Workbook 1 Question Bank</x:v>
      </x:c>
      <x:c r="F14" s="83" t="str">
        <x:v>1.0</x:v>
      </x:c>
      <x:c r="G14" s="83" t="n">
        <x:v>1</x:v>
      </x:c>
      <x:c r="H14" s="83" t="str">
        <x:v>Clinical Training Academy</x:v>
      </x:c>
      <x:c r="I14" s="89" t="str">
        <x:v>Source wording and option count preserved; no silent item-content revision during inventory build.</x:v>
      </x:c>
    </x:row>
    <x:row r="15">
      <x:c r="A15" s="88" t="str">
        <x:v>CTA-LCSW-MQB-0014</x:v>
      </x:c>
      <x:c r="B15" s="83" t="str">
        <x:v>LCSW-WB01-QB-Q014</x:v>
      </x:c>
      <x:c r="C15" s="102" t="n">
        <x:v>46228</x:v>
      </x:c>
      <x:c r="D15" s="83" t="str">
        <x:v>Imported into LCSW master inventory</x:v>
      </x:c>
      <x:c r="E15" s="83" t="str">
        <x:v>LCSW Workbook 1 Question Bank</x:v>
      </x:c>
      <x:c r="F15" s="83" t="str">
        <x:v>1.0</x:v>
      </x:c>
      <x:c r="G15" s="83" t="n">
        <x:v>1</x:v>
      </x:c>
      <x:c r="H15" s="83" t="str">
        <x:v>Clinical Training Academy</x:v>
      </x:c>
      <x:c r="I15" s="89" t="str">
        <x:v>Source wording and option count preserved; no silent item-content revision during inventory build.</x:v>
      </x:c>
    </x:row>
    <x:row r="16">
      <x:c r="A16" s="88" t="str">
        <x:v>CTA-LCSW-MQB-0015</x:v>
      </x:c>
      <x:c r="B16" s="83" t="str">
        <x:v>LCSW-WB01-QB-Q015</x:v>
      </x:c>
      <x:c r="C16" s="102" t="n">
        <x:v>46228</x:v>
      </x:c>
      <x:c r="D16" s="83" t="str">
        <x:v>Imported into LCSW master inventory</x:v>
      </x:c>
      <x:c r="E16" s="83" t="str">
        <x:v>LCSW Workbook 1 Question Bank</x:v>
      </x:c>
      <x:c r="F16" s="83" t="str">
        <x:v>1.0</x:v>
      </x:c>
      <x:c r="G16" s="83" t="n">
        <x:v>1</x:v>
      </x:c>
      <x:c r="H16" s="83" t="str">
        <x:v>Clinical Training Academy</x:v>
      </x:c>
      <x:c r="I16" s="89" t="str">
        <x:v>Source wording and option count preserved; no silent item-content revision during inventory build.</x:v>
      </x:c>
    </x:row>
    <x:row r="17">
      <x:c r="A17" s="88" t="str">
        <x:v>CTA-LCSW-MQB-0016</x:v>
      </x:c>
      <x:c r="B17" s="83" t="str">
        <x:v>LCSW-WB01-QB-Q016</x:v>
      </x:c>
      <x:c r="C17" s="102" t="n">
        <x:v>46228</x:v>
      </x:c>
      <x:c r="D17" s="83" t="str">
        <x:v>Imported into LCSW master inventory</x:v>
      </x:c>
      <x:c r="E17" s="83" t="str">
        <x:v>LCSW Workbook 1 Question Bank</x:v>
      </x:c>
      <x:c r="F17" s="83" t="str">
        <x:v>1.0</x:v>
      </x:c>
      <x:c r="G17" s="83" t="n">
        <x:v>1</x:v>
      </x:c>
      <x:c r="H17" s="83" t="str">
        <x:v>Clinical Training Academy</x:v>
      </x:c>
      <x:c r="I17" s="89" t="str">
        <x:v>Source wording and option count preserved; no silent item-content revision during inventory build.</x:v>
      </x:c>
    </x:row>
    <x:row r="18">
      <x:c r="A18" s="88" t="str">
        <x:v>CTA-LCSW-MQB-0017</x:v>
      </x:c>
      <x:c r="B18" s="83" t="str">
        <x:v>LCSW-WB01-QB-Q017</x:v>
      </x:c>
      <x:c r="C18" s="102" t="n">
        <x:v>46228</x:v>
      </x:c>
      <x:c r="D18" s="83" t="str">
        <x:v>Imported into LCSW master inventory</x:v>
      </x:c>
      <x:c r="E18" s="83" t="str">
        <x:v>LCSW Workbook 1 Question Bank</x:v>
      </x:c>
      <x:c r="F18" s="83" t="str">
        <x:v>1.0</x:v>
      </x:c>
      <x:c r="G18" s="83" t="n">
        <x:v>1</x:v>
      </x:c>
      <x:c r="H18" s="83" t="str">
        <x:v>Clinical Training Academy</x:v>
      </x:c>
      <x:c r="I18" s="89" t="str">
        <x:v>Source wording and option count preserved; no silent item-content revision during inventory build.</x:v>
      </x:c>
    </x:row>
    <x:row r="19">
      <x:c r="A19" s="88" t="str">
        <x:v>CTA-LCSW-MQB-0018</x:v>
      </x:c>
      <x:c r="B19" s="83" t="str">
        <x:v>LCSW-WB02-QB-Q001</x:v>
      </x:c>
      <x:c r="C19" s="102" t="n">
        <x:v>46228</x:v>
      </x:c>
      <x:c r="D19" s="83" t="str">
        <x:v>Imported into LCSW master inventory</x:v>
      </x:c>
      <x:c r="E19" s="83" t="str">
        <x:v>LCSW Workbook 2 Question Bank</x:v>
      </x:c>
      <x:c r="F19" s="83" t="str">
        <x:v>1.0</x:v>
      </x:c>
      <x:c r="G19" s="83" t="n">
        <x:v>1</x:v>
      </x:c>
      <x:c r="H19" s="83" t="str">
        <x:v>Clinical Training Academy</x:v>
      </x:c>
      <x:c r="I19" s="89" t="str">
        <x:v>Source wording and option count preserved; no silent item-content revision during inventory build.</x:v>
      </x:c>
    </x:row>
    <x:row r="20">
      <x:c r="A20" s="88" t="str">
        <x:v>CTA-LCSW-MQB-0019</x:v>
      </x:c>
      <x:c r="B20" s="83" t="str">
        <x:v>LCSW-WB02-QB-Q002</x:v>
      </x:c>
      <x:c r="C20" s="102" t="n">
        <x:v>46228</x:v>
      </x:c>
      <x:c r="D20" s="83" t="str">
        <x:v>Imported into LCSW master inventory</x:v>
      </x:c>
      <x:c r="E20" s="83" t="str">
        <x:v>LCSW Workbook 2 Question Bank</x:v>
      </x:c>
      <x:c r="F20" s="83" t="str">
        <x:v>1.0</x:v>
      </x:c>
      <x:c r="G20" s="83" t="n">
        <x:v>1</x:v>
      </x:c>
      <x:c r="H20" s="83" t="str">
        <x:v>Clinical Training Academy</x:v>
      </x:c>
      <x:c r="I20" s="89" t="str">
        <x:v>Source wording and option count preserved; no silent item-content revision during inventory build.</x:v>
      </x:c>
    </x:row>
    <x:row r="21">
      <x:c r="A21" s="88" t="str">
        <x:v>CTA-LCSW-MQB-0020</x:v>
      </x:c>
      <x:c r="B21" s="83" t="str">
        <x:v>LCSW-WB02-QB-Q003</x:v>
      </x:c>
      <x:c r="C21" s="102" t="n">
        <x:v>46228</x:v>
      </x:c>
      <x:c r="D21" s="83" t="str">
        <x:v>Imported into LCSW master inventory</x:v>
      </x:c>
      <x:c r="E21" s="83" t="str">
        <x:v>LCSW Workbook 2 Question Bank</x:v>
      </x:c>
      <x:c r="F21" s="83" t="str">
        <x:v>1.0</x:v>
      </x:c>
      <x:c r="G21" s="83" t="n">
        <x:v>1</x:v>
      </x:c>
      <x:c r="H21" s="83" t="str">
        <x:v>Clinical Training Academy</x:v>
      </x:c>
      <x:c r="I21" s="89" t="str">
        <x:v>Source wording and option count preserved; no silent item-content revision during inventory build.</x:v>
      </x:c>
    </x:row>
    <x:row r="22">
      <x:c r="A22" s="88" t="str">
        <x:v>CTA-LCSW-MQB-0021</x:v>
      </x:c>
      <x:c r="B22" s="83" t="str">
        <x:v>LCSW-WB02-QB-Q004</x:v>
      </x:c>
      <x:c r="C22" s="102" t="n">
        <x:v>46228</x:v>
      </x:c>
      <x:c r="D22" s="83" t="str">
        <x:v>Imported into LCSW master inventory</x:v>
      </x:c>
      <x:c r="E22" s="83" t="str">
        <x:v>LCSW Workbook 2 Question Bank</x:v>
      </x:c>
      <x:c r="F22" s="83" t="str">
        <x:v>1.0</x:v>
      </x:c>
      <x:c r="G22" s="83" t="n">
        <x:v>1</x:v>
      </x:c>
      <x:c r="H22" s="83" t="str">
        <x:v>Clinical Training Academy</x:v>
      </x:c>
      <x:c r="I22" s="89" t="str">
        <x:v>Source wording and option count preserved; no silent item-content revision during inventory build.</x:v>
      </x:c>
    </x:row>
    <x:row r="23">
      <x:c r="A23" s="88" t="str">
        <x:v>CTA-LCSW-MQB-0022</x:v>
      </x:c>
      <x:c r="B23" s="83" t="str">
        <x:v>LCSW-WB02-QB-Q005</x:v>
      </x:c>
      <x:c r="C23" s="102" t="n">
        <x:v>46228</x:v>
      </x:c>
      <x:c r="D23" s="83" t="str">
        <x:v>Imported into LCSW master inventory</x:v>
      </x:c>
      <x:c r="E23" s="83" t="str">
        <x:v>LCSW Workbook 2 Question Bank</x:v>
      </x:c>
      <x:c r="F23" s="83" t="str">
        <x:v>1.0</x:v>
      </x:c>
      <x:c r="G23" s="83" t="n">
        <x:v>1</x:v>
      </x:c>
      <x:c r="H23" s="83" t="str">
        <x:v>Clinical Training Academy</x:v>
      </x:c>
      <x:c r="I23" s="89" t="str">
        <x:v>Source wording and option count preserved; no silent item-content revision during inventory build.</x:v>
      </x:c>
    </x:row>
    <x:row r="24">
      <x:c r="A24" s="88" t="str">
        <x:v>CTA-LCSW-MQB-0023</x:v>
      </x:c>
      <x:c r="B24" s="83" t="str">
        <x:v>LCSW-WB02-QB-Q006</x:v>
      </x:c>
      <x:c r="C24" s="102" t="n">
        <x:v>46228</x:v>
      </x:c>
      <x:c r="D24" s="83" t="str">
        <x:v>Imported into LCSW master inventory</x:v>
      </x:c>
      <x:c r="E24" s="83" t="str">
        <x:v>LCSW Workbook 2 Question Bank</x:v>
      </x:c>
      <x:c r="F24" s="83" t="str">
        <x:v>1.0</x:v>
      </x:c>
      <x:c r="G24" s="83" t="n">
        <x:v>1</x:v>
      </x:c>
      <x:c r="H24" s="83" t="str">
        <x:v>Clinical Training Academy</x:v>
      </x:c>
      <x:c r="I24" s="89" t="str">
        <x:v>Source wording and option count preserved; no silent item-content revision during inventory build.</x:v>
      </x:c>
    </x:row>
    <x:row r="25">
      <x:c r="A25" s="88" t="str">
        <x:v>CTA-LCSW-MQB-0024</x:v>
      </x:c>
      <x:c r="B25" s="83" t="str">
        <x:v>LCSW-WB02-QB-Q007</x:v>
      </x:c>
      <x:c r="C25" s="102" t="n">
        <x:v>46228</x:v>
      </x:c>
      <x:c r="D25" s="83" t="str">
        <x:v>Imported into LCSW master inventory</x:v>
      </x:c>
      <x:c r="E25" s="83" t="str">
        <x:v>LCSW Workbook 2 Question Bank</x:v>
      </x:c>
      <x:c r="F25" s="83" t="str">
        <x:v>1.0</x:v>
      </x:c>
      <x:c r="G25" s="83" t="n">
        <x:v>1</x:v>
      </x:c>
      <x:c r="H25" s="83" t="str">
        <x:v>Clinical Training Academy</x:v>
      </x:c>
      <x:c r="I25" s="89" t="str">
        <x:v>Source wording and option count preserved; no silent item-content revision during inventory build.</x:v>
      </x:c>
    </x:row>
    <x:row r="26">
      <x:c r="A26" s="88" t="str">
        <x:v>CTA-LCSW-MQB-0025</x:v>
      </x:c>
      <x:c r="B26" s="83" t="str">
        <x:v>LCSW-WB02-QB-Q008</x:v>
      </x:c>
      <x:c r="C26" s="102" t="n">
        <x:v>46228</x:v>
      </x:c>
      <x:c r="D26" s="83" t="str">
        <x:v>Imported into LCSW master inventory</x:v>
      </x:c>
      <x:c r="E26" s="83" t="str">
        <x:v>LCSW Workbook 2 Question Bank</x:v>
      </x:c>
      <x:c r="F26" s="83" t="str">
        <x:v>1.0</x:v>
      </x:c>
      <x:c r="G26" s="83" t="n">
        <x:v>1</x:v>
      </x:c>
      <x:c r="H26" s="83" t="str">
        <x:v>Clinical Training Academy</x:v>
      </x:c>
      <x:c r="I26" s="89" t="str">
        <x:v>Source wording and option count preserved; no silent item-content revision during inventory build.</x:v>
      </x:c>
    </x:row>
    <x:row r="27">
      <x:c r="A27" s="88" t="str">
        <x:v>CTA-LCSW-MQB-0026</x:v>
      </x:c>
      <x:c r="B27" s="83" t="str">
        <x:v>LCSW-WB02-QB-Q009</x:v>
      </x:c>
      <x:c r="C27" s="102" t="n">
        <x:v>46228</x:v>
      </x:c>
      <x:c r="D27" s="83" t="str">
        <x:v>Imported into LCSW master inventory</x:v>
      </x:c>
      <x:c r="E27" s="83" t="str">
        <x:v>LCSW Workbook 2 Question Bank</x:v>
      </x:c>
      <x:c r="F27" s="83" t="str">
        <x:v>1.0</x:v>
      </x:c>
      <x:c r="G27" s="83" t="n">
        <x:v>1</x:v>
      </x:c>
      <x:c r="H27" s="83" t="str">
        <x:v>Clinical Training Academy</x:v>
      </x:c>
      <x:c r="I27" s="89" t="str">
        <x:v>Source wording and option count preserved; no silent item-content revision during inventory build.</x:v>
      </x:c>
    </x:row>
    <x:row r="28">
      <x:c r="A28" s="88" t="str">
        <x:v>CTA-LCSW-MQB-0027</x:v>
      </x:c>
      <x:c r="B28" s="83" t="str">
        <x:v>LCSW-WB02-QB-Q010</x:v>
      </x:c>
      <x:c r="C28" s="102" t="n">
        <x:v>46228</x:v>
      </x:c>
      <x:c r="D28" s="83" t="str">
        <x:v>Imported into LCSW master inventory</x:v>
      </x:c>
      <x:c r="E28" s="83" t="str">
        <x:v>LCSW Workbook 2 Question Bank</x:v>
      </x:c>
      <x:c r="F28" s="83" t="str">
        <x:v>1.0</x:v>
      </x:c>
      <x:c r="G28" s="83" t="n">
        <x:v>1</x:v>
      </x:c>
      <x:c r="H28" s="83" t="str">
        <x:v>Clinical Training Academy</x:v>
      </x:c>
      <x:c r="I28" s="89" t="str">
        <x:v>Source wording and option count preserved; no silent item-content revision during inventory build.</x:v>
      </x:c>
    </x:row>
    <x:row r="29">
      <x:c r="A29" s="88" t="str">
        <x:v>CTA-LCSW-MQB-0028</x:v>
      </x:c>
      <x:c r="B29" s="83" t="str">
        <x:v>LCSW-WB02-QB-Q011</x:v>
      </x:c>
      <x:c r="C29" s="102" t="n">
        <x:v>46228</x:v>
      </x:c>
      <x:c r="D29" s="83" t="str">
        <x:v>Imported into LCSW master inventory</x:v>
      </x:c>
      <x:c r="E29" s="83" t="str">
        <x:v>LCSW Workbook 2 Question Bank</x:v>
      </x:c>
      <x:c r="F29" s="83" t="str">
        <x:v>1.0</x:v>
      </x:c>
      <x:c r="G29" s="83" t="n">
        <x:v>1</x:v>
      </x:c>
      <x:c r="H29" s="83" t="str">
        <x:v>Clinical Training Academy</x:v>
      </x:c>
      <x:c r="I29" s="89" t="str">
        <x:v>Source wording and option count preserved; no silent item-content revision during inventory build.</x:v>
      </x:c>
    </x:row>
    <x:row r="30">
      <x:c r="A30" s="88" t="str">
        <x:v>CTA-LCSW-MQB-0029</x:v>
      </x:c>
      <x:c r="B30" s="83" t="str">
        <x:v>LCSW-WB02-QB-Q012</x:v>
      </x:c>
      <x:c r="C30" s="102" t="n">
        <x:v>46228</x:v>
      </x:c>
      <x:c r="D30" s="83" t="str">
        <x:v>Imported into LCSW master inventory</x:v>
      </x:c>
      <x:c r="E30" s="83" t="str">
        <x:v>LCSW Workbook 2 Question Bank</x:v>
      </x:c>
      <x:c r="F30" s="83" t="str">
        <x:v>1.0</x:v>
      </x:c>
      <x:c r="G30" s="83" t="n">
        <x:v>1</x:v>
      </x:c>
      <x:c r="H30" s="83" t="str">
        <x:v>Clinical Training Academy</x:v>
      </x:c>
      <x:c r="I30" s="89" t="str">
        <x:v>Source wording and option count preserved; no silent item-content revision during inventory build.</x:v>
      </x:c>
    </x:row>
    <x:row r="31">
      <x:c r="A31" s="88" t="str">
        <x:v>CTA-LCSW-MQB-0030</x:v>
      </x:c>
      <x:c r="B31" s="83" t="str">
        <x:v>LCSW-WB02-QB-Q013</x:v>
      </x:c>
      <x:c r="C31" s="102" t="n">
        <x:v>46228</x:v>
      </x:c>
      <x:c r="D31" s="83" t="str">
        <x:v>Imported into LCSW master inventory</x:v>
      </x:c>
      <x:c r="E31" s="83" t="str">
        <x:v>LCSW Workbook 2 Question Bank</x:v>
      </x:c>
      <x:c r="F31" s="83" t="str">
        <x:v>1.0</x:v>
      </x:c>
      <x:c r="G31" s="83" t="n">
        <x:v>1</x:v>
      </x:c>
      <x:c r="H31" s="83" t="str">
        <x:v>Clinical Training Academy</x:v>
      </x:c>
      <x:c r="I31" s="89" t="str">
        <x:v>Source wording and option count preserved; no silent item-content revision during inventory build.</x:v>
      </x:c>
    </x:row>
    <x:row r="32">
      <x:c r="A32" s="88" t="str">
        <x:v>CTA-LCSW-MQB-0031</x:v>
      </x:c>
      <x:c r="B32" s="83" t="str">
        <x:v>LCSW-WB02-QB-Q014</x:v>
      </x:c>
      <x:c r="C32" s="102" t="n">
        <x:v>46228</x:v>
      </x:c>
      <x:c r="D32" s="83" t="str">
        <x:v>Imported into LCSW master inventory</x:v>
      </x:c>
      <x:c r="E32" s="83" t="str">
        <x:v>LCSW Workbook 2 Question Bank</x:v>
      </x:c>
      <x:c r="F32" s="83" t="str">
        <x:v>1.0</x:v>
      </x:c>
      <x:c r="G32" s="83" t="n">
        <x:v>1</x:v>
      </x:c>
      <x:c r="H32" s="83" t="str">
        <x:v>Clinical Training Academy</x:v>
      </x:c>
      <x:c r="I32" s="89" t="str">
        <x:v>Source wording and option count preserved; no silent item-content revision during inventory build.</x:v>
      </x:c>
    </x:row>
    <x:row r="33">
      <x:c r="A33" s="88" t="str">
        <x:v>CTA-LCSW-MQB-0032</x:v>
      </x:c>
      <x:c r="B33" s="83" t="str">
        <x:v>LCSW-WB02-QB-Q015</x:v>
      </x:c>
      <x:c r="C33" s="102" t="n">
        <x:v>46228</x:v>
      </x:c>
      <x:c r="D33" s="83" t="str">
        <x:v>Imported into LCSW master inventory</x:v>
      </x:c>
      <x:c r="E33" s="83" t="str">
        <x:v>LCSW Workbook 2 Question Bank</x:v>
      </x:c>
      <x:c r="F33" s="83" t="str">
        <x:v>1.0</x:v>
      </x:c>
      <x:c r="G33" s="83" t="n">
        <x:v>1</x:v>
      </x:c>
      <x:c r="H33" s="83" t="str">
        <x:v>Clinical Training Academy</x:v>
      </x:c>
      <x:c r="I33" s="89" t="str">
        <x:v>Source wording and option count preserved; no silent item-content revision during inventory build.</x:v>
      </x:c>
    </x:row>
    <x:row r="34">
      <x:c r="A34" s="88" t="str">
        <x:v>CTA-LCSW-MQB-0033</x:v>
      </x:c>
      <x:c r="B34" s="83" t="str">
        <x:v>LCSW-WB02-QB-Q016</x:v>
      </x:c>
      <x:c r="C34" s="102" t="n">
        <x:v>46228</x:v>
      </x:c>
      <x:c r="D34" s="83" t="str">
        <x:v>Imported into LCSW master inventory</x:v>
      </x:c>
      <x:c r="E34" s="83" t="str">
        <x:v>LCSW Workbook 2 Question Bank</x:v>
      </x:c>
      <x:c r="F34" s="83" t="str">
        <x:v>1.0</x:v>
      </x:c>
      <x:c r="G34" s="83" t="n">
        <x:v>1</x:v>
      </x:c>
      <x:c r="H34" s="83" t="str">
        <x:v>Clinical Training Academy</x:v>
      </x:c>
      <x:c r="I34" s="89" t="str">
        <x:v>Source wording and option count preserved; no silent item-content revision during inventory build.</x:v>
      </x:c>
    </x:row>
    <x:row r="35">
      <x:c r="A35" s="88" t="str">
        <x:v>CTA-LCSW-MQB-0034</x:v>
      </x:c>
      <x:c r="B35" s="83" t="str">
        <x:v>LCSW-WB02-QB-Q017</x:v>
      </x:c>
      <x:c r="C35" s="102" t="n">
        <x:v>46228</x:v>
      </x:c>
      <x:c r="D35" s="83" t="str">
        <x:v>Imported into LCSW master inventory</x:v>
      </x:c>
      <x:c r="E35" s="83" t="str">
        <x:v>LCSW Workbook 2 Question Bank</x:v>
      </x:c>
      <x:c r="F35" s="83" t="str">
        <x:v>1.0</x:v>
      </x:c>
      <x:c r="G35" s="83" t="n">
        <x:v>1</x:v>
      </x:c>
      <x:c r="H35" s="83" t="str">
        <x:v>Clinical Training Academy</x:v>
      </x:c>
      <x:c r="I35" s="89" t="str">
        <x:v>Source wording and option count preserved; no silent item-content revision during inventory build.</x:v>
      </x:c>
    </x:row>
    <x:row r="36">
      <x:c r="A36" s="88" t="str">
        <x:v>CTA-LCSW-MQB-0035</x:v>
      </x:c>
      <x:c r="B36" s="83" t="str">
        <x:v>LCSW-WB03-QB-Q001</x:v>
      </x:c>
      <x:c r="C36" s="102" t="n">
        <x:v>46228</x:v>
      </x:c>
      <x:c r="D36" s="83" t="str">
        <x:v>Imported into LCSW master inventory</x:v>
      </x:c>
      <x:c r="E36" s="83" t="str">
        <x:v>LCSW Workbook 3 Question Bank</x:v>
      </x:c>
      <x:c r="F36" s="83" t="str">
        <x:v>1.0</x:v>
      </x:c>
      <x:c r="G36" s="83" t="n">
        <x:v>1</x:v>
      </x:c>
      <x:c r="H36" s="83" t="str">
        <x:v>Clinical Training Academy</x:v>
      </x:c>
      <x:c r="I36" s="89" t="str">
        <x:v>Source wording and option count preserved; no silent item-content revision during inventory build.</x:v>
      </x:c>
    </x:row>
    <x:row r="37">
      <x:c r="A37" s="88" t="str">
        <x:v>CTA-LCSW-MQB-0036</x:v>
      </x:c>
      <x:c r="B37" s="83" t="str">
        <x:v>LCSW-WB03-QB-Q002</x:v>
      </x:c>
      <x:c r="C37" s="102" t="n">
        <x:v>46228</x:v>
      </x:c>
      <x:c r="D37" s="83" t="str">
        <x:v>Imported into LCSW master inventory</x:v>
      </x:c>
      <x:c r="E37" s="83" t="str">
        <x:v>LCSW Workbook 3 Question Bank</x:v>
      </x:c>
      <x:c r="F37" s="83" t="str">
        <x:v>1.0</x:v>
      </x:c>
      <x:c r="G37" s="83" t="n">
        <x:v>1</x:v>
      </x:c>
      <x:c r="H37" s="83" t="str">
        <x:v>Clinical Training Academy</x:v>
      </x:c>
      <x:c r="I37" s="89" t="str">
        <x:v>Source wording and option count preserved; no silent item-content revision during inventory build.</x:v>
      </x:c>
    </x:row>
    <x:row r="38">
      <x:c r="A38" s="88" t="str">
        <x:v>CTA-LCSW-MQB-0037</x:v>
      </x:c>
      <x:c r="B38" s="83" t="str">
        <x:v>LCSW-WB03-QB-Q003</x:v>
      </x:c>
      <x:c r="C38" s="102" t="n">
        <x:v>46228</x:v>
      </x:c>
      <x:c r="D38" s="83" t="str">
        <x:v>Imported into LCSW master inventory</x:v>
      </x:c>
      <x:c r="E38" s="83" t="str">
        <x:v>LCSW Workbook 3 Question Bank</x:v>
      </x:c>
      <x:c r="F38" s="83" t="str">
        <x:v>1.0</x:v>
      </x:c>
      <x:c r="G38" s="83" t="n">
        <x:v>1</x:v>
      </x:c>
      <x:c r="H38" s="83" t="str">
        <x:v>Clinical Training Academy</x:v>
      </x:c>
      <x:c r="I38" s="89" t="str">
        <x:v>Source wording and option count preserved; no silent item-content revision during inventory build.</x:v>
      </x:c>
    </x:row>
    <x:row r="39">
      <x:c r="A39" s="88" t="str">
        <x:v>CTA-LCSW-MQB-0038</x:v>
      </x:c>
      <x:c r="B39" s="83" t="str">
        <x:v>LCSW-WB03-QB-Q004</x:v>
      </x:c>
      <x:c r="C39" s="102" t="n">
        <x:v>46228</x:v>
      </x:c>
      <x:c r="D39" s="83" t="str">
        <x:v>Imported into LCSW master inventory</x:v>
      </x:c>
      <x:c r="E39" s="83" t="str">
        <x:v>LCSW Workbook 3 Question Bank</x:v>
      </x:c>
      <x:c r="F39" s="83" t="str">
        <x:v>1.0</x:v>
      </x:c>
      <x:c r="G39" s="83" t="n">
        <x:v>1</x:v>
      </x:c>
      <x:c r="H39" s="83" t="str">
        <x:v>Clinical Training Academy</x:v>
      </x:c>
      <x:c r="I39" s="89" t="str">
        <x:v>Source wording and option count preserved; no silent item-content revision during inventory build.</x:v>
      </x:c>
    </x:row>
    <x:row r="40">
      <x:c r="A40" s="88" t="str">
        <x:v>CTA-LCSW-MQB-0039</x:v>
      </x:c>
      <x:c r="B40" s="83" t="str">
        <x:v>LCSW-WB03-QB-Q005</x:v>
      </x:c>
      <x:c r="C40" s="102" t="n">
        <x:v>46228</x:v>
      </x:c>
      <x:c r="D40" s="83" t="str">
        <x:v>Imported into LCSW master inventory</x:v>
      </x:c>
      <x:c r="E40" s="83" t="str">
        <x:v>LCSW Workbook 3 Question Bank</x:v>
      </x:c>
      <x:c r="F40" s="83" t="str">
        <x:v>1.0</x:v>
      </x:c>
      <x:c r="G40" s="83" t="n">
        <x:v>1</x:v>
      </x:c>
      <x:c r="H40" s="83" t="str">
        <x:v>Clinical Training Academy</x:v>
      </x:c>
      <x:c r="I40" s="89" t="str">
        <x:v>Source wording and option count preserved; no silent item-content revision during inventory build.</x:v>
      </x:c>
    </x:row>
    <x:row r="41">
      <x:c r="A41" s="88" t="str">
        <x:v>CTA-LCSW-MQB-0040</x:v>
      </x:c>
      <x:c r="B41" s="83" t="str">
        <x:v>LCSW-WB03-QB-Q006</x:v>
      </x:c>
      <x:c r="C41" s="102" t="n">
        <x:v>46228</x:v>
      </x:c>
      <x:c r="D41" s="83" t="str">
        <x:v>Imported into LCSW master inventory</x:v>
      </x:c>
      <x:c r="E41" s="83" t="str">
        <x:v>LCSW Workbook 3 Question Bank</x:v>
      </x:c>
      <x:c r="F41" s="83" t="str">
        <x:v>1.0</x:v>
      </x:c>
      <x:c r="G41" s="83" t="n">
        <x:v>1</x:v>
      </x:c>
      <x:c r="H41" s="83" t="str">
        <x:v>Clinical Training Academy</x:v>
      </x:c>
      <x:c r="I41" s="89" t="str">
        <x:v>Source wording and option count preserved; no silent item-content revision during inventory build.</x:v>
      </x:c>
    </x:row>
    <x:row r="42">
      <x:c r="A42" s="88" t="str">
        <x:v>CTA-LCSW-MQB-0041</x:v>
      </x:c>
      <x:c r="B42" s="83" t="str">
        <x:v>LCSW-WB03-QB-Q007</x:v>
      </x:c>
      <x:c r="C42" s="102" t="n">
        <x:v>46228</x:v>
      </x:c>
      <x:c r="D42" s="83" t="str">
        <x:v>Imported into LCSW master inventory</x:v>
      </x:c>
      <x:c r="E42" s="83" t="str">
        <x:v>LCSW Workbook 3 Question Bank</x:v>
      </x:c>
      <x:c r="F42" s="83" t="str">
        <x:v>1.0</x:v>
      </x:c>
      <x:c r="G42" s="83" t="n">
        <x:v>1</x:v>
      </x:c>
      <x:c r="H42" s="83" t="str">
        <x:v>Clinical Training Academy</x:v>
      </x:c>
      <x:c r="I42" s="89" t="str">
        <x:v>Source wording and option count preserved; no silent item-content revision during inventory build.</x:v>
      </x:c>
    </x:row>
    <x:row r="43">
      <x:c r="A43" s="88" t="str">
        <x:v>CTA-LCSW-MQB-0042</x:v>
      </x:c>
      <x:c r="B43" s="83" t="str">
        <x:v>LCSW-WB03-QB-Q008</x:v>
      </x:c>
      <x:c r="C43" s="102" t="n">
        <x:v>46228</x:v>
      </x:c>
      <x:c r="D43" s="83" t="str">
        <x:v>Imported into LCSW master inventory</x:v>
      </x:c>
      <x:c r="E43" s="83" t="str">
        <x:v>LCSW Workbook 3 Question Bank</x:v>
      </x:c>
      <x:c r="F43" s="83" t="str">
        <x:v>1.0</x:v>
      </x:c>
      <x:c r="G43" s="83" t="n">
        <x:v>1</x:v>
      </x:c>
      <x:c r="H43" s="83" t="str">
        <x:v>Clinical Training Academy</x:v>
      </x:c>
      <x:c r="I43" s="89" t="str">
        <x:v>Source wording and option count preserved; no silent item-content revision during inventory build.</x:v>
      </x:c>
    </x:row>
    <x:row r="44">
      <x:c r="A44" s="88" t="str">
        <x:v>CTA-LCSW-MQB-0043</x:v>
      </x:c>
      <x:c r="B44" s="83" t="str">
        <x:v>LCSW-WB03-QB-Q009</x:v>
      </x:c>
      <x:c r="C44" s="102" t="n">
        <x:v>46228</x:v>
      </x:c>
      <x:c r="D44" s="83" t="str">
        <x:v>Imported into LCSW master inventory</x:v>
      </x:c>
      <x:c r="E44" s="83" t="str">
        <x:v>LCSW Workbook 3 Question Bank</x:v>
      </x:c>
      <x:c r="F44" s="83" t="str">
        <x:v>1.0</x:v>
      </x:c>
      <x:c r="G44" s="83" t="n">
        <x:v>1</x:v>
      </x:c>
      <x:c r="H44" s="83" t="str">
        <x:v>Clinical Training Academy</x:v>
      </x:c>
      <x:c r="I44" s="89" t="str">
        <x:v>Source wording and option count preserved; no silent item-content revision during inventory build.</x:v>
      </x:c>
    </x:row>
    <x:row r="45">
      <x:c r="A45" s="88" t="str">
        <x:v>CTA-LCSW-MQB-0044</x:v>
      </x:c>
      <x:c r="B45" s="83" t="str">
        <x:v>LCSW-WB03-QB-Q010</x:v>
      </x:c>
      <x:c r="C45" s="102" t="n">
        <x:v>46228</x:v>
      </x:c>
      <x:c r="D45" s="83" t="str">
        <x:v>Imported into LCSW master inventory</x:v>
      </x:c>
      <x:c r="E45" s="83" t="str">
        <x:v>LCSW Workbook 3 Question Bank</x:v>
      </x:c>
      <x:c r="F45" s="83" t="str">
        <x:v>1.0</x:v>
      </x:c>
      <x:c r="G45" s="83" t="n">
        <x:v>1</x:v>
      </x:c>
      <x:c r="H45" s="83" t="str">
        <x:v>Clinical Training Academy</x:v>
      </x:c>
      <x:c r="I45" s="89" t="str">
        <x:v>Source wording and option count preserved; no silent item-content revision during inventory build.</x:v>
      </x:c>
    </x:row>
    <x:row r="46">
      <x:c r="A46" s="88" t="str">
        <x:v>CTA-LCSW-MQB-0045</x:v>
      </x:c>
      <x:c r="B46" s="83" t="str">
        <x:v>LCSW-WB03-QB-Q011</x:v>
      </x:c>
      <x:c r="C46" s="102" t="n">
        <x:v>46228</x:v>
      </x:c>
      <x:c r="D46" s="83" t="str">
        <x:v>Imported into LCSW master inventory</x:v>
      </x:c>
      <x:c r="E46" s="83" t="str">
        <x:v>LCSW Workbook 3 Question Bank</x:v>
      </x:c>
      <x:c r="F46" s="83" t="str">
        <x:v>1.0</x:v>
      </x:c>
      <x:c r="G46" s="83" t="n">
        <x:v>1</x:v>
      </x:c>
      <x:c r="H46" s="83" t="str">
        <x:v>Clinical Training Academy</x:v>
      </x:c>
      <x:c r="I46" s="89" t="str">
        <x:v>Source wording and option count preserved; no silent item-content revision during inventory build.</x:v>
      </x:c>
    </x:row>
    <x:row r="47">
      <x:c r="A47" s="88" t="str">
        <x:v>CTA-LCSW-MQB-0046</x:v>
      </x:c>
      <x:c r="B47" s="83" t="str">
        <x:v>LCSW-WB03-QB-Q012</x:v>
      </x:c>
      <x:c r="C47" s="102" t="n">
        <x:v>46228</x:v>
      </x:c>
      <x:c r="D47" s="83" t="str">
        <x:v>Imported into LCSW master inventory</x:v>
      </x:c>
      <x:c r="E47" s="83" t="str">
        <x:v>LCSW Workbook 3 Question Bank</x:v>
      </x:c>
      <x:c r="F47" s="83" t="str">
        <x:v>1.0</x:v>
      </x:c>
      <x:c r="G47" s="83" t="n">
        <x:v>1</x:v>
      </x:c>
      <x:c r="H47" s="83" t="str">
        <x:v>Clinical Training Academy</x:v>
      </x:c>
      <x:c r="I47" s="89" t="str">
        <x:v>Source wording and option count preserved; no silent item-content revision during inventory build.</x:v>
      </x:c>
    </x:row>
    <x:row r="48">
      <x:c r="A48" s="88" t="str">
        <x:v>CTA-LCSW-MQB-0047</x:v>
      </x:c>
      <x:c r="B48" s="83" t="str">
        <x:v>LCSW-WB03-QB-Q013</x:v>
      </x:c>
      <x:c r="C48" s="102" t="n">
        <x:v>46228</x:v>
      </x:c>
      <x:c r="D48" s="83" t="str">
        <x:v>Imported into LCSW master inventory</x:v>
      </x:c>
      <x:c r="E48" s="83" t="str">
        <x:v>LCSW Workbook 3 Question Bank</x:v>
      </x:c>
      <x:c r="F48" s="83" t="str">
        <x:v>1.0</x:v>
      </x:c>
      <x:c r="G48" s="83" t="n">
        <x:v>1</x:v>
      </x:c>
      <x:c r="H48" s="83" t="str">
        <x:v>Clinical Training Academy</x:v>
      </x:c>
      <x:c r="I48" s="89" t="str">
        <x:v>Source wording and option count preserved; no silent item-content revision during inventory build.</x:v>
      </x:c>
    </x:row>
    <x:row r="49">
      <x:c r="A49" s="88" t="str">
        <x:v>CTA-LCSW-MQB-0048</x:v>
      </x:c>
      <x:c r="B49" s="83" t="str">
        <x:v>LCSW-WB03-QB-Q014</x:v>
      </x:c>
      <x:c r="C49" s="102" t="n">
        <x:v>46228</x:v>
      </x:c>
      <x:c r="D49" s="83" t="str">
        <x:v>Imported into LCSW master inventory</x:v>
      </x:c>
      <x:c r="E49" s="83" t="str">
        <x:v>LCSW Workbook 3 Question Bank</x:v>
      </x:c>
      <x:c r="F49" s="83" t="str">
        <x:v>1.0</x:v>
      </x:c>
      <x:c r="G49" s="83" t="n">
        <x:v>1</x:v>
      </x:c>
      <x:c r="H49" s="83" t="str">
        <x:v>Clinical Training Academy</x:v>
      </x:c>
      <x:c r="I49" s="89" t="str">
        <x:v>Source wording and option count preserved; no silent item-content revision during inventory build.</x:v>
      </x:c>
    </x:row>
    <x:row r="50">
      <x:c r="A50" s="88" t="str">
        <x:v>CTA-LCSW-MQB-0049</x:v>
      </x:c>
      <x:c r="B50" s="83" t="str">
        <x:v>LCSW-WB03-QB-Q015</x:v>
      </x:c>
      <x:c r="C50" s="102" t="n">
        <x:v>46228</x:v>
      </x:c>
      <x:c r="D50" s="83" t="str">
        <x:v>Imported into LCSW master inventory</x:v>
      </x:c>
      <x:c r="E50" s="83" t="str">
        <x:v>LCSW Workbook 3 Question Bank</x:v>
      </x:c>
      <x:c r="F50" s="83" t="str">
        <x:v>1.0</x:v>
      </x:c>
      <x:c r="G50" s="83" t="n">
        <x:v>1</x:v>
      </x:c>
      <x:c r="H50" s="83" t="str">
        <x:v>Clinical Training Academy</x:v>
      </x:c>
      <x:c r="I50" s="89" t="str">
        <x:v>Source wording and option count preserved; no silent item-content revision during inventory build.</x:v>
      </x:c>
    </x:row>
    <x:row r="51">
      <x:c r="A51" s="88" t="str">
        <x:v>CTA-LCSW-MQB-0050</x:v>
      </x:c>
      <x:c r="B51" s="83" t="str">
        <x:v>LCSW-WB03-QB-Q016</x:v>
      </x:c>
      <x:c r="C51" s="102" t="n">
        <x:v>46228</x:v>
      </x:c>
      <x:c r="D51" s="83" t="str">
        <x:v>Imported into LCSW master inventory</x:v>
      </x:c>
      <x:c r="E51" s="83" t="str">
        <x:v>LCSW Workbook 3 Question Bank</x:v>
      </x:c>
      <x:c r="F51" s="83" t="str">
        <x:v>1.0</x:v>
      </x:c>
      <x:c r="G51" s="83" t="n">
        <x:v>1</x:v>
      </x:c>
      <x:c r="H51" s="83" t="str">
        <x:v>Clinical Training Academy</x:v>
      </x:c>
      <x:c r="I51" s="89" t="str">
        <x:v>Source wording and option count preserved; no silent item-content revision during inventory build.</x:v>
      </x:c>
    </x:row>
    <x:row r="52">
      <x:c r="A52" s="88" t="str">
        <x:v>CTA-LCSW-MQB-0051</x:v>
      </x:c>
      <x:c r="B52" s="83" t="str">
        <x:v>LCSW-WB03-QB-Q017</x:v>
      </x:c>
      <x:c r="C52" s="102" t="n">
        <x:v>46228</x:v>
      </x:c>
      <x:c r="D52" s="83" t="str">
        <x:v>Imported into LCSW master inventory</x:v>
      </x:c>
      <x:c r="E52" s="83" t="str">
        <x:v>LCSW Workbook 3 Question Bank</x:v>
      </x:c>
      <x:c r="F52" s="83" t="str">
        <x:v>1.0</x:v>
      </x:c>
      <x:c r="G52" s="83" t="n">
        <x:v>1</x:v>
      </x:c>
      <x:c r="H52" s="83" t="str">
        <x:v>Clinical Training Academy</x:v>
      </x:c>
      <x:c r="I52" s="89" t="str">
        <x:v>Source wording and option count preserved; no silent item-content revision during inventory build.</x:v>
      </x:c>
    </x:row>
    <x:row r="53">
      <x:c r="A53" s="88" t="str">
        <x:v>CTA-LCSW-MQB-0052</x:v>
      </x:c>
      <x:c r="B53" s="83" t="str">
        <x:v>LCSW-WB04-QB-Q001</x:v>
      </x:c>
      <x:c r="C53" s="102" t="n">
        <x:v>46228</x:v>
      </x:c>
      <x:c r="D53" s="83" t="str">
        <x:v>Imported into LCSW master inventory</x:v>
      </x:c>
      <x:c r="E53" s="83" t="str">
        <x:v>LCSW Workbook 4 Question Bank</x:v>
      </x:c>
      <x:c r="F53" s="83" t="str">
        <x:v>1.0</x:v>
      </x:c>
      <x:c r="G53" s="83" t="n">
        <x:v>1</x:v>
      </x:c>
      <x:c r="H53" s="83" t="str">
        <x:v>Clinical Training Academy</x:v>
      </x:c>
      <x:c r="I53" s="89" t="str">
        <x:v>Source wording and option count preserved; no silent item-content revision during inventory build.</x:v>
      </x:c>
    </x:row>
    <x:row r="54">
      <x:c r="A54" s="88" t="str">
        <x:v>CTA-LCSW-MQB-0053</x:v>
      </x:c>
      <x:c r="B54" s="83" t="str">
        <x:v>LCSW-WB04-QB-Q002</x:v>
      </x:c>
      <x:c r="C54" s="102" t="n">
        <x:v>46228</x:v>
      </x:c>
      <x:c r="D54" s="83" t="str">
        <x:v>Imported into LCSW master inventory</x:v>
      </x:c>
      <x:c r="E54" s="83" t="str">
        <x:v>LCSW Workbook 4 Question Bank</x:v>
      </x:c>
      <x:c r="F54" s="83" t="str">
        <x:v>1.0</x:v>
      </x:c>
      <x:c r="G54" s="83" t="n">
        <x:v>1</x:v>
      </x:c>
      <x:c r="H54" s="83" t="str">
        <x:v>Clinical Training Academy</x:v>
      </x:c>
      <x:c r="I54" s="89" t="str">
        <x:v>Source wording and option count preserved; no silent item-content revision during inventory build.</x:v>
      </x:c>
    </x:row>
    <x:row r="55">
      <x:c r="A55" s="88" t="str">
        <x:v>CTA-LCSW-MQB-0054</x:v>
      </x:c>
      <x:c r="B55" s="83" t="str">
        <x:v>LCSW-WB04-QB-Q003</x:v>
      </x:c>
      <x:c r="C55" s="102" t="n">
        <x:v>46228</x:v>
      </x:c>
      <x:c r="D55" s="83" t="str">
        <x:v>Imported into LCSW master inventory</x:v>
      </x:c>
      <x:c r="E55" s="83" t="str">
        <x:v>LCSW Workbook 4 Question Bank</x:v>
      </x:c>
      <x:c r="F55" s="83" t="str">
        <x:v>1.0</x:v>
      </x:c>
      <x:c r="G55" s="83" t="n">
        <x:v>1</x:v>
      </x:c>
      <x:c r="H55" s="83" t="str">
        <x:v>Clinical Training Academy</x:v>
      </x:c>
      <x:c r="I55" s="89" t="str">
        <x:v>Source wording and option count preserved; no silent item-content revision during inventory build.</x:v>
      </x:c>
    </x:row>
    <x:row r="56">
      <x:c r="A56" s="88" t="str">
        <x:v>CTA-LCSW-MQB-0055</x:v>
      </x:c>
      <x:c r="B56" s="83" t="str">
        <x:v>LCSW-WB04-QB-Q004</x:v>
      </x:c>
      <x:c r="C56" s="102" t="n">
        <x:v>46228</x:v>
      </x:c>
      <x:c r="D56" s="83" t="str">
        <x:v>Imported into LCSW master inventory</x:v>
      </x:c>
      <x:c r="E56" s="83" t="str">
        <x:v>LCSW Workbook 4 Question Bank</x:v>
      </x:c>
      <x:c r="F56" s="83" t="str">
        <x:v>1.0</x:v>
      </x:c>
      <x:c r="G56" s="83" t="n">
        <x:v>1</x:v>
      </x:c>
      <x:c r="H56" s="83" t="str">
        <x:v>Clinical Training Academy</x:v>
      </x:c>
      <x:c r="I56" s="89" t="str">
        <x:v>Source wording and option count preserved; no silent item-content revision during inventory build.</x:v>
      </x:c>
    </x:row>
    <x:row r="57">
      <x:c r="A57" s="88" t="str">
        <x:v>CTA-LCSW-MQB-0056</x:v>
      </x:c>
      <x:c r="B57" s="83" t="str">
        <x:v>LCSW-WB04-QB-Q005</x:v>
      </x:c>
      <x:c r="C57" s="102" t="n">
        <x:v>46228</x:v>
      </x:c>
      <x:c r="D57" s="83" t="str">
        <x:v>Imported into LCSW master inventory</x:v>
      </x:c>
      <x:c r="E57" s="83" t="str">
        <x:v>LCSW Workbook 4 Question Bank</x:v>
      </x:c>
      <x:c r="F57" s="83" t="str">
        <x:v>1.0</x:v>
      </x:c>
      <x:c r="G57" s="83" t="n">
        <x:v>1</x:v>
      </x:c>
      <x:c r="H57" s="83" t="str">
        <x:v>Clinical Training Academy</x:v>
      </x:c>
      <x:c r="I57" s="89" t="str">
        <x:v>Source wording and option count preserved; no silent item-content revision during inventory build.</x:v>
      </x:c>
    </x:row>
    <x:row r="58">
      <x:c r="A58" s="88" t="str">
        <x:v>CTA-LCSW-MQB-0057</x:v>
      </x:c>
      <x:c r="B58" s="83" t="str">
        <x:v>LCSW-WB04-QB-Q006</x:v>
      </x:c>
      <x:c r="C58" s="102" t="n">
        <x:v>46228</x:v>
      </x:c>
      <x:c r="D58" s="83" t="str">
        <x:v>Imported into LCSW master inventory</x:v>
      </x:c>
      <x:c r="E58" s="83" t="str">
        <x:v>LCSW Workbook 4 Question Bank</x:v>
      </x:c>
      <x:c r="F58" s="83" t="str">
        <x:v>1.0</x:v>
      </x:c>
      <x:c r="G58" s="83" t="n">
        <x:v>1</x:v>
      </x:c>
      <x:c r="H58" s="83" t="str">
        <x:v>Clinical Training Academy</x:v>
      </x:c>
      <x:c r="I58" s="89" t="str">
        <x:v>Source wording and option count preserved; no silent item-content revision during inventory build.</x:v>
      </x:c>
    </x:row>
    <x:row r="59">
      <x:c r="A59" s="88" t="str">
        <x:v>CTA-LCSW-MQB-0058</x:v>
      </x:c>
      <x:c r="B59" s="83" t="str">
        <x:v>LCSW-WB04-QB-Q007</x:v>
      </x:c>
      <x:c r="C59" s="102" t="n">
        <x:v>46228</x:v>
      </x:c>
      <x:c r="D59" s="83" t="str">
        <x:v>Imported into LCSW master inventory</x:v>
      </x:c>
      <x:c r="E59" s="83" t="str">
        <x:v>LCSW Workbook 4 Question Bank</x:v>
      </x:c>
      <x:c r="F59" s="83" t="str">
        <x:v>1.0</x:v>
      </x:c>
      <x:c r="G59" s="83" t="n">
        <x:v>1</x:v>
      </x:c>
      <x:c r="H59" s="83" t="str">
        <x:v>Clinical Training Academy</x:v>
      </x:c>
      <x:c r="I59" s="89" t="str">
        <x:v>Source wording and option count preserved; no silent item-content revision during inventory build.</x:v>
      </x:c>
    </x:row>
    <x:row r="60">
      <x:c r="A60" s="88" t="str">
        <x:v>CTA-LCSW-MQB-0059</x:v>
      </x:c>
      <x:c r="B60" s="83" t="str">
        <x:v>LCSW-WB04-QB-Q008</x:v>
      </x:c>
      <x:c r="C60" s="102" t="n">
        <x:v>46228</x:v>
      </x:c>
      <x:c r="D60" s="83" t="str">
        <x:v>Imported into LCSW master inventory</x:v>
      </x:c>
      <x:c r="E60" s="83" t="str">
        <x:v>LCSW Workbook 4 Question Bank</x:v>
      </x:c>
      <x:c r="F60" s="83" t="str">
        <x:v>1.0</x:v>
      </x:c>
      <x:c r="G60" s="83" t="n">
        <x:v>1</x:v>
      </x:c>
      <x:c r="H60" s="83" t="str">
        <x:v>Clinical Training Academy</x:v>
      </x:c>
      <x:c r="I60" s="89" t="str">
        <x:v>Source wording and option count preserved; no silent item-content revision during inventory build.</x:v>
      </x:c>
    </x:row>
    <x:row r="61">
      <x:c r="A61" s="88" t="str">
        <x:v>CTA-LCSW-MQB-0060</x:v>
      </x:c>
      <x:c r="B61" s="83" t="str">
        <x:v>LCSW-WB04-QB-Q009</x:v>
      </x:c>
      <x:c r="C61" s="102" t="n">
        <x:v>46228</x:v>
      </x:c>
      <x:c r="D61" s="83" t="str">
        <x:v>Imported into LCSW master inventory</x:v>
      </x:c>
      <x:c r="E61" s="83" t="str">
        <x:v>LCSW Workbook 4 Question Bank</x:v>
      </x:c>
      <x:c r="F61" s="83" t="str">
        <x:v>1.0</x:v>
      </x:c>
      <x:c r="G61" s="83" t="n">
        <x:v>1</x:v>
      </x:c>
      <x:c r="H61" s="83" t="str">
        <x:v>Clinical Training Academy</x:v>
      </x:c>
      <x:c r="I61" s="89" t="str">
        <x:v>Source wording and option count preserved; no silent item-content revision during inventory build.</x:v>
      </x:c>
    </x:row>
    <x:row r="62">
      <x:c r="A62" s="88" t="str">
        <x:v>CTA-LCSW-MQB-0061</x:v>
      </x:c>
      <x:c r="B62" s="83" t="str">
        <x:v>LCSW-WB04-QB-Q010</x:v>
      </x:c>
      <x:c r="C62" s="102" t="n">
        <x:v>46228</x:v>
      </x:c>
      <x:c r="D62" s="83" t="str">
        <x:v>Imported into LCSW master inventory</x:v>
      </x:c>
      <x:c r="E62" s="83" t="str">
        <x:v>LCSW Workbook 4 Question Bank</x:v>
      </x:c>
      <x:c r="F62" s="83" t="str">
        <x:v>1.0</x:v>
      </x:c>
      <x:c r="G62" s="83" t="n">
        <x:v>1</x:v>
      </x:c>
      <x:c r="H62" s="83" t="str">
        <x:v>Clinical Training Academy</x:v>
      </x:c>
      <x:c r="I62" s="89" t="str">
        <x:v>Source wording and option count preserved; no silent item-content revision during inventory build.</x:v>
      </x:c>
    </x:row>
    <x:row r="63">
      <x:c r="A63" s="88" t="str">
        <x:v>CTA-LCSW-MQB-0062</x:v>
      </x:c>
      <x:c r="B63" s="83" t="str">
        <x:v>LCSW-WB04-QB-Q011</x:v>
      </x:c>
      <x:c r="C63" s="102" t="n">
        <x:v>46228</x:v>
      </x:c>
      <x:c r="D63" s="83" t="str">
        <x:v>Imported into LCSW master inventory</x:v>
      </x:c>
      <x:c r="E63" s="83" t="str">
        <x:v>LCSW Workbook 4 Question Bank</x:v>
      </x:c>
      <x:c r="F63" s="83" t="str">
        <x:v>1.0</x:v>
      </x:c>
      <x:c r="G63" s="83" t="n">
        <x:v>1</x:v>
      </x:c>
      <x:c r="H63" s="83" t="str">
        <x:v>Clinical Training Academy</x:v>
      </x:c>
      <x:c r="I63" s="89" t="str">
        <x:v>Source wording and option count preserved; no silent item-content revision during inventory build.</x:v>
      </x:c>
    </x:row>
    <x:row r="64">
      <x:c r="A64" s="88" t="str">
        <x:v>CTA-LCSW-MQB-0063</x:v>
      </x:c>
      <x:c r="B64" s="83" t="str">
        <x:v>LCSW-WB04-QB-Q012</x:v>
      </x:c>
      <x:c r="C64" s="102" t="n">
        <x:v>46228</x:v>
      </x:c>
      <x:c r="D64" s="83" t="str">
        <x:v>Imported into LCSW master inventory</x:v>
      </x:c>
      <x:c r="E64" s="83" t="str">
        <x:v>LCSW Workbook 4 Question Bank</x:v>
      </x:c>
      <x:c r="F64" s="83" t="str">
        <x:v>1.0</x:v>
      </x:c>
      <x:c r="G64" s="83" t="n">
        <x:v>1</x:v>
      </x:c>
      <x:c r="H64" s="83" t="str">
        <x:v>Clinical Training Academy</x:v>
      </x:c>
      <x:c r="I64" s="89" t="str">
        <x:v>Source wording and option count preserved; no silent item-content revision during inventory build.</x:v>
      </x:c>
    </x:row>
    <x:row r="65">
      <x:c r="A65" s="88" t="str">
        <x:v>CTA-LCSW-MQB-0064</x:v>
      </x:c>
      <x:c r="B65" s="83" t="str">
        <x:v>LCSW-WB04-QB-Q013</x:v>
      </x:c>
      <x:c r="C65" s="102" t="n">
        <x:v>46228</x:v>
      </x:c>
      <x:c r="D65" s="83" t="str">
        <x:v>Imported into LCSW master inventory</x:v>
      </x:c>
      <x:c r="E65" s="83" t="str">
        <x:v>LCSW Workbook 4 Question Bank</x:v>
      </x:c>
      <x:c r="F65" s="83" t="str">
        <x:v>1.0</x:v>
      </x:c>
      <x:c r="G65" s="83" t="n">
        <x:v>1</x:v>
      </x:c>
      <x:c r="H65" s="83" t="str">
        <x:v>Clinical Training Academy</x:v>
      </x:c>
      <x:c r="I65" s="89" t="str">
        <x:v>Source wording and option count preserved; no silent item-content revision during inventory build.</x:v>
      </x:c>
    </x:row>
    <x:row r="66">
      <x:c r="A66" s="88" t="str">
        <x:v>CTA-LCSW-MQB-0065</x:v>
      </x:c>
      <x:c r="B66" s="83" t="str">
        <x:v>LCSW-WB04-QB-Q014</x:v>
      </x:c>
      <x:c r="C66" s="102" t="n">
        <x:v>46228</x:v>
      </x:c>
      <x:c r="D66" s="83" t="str">
        <x:v>Imported into LCSW master inventory</x:v>
      </x:c>
      <x:c r="E66" s="83" t="str">
        <x:v>LCSW Workbook 4 Question Bank</x:v>
      </x:c>
      <x:c r="F66" s="83" t="str">
        <x:v>1.0</x:v>
      </x:c>
      <x:c r="G66" s="83" t="n">
        <x:v>1</x:v>
      </x:c>
      <x:c r="H66" s="83" t="str">
        <x:v>Clinical Training Academy</x:v>
      </x:c>
      <x:c r="I66" s="89" t="str">
        <x:v>Source wording and option count preserved; no silent item-content revision during inventory build.</x:v>
      </x:c>
    </x:row>
    <x:row r="67">
      <x:c r="A67" s="88" t="str">
        <x:v>CTA-LCSW-MQB-0066</x:v>
      </x:c>
      <x:c r="B67" s="83" t="str">
        <x:v>LCSW-WB04-QB-Q015</x:v>
      </x:c>
      <x:c r="C67" s="102" t="n">
        <x:v>46228</x:v>
      </x:c>
      <x:c r="D67" s="83" t="str">
        <x:v>Imported into LCSW master inventory</x:v>
      </x:c>
      <x:c r="E67" s="83" t="str">
        <x:v>LCSW Workbook 4 Question Bank</x:v>
      </x:c>
      <x:c r="F67" s="83" t="str">
        <x:v>1.0</x:v>
      </x:c>
      <x:c r="G67" s="83" t="n">
        <x:v>1</x:v>
      </x:c>
      <x:c r="H67" s="83" t="str">
        <x:v>Clinical Training Academy</x:v>
      </x:c>
      <x:c r="I67" s="89" t="str">
        <x:v>Source wording and option count preserved; no silent item-content revision during inventory build.</x:v>
      </x:c>
    </x:row>
    <x:row r="68">
      <x:c r="A68" s="88" t="str">
        <x:v>CTA-LCSW-MQB-0067</x:v>
      </x:c>
      <x:c r="B68" s="83" t="str">
        <x:v>LCSW-WB04-QB-Q016</x:v>
      </x:c>
      <x:c r="C68" s="102" t="n">
        <x:v>46228</x:v>
      </x:c>
      <x:c r="D68" s="83" t="str">
        <x:v>Imported into LCSW master inventory</x:v>
      </x:c>
      <x:c r="E68" s="83" t="str">
        <x:v>LCSW Workbook 4 Question Bank</x:v>
      </x:c>
      <x:c r="F68" s="83" t="str">
        <x:v>1.0</x:v>
      </x:c>
      <x:c r="G68" s="83" t="n">
        <x:v>1</x:v>
      </x:c>
      <x:c r="H68" s="83" t="str">
        <x:v>Clinical Training Academy</x:v>
      </x:c>
      <x:c r="I68" s="89" t="str">
        <x:v>Source wording and option count preserved; no silent item-content revision during inventory build.</x:v>
      </x:c>
    </x:row>
    <x:row r="69">
      <x:c r="A69" s="88" t="str">
        <x:v>CTA-LCSW-MQB-0068</x:v>
      </x:c>
      <x:c r="B69" s="83" t="str">
        <x:v>LCSW-WB04-QB-Q017</x:v>
      </x:c>
      <x:c r="C69" s="102" t="n">
        <x:v>46228</x:v>
      </x:c>
      <x:c r="D69" s="83" t="str">
        <x:v>Imported into LCSW master inventory</x:v>
      </x:c>
      <x:c r="E69" s="83" t="str">
        <x:v>LCSW Workbook 4 Question Bank</x:v>
      </x:c>
      <x:c r="F69" s="83" t="str">
        <x:v>1.0</x:v>
      </x:c>
      <x:c r="G69" s="83" t="n">
        <x:v>1</x:v>
      </x:c>
      <x:c r="H69" s="83" t="str">
        <x:v>Clinical Training Academy</x:v>
      </x:c>
      <x:c r="I69" s="89" t="str">
        <x:v>Source wording and option count preserved; no silent item-content revision during inventory build.</x:v>
      </x:c>
    </x:row>
    <x:row r="70">
      <x:c r="A70" s="88" t="str">
        <x:v>CTA-LCSW-MQB-0069</x:v>
      </x:c>
      <x:c r="B70" s="83" t="str">
        <x:v>LCSW-WB05-QB-Q001</x:v>
      </x:c>
      <x:c r="C70" s="102" t="n">
        <x:v>46228</x:v>
      </x:c>
      <x:c r="D70" s="83" t="str">
        <x:v>Imported into LCSW master inventory</x:v>
      </x:c>
      <x:c r="E70" s="83" t="str">
        <x:v>LCSW Workbook 5 Question Bank</x:v>
      </x:c>
      <x:c r="F70" s="83" t="str">
        <x:v>1.0</x:v>
      </x:c>
      <x:c r="G70" s="83" t="n">
        <x:v>1</x:v>
      </x:c>
      <x:c r="H70" s="83" t="str">
        <x:v>Clinical Training Academy</x:v>
      </x:c>
      <x:c r="I70" s="89" t="str">
        <x:v>Source wording and option count preserved; no silent item-content revision during inventory build.</x:v>
      </x:c>
    </x:row>
    <x:row r="71">
      <x:c r="A71" s="88" t="str">
        <x:v>CTA-LCSW-MQB-0070</x:v>
      </x:c>
      <x:c r="B71" s="83" t="str">
        <x:v>LCSW-WB05-QB-Q002</x:v>
      </x:c>
      <x:c r="C71" s="102" t="n">
        <x:v>46228</x:v>
      </x:c>
      <x:c r="D71" s="83" t="str">
        <x:v>Imported into LCSW master inventory</x:v>
      </x:c>
      <x:c r="E71" s="83" t="str">
        <x:v>LCSW Workbook 5 Question Bank</x:v>
      </x:c>
      <x:c r="F71" s="83" t="str">
        <x:v>1.0</x:v>
      </x:c>
      <x:c r="G71" s="83" t="n">
        <x:v>1</x:v>
      </x:c>
      <x:c r="H71" s="83" t="str">
        <x:v>Clinical Training Academy</x:v>
      </x:c>
      <x:c r="I71" s="89" t="str">
        <x:v>Source wording and option count preserved; no silent item-content revision during inventory build.</x:v>
      </x:c>
    </x:row>
    <x:row r="72">
      <x:c r="A72" s="88" t="str">
        <x:v>CTA-LCSW-MQB-0071</x:v>
      </x:c>
      <x:c r="B72" s="83" t="str">
        <x:v>LCSW-WB05-QB-Q003</x:v>
      </x:c>
      <x:c r="C72" s="102" t="n">
        <x:v>46228</x:v>
      </x:c>
      <x:c r="D72" s="83" t="str">
        <x:v>Imported into LCSW master inventory</x:v>
      </x:c>
      <x:c r="E72" s="83" t="str">
        <x:v>LCSW Workbook 5 Question Bank</x:v>
      </x:c>
      <x:c r="F72" s="83" t="str">
        <x:v>1.0</x:v>
      </x:c>
      <x:c r="G72" s="83" t="n">
        <x:v>1</x:v>
      </x:c>
      <x:c r="H72" s="83" t="str">
        <x:v>Clinical Training Academy</x:v>
      </x:c>
      <x:c r="I72" s="89" t="str">
        <x:v>Source wording and option count preserved; no silent item-content revision during inventory build.</x:v>
      </x:c>
    </x:row>
    <x:row r="73">
      <x:c r="A73" s="88" t="str">
        <x:v>CTA-LCSW-MQB-0072</x:v>
      </x:c>
      <x:c r="B73" s="83" t="str">
        <x:v>LCSW-WB05-QB-Q004</x:v>
      </x:c>
      <x:c r="C73" s="102" t="n">
        <x:v>46228</x:v>
      </x:c>
      <x:c r="D73" s="83" t="str">
        <x:v>Imported into LCSW master inventory</x:v>
      </x:c>
      <x:c r="E73" s="83" t="str">
        <x:v>LCSW Workbook 5 Question Bank</x:v>
      </x:c>
      <x:c r="F73" s="83" t="str">
        <x:v>1.0</x:v>
      </x:c>
      <x:c r="G73" s="83" t="n">
        <x:v>1</x:v>
      </x:c>
      <x:c r="H73" s="83" t="str">
        <x:v>Clinical Training Academy</x:v>
      </x:c>
      <x:c r="I73" s="89" t="str">
        <x:v>Source wording and option count preserved; no silent item-content revision during inventory build.</x:v>
      </x:c>
    </x:row>
    <x:row r="74">
      <x:c r="A74" s="88" t="str">
        <x:v>CTA-LCSW-MQB-0073</x:v>
      </x:c>
      <x:c r="B74" s="83" t="str">
        <x:v>LCSW-WB05-QB-Q005</x:v>
      </x:c>
      <x:c r="C74" s="102" t="n">
        <x:v>46228</x:v>
      </x:c>
      <x:c r="D74" s="83" t="str">
        <x:v>Imported into LCSW master inventory</x:v>
      </x:c>
      <x:c r="E74" s="83" t="str">
        <x:v>LCSW Workbook 5 Question Bank</x:v>
      </x:c>
      <x:c r="F74" s="83" t="str">
        <x:v>1.0</x:v>
      </x:c>
      <x:c r="G74" s="83" t="n">
        <x:v>1</x:v>
      </x:c>
      <x:c r="H74" s="83" t="str">
        <x:v>Clinical Training Academy</x:v>
      </x:c>
      <x:c r="I74" s="89" t="str">
        <x:v>Source wording and option count preserved; no silent item-content revision during inventory build.</x:v>
      </x:c>
    </x:row>
    <x:row r="75">
      <x:c r="A75" s="88" t="str">
        <x:v>CTA-LCSW-MQB-0074</x:v>
      </x:c>
      <x:c r="B75" s="83" t="str">
        <x:v>LCSW-WB05-QB-Q006</x:v>
      </x:c>
      <x:c r="C75" s="102" t="n">
        <x:v>46228</x:v>
      </x:c>
      <x:c r="D75" s="83" t="str">
        <x:v>Imported into LCSW master inventory</x:v>
      </x:c>
      <x:c r="E75" s="83" t="str">
        <x:v>LCSW Workbook 5 Question Bank</x:v>
      </x:c>
      <x:c r="F75" s="83" t="str">
        <x:v>1.0</x:v>
      </x:c>
      <x:c r="G75" s="83" t="n">
        <x:v>1</x:v>
      </x:c>
      <x:c r="H75" s="83" t="str">
        <x:v>Clinical Training Academy</x:v>
      </x:c>
      <x:c r="I75" s="89" t="str">
        <x:v>Source wording and option count preserved; no silent item-content revision during inventory build.</x:v>
      </x:c>
    </x:row>
    <x:row r="76">
      <x:c r="A76" s="88" t="str">
        <x:v>CTA-LCSW-MQB-0075</x:v>
      </x:c>
      <x:c r="B76" s="83" t="str">
        <x:v>LCSW-WB05-QB-Q007</x:v>
      </x:c>
      <x:c r="C76" s="102" t="n">
        <x:v>46228</x:v>
      </x:c>
      <x:c r="D76" s="83" t="str">
        <x:v>Imported into LCSW master inventory</x:v>
      </x:c>
      <x:c r="E76" s="83" t="str">
        <x:v>LCSW Workbook 5 Question Bank</x:v>
      </x:c>
      <x:c r="F76" s="83" t="str">
        <x:v>1.0</x:v>
      </x:c>
      <x:c r="G76" s="83" t="n">
        <x:v>1</x:v>
      </x:c>
      <x:c r="H76" s="83" t="str">
        <x:v>Clinical Training Academy</x:v>
      </x:c>
      <x:c r="I76" s="89" t="str">
        <x:v>Source wording and option count preserved; no silent item-content revision during inventory build.</x:v>
      </x:c>
    </x:row>
    <x:row r="77">
      <x:c r="A77" s="88" t="str">
        <x:v>CTA-LCSW-MQB-0076</x:v>
      </x:c>
      <x:c r="B77" s="83" t="str">
        <x:v>LCSW-WB05-QB-Q008</x:v>
      </x:c>
      <x:c r="C77" s="102" t="n">
        <x:v>46228</x:v>
      </x:c>
      <x:c r="D77" s="83" t="str">
        <x:v>Imported into LCSW master inventory</x:v>
      </x:c>
      <x:c r="E77" s="83" t="str">
        <x:v>LCSW Workbook 5 Question Bank</x:v>
      </x:c>
      <x:c r="F77" s="83" t="str">
        <x:v>1.0</x:v>
      </x:c>
      <x:c r="G77" s="83" t="n">
        <x:v>1</x:v>
      </x:c>
      <x:c r="H77" s="83" t="str">
        <x:v>Clinical Training Academy</x:v>
      </x:c>
      <x:c r="I77" s="89" t="str">
        <x:v>Source wording and option count preserved; no silent item-content revision during inventory build.</x:v>
      </x:c>
    </x:row>
    <x:row r="78">
      <x:c r="A78" s="88" t="str">
        <x:v>CTA-LCSW-MQB-0077</x:v>
      </x:c>
      <x:c r="B78" s="83" t="str">
        <x:v>LCSW-WB05-QB-Q009</x:v>
      </x:c>
      <x:c r="C78" s="102" t="n">
        <x:v>46228</x:v>
      </x:c>
      <x:c r="D78" s="83" t="str">
        <x:v>Imported into LCSW master inventory</x:v>
      </x:c>
      <x:c r="E78" s="83" t="str">
        <x:v>LCSW Workbook 5 Question Bank</x:v>
      </x:c>
      <x:c r="F78" s="83" t="str">
        <x:v>1.0</x:v>
      </x:c>
      <x:c r="G78" s="83" t="n">
        <x:v>1</x:v>
      </x:c>
      <x:c r="H78" s="83" t="str">
        <x:v>Clinical Training Academy</x:v>
      </x:c>
      <x:c r="I78" s="89" t="str">
        <x:v>Source wording and option count preserved; no silent item-content revision during inventory build.</x:v>
      </x:c>
    </x:row>
    <x:row r="79">
      <x:c r="A79" s="88" t="str">
        <x:v>CTA-LCSW-MQB-0078</x:v>
      </x:c>
      <x:c r="B79" s="83" t="str">
        <x:v>LCSW-WB05-QB-Q010</x:v>
      </x:c>
      <x:c r="C79" s="102" t="n">
        <x:v>46228</x:v>
      </x:c>
      <x:c r="D79" s="83" t="str">
        <x:v>Imported into LCSW master inventory</x:v>
      </x:c>
      <x:c r="E79" s="83" t="str">
        <x:v>LCSW Workbook 5 Question Bank</x:v>
      </x:c>
      <x:c r="F79" s="83" t="str">
        <x:v>1.0</x:v>
      </x:c>
      <x:c r="G79" s="83" t="n">
        <x:v>1</x:v>
      </x:c>
      <x:c r="H79" s="83" t="str">
        <x:v>Clinical Training Academy</x:v>
      </x:c>
      <x:c r="I79" s="89" t="str">
        <x:v>Source wording and option count preserved; no silent item-content revision during inventory build.</x:v>
      </x:c>
    </x:row>
    <x:row r="80">
      <x:c r="A80" s="88" t="str">
        <x:v>CTA-LCSW-MQB-0079</x:v>
      </x:c>
      <x:c r="B80" s="83" t="str">
        <x:v>LCSW-WB05-QB-Q011</x:v>
      </x:c>
      <x:c r="C80" s="102" t="n">
        <x:v>46228</x:v>
      </x:c>
      <x:c r="D80" s="83" t="str">
        <x:v>Imported into LCSW master inventory</x:v>
      </x:c>
      <x:c r="E80" s="83" t="str">
        <x:v>LCSW Workbook 5 Question Bank</x:v>
      </x:c>
      <x:c r="F80" s="83" t="str">
        <x:v>1.0</x:v>
      </x:c>
      <x:c r="G80" s="83" t="n">
        <x:v>1</x:v>
      </x:c>
      <x:c r="H80" s="83" t="str">
        <x:v>Clinical Training Academy</x:v>
      </x:c>
      <x:c r="I80" s="89" t="str">
        <x:v>Source wording and option count preserved; no silent item-content revision during inventory build.</x:v>
      </x:c>
    </x:row>
    <x:row r="81">
      <x:c r="A81" s="88" t="str">
        <x:v>CTA-LCSW-MQB-0080</x:v>
      </x:c>
      <x:c r="B81" s="83" t="str">
        <x:v>LCSW-WB05-QB-Q012</x:v>
      </x:c>
      <x:c r="C81" s="102" t="n">
        <x:v>46228</x:v>
      </x:c>
      <x:c r="D81" s="83" t="str">
        <x:v>Imported into LCSW master inventory</x:v>
      </x:c>
      <x:c r="E81" s="83" t="str">
        <x:v>LCSW Workbook 5 Question Bank</x:v>
      </x:c>
      <x:c r="F81" s="83" t="str">
        <x:v>1.0</x:v>
      </x:c>
      <x:c r="G81" s="83" t="n">
        <x:v>1</x:v>
      </x:c>
      <x:c r="H81" s="83" t="str">
        <x:v>Clinical Training Academy</x:v>
      </x:c>
      <x:c r="I81" s="89" t="str">
        <x:v>Source wording and option count preserved; no silent item-content revision during inventory build.</x:v>
      </x:c>
    </x:row>
    <x:row r="82">
      <x:c r="A82" s="88" t="str">
        <x:v>CTA-LCSW-MQB-0081</x:v>
      </x:c>
      <x:c r="B82" s="83" t="str">
        <x:v>LCSW-WB05-QB-Q013</x:v>
      </x:c>
      <x:c r="C82" s="102" t="n">
        <x:v>46228</x:v>
      </x:c>
      <x:c r="D82" s="83" t="str">
        <x:v>Imported into LCSW master inventory</x:v>
      </x:c>
      <x:c r="E82" s="83" t="str">
        <x:v>LCSW Workbook 5 Question Bank</x:v>
      </x:c>
      <x:c r="F82" s="83" t="str">
        <x:v>1.0</x:v>
      </x:c>
      <x:c r="G82" s="83" t="n">
        <x:v>1</x:v>
      </x:c>
      <x:c r="H82" s="83" t="str">
        <x:v>Clinical Training Academy</x:v>
      </x:c>
      <x:c r="I82" s="89" t="str">
        <x:v>Source wording and option count preserved; no silent item-content revision during inventory build.</x:v>
      </x:c>
    </x:row>
    <x:row r="83">
      <x:c r="A83" s="88" t="str">
        <x:v>CTA-LCSW-MQB-0082</x:v>
      </x:c>
      <x:c r="B83" s="83" t="str">
        <x:v>LCSW-WB05-QB-Q014</x:v>
      </x:c>
      <x:c r="C83" s="102" t="n">
        <x:v>46228</x:v>
      </x:c>
      <x:c r="D83" s="83" t="str">
        <x:v>Imported into LCSW master inventory</x:v>
      </x:c>
      <x:c r="E83" s="83" t="str">
        <x:v>LCSW Workbook 5 Question Bank</x:v>
      </x:c>
      <x:c r="F83" s="83" t="str">
        <x:v>1.0</x:v>
      </x:c>
      <x:c r="G83" s="83" t="n">
        <x:v>1</x:v>
      </x:c>
      <x:c r="H83" s="83" t="str">
        <x:v>Clinical Training Academy</x:v>
      </x:c>
      <x:c r="I83" s="89" t="str">
        <x:v>Source wording and option count preserved; no silent item-content revision during inventory build.</x:v>
      </x:c>
    </x:row>
    <x:row r="84">
      <x:c r="A84" s="88" t="str">
        <x:v>CTA-LCSW-MQB-0083</x:v>
      </x:c>
      <x:c r="B84" s="83" t="str">
        <x:v>LCSW-WB05-QB-Q015</x:v>
      </x:c>
      <x:c r="C84" s="102" t="n">
        <x:v>46228</x:v>
      </x:c>
      <x:c r="D84" s="83" t="str">
        <x:v>Imported into LCSW master inventory</x:v>
      </x:c>
      <x:c r="E84" s="83" t="str">
        <x:v>LCSW Workbook 5 Question Bank</x:v>
      </x:c>
      <x:c r="F84" s="83" t="str">
        <x:v>1.0</x:v>
      </x:c>
      <x:c r="G84" s="83" t="n">
        <x:v>1</x:v>
      </x:c>
      <x:c r="H84" s="83" t="str">
        <x:v>Clinical Training Academy</x:v>
      </x:c>
      <x:c r="I84" s="89" t="str">
        <x:v>Source wording and option count preserved; no silent item-content revision during inventory build.</x:v>
      </x:c>
    </x:row>
    <x:row r="85">
      <x:c r="A85" s="88" t="str">
        <x:v>CTA-LCSW-MQB-0084</x:v>
      </x:c>
      <x:c r="B85" s="83" t="str">
        <x:v>LCSW-WB05-QB-Q016</x:v>
      </x:c>
      <x:c r="C85" s="102" t="n">
        <x:v>46228</x:v>
      </x:c>
      <x:c r="D85" s="83" t="str">
        <x:v>Imported into LCSW master inventory</x:v>
      </x:c>
      <x:c r="E85" s="83" t="str">
        <x:v>LCSW Workbook 5 Question Bank</x:v>
      </x:c>
      <x:c r="F85" s="83" t="str">
        <x:v>1.0</x:v>
      </x:c>
      <x:c r="G85" s="83" t="n">
        <x:v>1</x:v>
      </x:c>
      <x:c r="H85" s="83" t="str">
        <x:v>Clinical Training Academy</x:v>
      </x:c>
      <x:c r="I85" s="89" t="str">
        <x:v>Source wording and option count preserved; no silent item-content revision during inventory build.</x:v>
      </x:c>
    </x:row>
    <x:row r="86">
      <x:c r="A86" s="88" t="str">
        <x:v>CTA-LCSW-MQB-0085</x:v>
      </x:c>
      <x:c r="B86" s="83" t="str">
        <x:v>LCSW-WB05-QB-Q017</x:v>
      </x:c>
      <x:c r="C86" s="102" t="n">
        <x:v>46228</x:v>
      </x:c>
      <x:c r="D86" s="83" t="str">
        <x:v>Imported into LCSW master inventory</x:v>
      </x:c>
      <x:c r="E86" s="83" t="str">
        <x:v>LCSW Workbook 5 Question Bank</x:v>
      </x:c>
      <x:c r="F86" s="83" t="str">
        <x:v>1.0</x:v>
      </x:c>
      <x:c r="G86" s="83" t="n">
        <x:v>1</x:v>
      </x:c>
      <x:c r="H86" s="83" t="str">
        <x:v>Clinical Training Academy</x:v>
      </x:c>
      <x:c r="I86" s="89" t="str">
        <x:v>Source wording and option count preserved; no silent item-content revision during inventory build.</x:v>
      </x:c>
    </x:row>
    <x:row r="87">
      <x:c r="A87" s="88" t="str">
        <x:v>CTA-LCSW-MQB-0086</x:v>
      </x:c>
      <x:c r="B87" s="83" t="str">
        <x:v>LCSW-WB06-QB-Q001</x:v>
      </x:c>
      <x:c r="C87" s="102" t="n">
        <x:v>46228</x:v>
      </x:c>
      <x:c r="D87" s="83" t="str">
        <x:v>Imported into LCSW master inventory</x:v>
      </x:c>
      <x:c r="E87" s="83" t="str">
        <x:v>LCSW Workbook 6 Question Bank</x:v>
      </x:c>
      <x:c r="F87" s="83" t="str">
        <x:v>1.0</x:v>
      </x:c>
      <x:c r="G87" s="83" t="n">
        <x:v>1</x:v>
      </x:c>
      <x:c r="H87" s="83" t="str">
        <x:v>Clinical Training Academy</x:v>
      </x:c>
      <x:c r="I87" s="89" t="str">
        <x:v>Source wording and option count preserved; no silent item-content revision during inventory build.</x:v>
      </x:c>
    </x:row>
    <x:row r="88">
      <x:c r="A88" s="88" t="str">
        <x:v>CTA-LCSW-MQB-0087</x:v>
      </x:c>
      <x:c r="B88" s="83" t="str">
        <x:v>LCSW-WB06-QB-Q002</x:v>
      </x:c>
      <x:c r="C88" s="102" t="n">
        <x:v>46228</x:v>
      </x:c>
      <x:c r="D88" s="83" t="str">
        <x:v>Imported into LCSW master inventory</x:v>
      </x:c>
      <x:c r="E88" s="83" t="str">
        <x:v>LCSW Workbook 6 Question Bank</x:v>
      </x:c>
      <x:c r="F88" s="83" t="str">
        <x:v>1.0</x:v>
      </x:c>
      <x:c r="G88" s="83" t="n">
        <x:v>1</x:v>
      </x:c>
      <x:c r="H88" s="83" t="str">
        <x:v>Clinical Training Academy</x:v>
      </x:c>
      <x:c r="I88" s="89" t="str">
        <x:v>Source wording and option count preserved; no silent item-content revision during inventory build.</x:v>
      </x:c>
    </x:row>
    <x:row r="89">
      <x:c r="A89" s="88" t="str">
        <x:v>CTA-LCSW-MQB-0088</x:v>
      </x:c>
      <x:c r="B89" s="83" t="str">
        <x:v>LCSW-WB06-QB-Q003</x:v>
      </x:c>
      <x:c r="C89" s="102" t="n">
        <x:v>46228</x:v>
      </x:c>
      <x:c r="D89" s="83" t="str">
        <x:v>Imported into LCSW master inventory</x:v>
      </x:c>
      <x:c r="E89" s="83" t="str">
        <x:v>LCSW Workbook 6 Question Bank</x:v>
      </x:c>
      <x:c r="F89" s="83" t="str">
        <x:v>1.0</x:v>
      </x:c>
      <x:c r="G89" s="83" t="n">
        <x:v>1</x:v>
      </x:c>
      <x:c r="H89" s="83" t="str">
        <x:v>Clinical Training Academy</x:v>
      </x:c>
      <x:c r="I89" s="89" t="str">
        <x:v>Source wording and option count preserved; no silent item-content revision during inventory build.</x:v>
      </x:c>
    </x:row>
    <x:row r="90">
      <x:c r="A90" s="88" t="str">
        <x:v>CTA-LCSW-MQB-0089</x:v>
      </x:c>
      <x:c r="B90" s="83" t="str">
        <x:v>LCSW-WB06-QB-Q004</x:v>
      </x:c>
      <x:c r="C90" s="102" t="n">
        <x:v>46228</x:v>
      </x:c>
      <x:c r="D90" s="83" t="str">
        <x:v>Imported into LCSW master inventory</x:v>
      </x:c>
      <x:c r="E90" s="83" t="str">
        <x:v>LCSW Workbook 6 Question Bank</x:v>
      </x:c>
      <x:c r="F90" s="83" t="str">
        <x:v>1.0</x:v>
      </x:c>
      <x:c r="G90" s="83" t="n">
        <x:v>1</x:v>
      </x:c>
      <x:c r="H90" s="83" t="str">
        <x:v>Clinical Training Academy</x:v>
      </x:c>
      <x:c r="I90" s="89" t="str">
        <x:v>Source wording and option count preserved; no silent item-content revision during inventory build.</x:v>
      </x:c>
    </x:row>
    <x:row r="91">
      <x:c r="A91" s="88" t="str">
        <x:v>CTA-LCSW-MQB-0090</x:v>
      </x:c>
      <x:c r="B91" s="83" t="str">
        <x:v>LCSW-WB06-QB-Q005</x:v>
      </x:c>
      <x:c r="C91" s="102" t="n">
        <x:v>46228</x:v>
      </x:c>
      <x:c r="D91" s="83" t="str">
        <x:v>Imported into LCSW master inventory</x:v>
      </x:c>
      <x:c r="E91" s="83" t="str">
        <x:v>LCSW Workbook 6 Question Bank</x:v>
      </x:c>
      <x:c r="F91" s="83" t="str">
        <x:v>1.0</x:v>
      </x:c>
      <x:c r="G91" s="83" t="n">
        <x:v>1</x:v>
      </x:c>
      <x:c r="H91" s="83" t="str">
        <x:v>Clinical Training Academy</x:v>
      </x:c>
      <x:c r="I91" s="89" t="str">
        <x:v>Source wording and option count preserved; no silent item-content revision during inventory build.</x:v>
      </x:c>
    </x:row>
    <x:row r="92">
      <x:c r="A92" s="88" t="str">
        <x:v>CTA-LCSW-MQB-0091</x:v>
      </x:c>
      <x:c r="B92" s="83" t="str">
        <x:v>LCSW-WB06-QB-Q006</x:v>
      </x:c>
      <x:c r="C92" s="102" t="n">
        <x:v>46228</x:v>
      </x:c>
      <x:c r="D92" s="83" t="str">
        <x:v>Imported into LCSW master inventory</x:v>
      </x:c>
      <x:c r="E92" s="83" t="str">
        <x:v>LCSW Workbook 6 Question Bank</x:v>
      </x:c>
      <x:c r="F92" s="83" t="str">
        <x:v>1.0</x:v>
      </x:c>
      <x:c r="G92" s="83" t="n">
        <x:v>1</x:v>
      </x:c>
      <x:c r="H92" s="83" t="str">
        <x:v>Clinical Training Academy</x:v>
      </x:c>
      <x:c r="I92" s="89" t="str">
        <x:v>Source wording and option count preserved; no silent item-content revision during inventory build.</x:v>
      </x:c>
    </x:row>
    <x:row r="93">
      <x:c r="A93" s="88" t="str">
        <x:v>CTA-LCSW-MQB-0092</x:v>
      </x:c>
      <x:c r="B93" s="83" t="str">
        <x:v>LCSW-WB06-QB-Q007</x:v>
      </x:c>
      <x:c r="C93" s="102" t="n">
        <x:v>46228</x:v>
      </x:c>
      <x:c r="D93" s="83" t="str">
        <x:v>Imported into LCSW master inventory</x:v>
      </x:c>
      <x:c r="E93" s="83" t="str">
        <x:v>LCSW Workbook 6 Question Bank</x:v>
      </x:c>
      <x:c r="F93" s="83" t="str">
        <x:v>1.0</x:v>
      </x:c>
      <x:c r="G93" s="83" t="n">
        <x:v>1</x:v>
      </x:c>
      <x:c r="H93" s="83" t="str">
        <x:v>Clinical Training Academy</x:v>
      </x:c>
      <x:c r="I93" s="89" t="str">
        <x:v>Source wording and option count preserved; no silent item-content revision during inventory build.</x:v>
      </x:c>
    </x:row>
    <x:row r="94">
      <x:c r="A94" s="88" t="str">
        <x:v>CTA-LCSW-MQB-0093</x:v>
      </x:c>
      <x:c r="B94" s="83" t="str">
        <x:v>LCSW-WB06-QB-Q008</x:v>
      </x:c>
      <x:c r="C94" s="102" t="n">
        <x:v>46228</x:v>
      </x:c>
      <x:c r="D94" s="83" t="str">
        <x:v>Imported into LCSW master inventory</x:v>
      </x:c>
      <x:c r="E94" s="83" t="str">
        <x:v>LCSW Workbook 6 Question Bank</x:v>
      </x:c>
      <x:c r="F94" s="83" t="str">
        <x:v>1.0</x:v>
      </x:c>
      <x:c r="G94" s="83" t="n">
        <x:v>1</x:v>
      </x:c>
      <x:c r="H94" s="83" t="str">
        <x:v>Clinical Training Academy</x:v>
      </x:c>
      <x:c r="I94" s="89" t="str">
        <x:v>Source wording and option count preserved; no silent item-content revision during inventory build.</x:v>
      </x:c>
    </x:row>
    <x:row r="95">
      <x:c r="A95" s="88" t="str">
        <x:v>CTA-LCSW-MQB-0094</x:v>
      </x:c>
      <x:c r="B95" s="83" t="str">
        <x:v>LCSW-WB06-QB-Q009</x:v>
      </x:c>
      <x:c r="C95" s="102" t="n">
        <x:v>46228</x:v>
      </x:c>
      <x:c r="D95" s="83" t="str">
        <x:v>Imported into LCSW master inventory</x:v>
      </x:c>
      <x:c r="E95" s="83" t="str">
        <x:v>LCSW Workbook 6 Question Bank</x:v>
      </x:c>
      <x:c r="F95" s="83" t="str">
        <x:v>1.0</x:v>
      </x:c>
      <x:c r="G95" s="83" t="n">
        <x:v>1</x:v>
      </x:c>
      <x:c r="H95" s="83" t="str">
        <x:v>Clinical Training Academy</x:v>
      </x:c>
      <x:c r="I95" s="89" t="str">
        <x:v>Source wording and option count preserved; no silent item-content revision during inventory build.</x:v>
      </x:c>
    </x:row>
    <x:row r="96">
      <x:c r="A96" s="88" t="str">
        <x:v>CTA-LCSW-MQB-0095</x:v>
      </x:c>
      <x:c r="B96" s="83" t="str">
        <x:v>LCSW-WB06-QB-Q010</x:v>
      </x:c>
      <x:c r="C96" s="102" t="n">
        <x:v>46228</x:v>
      </x:c>
      <x:c r="D96" s="83" t="str">
        <x:v>Imported into LCSW master inventory</x:v>
      </x:c>
      <x:c r="E96" s="83" t="str">
        <x:v>LCSW Workbook 6 Question Bank</x:v>
      </x:c>
      <x:c r="F96" s="83" t="str">
        <x:v>1.0</x:v>
      </x:c>
      <x:c r="G96" s="83" t="n">
        <x:v>1</x:v>
      </x:c>
      <x:c r="H96" s="83" t="str">
        <x:v>Clinical Training Academy</x:v>
      </x:c>
      <x:c r="I96" s="89" t="str">
        <x:v>Source wording and option count preserved; no silent item-content revision during inventory build.</x:v>
      </x:c>
    </x:row>
    <x:row r="97">
      <x:c r="A97" s="88" t="str">
        <x:v>CTA-LCSW-MQB-0096</x:v>
      </x:c>
      <x:c r="B97" s="83" t="str">
        <x:v>LCSW-WB06-QB-Q011</x:v>
      </x:c>
      <x:c r="C97" s="102" t="n">
        <x:v>46228</x:v>
      </x:c>
      <x:c r="D97" s="83" t="str">
        <x:v>Imported into LCSW master inventory</x:v>
      </x:c>
      <x:c r="E97" s="83" t="str">
        <x:v>LCSW Workbook 6 Question Bank</x:v>
      </x:c>
      <x:c r="F97" s="83" t="str">
        <x:v>1.0</x:v>
      </x:c>
      <x:c r="G97" s="83" t="n">
        <x:v>1</x:v>
      </x:c>
      <x:c r="H97" s="83" t="str">
        <x:v>Clinical Training Academy</x:v>
      </x:c>
      <x:c r="I97" s="89" t="str">
        <x:v>Source wording and option count preserved; no silent item-content revision during inventory build.</x:v>
      </x:c>
    </x:row>
    <x:row r="98">
      <x:c r="A98" s="88" t="str">
        <x:v>CTA-LCSW-MQB-0097</x:v>
      </x:c>
      <x:c r="B98" s="83" t="str">
        <x:v>LCSW-WB06-QB-Q012</x:v>
      </x:c>
      <x:c r="C98" s="102" t="n">
        <x:v>46228</x:v>
      </x:c>
      <x:c r="D98" s="83" t="str">
        <x:v>Imported into LCSW master inventory</x:v>
      </x:c>
      <x:c r="E98" s="83" t="str">
        <x:v>LCSW Workbook 6 Question Bank</x:v>
      </x:c>
      <x:c r="F98" s="83" t="str">
        <x:v>1.0</x:v>
      </x:c>
      <x:c r="G98" s="83" t="n">
        <x:v>1</x:v>
      </x:c>
      <x:c r="H98" s="83" t="str">
        <x:v>Clinical Training Academy</x:v>
      </x:c>
      <x:c r="I98" s="89" t="str">
        <x:v>Source wording and option count preserved; no silent item-content revision during inventory build.</x:v>
      </x:c>
    </x:row>
    <x:row r="99">
      <x:c r="A99" s="88" t="str">
        <x:v>CTA-LCSW-MQB-0098</x:v>
      </x:c>
      <x:c r="B99" s="83" t="str">
        <x:v>LCSW-WB06-QB-Q013</x:v>
      </x:c>
      <x:c r="C99" s="102" t="n">
        <x:v>46228</x:v>
      </x:c>
      <x:c r="D99" s="83" t="str">
        <x:v>Imported into LCSW master inventory</x:v>
      </x:c>
      <x:c r="E99" s="83" t="str">
        <x:v>LCSW Workbook 6 Question Bank</x:v>
      </x:c>
      <x:c r="F99" s="83" t="str">
        <x:v>1.0</x:v>
      </x:c>
      <x:c r="G99" s="83" t="n">
        <x:v>1</x:v>
      </x:c>
      <x:c r="H99" s="83" t="str">
        <x:v>Clinical Training Academy</x:v>
      </x:c>
      <x:c r="I99" s="89" t="str">
        <x:v>Source wording and option count preserved; no silent item-content revision during inventory build.</x:v>
      </x:c>
    </x:row>
    <x:row r="100">
      <x:c r="A100" s="88" t="str">
        <x:v>CTA-LCSW-MQB-0099</x:v>
      </x:c>
      <x:c r="B100" s="83" t="str">
        <x:v>LCSW-WB06-QB-Q014</x:v>
      </x:c>
      <x:c r="C100" s="102" t="n">
        <x:v>46228</x:v>
      </x:c>
      <x:c r="D100" s="83" t="str">
        <x:v>Imported into LCSW master inventory</x:v>
      </x:c>
      <x:c r="E100" s="83" t="str">
        <x:v>LCSW Workbook 6 Question Bank</x:v>
      </x:c>
      <x:c r="F100" s="83" t="str">
        <x:v>1.0</x:v>
      </x:c>
      <x:c r="G100" s="83" t="n">
        <x:v>1</x:v>
      </x:c>
      <x:c r="H100" s="83" t="str">
        <x:v>Clinical Training Academy</x:v>
      </x:c>
      <x:c r="I100" s="89" t="str">
        <x:v>Source wording and option count preserved; no silent item-content revision during inventory build.</x:v>
      </x:c>
    </x:row>
    <x:row r="101">
      <x:c r="A101" s="88" t="str">
        <x:v>CTA-LCSW-MQB-0100</x:v>
      </x:c>
      <x:c r="B101" s="83" t="str">
        <x:v>LCSW-WB06-QB-Q015</x:v>
      </x:c>
      <x:c r="C101" s="102" t="n">
        <x:v>46228</x:v>
      </x:c>
      <x:c r="D101" s="83" t="str">
        <x:v>Imported into LCSW master inventory</x:v>
      </x:c>
      <x:c r="E101" s="83" t="str">
        <x:v>LCSW Workbook 6 Question Bank</x:v>
      </x:c>
      <x:c r="F101" s="83" t="str">
        <x:v>1.0</x:v>
      </x:c>
      <x:c r="G101" s="83" t="n">
        <x:v>1</x:v>
      </x:c>
      <x:c r="H101" s="83" t="str">
        <x:v>Clinical Training Academy</x:v>
      </x:c>
      <x:c r="I101" s="89" t="str">
        <x:v>Source wording and option count preserved; no silent item-content revision during inventory build.</x:v>
      </x:c>
    </x:row>
    <x:row r="102">
      <x:c r="A102" s="88" t="str">
        <x:v>CTA-LCSW-MQB-0101</x:v>
      </x:c>
      <x:c r="B102" s="83" t="str">
        <x:v>LCSW-WB06-QB-Q016</x:v>
      </x:c>
      <x:c r="C102" s="102" t="n">
        <x:v>46228</x:v>
      </x:c>
      <x:c r="D102" s="83" t="str">
        <x:v>Imported into LCSW master inventory</x:v>
      </x:c>
      <x:c r="E102" s="83" t="str">
        <x:v>LCSW Workbook 6 Question Bank</x:v>
      </x:c>
      <x:c r="F102" s="83" t="str">
        <x:v>1.0</x:v>
      </x:c>
      <x:c r="G102" s="83" t="n">
        <x:v>1</x:v>
      </x:c>
      <x:c r="H102" s="83" t="str">
        <x:v>Clinical Training Academy</x:v>
      </x:c>
      <x:c r="I102" s="89" t="str">
        <x:v>Source wording and option count preserved; no silent item-content revision during inventory build.</x:v>
      </x:c>
    </x:row>
    <x:row r="103">
      <x:c r="A103" s="88" t="str">
        <x:v>CTA-LCSW-MQB-0102</x:v>
      </x:c>
      <x:c r="B103" s="83" t="str">
        <x:v>LCSW-WB06-QB-Q017</x:v>
      </x:c>
      <x:c r="C103" s="102" t="n">
        <x:v>46228</x:v>
      </x:c>
      <x:c r="D103" s="83" t="str">
        <x:v>Imported into LCSW master inventory</x:v>
      </x:c>
      <x:c r="E103" s="83" t="str">
        <x:v>LCSW Workbook 6 Question Bank</x:v>
      </x:c>
      <x:c r="F103" s="83" t="str">
        <x:v>1.0</x:v>
      </x:c>
      <x:c r="G103" s="83" t="n">
        <x:v>1</x:v>
      </x:c>
      <x:c r="H103" s="83" t="str">
        <x:v>Clinical Training Academy</x:v>
      </x:c>
      <x:c r="I103" s="89" t="str">
        <x:v>Source wording and option count preserved; no silent item-content revision during inventory build.</x:v>
      </x:c>
    </x:row>
    <x:row r="104">
      <x:c r="A104" s="88" t="str">
        <x:v>CTA-LCSW-MQB-0103</x:v>
      </x:c>
      <x:c r="B104" s="83" t="str">
        <x:v>LCSW-WB07-QB-Q001</x:v>
      </x:c>
      <x:c r="C104" s="102" t="n">
        <x:v>46228</x:v>
      </x:c>
      <x:c r="D104" s="83" t="str">
        <x:v>Imported into LCSW master inventory</x:v>
      </x:c>
      <x:c r="E104" s="83" t="str">
        <x:v>LCSW Workbook 7 Question Bank</x:v>
      </x:c>
      <x:c r="F104" s="83" t="str">
        <x:v>1.0</x:v>
      </x:c>
      <x:c r="G104" s="83" t="n">
        <x:v>1</x:v>
      </x:c>
      <x:c r="H104" s="83" t="str">
        <x:v>Clinical Training Academy</x:v>
      </x:c>
      <x:c r="I104" s="89" t="str">
        <x:v>Source wording and option count preserved; no silent item-content revision during inventory build.</x:v>
      </x:c>
    </x:row>
    <x:row r="105">
      <x:c r="A105" s="88" t="str">
        <x:v>CTA-LCSW-MQB-0104</x:v>
      </x:c>
      <x:c r="B105" s="83" t="str">
        <x:v>LCSW-WB07-QB-Q002</x:v>
      </x:c>
      <x:c r="C105" s="102" t="n">
        <x:v>46228</x:v>
      </x:c>
      <x:c r="D105" s="83" t="str">
        <x:v>Imported into LCSW master inventory</x:v>
      </x:c>
      <x:c r="E105" s="83" t="str">
        <x:v>LCSW Workbook 7 Question Bank</x:v>
      </x:c>
      <x:c r="F105" s="83" t="str">
        <x:v>1.0</x:v>
      </x:c>
      <x:c r="G105" s="83" t="n">
        <x:v>1</x:v>
      </x:c>
      <x:c r="H105" s="83" t="str">
        <x:v>Clinical Training Academy</x:v>
      </x:c>
      <x:c r="I105" s="89" t="str">
        <x:v>Source wording and option count preserved; no silent item-content revision during inventory build.</x:v>
      </x:c>
    </x:row>
    <x:row r="106">
      <x:c r="A106" s="88" t="str">
        <x:v>CTA-LCSW-MQB-0105</x:v>
      </x:c>
      <x:c r="B106" s="83" t="str">
        <x:v>LCSW-WB07-QB-Q003</x:v>
      </x:c>
      <x:c r="C106" s="102" t="n">
        <x:v>46228</x:v>
      </x:c>
      <x:c r="D106" s="83" t="str">
        <x:v>Imported into LCSW master inventory</x:v>
      </x:c>
      <x:c r="E106" s="83" t="str">
        <x:v>LCSW Workbook 7 Question Bank</x:v>
      </x:c>
      <x:c r="F106" s="83" t="str">
        <x:v>1.0</x:v>
      </x:c>
      <x:c r="G106" s="83" t="n">
        <x:v>1</x:v>
      </x:c>
      <x:c r="H106" s="83" t="str">
        <x:v>Clinical Training Academy</x:v>
      </x:c>
      <x:c r="I106" s="89" t="str">
        <x:v>Source wording and option count preserved; no silent item-content revision during inventory build.</x:v>
      </x:c>
    </x:row>
    <x:row r="107">
      <x:c r="A107" s="88" t="str">
        <x:v>CTA-LCSW-MQB-0106</x:v>
      </x:c>
      <x:c r="B107" s="83" t="str">
        <x:v>LCSW-WB07-QB-Q004</x:v>
      </x:c>
      <x:c r="C107" s="102" t="n">
        <x:v>46228</x:v>
      </x:c>
      <x:c r="D107" s="83" t="str">
        <x:v>Imported into LCSW master inventory</x:v>
      </x:c>
      <x:c r="E107" s="83" t="str">
        <x:v>LCSW Workbook 7 Question Bank</x:v>
      </x:c>
      <x:c r="F107" s="83" t="str">
        <x:v>1.0</x:v>
      </x:c>
      <x:c r="G107" s="83" t="n">
        <x:v>1</x:v>
      </x:c>
      <x:c r="H107" s="83" t="str">
        <x:v>Clinical Training Academy</x:v>
      </x:c>
      <x:c r="I107" s="89" t="str">
        <x:v>Source wording and option count preserved; no silent item-content revision during inventory build.</x:v>
      </x:c>
    </x:row>
    <x:row r="108">
      <x:c r="A108" s="88" t="str">
        <x:v>CTA-LCSW-MQB-0107</x:v>
      </x:c>
      <x:c r="B108" s="83" t="str">
        <x:v>LCSW-WB07-QB-Q005</x:v>
      </x:c>
      <x:c r="C108" s="102" t="n">
        <x:v>46228</x:v>
      </x:c>
      <x:c r="D108" s="83" t="str">
        <x:v>Imported into LCSW master inventory</x:v>
      </x:c>
      <x:c r="E108" s="83" t="str">
        <x:v>LCSW Workbook 7 Question Bank</x:v>
      </x:c>
      <x:c r="F108" s="83" t="str">
        <x:v>1.0</x:v>
      </x:c>
      <x:c r="G108" s="83" t="n">
        <x:v>1</x:v>
      </x:c>
      <x:c r="H108" s="83" t="str">
        <x:v>Clinical Training Academy</x:v>
      </x:c>
      <x:c r="I108" s="89" t="str">
        <x:v>Source wording and option count preserved; no silent item-content revision during inventory build.</x:v>
      </x:c>
    </x:row>
    <x:row r="109">
      <x:c r="A109" s="88" t="str">
        <x:v>CTA-LCSW-MQB-0108</x:v>
      </x:c>
      <x:c r="B109" s="83" t="str">
        <x:v>LCSW-WB07-QB-Q006</x:v>
      </x:c>
      <x:c r="C109" s="102" t="n">
        <x:v>46228</x:v>
      </x:c>
      <x:c r="D109" s="83" t="str">
        <x:v>Imported into LCSW master inventory</x:v>
      </x:c>
      <x:c r="E109" s="83" t="str">
        <x:v>LCSW Workbook 7 Question Bank</x:v>
      </x:c>
      <x:c r="F109" s="83" t="str">
        <x:v>1.0</x:v>
      </x:c>
      <x:c r="G109" s="83" t="n">
        <x:v>1</x:v>
      </x:c>
      <x:c r="H109" s="83" t="str">
        <x:v>Clinical Training Academy</x:v>
      </x:c>
      <x:c r="I109" s="89" t="str">
        <x:v>Source wording and option count preserved; no silent item-content revision during inventory build.</x:v>
      </x:c>
    </x:row>
    <x:row r="110">
      <x:c r="A110" s="88" t="str">
        <x:v>CTA-LCSW-MQB-0109</x:v>
      </x:c>
      <x:c r="B110" s="83" t="str">
        <x:v>LCSW-WB07-QB-Q007</x:v>
      </x:c>
      <x:c r="C110" s="102" t="n">
        <x:v>46228</x:v>
      </x:c>
      <x:c r="D110" s="83" t="str">
        <x:v>Imported into LCSW master inventory</x:v>
      </x:c>
      <x:c r="E110" s="83" t="str">
        <x:v>LCSW Workbook 7 Question Bank</x:v>
      </x:c>
      <x:c r="F110" s="83" t="str">
        <x:v>1.0</x:v>
      </x:c>
      <x:c r="G110" s="83" t="n">
        <x:v>1</x:v>
      </x:c>
      <x:c r="H110" s="83" t="str">
        <x:v>Clinical Training Academy</x:v>
      </x:c>
      <x:c r="I110" s="89" t="str">
        <x:v>Source wording and option count preserved; no silent item-content revision during inventory build.</x:v>
      </x:c>
    </x:row>
    <x:row r="111">
      <x:c r="A111" s="88" t="str">
        <x:v>CTA-LCSW-MQB-0110</x:v>
      </x:c>
      <x:c r="B111" s="83" t="str">
        <x:v>LCSW-WB07-QB-Q008</x:v>
      </x:c>
      <x:c r="C111" s="102" t="n">
        <x:v>46228</x:v>
      </x:c>
      <x:c r="D111" s="83" t="str">
        <x:v>Imported into LCSW master inventory</x:v>
      </x:c>
      <x:c r="E111" s="83" t="str">
        <x:v>LCSW Workbook 7 Question Bank</x:v>
      </x:c>
      <x:c r="F111" s="83" t="str">
        <x:v>1.0</x:v>
      </x:c>
      <x:c r="G111" s="83" t="n">
        <x:v>1</x:v>
      </x:c>
      <x:c r="H111" s="83" t="str">
        <x:v>Clinical Training Academy</x:v>
      </x:c>
      <x:c r="I111" s="89" t="str">
        <x:v>Source wording and option count preserved; no silent item-content revision during inventory build.</x:v>
      </x:c>
    </x:row>
    <x:row r="112">
      <x:c r="A112" s="88" t="str">
        <x:v>CTA-LCSW-MQB-0111</x:v>
      </x:c>
      <x:c r="B112" s="83" t="str">
        <x:v>LCSW-WB07-QB-Q009</x:v>
      </x:c>
      <x:c r="C112" s="102" t="n">
        <x:v>46228</x:v>
      </x:c>
      <x:c r="D112" s="83" t="str">
        <x:v>Imported into LCSW master inventory</x:v>
      </x:c>
      <x:c r="E112" s="83" t="str">
        <x:v>LCSW Workbook 7 Question Bank</x:v>
      </x:c>
      <x:c r="F112" s="83" t="str">
        <x:v>1.0</x:v>
      </x:c>
      <x:c r="G112" s="83" t="n">
        <x:v>1</x:v>
      </x:c>
      <x:c r="H112" s="83" t="str">
        <x:v>Clinical Training Academy</x:v>
      </x:c>
      <x:c r="I112" s="89" t="str">
        <x:v>Source wording and option count preserved; no silent item-content revision during inventory build.</x:v>
      </x:c>
    </x:row>
    <x:row r="113">
      <x:c r="A113" s="88" t="str">
        <x:v>CTA-LCSW-MQB-0112</x:v>
      </x:c>
      <x:c r="B113" s="83" t="str">
        <x:v>LCSW-WB07-QB-Q010</x:v>
      </x:c>
      <x:c r="C113" s="102" t="n">
        <x:v>46228</x:v>
      </x:c>
      <x:c r="D113" s="83" t="str">
        <x:v>Imported into LCSW master inventory</x:v>
      </x:c>
      <x:c r="E113" s="83" t="str">
        <x:v>LCSW Workbook 7 Question Bank</x:v>
      </x:c>
      <x:c r="F113" s="83" t="str">
        <x:v>1.0</x:v>
      </x:c>
      <x:c r="G113" s="83" t="n">
        <x:v>1</x:v>
      </x:c>
      <x:c r="H113" s="83" t="str">
        <x:v>Clinical Training Academy</x:v>
      </x:c>
      <x:c r="I113" s="89" t="str">
        <x:v>Source wording and option count preserved; no silent item-content revision during inventory build.</x:v>
      </x:c>
    </x:row>
    <x:row r="114">
      <x:c r="A114" s="88" t="str">
        <x:v>CTA-LCSW-MQB-0113</x:v>
      </x:c>
      <x:c r="B114" s="83" t="str">
        <x:v>LCSW-WB07-QB-Q011</x:v>
      </x:c>
      <x:c r="C114" s="102" t="n">
        <x:v>46228</x:v>
      </x:c>
      <x:c r="D114" s="83" t="str">
        <x:v>Imported into LCSW master inventory</x:v>
      </x:c>
      <x:c r="E114" s="83" t="str">
        <x:v>LCSW Workbook 7 Question Bank</x:v>
      </x:c>
      <x:c r="F114" s="83" t="str">
        <x:v>1.0</x:v>
      </x:c>
      <x:c r="G114" s="83" t="n">
        <x:v>1</x:v>
      </x:c>
      <x:c r="H114" s="83" t="str">
        <x:v>Clinical Training Academy</x:v>
      </x:c>
      <x:c r="I114" s="89" t="str">
        <x:v>Source wording and option count preserved; no silent item-content revision during inventory build.</x:v>
      </x:c>
    </x:row>
    <x:row r="115">
      <x:c r="A115" s="88" t="str">
        <x:v>CTA-LCSW-MQB-0114</x:v>
      </x:c>
      <x:c r="B115" s="83" t="str">
        <x:v>LCSW-WB07-QB-Q012</x:v>
      </x:c>
      <x:c r="C115" s="102" t="n">
        <x:v>46228</x:v>
      </x:c>
      <x:c r="D115" s="83" t="str">
        <x:v>Imported into LCSW master inventory</x:v>
      </x:c>
      <x:c r="E115" s="83" t="str">
        <x:v>LCSW Workbook 7 Question Bank</x:v>
      </x:c>
      <x:c r="F115" s="83" t="str">
        <x:v>1.0</x:v>
      </x:c>
      <x:c r="G115" s="83" t="n">
        <x:v>1</x:v>
      </x:c>
      <x:c r="H115" s="83" t="str">
        <x:v>Clinical Training Academy</x:v>
      </x:c>
      <x:c r="I115" s="89" t="str">
        <x:v>Source wording and option count preserved; no silent item-content revision during inventory build.</x:v>
      </x:c>
    </x:row>
    <x:row r="116">
      <x:c r="A116" s="88" t="str">
        <x:v>CTA-LCSW-MQB-0115</x:v>
      </x:c>
      <x:c r="B116" s="83" t="str">
        <x:v>LCSW-WB07-QB-Q013</x:v>
      </x:c>
      <x:c r="C116" s="102" t="n">
        <x:v>46228</x:v>
      </x:c>
      <x:c r="D116" s="83" t="str">
        <x:v>Imported into LCSW master inventory</x:v>
      </x:c>
      <x:c r="E116" s="83" t="str">
        <x:v>LCSW Workbook 7 Question Bank</x:v>
      </x:c>
      <x:c r="F116" s="83" t="str">
        <x:v>1.0</x:v>
      </x:c>
      <x:c r="G116" s="83" t="n">
        <x:v>1</x:v>
      </x:c>
      <x:c r="H116" s="83" t="str">
        <x:v>Clinical Training Academy</x:v>
      </x:c>
      <x:c r="I116" s="89" t="str">
        <x:v>Source wording and option count preserved; no silent item-content revision during inventory build.</x:v>
      </x:c>
    </x:row>
    <x:row r="117">
      <x:c r="A117" s="88" t="str">
        <x:v>CTA-LCSW-MQB-0116</x:v>
      </x:c>
      <x:c r="B117" s="83" t="str">
        <x:v>LCSW-WB07-QB-Q014</x:v>
      </x:c>
      <x:c r="C117" s="102" t="n">
        <x:v>46228</x:v>
      </x:c>
      <x:c r="D117" s="83" t="str">
        <x:v>Imported into LCSW master inventory</x:v>
      </x:c>
      <x:c r="E117" s="83" t="str">
        <x:v>LCSW Workbook 7 Question Bank</x:v>
      </x:c>
      <x:c r="F117" s="83" t="str">
        <x:v>1.0</x:v>
      </x:c>
      <x:c r="G117" s="83" t="n">
        <x:v>1</x:v>
      </x:c>
      <x:c r="H117" s="83" t="str">
        <x:v>Clinical Training Academy</x:v>
      </x:c>
      <x:c r="I117" s="89" t="str">
        <x:v>Source wording and option count preserved; no silent item-content revision during inventory build.</x:v>
      </x:c>
    </x:row>
    <x:row r="118">
      <x:c r="A118" s="88" t="str">
        <x:v>CTA-LCSW-MQB-0117</x:v>
      </x:c>
      <x:c r="B118" s="83" t="str">
        <x:v>LCSW-WB07-QB-Q015</x:v>
      </x:c>
      <x:c r="C118" s="102" t="n">
        <x:v>46228</x:v>
      </x:c>
      <x:c r="D118" s="83" t="str">
        <x:v>Imported into LCSW master inventory</x:v>
      </x:c>
      <x:c r="E118" s="83" t="str">
        <x:v>LCSW Workbook 7 Question Bank</x:v>
      </x:c>
      <x:c r="F118" s="83" t="str">
        <x:v>1.0</x:v>
      </x:c>
      <x:c r="G118" s="83" t="n">
        <x:v>1</x:v>
      </x:c>
      <x:c r="H118" s="83" t="str">
        <x:v>Clinical Training Academy</x:v>
      </x:c>
      <x:c r="I118" s="89" t="str">
        <x:v>Source wording and option count preserved; no silent item-content revision during inventory build.</x:v>
      </x:c>
    </x:row>
    <x:row r="119">
      <x:c r="A119" s="88" t="str">
        <x:v>CTA-LCSW-MQB-0118</x:v>
      </x:c>
      <x:c r="B119" s="83" t="str">
        <x:v>LCSW-WB07-QB-Q016</x:v>
      </x:c>
      <x:c r="C119" s="102" t="n">
        <x:v>46228</x:v>
      </x:c>
      <x:c r="D119" s="83" t="str">
        <x:v>Imported into LCSW master inventory</x:v>
      </x:c>
      <x:c r="E119" s="83" t="str">
        <x:v>LCSW Workbook 7 Question Bank</x:v>
      </x:c>
      <x:c r="F119" s="83" t="str">
        <x:v>1.0</x:v>
      </x:c>
      <x:c r="G119" s="83" t="n">
        <x:v>1</x:v>
      </x:c>
      <x:c r="H119" s="83" t="str">
        <x:v>Clinical Training Academy</x:v>
      </x:c>
      <x:c r="I119" s="89" t="str">
        <x:v>Source wording and option count preserved; no silent item-content revision during inventory build.</x:v>
      </x:c>
    </x:row>
    <x:row r="120">
      <x:c r="A120" s="88" t="str">
        <x:v>CTA-LCSW-MQB-0119</x:v>
      </x:c>
      <x:c r="B120" s="83" t="str">
        <x:v>LCSW-WB07-QB-Q017</x:v>
      </x:c>
      <x:c r="C120" s="102" t="n">
        <x:v>46228</x:v>
      </x:c>
      <x:c r="D120" s="83" t="str">
        <x:v>Imported into LCSW master inventory</x:v>
      </x:c>
      <x:c r="E120" s="83" t="str">
        <x:v>LCSW Workbook 7 Question Bank</x:v>
      </x:c>
      <x:c r="F120" s="83" t="str">
        <x:v>1.0</x:v>
      </x:c>
      <x:c r="G120" s="83" t="n">
        <x:v>1</x:v>
      </x:c>
      <x:c r="H120" s="83" t="str">
        <x:v>Clinical Training Academy</x:v>
      </x:c>
      <x:c r="I120" s="89" t="str">
        <x:v>Source wording and option count preserved; no silent item-content revision during inventory build.</x:v>
      </x:c>
    </x:row>
    <x:row r="121">
      <x:c r="A121" s="88" t="str">
        <x:v>CTA-LCSW-MQB-0120</x:v>
      </x:c>
      <x:c r="B121" s="83" t="str">
        <x:v>LCSW-WB08-QB-Q001</x:v>
      </x:c>
      <x:c r="C121" s="102" t="n">
        <x:v>46228</x:v>
      </x:c>
      <x:c r="D121" s="83" t="str">
        <x:v>Imported into LCSW master inventory</x:v>
      </x:c>
      <x:c r="E121" s="83" t="str">
        <x:v>LCSW Workbook 8 Question Bank</x:v>
      </x:c>
      <x:c r="F121" s="83" t="str">
        <x:v>1.0</x:v>
      </x:c>
      <x:c r="G121" s="83" t="n">
        <x:v>1</x:v>
      </x:c>
      <x:c r="H121" s="83" t="str">
        <x:v>Clinical Training Academy</x:v>
      </x:c>
      <x:c r="I121" s="89" t="str">
        <x:v>Source wording and option count preserved; no silent item-content revision during inventory build.</x:v>
      </x:c>
    </x:row>
    <x:row r="122">
      <x:c r="A122" s="88" t="str">
        <x:v>CTA-LCSW-MQB-0121</x:v>
      </x:c>
      <x:c r="B122" s="83" t="str">
        <x:v>LCSW-WB08-QB-Q002</x:v>
      </x:c>
      <x:c r="C122" s="102" t="n">
        <x:v>46228</x:v>
      </x:c>
      <x:c r="D122" s="83" t="str">
        <x:v>Imported into LCSW master inventory</x:v>
      </x:c>
      <x:c r="E122" s="83" t="str">
        <x:v>LCSW Workbook 8 Question Bank</x:v>
      </x:c>
      <x:c r="F122" s="83" t="str">
        <x:v>1.0</x:v>
      </x:c>
      <x:c r="G122" s="83" t="n">
        <x:v>1</x:v>
      </x:c>
      <x:c r="H122" s="83" t="str">
        <x:v>Clinical Training Academy</x:v>
      </x:c>
      <x:c r="I122" s="89" t="str">
        <x:v>Source wording and option count preserved; no silent item-content revision during inventory build.</x:v>
      </x:c>
    </x:row>
    <x:row r="123">
      <x:c r="A123" s="88" t="str">
        <x:v>CTA-LCSW-MQB-0122</x:v>
      </x:c>
      <x:c r="B123" s="83" t="str">
        <x:v>LCSW-WB08-QB-Q003</x:v>
      </x:c>
      <x:c r="C123" s="102" t="n">
        <x:v>46228</x:v>
      </x:c>
      <x:c r="D123" s="83" t="str">
        <x:v>Imported into LCSW master inventory</x:v>
      </x:c>
      <x:c r="E123" s="83" t="str">
        <x:v>LCSW Workbook 8 Question Bank</x:v>
      </x:c>
      <x:c r="F123" s="83" t="str">
        <x:v>1.0</x:v>
      </x:c>
      <x:c r="G123" s="83" t="n">
        <x:v>1</x:v>
      </x:c>
      <x:c r="H123" s="83" t="str">
        <x:v>Clinical Training Academy</x:v>
      </x:c>
      <x:c r="I123" s="89" t="str">
        <x:v>Source wording and option count preserved; no silent item-content revision during inventory build.</x:v>
      </x:c>
    </x:row>
    <x:row r="124">
      <x:c r="A124" s="88" t="str">
        <x:v>CTA-LCSW-MQB-0123</x:v>
      </x:c>
      <x:c r="B124" s="83" t="str">
        <x:v>LCSW-WB08-QB-Q004</x:v>
      </x:c>
      <x:c r="C124" s="102" t="n">
        <x:v>46228</x:v>
      </x:c>
      <x:c r="D124" s="83" t="str">
        <x:v>Imported into LCSW master inventory</x:v>
      </x:c>
      <x:c r="E124" s="83" t="str">
        <x:v>LCSW Workbook 8 Question Bank</x:v>
      </x:c>
      <x:c r="F124" s="83" t="str">
        <x:v>1.0</x:v>
      </x:c>
      <x:c r="G124" s="83" t="n">
        <x:v>1</x:v>
      </x:c>
      <x:c r="H124" s="83" t="str">
        <x:v>Clinical Training Academy</x:v>
      </x:c>
      <x:c r="I124" s="89" t="str">
        <x:v>Source wording and option count preserved; no silent item-content revision during inventory build.</x:v>
      </x:c>
    </x:row>
    <x:row r="125">
      <x:c r="A125" s="88" t="str">
        <x:v>CTA-LCSW-MQB-0124</x:v>
      </x:c>
      <x:c r="B125" s="83" t="str">
        <x:v>LCSW-WB08-QB-Q005</x:v>
      </x:c>
      <x:c r="C125" s="102" t="n">
        <x:v>46228</x:v>
      </x:c>
      <x:c r="D125" s="83" t="str">
        <x:v>Imported into LCSW master inventory</x:v>
      </x:c>
      <x:c r="E125" s="83" t="str">
        <x:v>LCSW Workbook 8 Question Bank</x:v>
      </x:c>
      <x:c r="F125" s="83" t="str">
        <x:v>1.0</x:v>
      </x:c>
      <x:c r="G125" s="83" t="n">
        <x:v>1</x:v>
      </x:c>
      <x:c r="H125" s="83" t="str">
        <x:v>Clinical Training Academy</x:v>
      </x:c>
      <x:c r="I125" s="89" t="str">
        <x:v>Source wording and option count preserved; no silent item-content revision during inventory build.</x:v>
      </x:c>
    </x:row>
    <x:row r="126">
      <x:c r="A126" s="88" t="str">
        <x:v>CTA-LCSW-MQB-0125</x:v>
      </x:c>
      <x:c r="B126" s="83" t="str">
        <x:v>LCSW-WB08-QB-Q006</x:v>
      </x:c>
      <x:c r="C126" s="102" t="n">
        <x:v>46228</x:v>
      </x:c>
      <x:c r="D126" s="83" t="str">
        <x:v>Imported into LCSW master inventory</x:v>
      </x:c>
      <x:c r="E126" s="83" t="str">
        <x:v>LCSW Workbook 8 Question Bank</x:v>
      </x:c>
      <x:c r="F126" s="83" t="str">
        <x:v>1.0</x:v>
      </x:c>
      <x:c r="G126" s="83" t="n">
        <x:v>1</x:v>
      </x:c>
      <x:c r="H126" s="83" t="str">
        <x:v>Clinical Training Academy</x:v>
      </x:c>
      <x:c r="I126" s="89" t="str">
        <x:v>Source wording and option count preserved; no silent item-content revision during inventory build.</x:v>
      </x:c>
    </x:row>
    <x:row r="127">
      <x:c r="A127" s="88" t="str">
        <x:v>CTA-LCSW-MQB-0126</x:v>
      </x:c>
      <x:c r="B127" s="83" t="str">
        <x:v>LCSW-WB08-QB-Q007</x:v>
      </x:c>
      <x:c r="C127" s="102" t="n">
        <x:v>46228</x:v>
      </x:c>
      <x:c r="D127" s="83" t="str">
        <x:v>Imported into LCSW master inventory</x:v>
      </x:c>
      <x:c r="E127" s="83" t="str">
        <x:v>LCSW Workbook 8 Question Bank</x:v>
      </x:c>
      <x:c r="F127" s="83" t="str">
        <x:v>1.0</x:v>
      </x:c>
      <x:c r="G127" s="83" t="n">
        <x:v>1</x:v>
      </x:c>
      <x:c r="H127" s="83" t="str">
        <x:v>Clinical Training Academy</x:v>
      </x:c>
      <x:c r="I127" s="89" t="str">
        <x:v>Source wording and option count preserved; no silent item-content revision during inventory build.</x:v>
      </x:c>
    </x:row>
    <x:row r="128">
      <x:c r="A128" s="88" t="str">
        <x:v>CTA-LCSW-MQB-0127</x:v>
      </x:c>
      <x:c r="B128" s="83" t="str">
        <x:v>LCSW-WB08-QB-Q008</x:v>
      </x:c>
      <x:c r="C128" s="102" t="n">
        <x:v>46228</x:v>
      </x:c>
      <x:c r="D128" s="83" t="str">
        <x:v>Imported into LCSW master inventory</x:v>
      </x:c>
      <x:c r="E128" s="83" t="str">
        <x:v>LCSW Workbook 8 Question Bank</x:v>
      </x:c>
      <x:c r="F128" s="83" t="str">
        <x:v>1.0</x:v>
      </x:c>
      <x:c r="G128" s="83" t="n">
        <x:v>1</x:v>
      </x:c>
      <x:c r="H128" s="83" t="str">
        <x:v>Clinical Training Academy</x:v>
      </x:c>
      <x:c r="I128" s="89" t="str">
        <x:v>Source wording and option count preserved; no silent item-content revision during inventory build.</x:v>
      </x:c>
    </x:row>
    <x:row r="129">
      <x:c r="A129" s="88" t="str">
        <x:v>CTA-LCSW-MQB-0128</x:v>
      </x:c>
      <x:c r="B129" s="83" t="str">
        <x:v>LCSW-WB08-QB-Q009</x:v>
      </x:c>
      <x:c r="C129" s="102" t="n">
        <x:v>46228</x:v>
      </x:c>
      <x:c r="D129" s="83" t="str">
        <x:v>Imported into LCSW master inventory</x:v>
      </x:c>
      <x:c r="E129" s="83" t="str">
        <x:v>LCSW Workbook 8 Question Bank</x:v>
      </x:c>
      <x:c r="F129" s="83" t="str">
        <x:v>1.0</x:v>
      </x:c>
      <x:c r="G129" s="83" t="n">
        <x:v>1</x:v>
      </x:c>
      <x:c r="H129" s="83" t="str">
        <x:v>Clinical Training Academy</x:v>
      </x:c>
      <x:c r="I129" s="89" t="str">
        <x:v>Source wording and option count preserved; no silent item-content revision during inventory build.</x:v>
      </x:c>
    </x:row>
    <x:row r="130">
      <x:c r="A130" s="88" t="str">
        <x:v>CTA-LCSW-MQB-0129</x:v>
      </x:c>
      <x:c r="B130" s="83" t="str">
        <x:v>LCSW-WB08-QB-Q010</x:v>
      </x:c>
      <x:c r="C130" s="102" t="n">
        <x:v>46228</x:v>
      </x:c>
      <x:c r="D130" s="83" t="str">
        <x:v>Imported into LCSW master inventory</x:v>
      </x:c>
      <x:c r="E130" s="83" t="str">
        <x:v>LCSW Workbook 8 Question Bank</x:v>
      </x:c>
      <x:c r="F130" s="83" t="str">
        <x:v>1.0</x:v>
      </x:c>
      <x:c r="G130" s="83" t="n">
        <x:v>1</x:v>
      </x:c>
      <x:c r="H130" s="83" t="str">
        <x:v>Clinical Training Academy</x:v>
      </x:c>
      <x:c r="I130" s="89" t="str">
        <x:v>Source wording and option count preserved; no silent item-content revision during inventory build.</x:v>
      </x:c>
    </x:row>
    <x:row r="131">
      <x:c r="A131" s="88" t="str">
        <x:v>CTA-LCSW-MQB-0130</x:v>
      </x:c>
      <x:c r="B131" s="83" t="str">
        <x:v>LCSW-WB08-QB-Q011</x:v>
      </x:c>
      <x:c r="C131" s="102" t="n">
        <x:v>46228</x:v>
      </x:c>
      <x:c r="D131" s="83" t="str">
        <x:v>Imported into LCSW master inventory</x:v>
      </x:c>
      <x:c r="E131" s="83" t="str">
        <x:v>LCSW Workbook 8 Question Bank</x:v>
      </x:c>
      <x:c r="F131" s="83" t="str">
        <x:v>1.0</x:v>
      </x:c>
      <x:c r="G131" s="83" t="n">
        <x:v>1</x:v>
      </x:c>
      <x:c r="H131" s="83" t="str">
        <x:v>Clinical Training Academy</x:v>
      </x:c>
      <x:c r="I131" s="89" t="str">
        <x:v>Source wording and option count preserved; no silent item-content revision during inventory build.</x:v>
      </x:c>
    </x:row>
    <x:row r="132">
      <x:c r="A132" s="88" t="str">
        <x:v>CTA-LCSW-MQB-0131</x:v>
      </x:c>
      <x:c r="B132" s="83" t="str">
        <x:v>LCSW-WB08-QB-Q012</x:v>
      </x:c>
      <x:c r="C132" s="102" t="n">
        <x:v>46228</x:v>
      </x:c>
      <x:c r="D132" s="83" t="str">
        <x:v>Imported into LCSW master inventory</x:v>
      </x:c>
      <x:c r="E132" s="83" t="str">
        <x:v>LCSW Workbook 8 Question Bank</x:v>
      </x:c>
      <x:c r="F132" s="83" t="str">
        <x:v>1.0</x:v>
      </x:c>
      <x:c r="G132" s="83" t="n">
        <x:v>1</x:v>
      </x:c>
      <x:c r="H132" s="83" t="str">
        <x:v>Clinical Training Academy</x:v>
      </x:c>
      <x:c r="I132" s="89" t="str">
        <x:v>Source wording and option count preserved; no silent item-content revision during inventory build.</x:v>
      </x:c>
    </x:row>
    <x:row r="133">
      <x:c r="A133" s="88" t="str">
        <x:v>CTA-LCSW-MQB-0132</x:v>
      </x:c>
      <x:c r="B133" s="83" t="str">
        <x:v>LCSW-WB08-QB-Q013</x:v>
      </x:c>
      <x:c r="C133" s="102" t="n">
        <x:v>46228</x:v>
      </x:c>
      <x:c r="D133" s="83" t="str">
        <x:v>Imported into LCSW master inventory</x:v>
      </x:c>
      <x:c r="E133" s="83" t="str">
        <x:v>LCSW Workbook 8 Question Bank</x:v>
      </x:c>
      <x:c r="F133" s="83" t="str">
        <x:v>1.0</x:v>
      </x:c>
      <x:c r="G133" s="83" t="n">
        <x:v>1</x:v>
      </x:c>
      <x:c r="H133" s="83" t="str">
        <x:v>Clinical Training Academy</x:v>
      </x:c>
      <x:c r="I133" s="89" t="str">
        <x:v>Source wording and option count preserved; no silent item-content revision during inventory build.</x:v>
      </x:c>
    </x:row>
    <x:row r="134">
      <x:c r="A134" s="88" t="str">
        <x:v>CTA-LCSW-MQB-0133</x:v>
      </x:c>
      <x:c r="B134" s="83" t="str">
        <x:v>LCSW-WB08-QB-Q014</x:v>
      </x:c>
      <x:c r="C134" s="102" t="n">
        <x:v>46228</x:v>
      </x:c>
      <x:c r="D134" s="83" t="str">
        <x:v>Imported into LCSW master inventory</x:v>
      </x:c>
      <x:c r="E134" s="83" t="str">
        <x:v>LCSW Workbook 8 Question Bank</x:v>
      </x:c>
      <x:c r="F134" s="83" t="str">
        <x:v>1.0</x:v>
      </x:c>
      <x:c r="G134" s="83" t="n">
        <x:v>1</x:v>
      </x:c>
      <x:c r="H134" s="83" t="str">
        <x:v>Clinical Training Academy</x:v>
      </x:c>
      <x:c r="I134" s="89" t="str">
        <x:v>Source wording and option count preserved; no silent item-content revision during inventory build.</x:v>
      </x:c>
    </x:row>
    <x:row r="135">
      <x:c r="A135" s="88" t="str">
        <x:v>CTA-LCSW-MQB-0134</x:v>
      </x:c>
      <x:c r="B135" s="83" t="str">
        <x:v>LCSW-WB08-QB-Q015</x:v>
      </x:c>
      <x:c r="C135" s="102" t="n">
        <x:v>46228</x:v>
      </x:c>
      <x:c r="D135" s="83" t="str">
        <x:v>Imported into LCSW master inventory</x:v>
      </x:c>
      <x:c r="E135" s="83" t="str">
        <x:v>LCSW Workbook 8 Question Bank</x:v>
      </x:c>
      <x:c r="F135" s="83" t="str">
        <x:v>1.0</x:v>
      </x:c>
      <x:c r="G135" s="83" t="n">
        <x:v>1</x:v>
      </x:c>
      <x:c r="H135" s="83" t="str">
        <x:v>Clinical Training Academy</x:v>
      </x:c>
      <x:c r="I135" s="89" t="str">
        <x:v>Source wording and option count preserved; no silent item-content revision during inventory build.</x:v>
      </x:c>
    </x:row>
    <x:row r="136">
      <x:c r="A136" s="88" t="str">
        <x:v>CTA-LCSW-MQB-0135</x:v>
      </x:c>
      <x:c r="B136" s="83" t="str">
        <x:v>LCSW-WB08-QB-Q016</x:v>
      </x:c>
      <x:c r="C136" s="102" t="n">
        <x:v>46228</x:v>
      </x:c>
      <x:c r="D136" s="83" t="str">
        <x:v>Imported into LCSW master inventory</x:v>
      </x:c>
      <x:c r="E136" s="83" t="str">
        <x:v>LCSW Workbook 8 Question Bank</x:v>
      </x:c>
      <x:c r="F136" s="83" t="str">
        <x:v>1.0</x:v>
      </x:c>
      <x:c r="G136" s="83" t="n">
        <x:v>1</x:v>
      </x:c>
      <x:c r="H136" s="83" t="str">
        <x:v>Clinical Training Academy</x:v>
      </x:c>
      <x:c r="I136" s="89" t="str">
        <x:v>Source wording and option count preserved; no silent item-content revision during inventory build.</x:v>
      </x:c>
    </x:row>
    <x:row r="137">
      <x:c r="A137" s="88" t="str">
        <x:v>CTA-LCSW-MQB-0136</x:v>
      </x:c>
      <x:c r="B137" s="83" t="str">
        <x:v>LCSW-WB08-QB-Q017</x:v>
      </x:c>
      <x:c r="C137" s="102" t="n">
        <x:v>46228</x:v>
      </x:c>
      <x:c r="D137" s="83" t="str">
        <x:v>Imported into LCSW master inventory</x:v>
      </x:c>
      <x:c r="E137" s="83" t="str">
        <x:v>LCSW Workbook 8 Question Bank</x:v>
      </x:c>
      <x:c r="F137" s="83" t="str">
        <x:v>1.0</x:v>
      </x:c>
      <x:c r="G137" s="83" t="n">
        <x:v>1</x:v>
      </x:c>
      <x:c r="H137" s="83" t="str">
        <x:v>Clinical Training Academy</x:v>
      </x:c>
      <x:c r="I137" s="89" t="str">
        <x:v>Source wording and option count preserved; no silent item-content revision during inventory build.</x:v>
      </x:c>
    </x:row>
    <x:row r="138">
      <x:c r="A138" s="88" t="str">
        <x:v>CTA-LCSW-MQB-0137</x:v>
      </x:c>
      <x:c r="B138" s="83" t="str">
        <x:v>LCSW-WB09-QB-Q001</x:v>
      </x:c>
      <x:c r="C138" s="102" t="n">
        <x:v>46228</x:v>
      </x:c>
      <x:c r="D138" s="83" t="str">
        <x:v>Imported into LCSW master inventory</x:v>
      </x:c>
      <x:c r="E138" s="83" t="str">
        <x:v>LCSW Workbook 9 Question Bank</x:v>
      </x:c>
      <x:c r="F138" s="83" t="str">
        <x:v>1.0</x:v>
      </x:c>
      <x:c r="G138" s="83" t="n">
        <x:v>1</x:v>
      </x:c>
      <x:c r="H138" s="83" t="str">
        <x:v>Clinical Training Academy</x:v>
      </x:c>
      <x:c r="I138" s="89" t="str">
        <x:v>Source wording and option count preserved; no silent item-content revision during inventory build.</x:v>
      </x:c>
    </x:row>
    <x:row r="139">
      <x:c r="A139" s="88" t="str">
        <x:v>CTA-LCSW-MQB-0138</x:v>
      </x:c>
      <x:c r="B139" s="83" t="str">
        <x:v>LCSW-WB09-QB-Q002</x:v>
      </x:c>
      <x:c r="C139" s="102" t="n">
        <x:v>46228</x:v>
      </x:c>
      <x:c r="D139" s="83" t="str">
        <x:v>Imported into LCSW master inventory</x:v>
      </x:c>
      <x:c r="E139" s="83" t="str">
        <x:v>LCSW Workbook 9 Question Bank</x:v>
      </x:c>
      <x:c r="F139" s="83" t="str">
        <x:v>1.0</x:v>
      </x:c>
      <x:c r="G139" s="83" t="n">
        <x:v>1</x:v>
      </x:c>
      <x:c r="H139" s="83" t="str">
        <x:v>Clinical Training Academy</x:v>
      </x:c>
      <x:c r="I139" s="89" t="str">
        <x:v>Source wording and option count preserved; no silent item-content revision during inventory build.</x:v>
      </x:c>
    </x:row>
    <x:row r="140">
      <x:c r="A140" s="88" t="str">
        <x:v>CTA-LCSW-MQB-0139</x:v>
      </x:c>
      <x:c r="B140" s="83" t="str">
        <x:v>LCSW-WB09-QB-Q003</x:v>
      </x:c>
      <x:c r="C140" s="102" t="n">
        <x:v>46228</x:v>
      </x:c>
      <x:c r="D140" s="83" t="str">
        <x:v>Imported into LCSW master inventory</x:v>
      </x:c>
      <x:c r="E140" s="83" t="str">
        <x:v>LCSW Workbook 9 Question Bank</x:v>
      </x:c>
      <x:c r="F140" s="83" t="str">
        <x:v>1.0</x:v>
      </x:c>
      <x:c r="G140" s="83" t="n">
        <x:v>1</x:v>
      </x:c>
      <x:c r="H140" s="83" t="str">
        <x:v>Clinical Training Academy</x:v>
      </x:c>
      <x:c r="I140" s="89" t="str">
        <x:v>Source wording and option count preserved; no silent item-content revision during inventory build.</x:v>
      </x:c>
    </x:row>
    <x:row r="141">
      <x:c r="A141" s="88" t="str">
        <x:v>CTA-LCSW-MQB-0140</x:v>
      </x:c>
      <x:c r="B141" s="83" t="str">
        <x:v>LCSW-WB09-QB-Q004</x:v>
      </x:c>
      <x:c r="C141" s="102" t="n">
        <x:v>46228</x:v>
      </x:c>
      <x:c r="D141" s="83" t="str">
        <x:v>Imported into LCSW master inventory</x:v>
      </x:c>
      <x:c r="E141" s="83" t="str">
        <x:v>LCSW Workbook 9 Question Bank</x:v>
      </x:c>
      <x:c r="F141" s="83" t="str">
        <x:v>1.0</x:v>
      </x:c>
      <x:c r="G141" s="83" t="n">
        <x:v>1</x:v>
      </x:c>
      <x:c r="H141" s="83" t="str">
        <x:v>Clinical Training Academy</x:v>
      </x:c>
      <x:c r="I141" s="89" t="str">
        <x:v>Source wording and option count preserved; no silent item-content revision during inventory build.</x:v>
      </x:c>
    </x:row>
    <x:row r="142">
      <x:c r="A142" s="88" t="str">
        <x:v>CTA-LCSW-MQB-0141</x:v>
      </x:c>
      <x:c r="B142" s="83" t="str">
        <x:v>LCSW-WB09-QB-Q005</x:v>
      </x:c>
      <x:c r="C142" s="102" t="n">
        <x:v>46228</x:v>
      </x:c>
      <x:c r="D142" s="83" t="str">
        <x:v>Imported into LCSW master inventory</x:v>
      </x:c>
      <x:c r="E142" s="83" t="str">
        <x:v>LCSW Workbook 9 Question Bank</x:v>
      </x:c>
      <x:c r="F142" s="83" t="str">
        <x:v>1.0</x:v>
      </x:c>
      <x:c r="G142" s="83" t="n">
        <x:v>1</x:v>
      </x:c>
      <x:c r="H142" s="83" t="str">
        <x:v>Clinical Training Academy</x:v>
      </x:c>
      <x:c r="I142" s="89" t="str">
        <x:v>Source wording and option count preserved; no silent item-content revision during inventory build.</x:v>
      </x:c>
    </x:row>
    <x:row r="143">
      <x:c r="A143" s="88" t="str">
        <x:v>CTA-LCSW-MQB-0142</x:v>
      </x:c>
      <x:c r="B143" s="83" t="str">
        <x:v>LCSW-WB09-QB-Q006</x:v>
      </x:c>
      <x:c r="C143" s="102" t="n">
        <x:v>46228</x:v>
      </x:c>
      <x:c r="D143" s="83" t="str">
        <x:v>Imported into LCSW master inventory</x:v>
      </x:c>
      <x:c r="E143" s="83" t="str">
        <x:v>LCSW Workbook 9 Question Bank</x:v>
      </x:c>
      <x:c r="F143" s="83" t="str">
        <x:v>1.0</x:v>
      </x:c>
      <x:c r="G143" s="83" t="n">
        <x:v>1</x:v>
      </x:c>
      <x:c r="H143" s="83" t="str">
        <x:v>Clinical Training Academy</x:v>
      </x:c>
      <x:c r="I143" s="89" t="str">
        <x:v>Source wording and option count preserved; no silent item-content revision during inventory build.</x:v>
      </x:c>
    </x:row>
    <x:row r="144">
      <x:c r="A144" s="88" t="str">
        <x:v>CTA-LCSW-MQB-0143</x:v>
      </x:c>
      <x:c r="B144" s="83" t="str">
        <x:v>LCSW-WB09-QB-Q007</x:v>
      </x:c>
      <x:c r="C144" s="102" t="n">
        <x:v>46228</x:v>
      </x:c>
      <x:c r="D144" s="83" t="str">
        <x:v>Imported into LCSW master inventory</x:v>
      </x:c>
      <x:c r="E144" s="83" t="str">
        <x:v>LCSW Workbook 9 Question Bank</x:v>
      </x:c>
      <x:c r="F144" s="83" t="str">
        <x:v>1.0</x:v>
      </x:c>
      <x:c r="G144" s="83" t="n">
        <x:v>1</x:v>
      </x:c>
      <x:c r="H144" s="83" t="str">
        <x:v>Clinical Training Academy</x:v>
      </x:c>
      <x:c r="I144" s="89" t="str">
        <x:v>Source wording and option count preserved; no silent item-content revision during inventory build.</x:v>
      </x:c>
    </x:row>
    <x:row r="145">
      <x:c r="A145" s="88" t="str">
        <x:v>CTA-LCSW-MQB-0144</x:v>
      </x:c>
      <x:c r="B145" s="83" t="str">
        <x:v>LCSW-WB09-QB-Q008</x:v>
      </x:c>
      <x:c r="C145" s="102" t="n">
        <x:v>46228</x:v>
      </x:c>
      <x:c r="D145" s="83" t="str">
        <x:v>Imported into LCSW master inventory</x:v>
      </x:c>
      <x:c r="E145" s="83" t="str">
        <x:v>LCSW Workbook 9 Question Bank</x:v>
      </x:c>
      <x:c r="F145" s="83" t="str">
        <x:v>1.0</x:v>
      </x:c>
      <x:c r="G145" s="83" t="n">
        <x:v>1</x:v>
      </x:c>
      <x:c r="H145" s="83" t="str">
        <x:v>Clinical Training Academy</x:v>
      </x:c>
      <x:c r="I145" s="89" t="str">
        <x:v>Source wording and option count preserved; no silent item-content revision during inventory build.</x:v>
      </x:c>
    </x:row>
    <x:row r="146">
      <x:c r="A146" s="88" t="str">
        <x:v>CTA-LCSW-MQB-0145</x:v>
      </x:c>
      <x:c r="B146" s="83" t="str">
        <x:v>LCSW-WB09-QB-Q009</x:v>
      </x:c>
      <x:c r="C146" s="102" t="n">
        <x:v>46228</x:v>
      </x:c>
      <x:c r="D146" s="83" t="str">
        <x:v>Imported into LCSW master inventory</x:v>
      </x:c>
      <x:c r="E146" s="83" t="str">
        <x:v>LCSW Workbook 9 Question Bank</x:v>
      </x:c>
      <x:c r="F146" s="83" t="str">
        <x:v>1.0</x:v>
      </x:c>
      <x:c r="G146" s="83" t="n">
        <x:v>1</x:v>
      </x:c>
      <x:c r="H146" s="83" t="str">
        <x:v>Clinical Training Academy</x:v>
      </x:c>
      <x:c r="I146" s="89" t="str">
        <x:v>Source wording and option count preserved; no silent item-content revision during inventory build.</x:v>
      </x:c>
    </x:row>
    <x:row r="147">
      <x:c r="A147" s="88" t="str">
        <x:v>CTA-LCSW-MQB-0146</x:v>
      </x:c>
      <x:c r="B147" s="83" t="str">
        <x:v>LCSW-WB09-QB-Q010</x:v>
      </x:c>
      <x:c r="C147" s="102" t="n">
        <x:v>46228</x:v>
      </x:c>
      <x:c r="D147" s="83" t="str">
        <x:v>Imported into LCSW master inventory</x:v>
      </x:c>
      <x:c r="E147" s="83" t="str">
        <x:v>LCSW Workbook 9 Question Bank</x:v>
      </x:c>
      <x:c r="F147" s="83" t="str">
        <x:v>1.0</x:v>
      </x:c>
      <x:c r="G147" s="83" t="n">
        <x:v>1</x:v>
      </x:c>
      <x:c r="H147" s="83" t="str">
        <x:v>Clinical Training Academy</x:v>
      </x:c>
      <x:c r="I147" s="89" t="str">
        <x:v>Source wording and option count preserved; no silent item-content revision during inventory build.</x:v>
      </x:c>
    </x:row>
    <x:row r="148">
      <x:c r="A148" s="88" t="str">
        <x:v>CTA-LCSW-MQB-0147</x:v>
      </x:c>
      <x:c r="B148" s="83" t="str">
        <x:v>LCSW-WB09-QB-Q011</x:v>
      </x:c>
      <x:c r="C148" s="102" t="n">
        <x:v>46228</x:v>
      </x:c>
      <x:c r="D148" s="83" t="str">
        <x:v>Imported into LCSW master inventory</x:v>
      </x:c>
      <x:c r="E148" s="83" t="str">
        <x:v>LCSW Workbook 9 Question Bank</x:v>
      </x:c>
      <x:c r="F148" s="83" t="str">
        <x:v>1.0</x:v>
      </x:c>
      <x:c r="G148" s="83" t="n">
        <x:v>1</x:v>
      </x:c>
      <x:c r="H148" s="83" t="str">
        <x:v>Clinical Training Academy</x:v>
      </x:c>
      <x:c r="I148" s="89" t="str">
        <x:v>Source wording and option count preserved; no silent item-content revision during inventory build.</x:v>
      </x:c>
    </x:row>
    <x:row r="149">
      <x:c r="A149" s="88" t="str">
        <x:v>CTA-LCSW-MQB-0148</x:v>
      </x:c>
      <x:c r="B149" s="83" t="str">
        <x:v>LCSW-WB09-QB-Q012</x:v>
      </x:c>
      <x:c r="C149" s="102" t="n">
        <x:v>46228</x:v>
      </x:c>
      <x:c r="D149" s="83" t="str">
        <x:v>Imported into LCSW master inventory</x:v>
      </x:c>
      <x:c r="E149" s="83" t="str">
        <x:v>LCSW Workbook 9 Question Bank</x:v>
      </x:c>
      <x:c r="F149" s="83" t="str">
        <x:v>1.0</x:v>
      </x:c>
      <x:c r="G149" s="83" t="n">
        <x:v>1</x:v>
      </x:c>
      <x:c r="H149" s="83" t="str">
        <x:v>Clinical Training Academy</x:v>
      </x:c>
      <x:c r="I149" s="89" t="str">
        <x:v>Source wording and option count preserved; no silent item-content revision during inventory build.</x:v>
      </x:c>
    </x:row>
    <x:row r="150">
      <x:c r="A150" s="88" t="str">
        <x:v>CTA-LCSW-MQB-0149</x:v>
      </x:c>
      <x:c r="B150" s="83" t="str">
        <x:v>LCSW-WB09-QB-Q013</x:v>
      </x:c>
      <x:c r="C150" s="102" t="n">
        <x:v>46228</x:v>
      </x:c>
      <x:c r="D150" s="83" t="str">
        <x:v>Imported into LCSW master inventory</x:v>
      </x:c>
      <x:c r="E150" s="83" t="str">
        <x:v>LCSW Workbook 9 Question Bank</x:v>
      </x:c>
      <x:c r="F150" s="83" t="str">
        <x:v>1.0</x:v>
      </x:c>
      <x:c r="G150" s="83" t="n">
        <x:v>1</x:v>
      </x:c>
      <x:c r="H150" s="83" t="str">
        <x:v>Clinical Training Academy</x:v>
      </x:c>
      <x:c r="I150" s="89" t="str">
        <x:v>Source wording and option count preserved; no silent item-content revision during inventory build.</x:v>
      </x:c>
    </x:row>
    <x:row r="151">
      <x:c r="A151" s="88" t="str">
        <x:v>CTA-LCSW-MQB-0150</x:v>
      </x:c>
      <x:c r="B151" s="83" t="str">
        <x:v>LCSW-WB09-QB-Q014</x:v>
      </x:c>
      <x:c r="C151" s="102" t="n">
        <x:v>46228</x:v>
      </x:c>
      <x:c r="D151" s="83" t="str">
        <x:v>Imported into LCSW master inventory</x:v>
      </x:c>
      <x:c r="E151" s="83" t="str">
        <x:v>LCSW Workbook 9 Question Bank</x:v>
      </x:c>
      <x:c r="F151" s="83" t="str">
        <x:v>1.0</x:v>
      </x:c>
      <x:c r="G151" s="83" t="n">
        <x:v>1</x:v>
      </x:c>
      <x:c r="H151" s="83" t="str">
        <x:v>Clinical Training Academy</x:v>
      </x:c>
      <x:c r="I151" s="89" t="str">
        <x:v>Source wording and option count preserved; no silent item-content revision during inventory build.</x:v>
      </x:c>
    </x:row>
    <x:row r="152">
      <x:c r="A152" s="88" t="str">
        <x:v>CTA-LCSW-MQB-0151</x:v>
      </x:c>
      <x:c r="B152" s="83" t="str">
        <x:v>LCSW-WB09-QB-Q015</x:v>
      </x:c>
      <x:c r="C152" s="102" t="n">
        <x:v>46228</x:v>
      </x:c>
      <x:c r="D152" s="83" t="str">
        <x:v>Imported into LCSW master inventory</x:v>
      </x:c>
      <x:c r="E152" s="83" t="str">
        <x:v>LCSW Workbook 9 Question Bank</x:v>
      </x:c>
      <x:c r="F152" s="83" t="str">
        <x:v>1.0</x:v>
      </x:c>
      <x:c r="G152" s="83" t="n">
        <x:v>1</x:v>
      </x:c>
      <x:c r="H152" s="83" t="str">
        <x:v>Clinical Training Academy</x:v>
      </x:c>
      <x:c r="I152" s="89" t="str">
        <x:v>Source wording and option count preserved; no silent item-content revision during inventory build.</x:v>
      </x:c>
    </x:row>
    <x:row r="153">
      <x:c r="A153" s="88" t="str">
        <x:v>CTA-LCSW-MQB-0152</x:v>
      </x:c>
      <x:c r="B153" s="83" t="str">
        <x:v>LCSW-WB09-QB-Q016</x:v>
      </x:c>
      <x:c r="C153" s="102" t="n">
        <x:v>46228</x:v>
      </x:c>
      <x:c r="D153" s="83" t="str">
        <x:v>Imported into LCSW master inventory</x:v>
      </x:c>
      <x:c r="E153" s="83" t="str">
        <x:v>LCSW Workbook 9 Question Bank</x:v>
      </x:c>
      <x:c r="F153" s="83" t="str">
        <x:v>1.0</x:v>
      </x:c>
      <x:c r="G153" s="83" t="n">
        <x:v>1</x:v>
      </x:c>
      <x:c r="H153" s="83" t="str">
        <x:v>Clinical Training Academy</x:v>
      </x:c>
      <x:c r="I153" s="89" t="str">
        <x:v>Source wording and option count preserved; no silent item-content revision during inventory build.</x:v>
      </x:c>
    </x:row>
    <x:row r="154">
      <x:c r="A154" s="88" t="str">
        <x:v>CTA-LCSW-MQB-0153</x:v>
      </x:c>
      <x:c r="B154" s="83" t="str">
        <x:v>LCSW-WB09-QB-Q017</x:v>
      </x:c>
      <x:c r="C154" s="102" t="n">
        <x:v>46228</x:v>
      </x:c>
      <x:c r="D154" s="83" t="str">
        <x:v>Imported into LCSW master inventory</x:v>
      </x:c>
      <x:c r="E154" s="83" t="str">
        <x:v>LCSW Workbook 9 Question Bank</x:v>
      </x:c>
      <x:c r="F154" s="83" t="str">
        <x:v>1.0</x:v>
      </x:c>
      <x:c r="G154" s="83" t="n">
        <x:v>1</x:v>
      </x:c>
      <x:c r="H154" s="83" t="str">
        <x:v>Clinical Training Academy</x:v>
      </x:c>
      <x:c r="I154" s="89" t="str">
        <x:v>Source wording and option count preserved; no silent item-content revision during inventory build.</x:v>
      </x:c>
    </x:row>
    <x:row r="155">
      <x:c r="A155" s="88" t="str">
        <x:v>CTA-LCSW-MQB-0154</x:v>
      </x:c>
      <x:c r="B155" s="83" t="str">
        <x:v>LCSW-WB10-QB-Q001</x:v>
      </x:c>
      <x:c r="C155" s="102" t="n">
        <x:v>46228</x:v>
      </x:c>
      <x:c r="D155" s="83" t="str">
        <x:v>Imported into LCSW master inventory</x:v>
      </x:c>
      <x:c r="E155" s="83" t="str">
        <x:v>LCSW Workbook 10 Question Bank</x:v>
      </x:c>
      <x:c r="F155" s="83" t="str">
        <x:v>1.0</x:v>
      </x:c>
      <x:c r="G155" s="83" t="n">
        <x:v>1</x:v>
      </x:c>
      <x:c r="H155" s="83" t="str">
        <x:v>Clinical Training Academy</x:v>
      </x:c>
      <x:c r="I155" s="89" t="str">
        <x:v>Source wording and option count preserved; no silent item-content revision during inventory build.</x:v>
      </x:c>
    </x:row>
    <x:row r="156">
      <x:c r="A156" s="88" t="str">
        <x:v>CTA-LCSW-MQB-0155</x:v>
      </x:c>
      <x:c r="B156" s="83" t="str">
        <x:v>LCSW-WB10-QB-Q002</x:v>
      </x:c>
      <x:c r="C156" s="102" t="n">
        <x:v>46228</x:v>
      </x:c>
      <x:c r="D156" s="83" t="str">
        <x:v>Imported into LCSW master inventory</x:v>
      </x:c>
      <x:c r="E156" s="83" t="str">
        <x:v>LCSW Workbook 10 Question Bank</x:v>
      </x:c>
      <x:c r="F156" s="83" t="str">
        <x:v>1.0</x:v>
      </x:c>
      <x:c r="G156" s="83" t="n">
        <x:v>1</x:v>
      </x:c>
      <x:c r="H156" s="83" t="str">
        <x:v>Clinical Training Academy</x:v>
      </x:c>
      <x:c r="I156" s="89" t="str">
        <x:v>Source wording and option count preserved; no silent item-content revision during inventory build.</x:v>
      </x:c>
    </x:row>
    <x:row r="157">
      <x:c r="A157" s="88" t="str">
        <x:v>CTA-LCSW-MQB-0156</x:v>
      </x:c>
      <x:c r="B157" s="83" t="str">
        <x:v>LCSW-WB10-QB-Q003</x:v>
      </x:c>
      <x:c r="C157" s="102" t="n">
        <x:v>46228</x:v>
      </x:c>
      <x:c r="D157" s="83" t="str">
        <x:v>Imported into LCSW master inventory</x:v>
      </x:c>
      <x:c r="E157" s="83" t="str">
        <x:v>LCSW Workbook 10 Question Bank</x:v>
      </x:c>
      <x:c r="F157" s="83" t="str">
        <x:v>1.0</x:v>
      </x:c>
      <x:c r="G157" s="83" t="n">
        <x:v>1</x:v>
      </x:c>
      <x:c r="H157" s="83" t="str">
        <x:v>Clinical Training Academy</x:v>
      </x:c>
      <x:c r="I157" s="89" t="str">
        <x:v>Source wording and option count preserved; no silent item-content revision during inventory build.</x:v>
      </x:c>
    </x:row>
    <x:row r="158">
      <x:c r="A158" s="88" t="str">
        <x:v>CTA-LCSW-MQB-0157</x:v>
      </x:c>
      <x:c r="B158" s="83" t="str">
        <x:v>LCSW-WB10-QB-Q004</x:v>
      </x:c>
      <x:c r="C158" s="102" t="n">
        <x:v>46228</x:v>
      </x:c>
      <x:c r="D158" s="83" t="str">
        <x:v>Imported into LCSW master inventory</x:v>
      </x:c>
      <x:c r="E158" s="83" t="str">
        <x:v>LCSW Workbook 10 Question Bank</x:v>
      </x:c>
      <x:c r="F158" s="83" t="str">
        <x:v>1.0</x:v>
      </x:c>
      <x:c r="G158" s="83" t="n">
        <x:v>1</x:v>
      </x:c>
      <x:c r="H158" s="83" t="str">
        <x:v>Clinical Training Academy</x:v>
      </x:c>
      <x:c r="I158" s="89" t="str">
        <x:v>Source wording and option count preserved; no silent item-content revision during inventory build.</x:v>
      </x:c>
    </x:row>
    <x:row r="159">
      <x:c r="A159" s="88" t="str">
        <x:v>CTA-LCSW-MQB-0158</x:v>
      </x:c>
      <x:c r="B159" s="83" t="str">
        <x:v>LCSW-WB10-QB-Q005</x:v>
      </x:c>
      <x:c r="C159" s="102" t="n">
        <x:v>46228</x:v>
      </x:c>
      <x:c r="D159" s="83" t="str">
        <x:v>Imported into LCSW master inventory</x:v>
      </x:c>
      <x:c r="E159" s="83" t="str">
        <x:v>LCSW Workbook 10 Question Bank</x:v>
      </x:c>
      <x:c r="F159" s="83" t="str">
        <x:v>1.0</x:v>
      </x:c>
      <x:c r="G159" s="83" t="n">
        <x:v>1</x:v>
      </x:c>
      <x:c r="H159" s="83" t="str">
        <x:v>Clinical Training Academy</x:v>
      </x:c>
      <x:c r="I159" s="89" t="str">
        <x:v>Source wording and option count preserved; no silent item-content revision during inventory build.</x:v>
      </x:c>
    </x:row>
    <x:row r="160">
      <x:c r="A160" s="88" t="str">
        <x:v>CTA-LCSW-MQB-0159</x:v>
      </x:c>
      <x:c r="B160" s="83" t="str">
        <x:v>LCSW-WB10-QB-Q006</x:v>
      </x:c>
      <x:c r="C160" s="102" t="n">
        <x:v>46228</x:v>
      </x:c>
      <x:c r="D160" s="83" t="str">
        <x:v>Imported into LCSW master inventory</x:v>
      </x:c>
      <x:c r="E160" s="83" t="str">
        <x:v>LCSW Workbook 10 Question Bank</x:v>
      </x:c>
      <x:c r="F160" s="83" t="str">
        <x:v>1.0</x:v>
      </x:c>
      <x:c r="G160" s="83" t="n">
        <x:v>1</x:v>
      </x:c>
      <x:c r="H160" s="83" t="str">
        <x:v>Clinical Training Academy</x:v>
      </x:c>
      <x:c r="I160" s="89" t="str">
        <x:v>Source wording and option count preserved; no silent item-content revision during inventory build.</x:v>
      </x:c>
    </x:row>
    <x:row r="161">
      <x:c r="A161" s="88" t="str">
        <x:v>CTA-LCSW-MQB-0160</x:v>
      </x:c>
      <x:c r="B161" s="83" t="str">
        <x:v>LCSW-WB10-QB-Q007</x:v>
      </x:c>
      <x:c r="C161" s="102" t="n">
        <x:v>46228</x:v>
      </x:c>
      <x:c r="D161" s="83" t="str">
        <x:v>Imported into LCSW master inventory</x:v>
      </x:c>
      <x:c r="E161" s="83" t="str">
        <x:v>LCSW Workbook 10 Question Bank</x:v>
      </x:c>
      <x:c r="F161" s="83" t="str">
        <x:v>1.0</x:v>
      </x:c>
      <x:c r="G161" s="83" t="n">
        <x:v>1</x:v>
      </x:c>
      <x:c r="H161" s="83" t="str">
        <x:v>Clinical Training Academy</x:v>
      </x:c>
      <x:c r="I161" s="89" t="str">
        <x:v>Source wording and option count preserved; no silent item-content revision during inventory build.</x:v>
      </x:c>
    </x:row>
    <x:row r="162">
      <x:c r="A162" s="88" t="str">
        <x:v>CTA-LCSW-MQB-0161</x:v>
      </x:c>
      <x:c r="B162" s="83" t="str">
        <x:v>LCSW-WB10-QB-Q008</x:v>
      </x:c>
      <x:c r="C162" s="102" t="n">
        <x:v>46228</x:v>
      </x:c>
      <x:c r="D162" s="83" t="str">
        <x:v>Imported into LCSW master inventory</x:v>
      </x:c>
      <x:c r="E162" s="83" t="str">
        <x:v>LCSW Workbook 10 Question Bank</x:v>
      </x:c>
      <x:c r="F162" s="83" t="str">
        <x:v>1.0</x:v>
      </x:c>
      <x:c r="G162" s="83" t="n">
        <x:v>1</x:v>
      </x:c>
      <x:c r="H162" s="83" t="str">
        <x:v>Clinical Training Academy</x:v>
      </x:c>
      <x:c r="I162" s="89" t="str">
        <x:v>Source wording and option count preserved; no silent item-content revision during inventory build.</x:v>
      </x:c>
    </x:row>
    <x:row r="163">
      <x:c r="A163" s="88" t="str">
        <x:v>CTA-LCSW-MQB-0162</x:v>
      </x:c>
      <x:c r="B163" s="83" t="str">
        <x:v>LCSW-WB10-QB-Q009</x:v>
      </x:c>
      <x:c r="C163" s="102" t="n">
        <x:v>46228</x:v>
      </x:c>
      <x:c r="D163" s="83" t="str">
        <x:v>Imported into LCSW master inventory</x:v>
      </x:c>
      <x:c r="E163" s="83" t="str">
        <x:v>LCSW Workbook 10 Question Bank</x:v>
      </x:c>
      <x:c r="F163" s="83" t="str">
        <x:v>1.0</x:v>
      </x:c>
      <x:c r="G163" s="83" t="n">
        <x:v>1</x:v>
      </x:c>
      <x:c r="H163" s="83" t="str">
        <x:v>Clinical Training Academy</x:v>
      </x:c>
      <x:c r="I163" s="89" t="str">
        <x:v>Source wording and option count preserved; no silent item-content revision during inventory build.</x:v>
      </x:c>
    </x:row>
    <x:row r="164">
      <x:c r="A164" s="88" t="str">
        <x:v>CTA-LCSW-MQB-0163</x:v>
      </x:c>
      <x:c r="B164" s="83" t="str">
        <x:v>LCSW-WB10-QB-Q010</x:v>
      </x:c>
      <x:c r="C164" s="102" t="n">
        <x:v>46228</x:v>
      </x:c>
      <x:c r="D164" s="83" t="str">
        <x:v>Imported into LCSW master inventory</x:v>
      </x:c>
      <x:c r="E164" s="83" t="str">
        <x:v>LCSW Workbook 10 Question Bank</x:v>
      </x:c>
      <x:c r="F164" s="83" t="str">
        <x:v>1.0</x:v>
      </x:c>
      <x:c r="G164" s="83" t="n">
        <x:v>1</x:v>
      </x:c>
      <x:c r="H164" s="83" t="str">
        <x:v>Clinical Training Academy</x:v>
      </x:c>
      <x:c r="I164" s="89" t="str">
        <x:v>Source wording and option count preserved; no silent item-content revision during inventory build.</x:v>
      </x:c>
    </x:row>
    <x:row r="165">
      <x:c r="A165" s="88" t="str">
        <x:v>CTA-LCSW-MQB-0164</x:v>
      </x:c>
      <x:c r="B165" s="83" t="str">
        <x:v>LCSW-WB10-QB-Q011</x:v>
      </x:c>
      <x:c r="C165" s="102" t="n">
        <x:v>46228</x:v>
      </x:c>
      <x:c r="D165" s="83" t="str">
        <x:v>Imported into LCSW master inventory</x:v>
      </x:c>
      <x:c r="E165" s="83" t="str">
        <x:v>LCSW Workbook 10 Question Bank</x:v>
      </x:c>
      <x:c r="F165" s="83" t="str">
        <x:v>1.0</x:v>
      </x:c>
      <x:c r="G165" s="83" t="n">
        <x:v>1</x:v>
      </x:c>
      <x:c r="H165" s="83" t="str">
        <x:v>Clinical Training Academy</x:v>
      </x:c>
      <x:c r="I165" s="89" t="str">
        <x:v>Source wording and option count preserved; no silent item-content revision during inventory build.</x:v>
      </x:c>
    </x:row>
    <x:row r="166">
      <x:c r="A166" s="88" t="str">
        <x:v>CTA-LCSW-MQB-0165</x:v>
      </x:c>
      <x:c r="B166" s="83" t="str">
        <x:v>LCSW-WB10-QB-Q012</x:v>
      </x:c>
      <x:c r="C166" s="102" t="n">
        <x:v>46228</x:v>
      </x:c>
      <x:c r="D166" s="83" t="str">
        <x:v>Imported into LCSW master inventory</x:v>
      </x:c>
      <x:c r="E166" s="83" t="str">
        <x:v>LCSW Workbook 10 Question Bank</x:v>
      </x:c>
      <x:c r="F166" s="83" t="str">
        <x:v>1.0</x:v>
      </x:c>
      <x:c r="G166" s="83" t="n">
        <x:v>1</x:v>
      </x:c>
      <x:c r="H166" s="83" t="str">
        <x:v>Clinical Training Academy</x:v>
      </x:c>
      <x:c r="I166" s="89" t="str">
        <x:v>Source wording and option count preserved; no silent item-content revision during inventory build.</x:v>
      </x:c>
    </x:row>
    <x:row r="167">
      <x:c r="A167" s="88" t="str">
        <x:v>CTA-LCSW-MQB-0166</x:v>
      </x:c>
      <x:c r="B167" s="83" t="str">
        <x:v>LCSW-WB10-QB-Q013</x:v>
      </x:c>
      <x:c r="C167" s="102" t="n">
        <x:v>46228</x:v>
      </x:c>
      <x:c r="D167" s="83" t="str">
        <x:v>Imported into LCSW master inventory</x:v>
      </x:c>
      <x:c r="E167" s="83" t="str">
        <x:v>LCSW Workbook 10 Question Bank</x:v>
      </x:c>
      <x:c r="F167" s="83" t="str">
        <x:v>1.0</x:v>
      </x:c>
      <x:c r="G167" s="83" t="n">
        <x:v>1</x:v>
      </x:c>
      <x:c r="H167" s="83" t="str">
        <x:v>Clinical Training Academy</x:v>
      </x:c>
      <x:c r="I167" s="89" t="str">
        <x:v>Source wording and option count preserved; no silent item-content revision during inventory build.</x:v>
      </x:c>
    </x:row>
    <x:row r="168">
      <x:c r="A168" s="88" t="str">
        <x:v>CTA-LCSW-MQB-0167</x:v>
      </x:c>
      <x:c r="B168" s="83" t="str">
        <x:v>LCSW-WB10-QB-Q014</x:v>
      </x:c>
      <x:c r="C168" s="102" t="n">
        <x:v>46228</x:v>
      </x:c>
      <x:c r="D168" s="83" t="str">
        <x:v>Imported into LCSW master inventory</x:v>
      </x:c>
      <x:c r="E168" s="83" t="str">
        <x:v>LCSW Workbook 10 Question Bank</x:v>
      </x:c>
      <x:c r="F168" s="83" t="str">
        <x:v>1.0</x:v>
      </x:c>
      <x:c r="G168" s="83" t="n">
        <x:v>1</x:v>
      </x:c>
      <x:c r="H168" s="83" t="str">
        <x:v>Clinical Training Academy</x:v>
      </x:c>
      <x:c r="I168" s="89" t="str">
        <x:v>Source wording and option count preserved; no silent item-content revision during inventory build.</x:v>
      </x:c>
    </x:row>
    <x:row r="169">
      <x:c r="A169" s="88" t="str">
        <x:v>CTA-LCSW-MQB-0168</x:v>
      </x:c>
      <x:c r="B169" s="83" t="str">
        <x:v>LCSW-WB10-QB-Q015</x:v>
      </x:c>
      <x:c r="C169" s="102" t="n">
        <x:v>46228</x:v>
      </x:c>
      <x:c r="D169" s="83" t="str">
        <x:v>Imported into LCSW master inventory</x:v>
      </x:c>
      <x:c r="E169" s="83" t="str">
        <x:v>LCSW Workbook 10 Question Bank</x:v>
      </x:c>
      <x:c r="F169" s="83" t="str">
        <x:v>1.0</x:v>
      </x:c>
      <x:c r="G169" s="83" t="n">
        <x:v>1</x:v>
      </x:c>
      <x:c r="H169" s="83" t="str">
        <x:v>Clinical Training Academy</x:v>
      </x:c>
      <x:c r="I169" s="89" t="str">
        <x:v>Source wording and option count preserved; no silent item-content revision during inventory build.</x:v>
      </x:c>
    </x:row>
    <x:row r="170">
      <x:c r="A170" s="88" t="str">
        <x:v>CTA-LCSW-MQB-0169</x:v>
      </x:c>
      <x:c r="B170" s="83" t="str">
        <x:v>LCSW-WB10-QB-Q016</x:v>
      </x:c>
      <x:c r="C170" s="102" t="n">
        <x:v>46228</x:v>
      </x:c>
      <x:c r="D170" s="83" t="str">
        <x:v>Imported into LCSW master inventory</x:v>
      </x:c>
      <x:c r="E170" s="83" t="str">
        <x:v>LCSW Workbook 10 Question Bank</x:v>
      </x:c>
      <x:c r="F170" s="83" t="str">
        <x:v>1.0</x:v>
      </x:c>
      <x:c r="G170" s="83" t="n">
        <x:v>1</x:v>
      </x:c>
      <x:c r="H170" s="83" t="str">
        <x:v>Clinical Training Academy</x:v>
      </x:c>
      <x:c r="I170" s="89" t="str">
        <x:v>Source wording and option count preserved; no silent item-content revision during inventory build.</x:v>
      </x:c>
    </x:row>
    <x:row r="171">
      <x:c r="A171" s="88" t="str">
        <x:v>CTA-LCSW-MQB-0170</x:v>
      </x:c>
      <x:c r="B171" s="83" t="str">
        <x:v>LCSW-WB10-QB-Q017</x:v>
      </x:c>
      <x:c r="C171" s="102" t="n">
        <x:v>46228</x:v>
      </x:c>
      <x:c r="D171" s="83" t="str">
        <x:v>Imported into LCSW master inventory</x:v>
      </x:c>
      <x:c r="E171" s="83" t="str">
        <x:v>LCSW Workbook 10 Question Bank</x:v>
      </x:c>
      <x:c r="F171" s="83" t="str">
        <x:v>1.0</x:v>
      </x:c>
      <x:c r="G171" s="83" t="n">
        <x:v>1</x:v>
      </x:c>
      <x:c r="H171" s="83" t="str">
        <x:v>Clinical Training Academy</x:v>
      </x:c>
      <x:c r="I171" s="89" t="str">
        <x:v>Source wording and option count preserved; no silent item-content revision during inventory build.</x:v>
      </x:c>
    </x:row>
    <x:row r="172">
      <x:c r="A172" s="88" t="str">
        <x:v>CTA-LCSW-MQB-0171</x:v>
      </x:c>
      <x:c r="B172" s="83" t="str">
        <x:v>LCSW-WB11-QB-Q001</x:v>
      </x:c>
      <x:c r="C172" s="102" t="n">
        <x:v>46228</x:v>
      </x:c>
      <x:c r="D172" s="83" t="str">
        <x:v>Imported into LCSW master inventory</x:v>
      </x:c>
      <x:c r="E172" s="83" t="str">
        <x:v>LCSW Workbook 11 Question Bank</x:v>
      </x:c>
      <x:c r="F172" s="83" t="str">
        <x:v>1.0</x:v>
      </x:c>
      <x:c r="G172" s="83" t="n">
        <x:v>1</x:v>
      </x:c>
      <x:c r="H172" s="83" t="str">
        <x:v>Clinical Training Academy</x:v>
      </x:c>
      <x:c r="I172" s="89" t="str">
        <x:v>Source wording and option count preserved; no silent item-content revision during inventory build.</x:v>
      </x:c>
    </x:row>
    <x:row r="173">
      <x:c r="A173" s="88" t="str">
        <x:v>CTA-LCSW-MQB-0172</x:v>
      </x:c>
      <x:c r="B173" s="83" t="str">
        <x:v>LCSW-WB11-QB-Q002</x:v>
      </x:c>
      <x:c r="C173" s="102" t="n">
        <x:v>46228</x:v>
      </x:c>
      <x:c r="D173" s="83" t="str">
        <x:v>Imported into LCSW master inventory</x:v>
      </x:c>
      <x:c r="E173" s="83" t="str">
        <x:v>LCSW Workbook 11 Question Bank</x:v>
      </x:c>
      <x:c r="F173" s="83" t="str">
        <x:v>1.0</x:v>
      </x:c>
      <x:c r="G173" s="83" t="n">
        <x:v>1</x:v>
      </x:c>
      <x:c r="H173" s="83" t="str">
        <x:v>Clinical Training Academy</x:v>
      </x:c>
      <x:c r="I173" s="89" t="str">
        <x:v>Source wording and option count preserved; no silent item-content revision during inventory build.</x:v>
      </x:c>
    </x:row>
    <x:row r="174">
      <x:c r="A174" s="88" t="str">
        <x:v>CTA-LCSW-MQB-0173</x:v>
      </x:c>
      <x:c r="B174" s="83" t="str">
        <x:v>LCSW-WB11-QB-Q003</x:v>
      </x:c>
      <x:c r="C174" s="102" t="n">
        <x:v>46228</x:v>
      </x:c>
      <x:c r="D174" s="83" t="str">
        <x:v>Imported into LCSW master inventory</x:v>
      </x:c>
      <x:c r="E174" s="83" t="str">
        <x:v>LCSW Workbook 11 Question Bank</x:v>
      </x:c>
      <x:c r="F174" s="83" t="str">
        <x:v>1.0</x:v>
      </x:c>
      <x:c r="G174" s="83" t="n">
        <x:v>1</x:v>
      </x:c>
      <x:c r="H174" s="83" t="str">
        <x:v>Clinical Training Academy</x:v>
      </x:c>
      <x:c r="I174" s="89" t="str">
        <x:v>Source wording and option count preserved; no silent item-content revision during inventory build.</x:v>
      </x:c>
    </x:row>
    <x:row r="175">
      <x:c r="A175" s="88" t="str">
        <x:v>CTA-LCSW-MQB-0174</x:v>
      </x:c>
      <x:c r="B175" s="83" t="str">
        <x:v>LCSW-WB11-QB-Q004</x:v>
      </x:c>
      <x:c r="C175" s="102" t="n">
        <x:v>46228</x:v>
      </x:c>
      <x:c r="D175" s="83" t="str">
        <x:v>Imported into LCSW master inventory</x:v>
      </x:c>
      <x:c r="E175" s="83" t="str">
        <x:v>LCSW Workbook 11 Question Bank</x:v>
      </x:c>
      <x:c r="F175" s="83" t="str">
        <x:v>1.0</x:v>
      </x:c>
      <x:c r="G175" s="83" t="n">
        <x:v>1</x:v>
      </x:c>
      <x:c r="H175" s="83" t="str">
        <x:v>Clinical Training Academy</x:v>
      </x:c>
      <x:c r="I175" s="89" t="str">
        <x:v>Source wording and option count preserved; no silent item-content revision during inventory build.</x:v>
      </x:c>
    </x:row>
    <x:row r="176">
      <x:c r="A176" s="88" t="str">
        <x:v>CTA-LCSW-MQB-0175</x:v>
      </x:c>
      <x:c r="B176" s="83" t="str">
        <x:v>LCSW-WB11-QB-Q005</x:v>
      </x:c>
      <x:c r="C176" s="102" t="n">
        <x:v>46228</x:v>
      </x:c>
      <x:c r="D176" s="83" t="str">
        <x:v>Imported into LCSW master inventory</x:v>
      </x:c>
      <x:c r="E176" s="83" t="str">
        <x:v>LCSW Workbook 11 Question Bank</x:v>
      </x:c>
      <x:c r="F176" s="83" t="str">
        <x:v>1.0</x:v>
      </x:c>
      <x:c r="G176" s="83" t="n">
        <x:v>1</x:v>
      </x:c>
      <x:c r="H176" s="83" t="str">
        <x:v>Clinical Training Academy</x:v>
      </x:c>
      <x:c r="I176" s="89" t="str">
        <x:v>Source wording and option count preserved; no silent item-content revision during inventory build.</x:v>
      </x:c>
    </x:row>
    <x:row r="177">
      <x:c r="A177" s="88" t="str">
        <x:v>CTA-LCSW-MQB-0176</x:v>
      </x:c>
      <x:c r="B177" s="83" t="str">
        <x:v>LCSW-WB11-QB-Q006</x:v>
      </x:c>
      <x:c r="C177" s="102" t="n">
        <x:v>46228</x:v>
      </x:c>
      <x:c r="D177" s="83" t="str">
        <x:v>Imported into LCSW master inventory</x:v>
      </x:c>
      <x:c r="E177" s="83" t="str">
        <x:v>LCSW Workbook 11 Question Bank</x:v>
      </x:c>
      <x:c r="F177" s="83" t="str">
        <x:v>1.0</x:v>
      </x:c>
      <x:c r="G177" s="83" t="n">
        <x:v>1</x:v>
      </x:c>
      <x:c r="H177" s="83" t="str">
        <x:v>Clinical Training Academy</x:v>
      </x:c>
      <x:c r="I177" s="89" t="str">
        <x:v>Source wording and option count preserved; no silent item-content revision during inventory build.</x:v>
      </x:c>
    </x:row>
    <x:row r="178">
      <x:c r="A178" s="88" t="str">
        <x:v>CTA-LCSW-MQB-0177</x:v>
      </x:c>
      <x:c r="B178" s="83" t="str">
        <x:v>LCSW-WB11-QB-Q007</x:v>
      </x:c>
      <x:c r="C178" s="102" t="n">
        <x:v>46228</x:v>
      </x:c>
      <x:c r="D178" s="83" t="str">
        <x:v>Imported into LCSW master inventory</x:v>
      </x:c>
      <x:c r="E178" s="83" t="str">
        <x:v>LCSW Workbook 11 Question Bank</x:v>
      </x:c>
      <x:c r="F178" s="83" t="str">
        <x:v>1.0</x:v>
      </x:c>
      <x:c r="G178" s="83" t="n">
        <x:v>1</x:v>
      </x:c>
      <x:c r="H178" s="83" t="str">
        <x:v>Clinical Training Academy</x:v>
      </x:c>
      <x:c r="I178" s="89" t="str">
        <x:v>Source wording and option count preserved; no silent item-content revision during inventory build.</x:v>
      </x:c>
    </x:row>
    <x:row r="179">
      <x:c r="A179" s="88" t="str">
        <x:v>CTA-LCSW-MQB-0178</x:v>
      </x:c>
      <x:c r="B179" s="83" t="str">
        <x:v>LCSW-WB11-QB-Q008</x:v>
      </x:c>
      <x:c r="C179" s="102" t="n">
        <x:v>46228</x:v>
      </x:c>
      <x:c r="D179" s="83" t="str">
        <x:v>Imported into LCSW master inventory</x:v>
      </x:c>
      <x:c r="E179" s="83" t="str">
        <x:v>LCSW Workbook 11 Question Bank</x:v>
      </x:c>
      <x:c r="F179" s="83" t="str">
        <x:v>1.0</x:v>
      </x:c>
      <x:c r="G179" s="83" t="n">
        <x:v>1</x:v>
      </x:c>
      <x:c r="H179" s="83" t="str">
        <x:v>Clinical Training Academy</x:v>
      </x:c>
      <x:c r="I179" s="89" t="str">
        <x:v>Source wording and option count preserved; no silent item-content revision during inventory build.</x:v>
      </x:c>
    </x:row>
    <x:row r="180">
      <x:c r="A180" s="88" t="str">
        <x:v>CTA-LCSW-MQB-0179</x:v>
      </x:c>
      <x:c r="B180" s="83" t="str">
        <x:v>LCSW-WB11-QB-Q009</x:v>
      </x:c>
      <x:c r="C180" s="102" t="n">
        <x:v>46228</x:v>
      </x:c>
      <x:c r="D180" s="83" t="str">
        <x:v>Imported into LCSW master inventory</x:v>
      </x:c>
      <x:c r="E180" s="83" t="str">
        <x:v>LCSW Workbook 11 Question Bank</x:v>
      </x:c>
      <x:c r="F180" s="83" t="str">
        <x:v>1.0</x:v>
      </x:c>
      <x:c r="G180" s="83" t="n">
        <x:v>1</x:v>
      </x:c>
      <x:c r="H180" s="83" t="str">
        <x:v>Clinical Training Academy</x:v>
      </x:c>
      <x:c r="I180" s="89" t="str">
        <x:v>Source wording and option count preserved; no silent item-content revision during inventory build.</x:v>
      </x:c>
    </x:row>
    <x:row r="181">
      <x:c r="A181" s="88" t="str">
        <x:v>CTA-LCSW-MQB-0180</x:v>
      </x:c>
      <x:c r="B181" s="83" t="str">
        <x:v>LCSW-WB11-QB-Q010</x:v>
      </x:c>
      <x:c r="C181" s="102" t="n">
        <x:v>46228</x:v>
      </x:c>
      <x:c r="D181" s="83" t="str">
        <x:v>Imported into LCSW master inventory</x:v>
      </x:c>
      <x:c r="E181" s="83" t="str">
        <x:v>LCSW Workbook 11 Question Bank</x:v>
      </x:c>
      <x:c r="F181" s="83" t="str">
        <x:v>1.0</x:v>
      </x:c>
      <x:c r="G181" s="83" t="n">
        <x:v>1</x:v>
      </x:c>
      <x:c r="H181" s="83" t="str">
        <x:v>Clinical Training Academy</x:v>
      </x:c>
      <x:c r="I181" s="89" t="str">
        <x:v>Source wording and option count preserved; no silent item-content revision during inventory build.</x:v>
      </x:c>
    </x:row>
    <x:row r="182">
      <x:c r="A182" s="88" t="str">
        <x:v>CTA-LCSW-MQB-0181</x:v>
      </x:c>
      <x:c r="B182" s="83" t="str">
        <x:v>LCSW-WB11-QB-Q011</x:v>
      </x:c>
      <x:c r="C182" s="102" t="n">
        <x:v>46228</x:v>
      </x:c>
      <x:c r="D182" s="83" t="str">
        <x:v>Imported into LCSW master inventory</x:v>
      </x:c>
      <x:c r="E182" s="83" t="str">
        <x:v>LCSW Workbook 11 Question Bank</x:v>
      </x:c>
      <x:c r="F182" s="83" t="str">
        <x:v>1.0</x:v>
      </x:c>
      <x:c r="G182" s="83" t="n">
        <x:v>1</x:v>
      </x:c>
      <x:c r="H182" s="83" t="str">
        <x:v>Clinical Training Academy</x:v>
      </x:c>
      <x:c r="I182" s="89" t="str">
        <x:v>Source wording and option count preserved; no silent item-content revision during inventory build.</x:v>
      </x:c>
    </x:row>
    <x:row r="183">
      <x:c r="A183" s="88" t="str">
        <x:v>CTA-LCSW-MQB-0182</x:v>
      </x:c>
      <x:c r="B183" s="83" t="str">
        <x:v>LCSW-WB11-QB-Q012</x:v>
      </x:c>
      <x:c r="C183" s="102" t="n">
        <x:v>46228</x:v>
      </x:c>
      <x:c r="D183" s="83" t="str">
        <x:v>Imported into LCSW master inventory</x:v>
      </x:c>
      <x:c r="E183" s="83" t="str">
        <x:v>LCSW Workbook 11 Question Bank</x:v>
      </x:c>
      <x:c r="F183" s="83" t="str">
        <x:v>1.0</x:v>
      </x:c>
      <x:c r="G183" s="83" t="n">
        <x:v>1</x:v>
      </x:c>
      <x:c r="H183" s="83" t="str">
        <x:v>Clinical Training Academy</x:v>
      </x:c>
      <x:c r="I183" s="89" t="str">
        <x:v>Source wording and option count preserved; no silent item-content revision during inventory build.</x:v>
      </x:c>
    </x:row>
    <x:row r="184">
      <x:c r="A184" s="88" t="str">
        <x:v>CTA-LCSW-MQB-0183</x:v>
      </x:c>
      <x:c r="B184" s="83" t="str">
        <x:v>LCSW-WB11-QB-Q013</x:v>
      </x:c>
      <x:c r="C184" s="102" t="n">
        <x:v>46228</x:v>
      </x:c>
      <x:c r="D184" s="83" t="str">
        <x:v>Imported into LCSW master inventory</x:v>
      </x:c>
      <x:c r="E184" s="83" t="str">
        <x:v>LCSW Workbook 11 Question Bank</x:v>
      </x:c>
      <x:c r="F184" s="83" t="str">
        <x:v>1.0</x:v>
      </x:c>
      <x:c r="G184" s="83" t="n">
        <x:v>1</x:v>
      </x:c>
      <x:c r="H184" s="83" t="str">
        <x:v>Clinical Training Academy</x:v>
      </x:c>
      <x:c r="I184" s="89" t="str">
        <x:v>Source wording and option count preserved; no silent item-content revision during inventory build.</x:v>
      </x:c>
    </x:row>
    <x:row r="185">
      <x:c r="A185" s="88" t="str">
        <x:v>CTA-LCSW-MQB-0184</x:v>
      </x:c>
      <x:c r="B185" s="83" t="str">
        <x:v>LCSW-WB11-QB-Q014</x:v>
      </x:c>
      <x:c r="C185" s="102" t="n">
        <x:v>46228</x:v>
      </x:c>
      <x:c r="D185" s="83" t="str">
        <x:v>Imported into LCSW master inventory</x:v>
      </x:c>
      <x:c r="E185" s="83" t="str">
        <x:v>LCSW Workbook 11 Question Bank</x:v>
      </x:c>
      <x:c r="F185" s="83" t="str">
        <x:v>1.0</x:v>
      </x:c>
      <x:c r="G185" s="83" t="n">
        <x:v>1</x:v>
      </x:c>
      <x:c r="H185" s="83" t="str">
        <x:v>Clinical Training Academy</x:v>
      </x:c>
      <x:c r="I185" s="89" t="str">
        <x:v>Source wording and option count preserved; no silent item-content revision during inventory build.</x:v>
      </x:c>
    </x:row>
    <x:row r="186">
      <x:c r="A186" s="88" t="str">
        <x:v>CTA-LCSW-MQB-0185</x:v>
      </x:c>
      <x:c r="B186" s="83" t="str">
        <x:v>LCSW-WB11-QB-Q015</x:v>
      </x:c>
      <x:c r="C186" s="102" t="n">
        <x:v>46228</x:v>
      </x:c>
      <x:c r="D186" s="83" t="str">
        <x:v>Imported into LCSW master inventory</x:v>
      </x:c>
      <x:c r="E186" s="83" t="str">
        <x:v>LCSW Workbook 11 Question Bank</x:v>
      </x:c>
      <x:c r="F186" s="83" t="str">
        <x:v>1.0</x:v>
      </x:c>
      <x:c r="G186" s="83" t="n">
        <x:v>1</x:v>
      </x:c>
      <x:c r="H186" s="83" t="str">
        <x:v>Clinical Training Academy</x:v>
      </x:c>
      <x:c r="I186" s="89" t="str">
        <x:v>Source wording and option count preserved; no silent item-content revision during inventory build.</x:v>
      </x:c>
    </x:row>
    <x:row r="187">
      <x:c r="A187" s="88" t="str">
        <x:v>CTA-LCSW-MQB-0186</x:v>
      </x:c>
      <x:c r="B187" s="83" t="str">
        <x:v>LCSW-WB11-QB-Q016</x:v>
      </x:c>
      <x:c r="C187" s="102" t="n">
        <x:v>46228</x:v>
      </x:c>
      <x:c r="D187" s="83" t="str">
        <x:v>Imported into LCSW master inventory</x:v>
      </x:c>
      <x:c r="E187" s="83" t="str">
        <x:v>LCSW Workbook 11 Question Bank</x:v>
      </x:c>
      <x:c r="F187" s="83" t="str">
        <x:v>1.0</x:v>
      </x:c>
      <x:c r="G187" s="83" t="n">
        <x:v>1</x:v>
      </x:c>
      <x:c r="H187" s="83" t="str">
        <x:v>Clinical Training Academy</x:v>
      </x:c>
      <x:c r="I187" s="89" t="str">
        <x:v>Source wording and option count preserved; no silent item-content revision during inventory build.</x:v>
      </x:c>
    </x:row>
    <x:row r="188">
      <x:c r="A188" s="88" t="str">
        <x:v>CTA-LCSW-MQB-0187</x:v>
      </x:c>
      <x:c r="B188" s="83" t="str">
        <x:v>LCSW-WB11-QB-Q017</x:v>
      </x:c>
      <x:c r="C188" s="102" t="n">
        <x:v>46228</x:v>
      </x:c>
      <x:c r="D188" s="83" t="str">
        <x:v>Imported into LCSW master inventory</x:v>
      </x:c>
      <x:c r="E188" s="83" t="str">
        <x:v>LCSW Workbook 11 Question Bank</x:v>
      </x:c>
      <x:c r="F188" s="83" t="str">
        <x:v>1.0</x:v>
      </x:c>
      <x:c r="G188" s="83" t="n">
        <x:v>1</x:v>
      </x:c>
      <x:c r="H188" s="83" t="str">
        <x:v>Clinical Training Academy</x:v>
      </x:c>
      <x:c r="I188" s="89" t="str">
        <x:v>Source wording and option count preserved; no silent item-content revision during inventory build.</x:v>
      </x:c>
    </x:row>
    <x:row r="189">
      <x:c r="A189" s="88" t="str">
        <x:v>CTA-LCSW-MQB-0188</x:v>
      </x:c>
      <x:c r="B189" s="83" t="str">
        <x:v>LCSW-WB12-QB-Q001</x:v>
      </x:c>
      <x:c r="C189" s="102" t="n">
        <x:v>46228</x:v>
      </x:c>
      <x:c r="D189" s="83" t="str">
        <x:v>Imported into LCSW master inventory</x:v>
      </x:c>
      <x:c r="E189" s="83" t="str">
        <x:v>LCSW Workbook 12 Question Bank</x:v>
      </x:c>
      <x:c r="F189" s="83" t="str">
        <x:v>1.0</x:v>
      </x:c>
      <x:c r="G189" s="83" t="n">
        <x:v>1</x:v>
      </x:c>
      <x:c r="H189" s="83" t="str">
        <x:v>Clinical Training Academy</x:v>
      </x:c>
      <x:c r="I189" s="89" t="str">
        <x:v>Source wording and option count preserved; no silent item-content revision during inventory build.</x:v>
      </x:c>
    </x:row>
    <x:row r="190">
      <x:c r="A190" s="88" t="str">
        <x:v>CTA-LCSW-MQB-0189</x:v>
      </x:c>
      <x:c r="B190" s="83" t="str">
        <x:v>LCSW-WB12-QB-Q002</x:v>
      </x:c>
      <x:c r="C190" s="102" t="n">
        <x:v>46228</x:v>
      </x:c>
      <x:c r="D190" s="83" t="str">
        <x:v>Imported into LCSW master inventory</x:v>
      </x:c>
      <x:c r="E190" s="83" t="str">
        <x:v>LCSW Workbook 12 Question Bank</x:v>
      </x:c>
      <x:c r="F190" s="83" t="str">
        <x:v>1.0</x:v>
      </x:c>
      <x:c r="G190" s="83" t="n">
        <x:v>1</x:v>
      </x:c>
      <x:c r="H190" s="83" t="str">
        <x:v>Clinical Training Academy</x:v>
      </x:c>
      <x:c r="I190" s="89" t="str">
        <x:v>Source wording and option count preserved; no silent item-content revision during inventory build.</x:v>
      </x:c>
    </x:row>
    <x:row r="191">
      <x:c r="A191" s="88" t="str">
        <x:v>CTA-LCSW-MQB-0190</x:v>
      </x:c>
      <x:c r="B191" s="83" t="str">
        <x:v>LCSW-WB12-QB-Q003</x:v>
      </x:c>
      <x:c r="C191" s="102" t="n">
        <x:v>46228</x:v>
      </x:c>
      <x:c r="D191" s="83" t="str">
        <x:v>Imported into LCSW master inventory</x:v>
      </x:c>
      <x:c r="E191" s="83" t="str">
        <x:v>LCSW Workbook 12 Question Bank</x:v>
      </x:c>
      <x:c r="F191" s="83" t="str">
        <x:v>1.0</x:v>
      </x:c>
      <x:c r="G191" s="83" t="n">
        <x:v>1</x:v>
      </x:c>
      <x:c r="H191" s="83" t="str">
        <x:v>Clinical Training Academy</x:v>
      </x:c>
      <x:c r="I191" s="89" t="str">
        <x:v>Source wording and option count preserved; no silent item-content revision during inventory build.</x:v>
      </x:c>
    </x:row>
    <x:row r="192">
      <x:c r="A192" s="88" t="str">
        <x:v>CTA-LCSW-MQB-0191</x:v>
      </x:c>
      <x:c r="B192" s="83" t="str">
        <x:v>LCSW-WB12-QB-Q004</x:v>
      </x:c>
      <x:c r="C192" s="102" t="n">
        <x:v>46228</x:v>
      </x:c>
      <x:c r="D192" s="83" t="str">
        <x:v>Imported into LCSW master inventory</x:v>
      </x:c>
      <x:c r="E192" s="83" t="str">
        <x:v>LCSW Workbook 12 Question Bank</x:v>
      </x:c>
      <x:c r="F192" s="83" t="str">
        <x:v>1.0</x:v>
      </x:c>
      <x:c r="G192" s="83" t="n">
        <x:v>1</x:v>
      </x:c>
      <x:c r="H192" s="83" t="str">
        <x:v>Clinical Training Academy</x:v>
      </x:c>
      <x:c r="I192" s="89" t="str">
        <x:v>Source wording and option count preserved; no silent item-content revision during inventory build.</x:v>
      </x:c>
    </x:row>
    <x:row r="193">
      <x:c r="A193" s="88" t="str">
        <x:v>CTA-LCSW-MQB-0192</x:v>
      </x:c>
      <x:c r="B193" s="83" t="str">
        <x:v>LCSW-WB12-QB-Q005</x:v>
      </x:c>
      <x:c r="C193" s="102" t="n">
        <x:v>46228</x:v>
      </x:c>
      <x:c r="D193" s="83" t="str">
        <x:v>Imported into LCSW master inventory</x:v>
      </x:c>
      <x:c r="E193" s="83" t="str">
        <x:v>LCSW Workbook 12 Question Bank</x:v>
      </x:c>
      <x:c r="F193" s="83" t="str">
        <x:v>1.0</x:v>
      </x:c>
      <x:c r="G193" s="83" t="n">
        <x:v>1</x:v>
      </x:c>
      <x:c r="H193" s="83" t="str">
        <x:v>Clinical Training Academy</x:v>
      </x:c>
      <x:c r="I193" s="89" t="str">
        <x:v>Source wording and option count preserved; no silent item-content revision during inventory build.</x:v>
      </x:c>
    </x:row>
    <x:row r="194">
      <x:c r="A194" s="88" t="str">
        <x:v>CTA-LCSW-MQB-0193</x:v>
      </x:c>
      <x:c r="B194" s="83" t="str">
        <x:v>LCSW-WB12-QB-Q006</x:v>
      </x:c>
      <x:c r="C194" s="102" t="n">
        <x:v>46228</x:v>
      </x:c>
      <x:c r="D194" s="83" t="str">
        <x:v>Imported into LCSW master inventory</x:v>
      </x:c>
      <x:c r="E194" s="83" t="str">
        <x:v>LCSW Workbook 12 Question Bank</x:v>
      </x:c>
      <x:c r="F194" s="83" t="str">
        <x:v>1.0</x:v>
      </x:c>
      <x:c r="G194" s="83" t="n">
        <x:v>1</x:v>
      </x:c>
      <x:c r="H194" s="83" t="str">
        <x:v>Clinical Training Academy</x:v>
      </x:c>
      <x:c r="I194" s="89" t="str">
        <x:v>Source wording and option count preserved; no silent item-content revision during inventory build.</x:v>
      </x:c>
    </x:row>
    <x:row r="195">
      <x:c r="A195" s="88" t="str">
        <x:v>CTA-LCSW-MQB-0194</x:v>
      </x:c>
      <x:c r="B195" s="83" t="str">
        <x:v>LCSW-WB12-QB-Q007</x:v>
      </x:c>
      <x:c r="C195" s="102" t="n">
        <x:v>46228</x:v>
      </x:c>
      <x:c r="D195" s="83" t="str">
        <x:v>Imported into LCSW master inventory</x:v>
      </x:c>
      <x:c r="E195" s="83" t="str">
        <x:v>LCSW Workbook 12 Question Bank</x:v>
      </x:c>
      <x:c r="F195" s="83" t="str">
        <x:v>1.0</x:v>
      </x:c>
      <x:c r="G195" s="83" t="n">
        <x:v>1</x:v>
      </x:c>
      <x:c r="H195" s="83" t="str">
        <x:v>Clinical Training Academy</x:v>
      </x:c>
      <x:c r="I195" s="89" t="str">
        <x:v>Source wording and option count preserved; no silent item-content revision during inventory build.</x:v>
      </x:c>
    </x:row>
    <x:row r="196">
      <x:c r="A196" s="88" t="str">
        <x:v>CTA-LCSW-MQB-0195</x:v>
      </x:c>
      <x:c r="B196" s="83" t="str">
        <x:v>LCSW-WB12-QB-Q008</x:v>
      </x:c>
      <x:c r="C196" s="102" t="n">
        <x:v>46228</x:v>
      </x:c>
      <x:c r="D196" s="83" t="str">
        <x:v>Imported into LCSW master inventory</x:v>
      </x:c>
      <x:c r="E196" s="83" t="str">
        <x:v>LCSW Workbook 12 Question Bank</x:v>
      </x:c>
      <x:c r="F196" s="83" t="str">
        <x:v>1.0</x:v>
      </x:c>
      <x:c r="G196" s="83" t="n">
        <x:v>1</x:v>
      </x:c>
      <x:c r="H196" s="83" t="str">
        <x:v>Clinical Training Academy</x:v>
      </x:c>
      <x:c r="I196" s="89" t="str">
        <x:v>Source wording and option count preserved; no silent item-content revision during inventory build.</x:v>
      </x:c>
    </x:row>
    <x:row r="197">
      <x:c r="A197" s="88" t="str">
        <x:v>CTA-LCSW-MQB-0196</x:v>
      </x:c>
      <x:c r="B197" s="83" t="str">
        <x:v>LCSW-WB12-QB-Q009</x:v>
      </x:c>
      <x:c r="C197" s="102" t="n">
        <x:v>46228</x:v>
      </x:c>
      <x:c r="D197" s="83" t="str">
        <x:v>Imported into LCSW master inventory</x:v>
      </x:c>
      <x:c r="E197" s="83" t="str">
        <x:v>LCSW Workbook 12 Question Bank</x:v>
      </x:c>
      <x:c r="F197" s="83" t="str">
        <x:v>1.0</x:v>
      </x:c>
      <x:c r="G197" s="83" t="n">
        <x:v>1</x:v>
      </x:c>
      <x:c r="H197" s="83" t="str">
        <x:v>Clinical Training Academy</x:v>
      </x:c>
      <x:c r="I197" s="89" t="str">
        <x:v>Source wording and option count preserved; no silent item-content revision during inventory build.</x:v>
      </x:c>
    </x:row>
    <x:row r="198">
      <x:c r="A198" s="88" t="str">
        <x:v>CTA-LCSW-MQB-0197</x:v>
      </x:c>
      <x:c r="B198" s="83" t="str">
        <x:v>LCSW-WB12-QB-Q010</x:v>
      </x:c>
      <x:c r="C198" s="102" t="n">
        <x:v>46228</x:v>
      </x:c>
      <x:c r="D198" s="83" t="str">
        <x:v>Imported into LCSW master inventory</x:v>
      </x:c>
      <x:c r="E198" s="83" t="str">
        <x:v>LCSW Workbook 12 Question Bank</x:v>
      </x:c>
      <x:c r="F198" s="83" t="str">
        <x:v>1.0</x:v>
      </x:c>
      <x:c r="G198" s="83" t="n">
        <x:v>1</x:v>
      </x:c>
      <x:c r="H198" s="83" t="str">
        <x:v>Clinical Training Academy</x:v>
      </x:c>
      <x:c r="I198" s="89" t="str">
        <x:v>Source wording and option count preserved; no silent item-content revision during inventory build.</x:v>
      </x:c>
    </x:row>
    <x:row r="199">
      <x:c r="A199" s="88" t="str">
        <x:v>CTA-LCSW-MQB-0198</x:v>
      </x:c>
      <x:c r="B199" s="83" t="str">
        <x:v>LCSW-WB12-QB-Q011</x:v>
      </x:c>
      <x:c r="C199" s="102" t="n">
        <x:v>46228</x:v>
      </x:c>
      <x:c r="D199" s="83" t="str">
        <x:v>Imported into LCSW master inventory</x:v>
      </x:c>
      <x:c r="E199" s="83" t="str">
        <x:v>LCSW Workbook 12 Question Bank</x:v>
      </x:c>
      <x:c r="F199" s="83" t="str">
        <x:v>1.0</x:v>
      </x:c>
      <x:c r="G199" s="83" t="n">
        <x:v>1</x:v>
      </x:c>
      <x:c r="H199" s="83" t="str">
        <x:v>Clinical Training Academy</x:v>
      </x:c>
      <x:c r="I199" s="89" t="str">
        <x:v>Source wording and option count preserved; no silent item-content revision during inventory build.</x:v>
      </x:c>
    </x:row>
    <x:row r="200">
      <x:c r="A200" s="88" t="str">
        <x:v>CTA-LCSW-MQB-0199</x:v>
      </x:c>
      <x:c r="B200" s="83" t="str">
        <x:v>LCSW-WB12-QB-Q012</x:v>
      </x:c>
      <x:c r="C200" s="102" t="n">
        <x:v>46228</x:v>
      </x:c>
      <x:c r="D200" s="83" t="str">
        <x:v>Imported into LCSW master inventory</x:v>
      </x:c>
      <x:c r="E200" s="83" t="str">
        <x:v>LCSW Workbook 12 Question Bank</x:v>
      </x:c>
      <x:c r="F200" s="83" t="str">
        <x:v>1.0</x:v>
      </x:c>
      <x:c r="G200" s="83" t="n">
        <x:v>1</x:v>
      </x:c>
      <x:c r="H200" s="83" t="str">
        <x:v>Clinical Training Academy</x:v>
      </x:c>
      <x:c r="I200" s="89" t="str">
        <x:v>Source wording and option count preserved; no silent item-content revision during inventory build.</x:v>
      </x:c>
    </x:row>
    <x:row r="201">
      <x:c r="A201" s="88" t="str">
        <x:v>CTA-LCSW-MQB-0200</x:v>
      </x:c>
      <x:c r="B201" s="83" t="str">
        <x:v>LCSW-WB12-QB-Q013</x:v>
      </x:c>
      <x:c r="C201" s="102" t="n">
        <x:v>46228</x:v>
      </x:c>
      <x:c r="D201" s="83" t="str">
        <x:v>Imported into LCSW master inventory</x:v>
      </x:c>
      <x:c r="E201" s="83" t="str">
        <x:v>LCSW Workbook 12 Question Bank</x:v>
      </x:c>
      <x:c r="F201" s="83" t="str">
        <x:v>1.0</x:v>
      </x:c>
      <x:c r="G201" s="83" t="n">
        <x:v>1</x:v>
      </x:c>
      <x:c r="H201" s="83" t="str">
        <x:v>Clinical Training Academy</x:v>
      </x:c>
      <x:c r="I201" s="89" t="str">
        <x:v>Source wording and option count preserved; no silent item-content revision during inventory build.</x:v>
      </x:c>
    </x:row>
    <x:row r="202">
      <x:c r="A202" s="88" t="str">
        <x:v>CTA-LCSW-MQB-0201</x:v>
      </x:c>
      <x:c r="B202" s="83" t="str">
        <x:v>LCSW-WB12-QB-Q014</x:v>
      </x:c>
      <x:c r="C202" s="102" t="n">
        <x:v>46228</x:v>
      </x:c>
      <x:c r="D202" s="83" t="str">
        <x:v>Imported into LCSW master inventory</x:v>
      </x:c>
      <x:c r="E202" s="83" t="str">
        <x:v>LCSW Workbook 12 Question Bank</x:v>
      </x:c>
      <x:c r="F202" s="83" t="str">
        <x:v>1.0</x:v>
      </x:c>
      <x:c r="G202" s="83" t="n">
        <x:v>1</x:v>
      </x:c>
      <x:c r="H202" s="83" t="str">
        <x:v>Clinical Training Academy</x:v>
      </x:c>
      <x:c r="I202" s="89" t="str">
        <x:v>Source wording and option count preserved; no silent item-content revision during inventory build.</x:v>
      </x:c>
    </x:row>
    <x:row r="203">
      <x:c r="A203" s="88" t="str">
        <x:v>CTA-LCSW-MQB-0202</x:v>
      </x:c>
      <x:c r="B203" s="83" t="str">
        <x:v>LCSW-WB12-QB-Q015</x:v>
      </x:c>
      <x:c r="C203" s="102" t="n">
        <x:v>46228</x:v>
      </x:c>
      <x:c r="D203" s="83" t="str">
        <x:v>Imported into LCSW master inventory</x:v>
      </x:c>
      <x:c r="E203" s="83" t="str">
        <x:v>LCSW Workbook 12 Question Bank</x:v>
      </x:c>
      <x:c r="F203" s="83" t="str">
        <x:v>1.0</x:v>
      </x:c>
      <x:c r="G203" s="83" t="n">
        <x:v>1</x:v>
      </x:c>
      <x:c r="H203" s="83" t="str">
        <x:v>Clinical Training Academy</x:v>
      </x:c>
      <x:c r="I203" s="89" t="str">
        <x:v>Source wording and option count preserved; no silent item-content revision during inventory build.</x:v>
      </x:c>
    </x:row>
    <x:row r="204">
      <x:c r="A204" s="88" t="str">
        <x:v>CTA-LCSW-MQB-0203</x:v>
      </x:c>
      <x:c r="B204" s="83" t="str">
        <x:v>LCSW-WB12-QB-Q016</x:v>
      </x:c>
      <x:c r="C204" s="102" t="n">
        <x:v>46228</x:v>
      </x:c>
      <x:c r="D204" s="83" t="str">
        <x:v>Imported into LCSW master inventory</x:v>
      </x:c>
      <x:c r="E204" s="83" t="str">
        <x:v>LCSW Workbook 12 Question Bank</x:v>
      </x:c>
      <x:c r="F204" s="83" t="str">
        <x:v>1.0</x:v>
      </x:c>
      <x:c r="G204" s="83" t="n">
        <x:v>1</x:v>
      </x:c>
      <x:c r="H204" s="83" t="str">
        <x:v>Clinical Training Academy</x:v>
      </x:c>
      <x:c r="I204" s="89" t="str">
        <x:v>Source wording and option count preserved; no silent item-content revision during inventory build.</x:v>
      </x:c>
    </x:row>
    <x:row r="205">
      <x:c r="A205" s="88" t="str">
        <x:v>CTA-LCSW-MQB-0204</x:v>
      </x:c>
      <x:c r="B205" s="83" t="str">
        <x:v>LCSW-WB12-QB-Q017</x:v>
      </x:c>
      <x:c r="C205" s="102" t="n">
        <x:v>46228</x:v>
      </x:c>
      <x:c r="D205" s="83" t="str">
        <x:v>Imported into LCSW master inventory</x:v>
      </x:c>
      <x:c r="E205" s="83" t="str">
        <x:v>LCSW Workbook 12 Question Bank</x:v>
      </x:c>
      <x:c r="F205" s="83" t="str">
        <x:v>1.0</x:v>
      </x:c>
      <x:c r="G205" s="83" t="n">
        <x:v>1</x:v>
      </x:c>
      <x:c r="H205" s="83" t="str">
        <x:v>Clinical Training Academy</x:v>
      </x:c>
      <x:c r="I205" s="89" t="str">
        <x:v>Source wording and option count preserved; no silent item-content revision during inventory build.</x:v>
      </x:c>
    </x:row>
    <x:row r="206">
      <x:c r="A206" s="88" t="str">
        <x:v>CTA-LCSW-MQB-0205</x:v>
      </x:c>
      <x:c r="B206" s="83" t="str">
        <x:v>LCSW-MQB-FA-IP-029</x:v>
      </x:c>
      <x:c r="C206" s="102" t="n">
        <x:v>46228</x:v>
      </x:c>
      <x:c r="D206" s="83" t="str">
        <x:v>Imported into LCSW master inventory</x:v>
      </x:c>
      <x:c r="E206" s="83" t="str">
        <x:v>LCSW 2026 Comprehensive Simulation Form A</x:v>
      </x:c>
      <x:c r="F206" s="83" t="str">
        <x:v>1.0</x:v>
      </x:c>
      <x:c r="G206" s="83" t="n">
        <x:v>1</x:v>
      </x:c>
      <x:c r="H206" s="83" t="str">
        <x:v>Clinical Training Academy</x:v>
      </x:c>
      <x:c r="I206" s="89" t="str">
        <x:v>Source wording and option count preserved; no silent item-content revision during inventory build.</x:v>
      </x:c>
    </x:row>
    <x:row r="207">
      <x:c r="A207" s="88" t="str">
        <x:v>CTA-LCSW-MQB-0206</x:v>
      </x:c>
      <x:c r="B207" s="83" t="str">
        <x:v>LCSW-MQB-FA-IP-008</x:v>
      </x:c>
      <x:c r="C207" s="102" t="n">
        <x:v>46228</x:v>
      </x:c>
      <x:c r="D207" s="83" t="str">
        <x:v>Imported into LCSW master inventory</x:v>
      </x:c>
      <x:c r="E207" s="83" t="str">
        <x:v>LCSW 2026 Comprehensive Simulation Form A</x:v>
      </x:c>
      <x:c r="F207" s="83" t="str">
        <x:v>1.0</x:v>
      </x:c>
      <x:c r="G207" s="83" t="n">
        <x:v>1</x:v>
      </x:c>
      <x:c r="H207" s="83" t="str">
        <x:v>Clinical Training Academy</x:v>
      </x:c>
      <x:c r="I207" s="89" t="str">
        <x:v>Source wording and option count preserved; no silent item-content revision during inventory build.</x:v>
      </x:c>
    </x:row>
    <x:row r="208">
      <x:c r="A208" s="88" t="str">
        <x:v>CTA-LCSW-MQB-0207</x:v>
      </x:c>
      <x:c r="B208" s="83" t="str">
        <x:v>LCSW-MQB-FA-AP-036</x:v>
      </x:c>
      <x:c r="C208" s="102" t="n">
        <x:v>46228</x:v>
      </x:c>
      <x:c r="D208" s="83" t="str">
        <x:v>Imported into LCSW master inventory</x:v>
      </x:c>
      <x:c r="E208" s="83" t="str">
        <x:v>LCSW 2026 Comprehensive Simulation Form A</x:v>
      </x:c>
      <x:c r="F208" s="83" t="str">
        <x:v>1.0</x:v>
      </x:c>
      <x:c r="G208" s="83" t="n">
        <x:v>1</x:v>
      </x:c>
      <x:c r="H208" s="83" t="str">
        <x:v>Clinical Training Academy</x:v>
      </x:c>
      <x:c r="I208" s="89" t="str">
        <x:v>Source wording and option count preserved; no silent item-content revision during inventory build.</x:v>
      </x:c>
    </x:row>
    <x:row r="209">
      <x:c r="A209" s="88" t="str">
        <x:v>CTA-LCSW-MQB-0208</x:v>
      </x:c>
      <x:c r="B209" s="83" t="str">
        <x:v>LCSW-MQB-FA-IP-035</x:v>
      </x:c>
      <x:c r="C209" s="102" t="n">
        <x:v>46228</x:v>
      </x:c>
      <x:c r="D209" s="83" t="str">
        <x:v>Imported into LCSW master inventory</x:v>
      </x:c>
      <x:c r="E209" s="83" t="str">
        <x:v>LCSW 2026 Comprehensive Simulation Form A</x:v>
      </x:c>
      <x:c r="F209" s="83" t="str">
        <x:v>1.0</x:v>
      </x:c>
      <x:c r="G209" s="83" t="n">
        <x:v>1</x:v>
      </x:c>
      <x:c r="H209" s="83" t="str">
        <x:v>Clinical Training Academy</x:v>
      </x:c>
      <x:c r="I209" s="89" t="str">
        <x:v>Source wording and option count preserved; no silent item-content revision during inventory build.</x:v>
      </x:c>
    </x:row>
    <x:row r="210">
      <x:c r="A210" s="88" t="str">
        <x:v>CTA-LCSW-MQB-0209</x:v>
      </x:c>
      <x:c r="B210" s="83" t="str">
        <x:v>LCSW-MQB-FA-VE-034</x:v>
      </x:c>
      <x:c r="C210" s="102" t="n">
        <x:v>46228</x:v>
      </x:c>
      <x:c r="D210" s="83" t="str">
        <x:v>Imported into LCSW master inventory</x:v>
      </x:c>
      <x:c r="E210" s="83" t="str">
        <x:v>LCSW 2026 Comprehensive Simulation Form A</x:v>
      </x:c>
      <x:c r="F210" s="83" t="str">
        <x:v>1.0</x:v>
      </x:c>
      <x:c r="G210" s="83" t="n">
        <x:v>1</x:v>
      </x:c>
      <x:c r="H210" s="83" t="str">
        <x:v>Clinical Training Academy</x:v>
      </x:c>
      <x:c r="I210" s="89" t="str">
        <x:v>Source wording and option count preserved; no silent item-content revision during inventory build.</x:v>
      </x:c>
    </x:row>
    <x:row r="211">
      <x:c r="A211" s="88" t="str">
        <x:v>CTA-LCSW-MQB-0210</x:v>
      </x:c>
      <x:c r="B211" s="83" t="str">
        <x:v>LCSW-MQB-FA-AP-004</x:v>
      </x:c>
      <x:c r="C211" s="102" t="n">
        <x:v>46228</x:v>
      </x:c>
      <x:c r="D211" s="83" t="str">
        <x:v>Imported into LCSW master inventory</x:v>
      </x:c>
      <x:c r="E211" s="83" t="str">
        <x:v>LCSW 2026 Comprehensive Simulation Form A</x:v>
      </x:c>
      <x:c r="F211" s="83" t="str">
        <x:v>1.0</x:v>
      </x:c>
      <x:c r="G211" s="83" t="n">
        <x:v>1</x:v>
      </x:c>
      <x:c r="H211" s="83" t="str">
        <x:v>Clinical Training Academy</x:v>
      </x:c>
      <x:c r="I211" s="89" t="str">
        <x:v>Source wording and option count preserved; no silent item-content revision during inventory build.</x:v>
      </x:c>
    </x:row>
    <x:row r="212">
      <x:c r="A212" s="88" t="str">
        <x:v>CTA-LCSW-MQB-0211</x:v>
      </x:c>
      <x:c r="B212" s="83" t="str">
        <x:v>LCSW-MQB-FA-VE-009</x:v>
      </x:c>
      <x:c r="C212" s="102" t="n">
        <x:v>46228</x:v>
      </x:c>
      <x:c r="D212" s="83" t="str">
        <x:v>Imported into LCSW master inventory</x:v>
      </x:c>
      <x:c r="E212" s="83" t="str">
        <x:v>LCSW 2026 Comprehensive Simulation Form A</x:v>
      </x:c>
      <x:c r="F212" s="83" t="str">
        <x:v>1.0</x:v>
      </x:c>
      <x:c r="G212" s="83" t="n">
        <x:v>1</x:v>
      </x:c>
      <x:c r="H212" s="83" t="str">
        <x:v>Clinical Training Academy</x:v>
      </x:c>
      <x:c r="I212" s="89" t="str">
        <x:v>Source wording and option count preserved; no silent item-content revision during inventory build.</x:v>
      </x:c>
    </x:row>
    <x:row r="213">
      <x:c r="A213" s="88" t="str">
        <x:v>CTA-LCSW-MQB-0212</x:v>
      </x:c>
      <x:c r="B213" s="83" t="str">
        <x:v>LCSW-MQB-FA-IP-012</x:v>
      </x:c>
      <x:c r="C213" s="102" t="n">
        <x:v>46228</x:v>
      </x:c>
      <x:c r="D213" s="83" t="str">
        <x:v>Imported into LCSW master inventory</x:v>
      </x:c>
      <x:c r="E213" s="83" t="str">
        <x:v>LCSW 2026 Comprehensive Simulation Form A</x:v>
      </x:c>
      <x:c r="F213" s="83" t="str">
        <x:v>1.0</x:v>
      </x:c>
      <x:c r="G213" s="83" t="n">
        <x:v>1</x:v>
      </x:c>
      <x:c r="H213" s="83" t="str">
        <x:v>Clinical Training Academy</x:v>
      </x:c>
      <x:c r="I213" s="89" t="str">
        <x:v>Source wording and option count preserved; no silent item-content revision during inventory build.</x:v>
      </x:c>
    </x:row>
    <x:row r="214">
      <x:c r="A214" s="88" t="str">
        <x:v>CTA-LCSW-MQB-0213</x:v>
      </x:c>
      <x:c r="B214" s="83" t="str">
        <x:v>LCSW-MQB-FA-VE-031</x:v>
      </x:c>
      <x:c r="C214" s="102" t="n">
        <x:v>46228</x:v>
      </x:c>
      <x:c r="D214" s="83" t="str">
        <x:v>Imported into LCSW master inventory</x:v>
      </x:c>
      <x:c r="E214" s="83" t="str">
        <x:v>LCSW 2026 Comprehensive Simulation Form A</x:v>
      </x:c>
      <x:c r="F214" s="83" t="str">
        <x:v>1.0</x:v>
      </x:c>
      <x:c r="G214" s="83" t="n">
        <x:v>1</x:v>
      </x:c>
      <x:c r="H214" s="83" t="str">
        <x:v>Clinical Training Academy</x:v>
      </x:c>
      <x:c r="I214" s="89" t="str">
        <x:v>Source wording and option count preserved; no silent item-content revision during inventory build.</x:v>
      </x:c>
    </x:row>
    <x:row r="215">
      <x:c r="A215" s="88" t="str">
        <x:v>CTA-LCSW-MQB-0214</x:v>
      </x:c>
      <x:c r="B215" s="83" t="str">
        <x:v>LCSW-MQB-FA-IP-005</x:v>
      </x:c>
      <x:c r="C215" s="102" t="n">
        <x:v>46228</x:v>
      </x:c>
      <x:c r="D215" s="83" t="str">
        <x:v>Imported into LCSW master inventory</x:v>
      </x:c>
      <x:c r="E215" s="83" t="str">
        <x:v>LCSW 2026 Comprehensive Simulation Form A</x:v>
      </x:c>
      <x:c r="F215" s="83" t="str">
        <x:v>1.0</x:v>
      </x:c>
      <x:c r="G215" s="83" t="n">
        <x:v>1</x:v>
      </x:c>
      <x:c r="H215" s="83" t="str">
        <x:v>Clinical Training Academy</x:v>
      </x:c>
      <x:c r="I215" s="89" t="str">
        <x:v>Source wording and option count preserved; no silent item-content revision during inventory build.</x:v>
      </x:c>
    </x:row>
    <x:row r="216">
      <x:c r="A216" s="88" t="str">
        <x:v>CTA-LCSW-MQB-0215</x:v>
      </x:c>
      <x:c r="B216" s="83" t="str">
        <x:v>LCSW-MQB-FA-IP-009</x:v>
      </x:c>
      <x:c r="C216" s="102" t="n">
        <x:v>46228</x:v>
      </x:c>
      <x:c r="D216" s="83" t="str">
        <x:v>Imported into LCSW master inventory</x:v>
      </x:c>
      <x:c r="E216" s="83" t="str">
        <x:v>LCSW 2026 Comprehensive Simulation Form A</x:v>
      </x:c>
      <x:c r="F216" s="83" t="str">
        <x:v>1.0</x:v>
      </x:c>
      <x:c r="G216" s="83" t="n">
        <x:v>1</x:v>
      </x:c>
      <x:c r="H216" s="83" t="str">
        <x:v>Clinical Training Academy</x:v>
      </x:c>
      <x:c r="I216" s="89" t="str">
        <x:v>Source wording and option count preserved; no silent item-content revision during inventory build.</x:v>
      </x:c>
    </x:row>
    <x:row r="217">
      <x:c r="A217" s="88" t="str">
        <x:v>CTA-LCSW-MQB-0216</x:v>
      </x:c>
      <x:c r="B217" s="83" t="str">
        <x:v>LCSW-MQB-FA-AP-032</x:v>
      </x:c>
      <x:c r="C217" s="102" t="n">
        <x:v>46228</x:v>
      </x:c>
      <x:c r="D217" s="83" t="str">
        <x:v>Imported into LCSW master inventory</x:v>
      </x:c>
      <x:c r="E217" s="83" t="str">
        <x:v>LCSW 2026 Comprehensive Simulation Form A</x:v>
      </x:c>
      <x:c r="F217" s="83" t="str">
        <x:v>1.0</x:v>
      </x:c>
      <x:c r="G217" s="83" t="n">
        <x:v>1</x:v>
      </x:c>
      <x:c r="H217" s="83" t="str">
        <x:v>Clinical Training Academy</x:v>
      </x:c>
      <x:c r="I217" s="89" t="str">
        <x:v>Source wording and option count preserved; no silent item-content revision during inventory build.</x:v>
      </x:c>
    </x:row>
    <x:row r="218">
      <x:c r="A218" s="88" t="str">
        <x:v>CTA-LCSW-MQB-0217</x:v>
      </x:c>
      <x:c r="B218" s="83" t="str">
        <x:v>LCSW-MQB-FA-AP-019</x:v>
      </x:c>
      <x:c r="C218" s="102" t="n">
        <x:v>46228</x:v>
      </x:c>
      <x:c r="D218" s="83" t="str">
        <x:v>Imported into LCSW master inventory</x:v>
      </x:c>
      <x:c r="E218" s="83" t="str">
        <x:v>LCSW 2026 Comprehensive Simulation Form A</x:v>
      </x:c>
      <x:c r="F218" s="83" t="str">
        <x:v>1.0</x:v>
      </x:c>
      <x:c r="G218" s="83" t="n">
        <x:v>1</x:v>
      </x:c>
      <x:c r="H218" s="83" t="str">
        <x:v>Clinical Training Academy</x:v>
      </x:c>
      <x:c r="I218" s="89" t="str">
        <x:v>Source wording and option count preserved; no silent item-content revision during inventory build.</x:v>
      </x:c>
    </x:row>
    <x:row r="219">
      <x:c r="A219" s="88" t="str">
        <x:v>CTA-LCSW-MQB-0218</x:v>
      </x:c>
      <x:c r="B219" s="83" t="str">
        <x:v>LCSW-MQB-FA-IP-017</x:v>
      </x:c>
      <x:c r="C219" s="102" t="n">
        <x:v>46228</x:v>
      </x:c>
      <x:c r="D219" s="83" t="str">
        <x:v>Imported into LCSW master inventory</x:v>
      </x:c>
      <x:c r="E219" s="83" t="str">
        <x:v>LCSW 2026 Comprehensive Simulation Form A</x:v>
      </x:c>
      <x:c r="F219" s="83" t="str">
        <x:v>1.0</x:v>
      </x:c>
      <x:c r="G219" s="83" t="n">
        <x:v>1</x:v>
      </x:c>
      <x:c r="H219" s="83" t="str">
        <x:v>Clinical Training Academy</x:v>
      </x:c>
      <x:c r="I219" s="89" t="str">
        <x:v>Source wording and option count preserved; no silent item-content revision during inventory build.</x:v>
      </x:c>
    </x:row>
    <x:row r="220">
      <x:c r="A220" s="88" t="str">
        <x:v>CTA-LCSW-MQB-0219</x:v>
      </x:c>
      <x:c r="B220" s="83" t="str">
        <x:v>LCSW-MQB-FA-AP-009</x:v>
      </x:c>
      <x:c r="C220" s="102" t="n">
        <x:v>46228</x:v>
      </x:c>
      <x:c r="D220" s="83" t="str">
        <x:v>Imported into LCSW master inventory</x:v>
      </x:c>
      <x:c r="E220" s="83" t="str">
        <x:v>LCSW 2026 Comprehensive Simulation Form A</x:v>
      </x:c>
      <x:c r="F220" s="83" t="str">
        <x:v>1.0</x:v>
      </x:c>
      <x:c r="G220" s="83" t="n">
        <x:v>1</x:v>
      </x:c>
      <x:c r="H220" s="83" t="str">
        <x:v>Clinical Training Academy</x:v>
      </x:c>
      <x:c r="I220" s="89" t="str">
        <x:v>Source wording and option count preserved; no silent item-content revision during inventory build.</x:v>
      </x:c>
    </x:row>
    <x:row r="221">
      <x:c r="A221" s="88" t="str">
        <x:v>CTA-LCSW-MQB-0220</x:v>
      </x:c>
      <x:c r="B221" s="83" t="str">
        <x:v>LCSW-MQB-FA-VE-039</x:v>
      </x:c>
      <x:c r="C221" s="102" t="n">
        <x:v>46228</x:v>
      </x:c>
      <x:c r="D221" s="83" t="str">
        <x:v>Imported into LCSW master inventory</x:v>
      </x:c>
      <x:c r="E221" s="83" t="str">
        <x:v>LCSW 2026 Comprehensive Simulation Form A</x:v>
      </x:c>
      <x:c r="F221" s="83" t="str">
        <x:v>1.0</x:v>
      </x:c>
      <x:c r="G221" s="83" t="n">
        <x:v>1</x:v>
      </x:c>
      <x:c r="H221" s="83" t="str">
        <x:v>Clinical Training Academy</x:v>
      </x:c>
      <x:c r="I221" s="89" t="str">
        <x:v>Source wording and option count preserved; no silent item-content revision during inventory build.</x:v>
      </x:c>
    </x:row>
    <x:row r="222">
      <x:c r="A222" s="88" t="str">
        <x:v>CTA-LCSW-MQB-0221</x:v>
      </x:c>
      <x:c r="B222" s="83" t="str">
        <x:v>LCSW-MQB-FA-VE-030</x:v>
      </x:c>
      <x:c r="C222" s="102" t="n">
        <x:v>46228</x:v>
      </x:c>
      <x:c r="D222" s="83" t="str">
        <x:v>Imported into LCSW master inventory</x:v>
      </x:c>
      <x:c r="E222" s="83" t="str">
        <x:v>LCSW 2026 Comprehensive Simulation Form A</x:v>
      </x:c>
      <x:c r="F222" s="83" t="str">
        <x:v>1.0</x:v>
      </x:c>
      <x:c r="G222" s="83" t="n">
        <x:v>1</x:v>
      </x:c>
      <x:c r="H222" s="83" t="str">
        <x:v>Clinical Training Academy</x:v>
      </x:c>
      <x:c r="I222" s="89" t="str">
        <x:v>Source wording and option count preserved; no silent item-content revision during inventory build.</x:v>
      </x:c>
    </x:row>
    <x:row r="223">
      <x:c r="A223" s="88" t="str">
        <x:v>CTA-LCSW-MQB-0222</x:v>
      </x:c>
      <x:c r="B223" s="83" t="str">
        <x:v>LCSW-MQB-FA-IP-002</x:v>
      </x:c>
      <x:c r="C223" s="102" t="n">
        <x:v>46228</x:v>
      </x:c>
      <x:c r="D223" s="83" t="str">
        <x:v>Imported into LCSW master inventory</x:v>
      </x:c>
      <x:c r="E223" s="83" t="str">
        <x:v>LCSW 2026 Comprehensive Simulation Form A</x:v>
      </x:c>
      <x:c r="F223" s="83" t="str">
        <x:v>1.0</x:v>
      </x:c>
      <x:c r="G223" s="83" t="n">
        <x:v>1</x:v>
      </x:c>
      <x:c r="H223" s="83" t="str">
        <x:v>Clinical Training Academy</x:v>
      </x:c>
      <x:c r="I223" s="89" t="str">
        <x:v>Source wording and option count preserved; no silent item-content revision during inventory build.</x:v>
      </x:c>
    </x:row>
    <x:row r="224">
      <x:c r="A224" s="88" t="str">
        <x:v>CTA-LCSW-MQB-0223</x:v>
      </x:c>
      <x:c r="B224" s="83" t="str">
        <x:v>LCSW-MQB-FA-IP-028</x:v>
      </x:c>
      <x:c r="C224" s="102" t="n">
        <x:v>46228</x:v>
      </x:c>
      <x:c r="D224" s="83" t="str">
        <x:v>Imported into LCSW master inventory</x:v>
      </x:c>
      <x:c r="E224" s="83" t="str">
        <x:v>LCSW 2026 Comprehensive Simulation Form A</x:v>
      </x:c>
      <x:c r="F224" s="83" t="str">
        <x:v>1.0</x:v>
      </x:c>
      <x:c r="G224" s="83" t="n">
        <x:v>1</x:v>
      </x:c>
      <x:c r="H224" s="83" t="str">
        <x:v>Clinical Training Academy</x:v>
      </x:c>
      <x:c r="I224" s="89" t="str">
        <x:v>Source wording and option count preserved; no silent item-content revision during inventory build.</x:v>
      </x:c>
    </x:row>
    <x:row r="225">
      <x:c r="A225" s="88" t="str">
        <x:v>CTA-LCSW-MQB-0224</x:v>
      </x:c>
      <x:c r="B225" s="83" t="str">
        <x:v>LCSW-MQB-FA-AP-035</x:v>
      </x:c>
      <x:c r="C225" s="102" t="n">
        <x:v>46228</x:v>
      </x:c>
      <x:c r="D225" s="83" t="str">
        <x:v>Imported into LCSW master inventory</x:v>
      </x:c>
      <x:c r="E225" s="83" t="str">
        <x:v>LCSW 2026 Comprehensive Simulation Form A</x:v>
      </x:c>
      <x:c r="F225" s="83" t="str">
        <x:v>1.0</x:v>
      </x:c>
      <x:c r="G225" s="83" t="n">
        <x:v>1</x:v>
      </x:c>
      <x:c r="H225" s="83" t="str">
        <x:v>Clinical Training Academy</x:v>
      </x:c>
      <x:c r="I225" s="89" t="str">
        <x:v>Source wording and option count preserved; no silent item-content revision during inventory build.</x:v>
      </x:c>
    </x:row>
    <x:row r="226">
      <x:c r="A226" s="88" t="str">
        <x:v>CTA-LCSW-MQB-0225</x:v>
      </x:c>
      <x:c r="B226" s="83" t="str">
        <x:v>LCSW-MQB-FA-AP-020</x:v>
      </x:c>
      <x:c r="C226" s="102" t="n">
        <x:v>46228</x:v>
      </x:c>
      <x:c r="D226" s="83" t="str">
        <x:v>Imported into LCSW master inventory</x:v>
      </x:c>
      <x:c r="E226" s="83" t="str">
        <x:v>LCSW 2026 Comprehensive Simulation Form A</x:v>
      </x:c>
      <x:c r="F226" s="83" t="str">
        <x:v>1.0</x:v>
      </x:c>
      <x:c r="G226" s="83" t="n">
        <x:v>1</x:v>
      </x:c>
      <x:c r="H226" s="83" t="str">
        <x:v>Clinical Training Academy</x:v>
      </x:c>
      <x:c r="I226" s="89" t="str">
        <x:v>Source wording and option count preserved; no silent item-content revision during inventory build.</x:v>
      </x:c>
    </x:row>
    <x:row r="227">
      <x:c r="A227" s="88" t="str">
        <x:v>CTA-LCSW-MQB-0226</x:v>
      </x:c>
      <x:c r="B227" s="83" t="str">
        <x:v>LCSW-MQB-FA-VE-014</x:v>
      </x:c>
      <x:c r="C227" s="102" t="n">
        <x:v>46228</x:v>
      </x:c>
      <x:c r="D227" s="83" t="str">
        <x:v>Imported into LCSW master inventory</x:v>
      </x:c>
      <x:c r="E227" s="83" t="str">
        <x:v>LCSW 2026 Comprehensive Simulation Form A</x:v>
      </x:c>
      <x:c r="F227" s="83" t="str">
        <x:v>1.0</x:v>
      </x:c>
      <x:c r="G227" s="83" t="n">
        <x:v>1</x:v>
      </x:c>
      <x:c r="H227" s="83" t="str">
        <x:v>Clinical Training Academy</x:v>
      </x:c>
      <x:c r="I227" s="89" t="str">
        <x:v>Source wording and option count preserved; no silent item-content revision during inventory build.</x:v>
      </x:c>
    </x:row>
    <x:row r="228">
      <x:c r="A228" s="88" t="str">
        <x:v>CTA-LCSW-MQB-0227</x:v>
      </x:c>
      <x:c r="B228" s="83" t="str">
        <x:v>LCSW-MQB-FA-IP-030</x:v>
      </x:c>
      <x:c r="C228" s="102" t="n">
        <x:v>46228</x:v>
      </x:c>
      <x:c r="D228" s="83" t="str">
        <x:v>Imported into LCSW master inventory</x:v>
      </x:c>
      <x:c r="E228" s="83" t="str">
        <x:v>LCSW 2026 Comprehensive Simulation Form A</x:v>
      </x:c>
      <x:c r="F228" s="83" t="str">
        <x:v>1.0</x:v>
      </x:c>
      <x:c r="G228" s="83" t="n">
        <x:v>1</x:v>
      </x:c>
      <x:c r="H228" s="83" t="str">
        <x:v>Clinical Training Academy</x:v>
      </x:c>
      <x:c r="I228" s="89" t="str">
        <x:v>Source wording and option count preserved; no silent item-content revision during inventory build.</x:v>
      </x:c>
    </x:row>
    <x:row r="229">
      <x:c r="A229" s="88" t="str">
        <x:v>CTA-LCSW-MQB-0228</x:v>
      </x:c>
      <x:c r="B229" s="83" t="str">
        <x:v>LCSW-MQB-FA-VE-010</x:v>
      </x:c>
      <x:c r="C229" s="102" t="n">
        <x:v>46228</x:v>
      </x:c>
      <x:c r="D229" s="83" t="str">
        <x:v>Imported into LCSW master inventory</x:v>
      </x:c>
      <x:c r="E229" s="83" t="str">
        <x:v>LCSW 2026 Comprehensive Simulation Form A</x:v>
      </x:c>
      <x:c r="F229" s="83" t="str">
        <x:v>1.0</x:v>
      </x:c>
      <x:c r="G229" s="83" t="n">
        <x:v>1</x:v>
      </x:c>
      <x:c r="H229" s="83" t="str">
        <x:v>Clinical Training Academy</x:v>
      </x:c>
      <x:c r="I229" s="89" t="str">
        <x:v>Source wording and option count preserved; no silent item-content revision during inventory build.</x:v>
      </x:c>
    </x:row>
    <x:row r="230">
      <x:c r="A230" s="88" t="str">
        <x:v>CTA-LCSW-MQB-0229</x:v>
      </x:c>
      <x:c r="B230" s="83" t="str">
        <x:v>LCSW-MQB-FA-AP-013</x:v>
      </x:c>
      <x:c r="C230" s="102" t="n">
        <x:v>46228</x:v>
      </x:c>
      <x:c r="D230" s="83" t="str">
        <x:v>Imported into LCSW master inventory</x:v>
      </x:c>
      <x:c r="E230" s="83" t="str">
        <x:v>LCSW 2026 Comprehensive Simulation Form A</x:v>
      </x:c>
      <x:c r="F230" s="83" t="str">
        <x:v>1.0</x:v>
      </x:c>
      <x:c r="G230" s="83" t="n">
        <x:v>1</x:v>
      </x:c>
      <x:c r="H230" s="83" t="str">
        <x:v>Clinical Training Academy</x:v>
      </x:c>
      <x:c r="I230" s="89" t="str">
        <x:v>Source wording and option count preserved; no silent item-content revision during inventory build.</x:v>
      </x:c>
    </x:row>
    <x:row r="231">
      <x:c r="A231" s="88" t="str">
        <x:v>CTA-LCSW-MQB-0230</x:v>
      </x:c>
      <x:c r="B231" s="83" t="str">
        <x:v>LCSW-MQB-FA-AP-039</x:v>
      </x:c>
      <x:c r="C231" s="102" t="n">
        <x:v>46228</x:v>
      </x:c>
      <x:c r="D231" s="83" t="str">
        <x:v>Imported into LCSW master inventory</x:v>
      </x:c>
      <x:c r="E231" s="83" t="str">
        <x:v>LCSW 2026 Comprehensive Simulation Form A</x:v>
      </x:c>
      <x:c r="F231" s="83" t="str">
        <x:v>1.0</x:v>
      </x:c>
      <x:c r="G231" s="83" t="n">
        <x:v>1</x:v>
      </x:c>
      <x:c r="H231" s="83" t="str">
        <x:v>Clinical Training Academy</x:v>
      </x:c>
      <x:c r="I231" s="89" t="str">
        <x:v>Source wording and option count preserved; no silent item-content revision during inventory build.</x:v>
      </x:c>
    </x:row>
    <x:row r="232">
      <x:c r="A232" s="88" t="str">
        <x:v>CTA-LCSW-MQB-0231</x:v>
      </x:c>
      <x:c r="B232" s="83" t="str">
        <x:v>LCSW-MQB-FA-VE-033</x:v>
      </x:c>
      <x:c r="C232" s="102" t="n">
        <x:v>46228</x:v>
      </x:c>
      <x:c r="D232" s="83" t="str">
        <x:v>Imported into LCSW master inventory</x:v>
      </x:c>
      <x:c r="E232" s="83" t="str">
        <x:v>LCSW 2026 Comprehensive Simulation Form A</x:v>
      </x:c>
      <x:c r="F232" s="83" t="str">
        <x:v>1.0</x:v>
      </x:c>
      <x:c r="G232" s="83" t="n">
        <x:v>1</x:v>
      </x:c>
      <x:c r="H232" s="83" t="str">
        <x:v>Clinical Training Academy</x:v>
      </x:c>
      <x:c r="I232" s="89" t="str">
        <x:v>Source wording and option count preserved; no silent item-content revision during inventory build.</x:v>
      </x:c>
    </x:row>
    <x:row r="233">
      <x:c r="A233" s="88" t="str">
        <x:v>CTA-LCSW-MQB-0232</x:v>
      </x:c>
      <x:c r="B233" s="83" t="str">
        <x:v>LCSW-MQB-FA-VE-029</x:v>
      </x:c>
      <x:c r="C233" s="102" t="n">
        <x:v>46228</x:v>
      </x:c>
      <x:c r="D233" s="83" t="str">
        <x:v>Imported into LCSW master inventory</x:v>
      </x:c>
      <x:c r="E233" s="83" t="str">
        <x:v>LCSW 2026 Comprehensive Simulation Form A</x:v>
      </x:c>
      <x:c r="F233" s="83" t="str">
        <x:v>1.0</x:v>
      </x:c>
      <x:c r="G233" s="83" t="n">
        <x:v>1</x:v>
      </x:c>
      <x:c r="H233" s="83" t="str">
        <x:v>Clinical Training Academy</x:v>
      </x:c>
      <x:c r="I233" s="89" t="str">
        <x:v>Source wording and option count preserved; no silent item-content revision during inventory build.</x:v>
      </x:c>
    </x:row>
    <x:row r="234">
      <x:c r="A234" s="88" t="str">
        <x:v>CTA-LCSW-MQB-0233</x:v>
      </x:c>
      <x:c r="B234" s="83" t="str">
        <x:v>LCSW-MQB-FA-IP-031</x:v>
      </x:c>
      <x:c r="C234" s="102" t="n">
        <x:v>46228</x:v>
      </x:c>
      <x:c r="D234" s="83" t="str">
        <x:v>Imported into LCSW master inventory</x:v>
      </x:c>
      <x:c r="E234" s="83" t="str">
        <x:v>LCSW 2026 Comprehensive Simulation Form A</x:v>
      </x:c>
      <x:c r="F234" s="83" t="str">
        <x:v>1.0</x:v>
      </x:c>
      <x:c r="G234" s="83" t="n">
        <x:v>1</x:v>
      </x:c>
      <x:c r="H234" s="83" t="str">
        <x:v>Clinical Training Academy</x:v>
      </x:c>
      <x:c r="I234" s="89" t="str">
        <x:v>Source wording and option count preserved; no silent item-content revision during inventory build.</x:v>
      </x:c>
    </x:row>
    <x:row r="235">
      <x:c r="A235" s="88" t="str">
        <x:v>CTA-LCSW-MQB-0234</x:v>
      </x:c>
      <x:c r="B235" s="83" t="str">
        <x:v>LCSW-MQB-FA-VE-021</x:v>
      </x:c>
      <x:c r="C235" s="102" t="n">
        <x:v>46228</x:v>
      </x:c>
      <x:c r="D235" s="83" t="str">
        <x:v>Imported into LCSW master inventory</x:v>
      </x:c>
      <x:c r="E235" s="83" t="str">
        <x:v>LCSW 2026 Comprehensive Simulation Form A</x:v>
      </x:c>
      <x:c r="F235" s="83" t="str">
        <x:v>1.0</x:v>
      </x:c>
      <x:c r="G235" s="83" t="n">
        <x:v>1</x:v>
      </x:c>
      <x:c r="H235" s="83" t="str">
        <x:v>Clinical Training Academy</x:v>
      </x:c>
      <x:c r="I235" s="89" t="str">
        <x:v>Source wording and option count preserved; no silent item-content revision during inventory build.</x:v>
      </x:c>
    </x:row>
    <x:row r="236">
      <x:c r="A236" s="88" t="str">
        <x:v>CTA-LCSW-MQB-0235</x:v>
      </x:c>
      <x:c r="B236" s="83" t="str">
        <x:v>LCSW-MQB-FA-AP-007</x:v>
      </x:c>
      <x:c r="C236" s="102" t="n">
        <x:v>46228</x:v>
      </x:c>
      <x:c r="D236" s="83" t="str">
        <x:v>Imported into LCSW master inventory</x:v>
      </x:c>
      <x:c r="E236" s="83" t="str">
        <x:v>LCSW 2026 Comprehensive Simulation Form A</x:v>
      </x:c>
      <x:c r="F236" s="83" t="str">
        <x:v>1.0</x:v>
      </x:c>
      <x:c r="G236" s="83" t="n">
        <x:v>1</x:v>
      </x:c>
      <x:c r="H236" s="83" t="str">
        <x:v>Clinical Training Academy</x:v>
      </x:c>
      <x:c r="I236" s="89" t="str">
        <x:v>Source wording and option count preserved; no silent item-content revision during inventory build.</x:v>
      </x:c>
    </x:row>
    <x:row r="237">
      <x:c r="A237" s="88" t="str">
        <x:v>CTA-LCSW-MQB-0236</x:v>
      </x:c>
      <x:c r="B237" s="83" t="str">
        <x:v>LCSW-MQB-FA-IP-011</x:v>
      </x:c>
      <x:c r="C237" s="102" t="n">
        <x:v>46228</x:v>
      </x:c>
      <x:c r="D237" s="83" t="str">
        <x:v>Imported into LCSW master inventory</x:v>
      </x:c>
      <x:c r="E237" s="83" t="str">
        <x:v>LCSW 2026 Comprehensive Simulation Form A</x:v>
      </x:c>
      <x:c r="F237" s="83" t="str">
        <x:v>1.0</x:v>
      </x:c>
      <x:c r="G237" s="83" t="n">
        <x:v>1</x:v>
      </x:c>
      <x:c r="H237" s="83" t="str">
        <x:v>Clinical Training Academy</x:v>
      </x:c>
      <x:c r="I237" s="89" t="str">
        <x:v>Source wording and option count preserved; no silent item-content revision during inventory build.</x:v>
      </x:c>
    </x:row>
    <x:row r="238">
      <x:c r="A238" s="88" t="str">
        <x:v>CTA-LCSW-MQB-0237</x:v>
      </x:c>
      <x:c r="B238" s="83" t="str">
        <x:v>LCSW-MQB-FA-AP-025</x:v>
      </x:c>
      <x:c r="C238" s="102" t="n">
        <x:v>46228</x:v>
      </x:c>
      <x:c r="D238" s="83" t="str">
        <x:v>Imported into LCSW master inventory</x:v>
      </x:c>
      <x:c r="E238" s="83" t="str">
        <x:v>LCSW 2026 Comprehensive Simulation Form A</x:v>
      </x:c>
      <x:c r="F238" s="83" t="str">
        <x:v>1.0</x:v>
      </x:c>
      <x:c r="G238" s="83" t="n">
        <x:v>1</x:v>
      </x:c>
      <x:c r="H238" s="83" t="str">
        <x:v>Clinical Training Academy</x:v>
      </x:c>
      <x:c r="I238" s="89" t="str">
        <x:v>Source wording and option count preserved; no silent item-content revision during inventory build.</x:v>
      </x:c>
    </x:row>
    <x:row r="239">
      <x:c r="A239" s="88" t="str">
        <x:v>CTA-LCSW-MQB-0238</x:v>
      </x:c>
      <x:c r="B239" s="83" t="str">
        <x:v>LCSW-MQB-FA-VE-023</x:v>
      </x:c>
      <x:c r="C239" s="102" t="n">
        <x:v>46228</x:v>
      </x:c>
      <x:c r="D239" s="83" t="str">
        <x:v>Imported into LCSW master inventory</x:v>
      </x:c>
      <x:c r="E239" s="83" t="str">
        <x:v>LCSW 2026 Comprehensive Simulation Form A</x:v>
      </x:c>
      <x:c r="F239" s="83" t="str">
        <x:v>1.0</x:v>
      </x:c>
      <x:c r="G239" s="83" t="n">
        <x:v>1</x:v>
      </x:c>
      <x:c r="H239" s="83" t="str">
        <x:v>Clinical Training Academy</x:v>
      </x:c>
      <x:c r="I239" s="89" t="str">
        <x:v>Source wording and option count preserved; no silent item-content revision during inventory build.</x:v>
      </x:c>
    </x:row>
    <x:row r="240">
      <x:c r="A240" s="88" t="str">
        <x:v>CTA-LCSW-MQB-0239</x:v>
      </x:c>
      <x:c r="B240" s="83" t="str">
        <x:v>LCSW-MQB-FA-AP-011</x:v>
      </x:c>
      <x:c r="C240" s="102" t="n">
        <x:v>46228</x:v>
      </x:c>
      <x:c r="D240" s="83" t="str">
        <x:v>Imported into LCSW master inventory</x:v>
      </x:c>
      <x:c r="E240" s="83" t="str">
        <x:v>LCSW 2026 Comprehensive Simulation Form A</x:v>
      </x:c>
      <x:c r="F240" s="83" t="str">
        <x:v>1.0</x:v>
      </x:c>
      <x:c r="G240" s="83" t="n">
        <x:v>1</x:v>
      </x:c>
      <x:c r="H240" s="83" t="str">
        <x:v>Clinical Training Academy</x:v>
      </x:c>
      <x:c r="I240" s="89" t="str">
        <x:v>Source wording and option count preserved; no silent item-content revision during inventory build.</x:v>
      </x:c>
    </x:row>
    <x:row r="241">
      <x:c r="A241" s="88" t="str">
        <x:v>CTA-LCSW-MQB-0240</x:v>
      </x:c>
      <x:c r="B241" s="83" t="str">
        <x:v>LCSW-MQB-FA-VE-025</x:v>
      </x:c>
      <x:c r="C241" s="102" t="n">
        <x:v>46228</x:v>
      </x:c>
      <x:c r="D241" s="83" t="str">
        <x:v>Imported into LCSW master inventory</x:v>
      </x:c>
      <x:c r="E241" s="83" t="str">
        <x:v>LCSW 2026 Comprehensive Simulation Form A</x:v>
      </x:c>
      <x:c r="F241" s="83" t="str">
        <x:v>1.0</x:v>
      </x:c>
      <x:c r="G241" s="83" t="n">
        <x:v>1</x:v>
      </x:c>
      <x:c r="H241" s="83" t="str">
        <x:v>Clinical Training Academy</x:v>
      </x:c>
      <x:c r="I241" s="89" t="str">
        <x:v>Source wording and option count preserved; no silent item-content revision during inventory build.</x:v>
      </x:c>
    </x:row>
    <x:row r="242">
      <x:c r="A242" s="88" t="str">
        <x:v>CTA-LCSW-MQB-0241</x:v>
      </x:c>
      <x:c r="B242" s="83" t="str">
        <x:v>LCSW-MQB-FA-AP-034</x:v>
      </x:c>
      <x:c r="C242" s="102" t="n">
        <x:v>46228</x:v>
      </x:c>
      <x:c r="D242" s="83" t="str">
        <x:v>Imported into LCSW master inventory</x:v>
      </x:c>
      <x:c r="E242" s="83" t="str">
        <x:v>LCSW 2026 Comprehensive Simulation Form A</x:v>
      </x:c>
      <x:c r="F242" s="83" t="str">
        <x:v>1.0</x:v>
      </x:c>
      <x:c r="G242" s="83" t="n">
        <x:v>1</x:v>
      </x:c>
      <x:c r="H242" s="83" t="str">
        <x:v>Clinical Training Academy</x:v>
      </x:c>
      <x:c r="I242" s="89" t="str">
        <x:v>Source wording and option count preserved; no silent item-content revision during inventory build.</x:v>
      </x:c>
    </x:row>
    <x:row r="243">
      <x:c r="A243" s="88" t="str">
        <x:v>CTA-LCSW-MQB-0242</x:v>
      </x:c>
      <x:c r="B243" s="83" t="str">
        <x:v>LCSW-MQB-FA-VE-032</x:v>
      </x:c>
      <x:c r="C243" s="102" t="n">
        <x:v>46228</x:v>
      </x:c>
      <x:c r="D243" s="83" t="str">
        <x:v>Imported into LCSW master inventory</x:v>
      </x:c>
      <x:c r="E243" s="83" t="str">
        <x:v>LCSW 2026 Comprehensive Simulation Form A</x:v>
      </x:c>
      <x:c r="F243" s="83" t="str">
        <x:v>1.0</x:v>
      </x:c>
      <x:c r="G243" s="83" t="n">
        <x:v>1</x:v>
      </x:c>
      <x:c r="H243" s="83" t="str">
        <x:v>Clinical Training Academy</x:v>
      </x:c>
      <x:c r="I243" s="89" t="str">
        <x:v>Source wording and option count preserved; no silent item-content revision during inventory build.</x:v>
      </x:c>
    </x:row>
    <x:row r="244">
      <x:c r="A244" s="88" t="str">
        <x:v>CTA-LCSW-MQB-0243</x:v>
      </x:c>
      <x:c r="B244" s="83" t="str">
        <x:v>LCSW-MQB-FA-VE-013</x:v>
      </x:c>
      <x:c r="C244" s="102" t="n">
        <x:v>46228</x:v>
      </x:c>
      <x:c r="D244" s="83" t="str">
        <x:v>Imported into LCSW master inventory</x:v>
      </x:c>
      <x:c r="E244" s="83" t="str">
        <x:v>LCSW 2026 Comprehensive Simulation Form A</x:v>
      </x:c>
      <x:c r="F244" s="83" t="str">
        <x:v>1.0</x:v>
      </x:c>
      <x:c r="G244" s="83" t="n">
        <x:v>1</x:v>
      </x:c>
      <x:c r="H244" s="83" t="str">
        <x:v>Clinical Training Academy</x:v>
      </x:c>
      <x:c r="I244" s="89" t="str">
        <x:v>Source wording and option count preserved; no silent item-content revision during inventory build.</x:v>
      </x:c>
    </x:row>
    <x:row r="245">
      <x:c r="A245" s="88" t="str">
        <x:v>CTA-LCSW-MQB-0244</x:v>
      </x:c>
      <x:c r="B245" s="83" t="str">
        <x:v>LCSW-MQB-FA-AP-001</x:v>
      </x:c>
      <x:c r="C245" s="102" t="n">
        <x:v>46228</x:v>
      </x:c>
      <x:c r="D245" s="83" t="str">
        <x:v>Imported into LCSW master inventory</x:v>
      </x:c>
      <x:c r="E245" s="83" t="str">
        <x:v>LCSW 2026 Comprehensive Simulation Form A</x:v>
      </x:c>
      <x:c r="F245" s="83" t="str">
        <x:v>1.0</x:v>
      </x:c>
      <x:c r="G245" s="83" t="n">
        <x:v>1</x:v>
      </x:c>
      <x:c r="H245" s="83" t="str">
        <x:v>Clinical Training Academy</x:v>
      </x:c>
      <x:c r="I245" s="89" t="str">
        <x:v>Source wording and option count preserved; no silent item-content revision during inventory build.</x:v>
      </x:c>
    </x:row>
    <x:row r="246">
      <x:c r="A246" s="88" t="str">
        <x:v>CTA-LCSW-MQB-0245</x:v>
      </x:c>
      <x:c r="B246" s="83" t="str">
        <x:v>LCSW-MQB-FA-IP-036</x:v>
      </x:c>
      <x:c r="C246" s="102" t="n">
        <x:v>46228</x:v>
      </x:c>
      <x:c r="D246" s="83" t="str">
        <x:v>Imported into LCSW master inventory</x:v>
      </x:c>
      <x:c r="E246" s="83" t="str">
        <x:v>LCSW 2026 Comprehensive Simulation Form A</x:v>
      </x:c>
      <x:c r="F246" s="83" t="str">
        <x:v>1.0</x:v>
      </x:c>
      <x:c r="G246" s="83" t="n">
        <x:v>1</x:v>
      </x:c>
      <x:c r="H246" s="83" t="str">
        <x:v>Clinical Training Academy</x:v>
      </x:c>
      <x:c r="I246" s="89" t="str">
        <x:v>Source wording and option count preserved; no silent item-content revision during inventory build.</x:v>
      </x:c>
    </x:row>
    <x:row r="247">
      <x:c r="A247" s="88" t="str">
        <x:v>CTA-LCSW-MQB-0246</x:v>
      </x:c>
      <x:c r="B247" s="83" t="str">
        <x:v>LCSW-MQB-FA-VE-008</x:v>
      </x:c>
      <x:c r="C247" s="102" t="n">
        <x:v>46228</x:v>
      </x:c>
      <x:c r="D247" s="83" t="str">
        <x:v>Imported into LCSW master inventory</x:v>
      </x:c>
      <x:c r="E247" s="83" t="str">
        <x:v>LCSW 2026 Comprehensive Simulation Form A</x:v>
      </x:c>
      <x:c r="F247" s="83" t="str">
        <x:v>1.0</x:v>
      </x:c>
      <x:c r="G247" s="83" t="n">
        <x:v>1</x:v>
      </x:c>
      <x:c r="H247" s="83" t="str">
        <x:v>Clinical Training Academy</x:v>
      </x:c>
      <x:c r="I247" s="89" t="str">
        <x:v>Source wording and option count preserved; no silent item-content revision during inventory build.</x:v>
      </x:c>
    </x:row>
    <x:row r="248">
      <x:c r="A248" s="88" t="str">
        <x:v>CTA-LCSW-MQB-0247</x:v>
      </x:c>
      <x:c r="B248" s="83" t="str">
        <x:v>LCSW-MQB-FA-AP-028</x:v>
      </x:c>
      <x:c r="C248" s="102" t="n">
        <x:v>46228</x:v>
      </x:c>
      <x:c r="D248" s="83" t="str">
        <x:v>Imported into LCSW master inventory</x:v>
      </x:c>
      <x:c r="E248" s="83" t="str">
        <x:v>LCSW 2026 Comprehensive Simulation Form A</x:v>
      </x:c>
      <x:c r="F248" s="83" t="str">
        <x:v>1.0</x:v>
      </x:c>
      <x:c r="G248" s="83" t="n">
        <x:v>1</x:v>
      </x:c>
      <x:c r="H248" s="83" t="str">
        <x:v>Clinical Training Academy</x:v>
      </x:c>
      <x:c r="I248" s="89" t="str">
        <x:v>Source wording and option count preserved; no silent item-content revision during inventory build.</x:v>
      </x:c>
    </x:row>
    <x:row r="249">
      <x:c r="A249" s="88" t="str">
        <x:v>CTA-LCSW-MQB-0248</x:v>
      </x:c>
      <x:c r="B249" s="83" t="str">
        <x:v>LCSW-MQB-FA-VE-015</x:v>
      </x:c>
      <x:c r="C249" s="102" t="n">
        <x:v>46228</x:v>
      </x:c>
      <x:c r="D249" s="83" t="str">
        <x:v>Imported into LCSW master inventory</x:v>
      </x:c>
      <x:c r="E249" s="83" t="str">
        <x:v>LCSW 2026 Comprehensive Simulation Form A</x:v>
      </x:c>
      <x:c r="F249" s="83" t="str">
        <x:v>1.0</x:v>
      </x:c>
      <x:c r="G249" s="83" t="n">
        <x:v>1</x:v>
      </x:c>
      <x:c r="H249" s="83" t="str">
        <x:v>Clinical Training Academy</x:v>
      </x:c>
      <x:c r="I249" s="89" t="str">
        <x:v>Source wording and option count preserved; no silent item-content revision during inventory build.</x:v>
      </x:c>
    </x:row>
    <x:row r="250">
      <x:c r="A250" s="88" t="str">
        <x:v>CTA-LCSW-MQB-0249</x:v>
      </x:c>
      <x:c r="B250" s="83" t="str">
        <x:v>LCSW-MQB-FA-AP-010</x:v>
      </x:c>
      <x:c r="C250" s="102" t="n">
        <x:v>46228</x:v>
      </x:c>
      <x:c r="D250" s="83" t="str">
        <x:v>Imported into LCSW master inventory</x:v>
      </x:c>
      <x:c r="E250" s="83" t="str">
        <x:v>LCSW 2026 Comprehensive Simulation Form A</x:v>
      </x:c>
      <x:c r="F250" s="83" t="str">
        <x:v>1.0</x:v>
      </x:c>
      <x:c r="G250" s="83" t="n">
        <x:v>1</x:v>
      </x:c>
      <x:c r="H250" s="83" t="str">
        <x:v>Clinical Training Academy</x:v>
      </x:c>
      <x:c r="I250" s="89" t="str">
        <x:v>Source wording and option count preserved; no silent item-content revision during inventory build.</x:v>
      </x:c>
    </x:row>
    <x:row r="251">
      <x:c r="A251" s="88" t="str">
        <x:v>CTA-LCSW-MQB-0250</x:v>
      </x:c>
      <x:c r="B251" s="83" t="str">
        <x:v>LCSW-MQB-FA-IP-019</x:v>
      </x:c>
      <x:c r="C251" s="102" t="n">
        <x:v>46228</x:v>
      </x:c>
      <x:c r="D251" s="83" t="str">
        <x:v>Imported into LCSW master inventory</x:v>
      </x:c>
      <x:c r="E251" s="83" t="str">
        <x:v>LCSW 2026 Comprehensive Simulation Form A</x:v>
      </x:c>
      <x:c r="F251" s="83" t="str">
        <x:v>1.0</x:v>
      </x:c>
      <x:c r="G251" s="83" t="n">
        <x:v>1</x:v>
      </x:c>
      <x:c r="H251" s="83" t="str">
        <x:v>Clinical Training Academy</x:v>
      </x:c>
      <x:c r="I251" s="89" t="str">
        <x:v>Source wording and option count preserved; no silent item-content revision during inventory build.</x:v>
      </x:c>
    </x:row>
    <x:row r="252">
      <x:c r="A252" s="88" t="str">
        <x:v>CTA-LCSW-MQB-0251</x:v>
      </x:c>
      <x:c r="B252" s="83" t="str">
        <x:v>LCSW-MQB-FA-IP-024</x:v>
      </x:c>
      <x:c r="C252" s="102" t="n">
        <x:v>46228</x:v>
      </x:c>
      <x:c r="D252" s="83" t="str">
        <x:v>Imported into LCSW master inventory</x:v>
      </x:c>
      <x:c r="E252" s="83" t="str">
        <x:v>LCSW 2026 Comprehensive Simulation Form A</x:v>
      </x:c>
      <x:c r="F252" s="83" t="str">
        <x:v>1.0</x:v>
      </x:c>
      <x:c r="G252" s="83" t="n">
        <x:v>1</x:v>
      </x:c>
      <x:c r="H252" s="83" t="str">
        <x:v>Clinical Training Academy</x:v>
      </x:c>
      <x:c r="I252" s="89" t="str">
        <x:v>Source wording and option count preserved; no silent item-content revision during inventory build.</x:v>
      </x:c>
    </x:row>
    <x:row r="253">
      <x:c r="A253" s="88" t="str">
        <x:v>CTA-LCSW-MQB-0252</x:v>
      </x:c>
      <x:c r="B253" s="83" t="str">
        <x:v>LCSW-MQB-FA-AP-024</x:v>
      </x:c>
      <x:c r="C253" s="102" t="n">
        <x:v>46228</x:v>
      </x:c>
      <x:c r="D253" s="83" t="str">
        <x:v>Imported into LCSW master inventory</x:v>
      </x:c>
      <x:c r="E253" s="83" t="str">
        <x:v>LCSW 2026 Comprehensive Simulation Form A</x:v>
      </x:c>
      <x:c r="F253" s="83" t="str">
        <x:v>1.0</x:v>
      </x:c>
      <x:c r="G253" s="83" t="n">
        <x:v>1</x:v>
      </x:c>
      <x:c r="H253" s="83" t="str">
        <x:v>Clinical Training Academy</x:v>
      </x:c>
      <x:c r="I253" s="89" t="str">
        <x:v>Source wording and option count preserved; no silent item-content revision during inventory build.</x:v>
      </x:c>
    </x:row>
    <x:row r="254">
      <x:c r="A254" s="88" t="str">
        <x:v>CTA-LCSW-MQB-0253</x:v>
      </x:c>
      <x:c r="B254" s="83" t="str">
        <x:v>LCSW-MQB-FA-VE-001</x:v>
      </x:c>
      <x:c r="C254" s="102" t="n">
        <x:v>46228</x:v>
      </x:c>
      <x:c r="D254" s="83" t="str">
        <x:v>Imported into LCSW master inventory</x:v>
      </x:c>
      <x:c r="E254" s="83" t="str">
        <x:v>LCSW 2026 Comprehensive Simulation Form A</x:v>
      </x:c>
      <x:c r="F254" s="83" t="str">
        <x:v>1.0</x:v>
      </x:c>
      <x:c r="G254" s="83" t="n">
        <x:v>1</x:v>
      </x:c>
      <x:c r="H254" s="83" t="str">
        <x:v>Clinical Training Academy</x:v>
      </x:c>
      <x:c r="I254" s="89" t="str">
        <x:v>Source wording and option count preserved; no silent item-content revision during inventory build.</x:v>
      </x:c>
    </x:row>
    <x:row r="255">
      <x:c r="A255" s="88" t="str">
        <x:v>CTA-LCSW-MQB-0254</x:v>
      </x:c>
      <x:c r="B255" s="83" t="str">
        <x:v>LCSW-MQB-FA-VE-003</x:v>
      </x:c>
      <x:c r="C255" s="102" t="n">
        <x:v>46228</x:v>
      </x:c>
      <x:c r="D255" s="83" t="str">
        <x:v>Imported into LCSW master inventory</x:v>
      </x:c>
      <x:c r="E255" s="83" t="str">
        <x:v>LCSW 2026 Comprehensive Simulation Form A</x:v>
      </x:c>
      <x:c r="F255" s="83" t="str">
        <x:v>1.0</x:v>
      </x:c>
      <x:c r="G255" s="83" t="n">
        <x:v>1</x:v>
      </x:c>
      <x:c r="H255" s="83" t="str">
        <x:v>Clinical Training Academy</x:v>
      </x:c>
      <x:c r="I255" s="89" t="str">
        <x:v>Source wording and option count preserved; no silent item-content revision during inventory build.</x:v>
      </x:c>
    </x:row>
    <x:row r="256">
      <x:c r="A256" s="88" t="str">
        <x:v>CTA-LCSW-MQB-0255</x:v>
      </x:c>
      <x:c r="B256" s="83" t="str">
        <x:v>LCSW-MQB-FA-IP-020</x:v>
      </x:c>
      <x:c r="C256" s="102" t="n">
        <x:v>46228</x:v>
      </x:c>
      <x:c r="D256" s="83" t="str">
        <x:v>Imported into LCSW master inventory</x:v>
      </x:c>
      <x:c r="E256" s="83" t="str">
        <x:v>LCSW 2026 Comprehensive Simulation Form A</x:v>
      </x:c>
      <x:c r="F256" s="83" t="str">
        <x:v>1.0</x:v>
      </x:c>
      <x:c r="G256" s="83" t="n">
        <x:v>1</x:v>
      </x:c>
      <x:c r="H256" s="83" t="str">
        <x:v>Clinical Training Academy</x:v>
      </x:c>
      <x:c r="I256" s="89" t="str">
        <x:v>Source wording and option count preserved; no silent item-content revision during inventory build.</x:v>
      </x:c>
    </x:row>
    <x:row r="257">
      <x:c r="A257" s="88" t="str">
        <x:v>CTA-LCSW-MQB-0256</x:v>
      </x:c>
      <x:c r="B257" s="83" t="str">
        <x:v>LCSW-MQB-FA-VE-007</x:v>
      </x:c>
      <x:c r="C257" s="102" t="n">
        <x:v>46228</x:v>
      </x:c>
      <x:c r="D257" s="83" t="str">
        <x:v>Imported into LCSW master inventory</x:v>
      </x:c>
      <x:c r="E257" s="83" t="str">
        <x:v>LCSW 2026 Comprehensive Simulation Form A</x:v>
      </x:c>
      <x:c r="F257" s="83" t="str">
        <x:v>1.0</x:v>
      </x:c>
      <x:c r="G257" s="83" t="n">
        <x:v>1</x:v>
      </x:c>
      <x:c r="H257" s="83" t="str">
        <x:v>Clinical Training Academy</x:v>
      </x:c>
      <x:c r="I257" s="89" t="str">
        <x:v>Source wording and option count preserved; no silent item-content revision during inventory build.</x:v>
      </x:c>
    </x:row>
    <x:row r="258">
      <x:c r="A258" s="88" t="str">
        <x:v>CTA-LCSW-MQB-0257</x:v>
      </x:c>
      <x:c r="B258" s="83" t="str">
        <x:v>LCSW-MQB-FA-IP-038</x:v>
      </x:c>
      <x:c r="C258" s="102" t="n">
        <x:v>46228</x:v>
      </x:c>
      <x:c r="D258" s="83" t="str">
        <x:v>Imported into LCSW master inventory</x:v>
      </x:c>
      <x:c r="E258" s="83" t="str">
        <x:v>LCSW 2026 Comprehensive Simulation Form A</x:v>
      </x:c>
      <x:c r="F258" s="83" t="str">
        <x:v>1.0</x:v>
      </x:c>
      <x:c r="G258" s="83" t="n">
        <x:v>1</x:v>
      </x:c>
      <x:c r="H258" s="83" t="str">
        <x:v>Clinical Training Academy</x:v>
      </x:c>
      <x:c r="I258" s="89" t="str">
        <x:v>Source wording and option count preserved; no silent item-content revision during inventory build.</x:v>
      </x:c>
    </x:row>
    <x:row r="259">
      <x:c r="A259" s="88" t="str">
        <x:v>CTA-LCSW-MQB-0258</x:v>
      </x:c>
      <x:c r="B259" s="83" t="str">
        <x:v>LCSW-MQB-FA-VE-006</x:v>
      </x:c>
      <x:c r="C259" s="102" t="n">
        <x:v>46228</x:v>
      </x:c>
      <x:c r="D259" s="83" t="str">
        <x:v>Imported into LCSW master inventory</x:v>
      </x:c>
      <x:c r="E259" s="83" t="str">
        <x:v>LCSW 2026 Comprehensive Simulation Form A</x:v>
      </x:c>
      <x:c r="F259" s="83" t="str">
        <x:v>1.0</x:v>
      </x:c>
      <x:c r="G259" s="83" t="n">
        <x:v>1</x:v>
      </x:c>
      <x:c r="H259" s="83" t="str">
        <x:v>Clinical Training Academy</x:v>
      </x:c>
      <x:c r="I259" s="89" t="str">
        <x:v>Source wording and option count preserved; no silent item-content revision during inventory build.</x:v>
      </x:c>
    </x:row>
    <x:row r="260">
      <x:c r="A260" s="88" t="str">
        <x:v>CTA-LCSW-MQB-0259</x:v>
      </x:c>
      <x:c r="B260" s="83" t="str">
        <x:v>LCSW-MQB-FA-VE-026</x:v>
      </x:c>
      <x:c r="C260" s="102" t="n">
        <x:v>46228</x:v>
      </x:c>
      <x:c r="D260" s="83" t="str">
        <x:v>Imported into LCSW master inventory</x:v>
      </x:c>
      <x:c r="E260" s="83" t="str">
        <x:v>LCSW 2026 Comprehensive Simulation Form A</x:v>
      </x:c>
      <x:c r="F260" s="83" t="str">
        <x:v>1.0</x:v>
      </x:c>
      <x:c r="G260" s="83" t="n">
        <x:v>1</x:v>
      </x:c>
      <x:c r="H260" s="83" t="str">
        <x:v>Clinical Training Academy</x:v>
      </x:c>
      <x:c r="I260" s="89" t="str">
        <x:v>Source wording and option count preserved; no silent item-content revision during inventory build.</x:v>
      </x:c>
    </x:row>
    <x:row r="261">
      <x:c r="A261" s="88" t="str">
        <x:v>CTA-LCSW-MQB-0260</x:v>
      </x:c>
      <x:c r="B261" s="83" t="str">
        <x:v>LCSW-MQB-FA-AP-023</x:v>
      </x:c>
      <x:c r="C261" s="102" t="n">
        <x:v>46228</x:v>
      </x:c>
      <x:c r="D261" s="83" t="str">
        <x:v>Imported into LCSW master inventory</x:v>
      </x:c>
      <x:c r="E261" s="83" t="str">
        <x:v>LCSW 2026 Comprehensive Simulation Form A</x:v>
      </x:c>
      <x:c r="F261" s="83" t="str">
        <x:v>1.0</x:v>
      </x:c>
      <x:c r="G261" s="83" t="n">
        <x:v>1</x:v>
      </x:c>
      <x:c r="H261" s="83" t="str">
        <x:v>Clinical Training Academy</x:v>
      </x:c>
      <x:c r="I261" s="89" t="str">
        <x:v>Source wording and option count preserved; no silent item-content revision during inventory build.</x:v>
      </x:c>
    </x:row>
    <x:row r="262">
      <x:c r="A262" s="88" t="str">
        <x:v>CTA-LCSW-MQB-0261</x:v>
      </x:c>
      <x:c r="B262" s="83" t="str">
        <x:v>LCSW-MQB-FA-VE-017</x:v>
      </x:c>
      <x:c r="C262" s="102" t="n">
        <x:v>46228</x:v>
      </x:c>
      <x:c r="D262" s="83" t="str">
        <x:v>Imported into LCSW master inventory</x:v>
      </x:c>
      <x:c r="E262" s="83" t="str">
        <x:v>LCSW 2026 Comprehensive Simulation Form A</x:v>
      </x:c>
      <x:c r="F262" s="83" t="str">
        <x:v>1.0</x:v>
      </x:c>
      <x:c r="G262" s="83" t="n">
        <x:v>1</x:v>
      </x:c>
      <x:c r="H262" s="83" t="str">
        <x:v>Clinical Training Academy</x:v>
      </x:c>
      <x:c r="I262" s="89" t="str">
        <x:v>Source wording and option count preserved; no silent item-content revision during inventory build.</x:v>
      </x:c>
    </x:row>
    <x:row r="263">
      <x:c r="A263" s="88" t="str">
        <x:v>CTA-LCSW-MQB-0262</x:v>
      </x:c>
      <x:c r="B263" s="83" t="str">
        <x:v>LCSW-MQB-FA-IP-033</x:v>
      </x:c>
      <x:c r="C263" s="102" t="n">
        <x:v>46228</x:v>
      </x:c>
      <x:c r="D263" s="83" t="str">
        <x:v>Imported into LCSW master inventory</x:v>
      </x:c>
      <x:c r="E263" s="83" t="str">
        <x:v>LCSW 2026 Comprehensive Simulation Form A</x:v>
      </x:c>
      <x:c r="F263" s="83" t="str">
        <x:v>1.0</x:v>
      </x:c>
      <x:c r="G263" s="83" t="n">
        <x:v>1</x:v>
      </x:c>
      <x:c r="H263" s="83" t="str">
        <x:v>Clinical Training Academy</x:v>
      </x:c>
      <x:c r="I263" s="89" t="str">
        <x:v>Source wording and option count preserved; no silent item-content revision during inventory build.</x:v>
      </x:c>
    </x:row>
    <x:row r="264">
      <x:c r="A264" s="88" t="str">
        <x:v>CTA-LCSW-MQB-0263</x:v>
      </x:c>
      <x:c r="B264" s="83" t="str">
        <x:v>LCSW-MQB-FA-IP-023</x:v>
      </x:c>
      <x:c r="C264" s="102" t="n">
        <x:v>46228</x:v>
      </x:c>
      <x:c r="D264" s="83" t="str">
        <x:v>Imported into LCSW master inventory</x:v>
      </x:c>
      <x:c r="E264" s="83" t="str">
        <x:v>LCSW 2026 Comprehensive Simulation Form A</x:v>
      </x:c>
      <x:c r="F264" s="83" t="str">
        <x:v>1.0</x:v>
      </x:c>
      <x:c r="G264" s="83" t="n">
        <x:v>1</x:v>
      </x:c>
      <x:c r="H264" s="83" t="str">
        <x:v>Clinical Training Academy</x:v>
      </x:c>
      <x:c r="I264" s="89" t="str">
        <x:v>Source wording and option count preserved; no silent item-content revision during inventory build.</x:v>
      </x:c>
    </x:row>
    <x:row r="265">
      <x:c r="A265" s="88" t="str">
        <x:v>CTA-LCSW-MQB-0264</x:v>
      </x:c>
      <x:c r="B265" s="83" t="str">
        <x:v>LCSW-MQB-FA-AP-022</x:v>
      </x:c>
      <x:c r="C265" s="102" t="n">
        <x:v>46228</x:v>
      </x:c>
      <x:c r="D265" s="83" t="str">
        <x:v>Imported into LCSW master inventory</x:v>
      </x:c>
      <x:c r="E265" s="83" t="str">
        <x:v>LCSW 2026 Comprehensive Simulation Form A</x:v>
      </x:c>
      <x:c r="F265" s="83" t="str">
        <x:v>1.0</x:v>
      </x:c>
      <x:c r="G265" s="83" t="n">
        <x:v>1</x:v>
      </x:c>
      <x:c r="H265" s="83" t="str">
        <x:v>Clinical Training Academy</x:v>
      </x:c>
      <x:c r="I265" s="89" t="str">
        <x:v>Source wording and option count preserved; no silent item-content revision during inventory build.</x:v>
      </x:c>
    </x:row>
    <x:row r="266">
      <x:c r="A266" s="88" t="str">
        <x:v>CTA-LCSW-MQB-0265</x:v>
      </x:c>
      <x:c r="B266" s="83" t="str">
        <x:v>LCSW-MQB-FA-IP-039</x:v>
      </x:c>
      <x:c r="C266" s="102" t="n">
        <x:v>46228</x:v>
      </x:c>
      <x:c r="D266" s="83" t="str">
        <x:v>Imported into LCSW master inventory</x:v>
      </x:c>
      <x:c r="E266" s="83" t="str">
        <x:v>LCSW 2026 Comprehensive Simulation Form A</x:v>
      </x:c>
      <x:c r="F266" s="83" t="str">
        <x:v>1.0</x:v>
      </x:c>
      <x:c r="G266" s="83" t="n">
        <x:v>1</x:v>
      </x:c>
      <x:c r="H266" s="83" t="str">
        <x:v>Clinical Training Academy</x:v>
      </x:c>
      <x:c r="I266" s="89" t="str">
        <x:v>Source wording and option count preserved; no silent item-content revision during inventory build.</x:v>
      </x:c>
    </x:row>
    <x:row r="267">
      <x:c r="A267" s="88" t="str">
        <x:v>CTA-LCSW-MQB-0266</x:v>
      </x:c>
      <x:c r="B267" s="83" t="str">
        <x:v>LCSW-MQB-FA-VE-022</x:v>
      </x:c>
      <x:c r="C267" s="102" t="n">
        <x:v>46228</x:v>
      </x:c>
      <x:c r="D267" s="83" t="str">
        <x:v>Imported into LCSW master inventory</x:v>
      </x:c>
      <x:c r="E267" s="83" t="str">
        <x:v>LCSW 2026 Comprehensive Simulation Form A</x:v>
      </x:c>
      <x:c r="F267" s="83" t="str">
        <x:v>1.0</x:v>
      </x:c>
      <x:c r="G267" s="83" t="n">
        <x:v>1</x:v>
      </x:c>
      <x:c r="H267" s="83" t="str">
        <x:v>Clinical Training Academy</x:v>
      </x:c>
      <x:c r="I267" s="89" t="str">
        <x:v>Source wording and option count preserved; no silent item-content revision during inventory build.</x:v>
      </x:c>
    </x:row>
    <x:row r="268">
      <x:c r="A268" s="88" t="str">
        <x:v>CTA-LCSW-MQB-0267</x:v>
      </x:c>
      <x:c r="B268" s="83" t="str">
        <x:v>LCSW-MQB-FA-AP-018</x:v>
      </x:c>
      <x:c r="C268" s="102" t="n">
        <x:v>46228</x:v>
      </x:c>
      <x:c r="D268" s="83" t="str">
        <x:v>Imported into LCSW master inventory</x:v>
      </x:c>
      <x:c r="E268" s="83" t="str">
        <x:v>LCSW 2026 Comprehensive Simulation Form A</x:v>
      </x:c>
      <x:c r="F268" s="83" t="str">
        <x:v>1.0</x:v>
      </x:c>
      <x:c r="G268" s="83" t="n">
        <x:v>1</x:v>
      </x:c>
      <x:c r="H268" s="83" t="str">
        <x:v>Clinical Training Academy</x:v>
      </x:c>
      <x:c r="I268" s="89" t="str">
        <x:v>Source wording and option count preserved; no silent item-content revision during inventory build.</x:v>
      </x:c>
    </x:row>
    <x:row r="269">
      <x:c r="A269" s="88" t="str">
        <x:v>CTA-LCSW-MQB-0268</x:v>
      </x:c>
      <x:c r="B269" s="83" t="str">
        <x:v>LCSW-MQB-FA-VE-018</x:v>
      </x:c>
      <x:c r="C269" s="102" t="n">
        <x:v>46228</x:v>
      </x:c>
      <x:c r="D269" s="83" t="str">
        <x:v>Imported into LCSW master inventory</x:v>
      </x:c>
      <x:c r="E269" s="83" t="str">
        <x:v>LCSW 2026 Comprehensive Simulation Form A</x:v>
      </x:c>
      <x:c r="F269" s="83" t="str">
        <x:v>1.0</x:v>
      </x:c>
      <x:c r="G269" s="83" t="n">
        <x:v>1</x:v>
      </x:c>
      <x:c r="H269" s="83" t="str">
        <x:v>Clinical Training Academy</x:v>
      </x:c>
      <x:c r="I269" s="89" t="str">
        <x:v>Source wording and option count preserved; no silent item-content revision during inventory build.</x:v>
      </x:c>
    </x:row>
    <x:row r="270">
      <x:c r="A270" s="88" t="str">
        <x:v>CTA-LCSW-MQB-0269</x:v>
      </x:c>
      <x:c r="B270" s="83" t="str">
        <x:v>LCSW-MQB-FA-VE-038</x:v>
      </x:c>
      <x:c r="C270" s="102" t="n">
        <x:v>46228</x:v>
      </x:c>
      <x:c r="D270" s="83" t="str">
        <x:v>Imported into LCSW master inventory</x:v>
      </x:c>
      <x:c r="E270" s="83" t="str">
        <x:v>LCSW 2026 Comprehensive Simulation Form A</x:v>
      </x:c>
      <x:c r="F270" s="83" t="str">
        <x:v>1.0</x:v>
      </x:c>
      <x:c r="G270" s="83" t="n">
        <x:v>1</x:v>
      </x:c>
      <x:c r="H270" s="83" t="str">
        <x:v>Clinical Training Academy</x:v>
      </x:c>
      <x:c r="I270" s="89" t="str">
        <x:v>Source wording and option count preserved; no silent item-content revision during inventory build.</x:v>
      </x:c>
    </x:row>
    <x:row r="271">
      <x:c r="A271" s="88" t="str">
        <x:v>CTA-LCSW-MQB-0270</x:v>
      </x:c>
      <x:c r="B271" s="83" t="str">
        <x:v>LCSW-MQB-FA-IP-022</x:v>
      </x:c>
      <x:c r="C271" s="102" t="n">
        <x:v>46228</x:v>
      </x:c>
      <x:c r="D271" s="83" t="str">
        <x:v>Imported into LCSW master inventory</x:v>
      </x:c>
      <x:c r="E271" s="83" t="str">
        <x:v>LCSW 2026 Comprehensive Simulation Form A</x:v>
      </x:c>
      <x:c r="F271" s="83" t="str">
        <x:v>1.0</x:v>
      </x:c>
      <x:c r="G271" s="83" t="n">
        <x:v>1</x:v>
      </x:c>
      <x:c r="H271" s="83" t="str">
        <x:v>Clinical Training Academy</x:v>
      </x:c>
      <x:c r="I271" s="89" t="str">
        <x:v>Source wording and option count preserved; no silent item-content revision during inventory build.</x:v>
      </x:c>
    </x:row>
    <x:row r="272">
      <x:c r="A272" s="88" t="str">
        <x:v>CTA-LCSW-MQB-0271</x:v>
      </x:c>
      <x:c r="B272" s="83" t="str">
        <x:v>LCSW-MQB-FA-AP-029</x:v>
      </x:c>
      <x:c r="C272" s="102" t="n">
        <x:v>46228</x:v>
      </x:c>
      <x:c r="D272" s="83" t="str">
        <x:v>Imported into LCSW master inventory</x:v>
      </x:c>
      <x:c r="E272" s="83" t="str">
        <x:v>LCSW 2026 Comprehensive Simulation Form A</x:v>
      </x:c>
      <x:c r="F272" s="83" t="str">
        <x:v>1.0</x:v>
      </x:c>
      <x:c r="G272" s="83" t="n">
        <x:v>1</x:v>
      </x:c>
      <x:c r="H272" s="83" t="str">
        <x:v>Clinical Training Academy</x:v>
      </x:c>
      <x:c r="I272" s="89" t="str">
        <x:v>Source wording and option count preserved; no silent item-content revision during inventory build.</x:v>
      </x:c>
    </x:row>
    <x:row r="273">
      <x:c r="A273" s="88" t="str">
        <x:v>CTA-LCSW-MQB-0272</x:v>
      </x:c>
      <x:c r="B273" s="83" t="str">
        <x:v>LCSW-MQB-FA-IP-021</x:v>
      </x:c>
      <x:c r="C273" s="102" t="n">
        <x:v>46228</x:v>
      </x:c>
      <x:c r="D273" s="83" t="str">
        <x:v>Imported into LCSW master inventory</x:v>
      </x:c>
      <x:c r="E273" s="83" t="str">
        <x:v>LCSW 2026 Comprehensive Simulation Form A</x:v>
      </x:c>
      <x:c r="F273" s="83" t="str">
        <x:v>1.0</x:v>
      </x:c>
      <x:c r="G273" s="83" t="n">
        <x:v>1</x:v>
      </x:c>
      <x:c r="H273" s="83" t="str">
        <x:v>Clinical Training Academy</x:v>
      </x:c>
      <x:c r="I273" s="89" t="str">
        <x:v>Source wording and option count preserved; no silent item-content revision during inventory build.</x:v>
      </x:c>
    </x:row>
    <x:row r="274">
      <x:c r="A274" s="88" t="str">
        <x:v>CTA-LCSW-MQB-0273</x:v>
      </x:c>
      <x:c r="B274" s="83" t="str">
        <x:v>LCSW-MQB-FA-AP-021</x:v>
      </x:c>
      <x:c r="C274" s="102" t="n">
        <x:v>46228</x:v>
      </x:c>
      <x:c r="D274" s="83" t="str">
        <x:v>Imported into LCSW master inventory</x:v>
      </x:c>
      <x:c r="E274" s="83" t="str">
        <x:v>LCSW 2026 Comprehensive Simulation Form A</x:v>
      </x:c>
      <x:c r="F274" s="83" t="str">
        <x:v>1.0</x:v>
      </x:c>
      <x:c r="G274" s="83" t="n">
        <x:v>1</x:v>
      </x:c>
      <x:c r="H274" s="83" t="str">
        <x:v>Clinical Training Academy</x:v>
      </x:c>
      <x:c r="I274" s="89" t="str">
        <x:v>Source wording and option count preserved; no silent item-content revision during inventory build.</x:v>
      </x:c>
    </x:row>
    <x:row r="275">
      <x:c r="A275" s="88" t="str">
        <x:v>CTA-LCSW-MQB-0274</x:v>
      </x:c>
      <x:c r="B275" s="83" t="str">
        <x:v>LCSW-MQB-FA-VE-036</x:v>
      </x:c>
      <x:c r="C275" s="102" t="n">
        <x:v>46228</x:v>
      </x:c>
      <x:c r="D275" s="83" t="str">
        <x:v>Imported into LCSW master inventory</x:v>
      </x:c>
      <x:c r="E275" s="83" t="str">
        <x:v>LCSW 2026 Comprehensive Simulation Form A</x:v>
      </x:c>
      <x:c r="F275" s="83" t="str">
        <x:v>1.0</x:v>
      </x:c>
      <x:c r="G275" s="83" t="n">
        <x:v>1</x:v>
      </x:c>
      <x:c r="H275" s="83" t="str">
        <x:v>Clinical Training Academy</x:v>
      </x:c>
      <x:c r="I275" s="89" t="str">
        <x:v>Source wording and option count preserved; no silent item-content revision during inventory build.</x:v>
      </x:c>
    </x:row>
    <x:row r="276">
      <x:c r="A276" s="88" t="str">
        <x:v>CTA-LCSW-MQB-0275</x:v>
      </x:c>
      <x:c r="B276" s="83" t="str">
        <x:v>LCSW-MQB-FA-IP-003</x:v>
      </x:c>
      <x:c r="C276" s="102" t="n">
        <x:v>46228</x:v>
      </x:c>
      <x:c r="D276" s="83" t="str">
        <x:v>Imported into LCSW master inventory</x:v>
      </x:c>
      <x:c r="E276" s="83" t="str">
        <x:v>LCSW 2026 Comprehensive Simulation Form A</x:v>
      </x:c>
      <x:c r="F276" s="83" t="str">
        <x:v>1.0</x:v>
      </x:c>
      <x:c r="G276" s="83" t="n">
        <x:v>1</x:v>
      </x:c>
      <x:c r="H276" s="83" t="str">
        <x:v>Clinical Training Academy</x:v>
      </x:c>
      <x:c r="I276" s="89" t="str">
        <x:v>Source wording and option count preserved; no silent item-content revision during inventory build.</x:v>
      </x:c>
    </x:row>
    <x:row r="277">
      <x:c r="A277" s="88" t="str">
        <x:v>CTA-LCSW-MQB-0276</x:v>
      </x:c>
      <x:c r="B277" s="83" t="str">
        <x:v>LCSW-MQB-FA-AP-008</x:v>
      </x:c>
      <x:c r="C277" s="102" t="n">
        <x:v>46228</x:v>
      </x:c>
      <x:c r="D277" s="83" t="str">
        <x:v>Imported into LCSW master inventory</x:v>
      </x:c>
      <x:c r="E277" s="83" t="str">
        <x:v>LCSW 2026 Comprehensive Simulation Form A</x:v>
      </x:c>
      <x:c r="F277" s="83" t="str">
        <x:v>1.0</x:v>
      </x:c>
      <x:c r="G277" s="83" t="n">
        <x:v>1</x:v>
      </x:c>
      <x:c r="H277" s="83" t="str">
        <x:v>Clinical Training Academy</x:v>
      </x:c>
      <x:c r="I277" s="89" t="str">
        <x:v>Source wording and option count preserved; no silent item-content revision during inventory build.</x:v>
      </x:c>
    </x:row>
    <x:row r="278">
      <x:c r="A278" s="88" t="str">
        <x:v>CTA-LCSW-MQB-0277</x:v>
      </x:c>
      <x:c r="B278" s="83" t="str">
        <x:v>LCSW-MQB-FA-VE-004</x:v>
      </x:c>
      <x:c r="C278" s="102" t="n">
        <x:v>46228</x:v>
      </x:c>
      <x:c r="D278" s="83" t="str">
        <x:v>Imported into LCSW master inventory</x:v>
      </x:c>
      <x:c r="E278" s="83" t="str">
        <x:v>LCSW 2026 Comprehensive Simulation Form A</x:v>
      </x:c>
      <x:c r="F278" s="83" t="str">
        <x:v>1.0</x:v>
      </x:c>
      <x:c r="G278" s="83" t="n">
        <x:v>1</x:v>
      </x:c>
      <x:c r="H278" s="83" t="str">
        <x:v>Clinical Training Academy</x:v>
      </x:c>
      <x:c r="I278" s="89" t="str">
        <x:v>Source wording and option count preserved; no silent item-content revision during inventory build.</x:v>
      </x:c>
    </x:row>
    <x:row r="279">
      <x:c r="A279" s="88" t="str">
        <x:v>CTA-LCSW-MQB-0278</x:v>
      </x:c>
      <x:c r="B279" s="83" t="str">
        <x:v>LCSW-MQB-FA-AP-038</x:v>
      </x:c>
      <x:c r="C279" s="102" t="n">
        <x:v>46228</x:v>
      </x:c>
      <x:c r="D279" s="83" t="str">
        <x:v>Imported into LCSW master inventory</x:v>
      </x:c>
      <x:c r="E279" s="83" t="str">
        <x:v>LCSW 2026 Comprehensive Simulation Form A</x:v>
      </x:c>
      <x:c r="F279" s="83" t="str">
        <x:v>1.0</x:v>
      </x:c>
      <x:c r="G279" s="83" t="n">
        <x:v>1</x:v>
      </x:c>
      <x:c r="H279" s="83" t="str">
        <x:v>Clinical Training Academy</x:v>
      </x:c>
      <x:c r="I279" s="89" t="str">
        <x:v>Source wording and option count preserved; no silent item-content revision during inventory build.</x:v>
      </x:c>
    </x:row>
    <x:row r="280">
      <x:c r="A280" s="88" t="str">
        <x:v>CTA-LCSW-MQB-0279</x:v>
      </x:c>
      <x:c r="B280" s="83" t="str">
        <x:v>LCSW-MQB-FA-VE-043</x:v>
      </x:c>
      <x:c r="C280" s="102" t="n">
        <x:v>46228</x:v>
      </x:c>
      <x:c r="D280" s="83" t="str">
        <x:v>Imported into LCSW master inventory</x:v>
      </x:c>
      <x:c r="E280" s="83" t="str">
        <x:v>LCSW 2026 Comprehensive Simulation Form A</x:v>
      </x:c>
      <x:c r="F280" s="83" t="str">
        <x:v>1.0</x:v>
      </x:c>
      <x:c r="G280" s="83" t="n">
        <x:v>1</x:v>
      </x:c>
      <x:c r="H280" s="83" t="str">
        <x:v>Clinical Training Academy</x:v>
      </x:c>
      <x:c r="I280" s="89" t="str">
        <x:v>Source wording and option count preserved; no silent item-content revision during inventory build.</x:v>
      </x:c>
    </x:row>
    <x:row r="281">
      <x:c r="A281" s="88" t="str">
        <x:v>CTA-LCSW-MQB-0280</x:v>
      </x:c>
      <x:c r="B281" s="83" t="str">
        <x:v>LCSW-MQB-FA-AP-012</x:v>
      </x:c>
      <x:c r="C281" s="102" t="n">
        <x:v>46228</x:v>
      </x:c>
      <x:c r="D281" s="83" t="str">
        <x:v>Imported into LCSW master inventory</x:v>
      </x:c>
      <x:c r="E281" s="83" t="str">
        <x:v>LCSW 2026 Comprehensive Simulation Form A</x:v>
      </x:c>
      <x:c r="F281" s="83" t="str">
        <x:v>1.0</x:v>
      </x:c>
      <x:c r="G281" s="83" t="n">
        <x:v>1</x:v>
      </x:c>
      <x:c r="H281" s="83" t="str">
        <x:v>Clinical Training Academy</x:v>
      </x:c>
      <x:c r="I281" s="89" t="str">
        <x:v>Source wording and option count preserved; no silent item-content revision during inventory build.</x:v>
      </x:c>
    </x:row>
    <x:row r="282">
      <x:c r="A282" s="88" t="str">
        <x:v>CTA-LCSW-MQB-0281</x:v>
      </x:c>
      <x:c r="B282" s="83" t="str">
        <x:v>LCSW-MQB-FA-VE-044</x:v>
      </x:c>
      <x:c r="C282" s="102" t="n">
        <x:v>46228</x:v>
      </x:c>
      <x:c r="D282" s="83" t="str">
        <x:v>Imported into LCSW master inventory</x:v>
      </x:c>
      <x:c r="E282" s="83" t="str">
        <x:v>LCSW 2026 Comprehensive Simulation Form A</x:v>
      </x:c>
      <x:c r="F282" s="83" t="str">
        <x:v>1.0</x:v>
      </x:c>
      <x:c r="G282" s="83" t="n">
        <x:v>1</x:v>
      </x:c>
      <x:c r="H282" s="83" t="str">
        <x:v>Clinical Training Academy</x:v>
      </x:c>
      <x:c r="I282" s="89" t="str">
        <x:v>Source wording and option count preserved; no silent item-content revision during inventory build.</x:v>
      </x:c>
    </x:row>
    <x:row r="283">
      <x:c r="A283" s="88" t="str">
        <x:v>CTA-LCSW-MQB-0282</x:v>
      </x:c>
      <x:c r="B283" s="83" t="str">
        <x:v>LCSW-MQB-FA-VE-002</x:v>
      </x:c>
      <x:c r="C283" s="102" t="n">
        <x:v>46228</x:v>
      </x:c>
      <x:c r="D283" s="83" t="str">
        <x:v>Imported into LCSW master inventory</x:v>
      </x:c>
      <x:c r="E283" s="83" t="str">
        <x:v>LCSW 2026 Comprehensive Simulation Form A</x:v>
      </x:c>
      <x:c r="F283" s="83" t="str">
        <x:v>1.0</x:v>
      </x:c>
      <x:c r="G283" s="83" t="n">
        <x:v>1</x:v>
      </x:c>
      <x:c r="H283" s="83" t="str">
        <x:v>Clinical Training Academy</x:v>
      </x:c>
      <x:c r="I283" s="89" t="str">
        <x:v>Source wording and option count preserved; no silent item-content revision during inventory build.</x:v>
      </x:c>
    </x:row>
    <x:row r="284">
      <x:c r="A284" s="88" t="str">
        <x:v>CTA-LCSW-MQB-0283</x:v>
      </x:c>
      <x:c r="B284" s="83" t="str">
        <x:v>LCSW-MQB-FA-IP-004</x:v>
      </x:c>
      <x:c r="C284" s="102" t="n">
        <x:v>46228</x:v>
      </x:c>
      <x:c r="D284" s="83" t="str">
        <x:v>Imported into LCSW master inventory</x:v>
      </x:c>
      <x:c r="E284" s="83" t="str">
        <x:v>LCSW 2026 Comprehensive Simulation Form A</x:v>
      </x:c>
      <x:c r="F284" s="83" t="str">
        <x:v>1.0</x:v>
      </x:c>
      <x:c r="G284" s="83" t="n">
        <x:v>1</x:v>
      </x:c>
      <x:c r="H284" s="83" t="str">
        <x:v>Clinical Training Academy</x:v>
      </x:c>
      <x:c r="I284" s="89" t="str">
        <x:v>Source wording and option count preserved; no silent item-content revision during inventory build.</x:v>
      </x:c>
    </x:row>
    <x:row r="285">
      <x:c r="A285" s="88" t="str">
        <x:v>CTA-LCSW-MQB-0284</x:v>
      </x:c>
      <x:c r="B285" s="83" t="str">
        <x:v>LCSW-MQB-FA-VE-020</x:v>
      </x:c>
      <x:c r="C285" s="102" t="n">
        <x:v>46228</x:v>
      </x:c>
      <x:c r="D285" s="83" t="str">
        <x:v>Imported into LCSW master inventory</x:v>
      </x:c>
      <x:c r="E285" s="83" t="str">
        <x:v>LCSW 2026 Comprehensive Simulation Form A</x:v>
      </x:c>
      <x:c r="F285" s="83" t="str">
        <x:v>1.0</x:v>
      </x:c>
      <x:c r="G285" s="83" t="n">
        <x:v>1</x:v>
      </x:c>
      <x:c r="H285" s="83" t="str">
        <x:v>Clinical Training Academy</x:v>
      </x:c>
      <x:c r="I285" s="89" t="str">
        <x:v>Source wording and option count preserved; no silent item-content revision during inventory build.</x:v>
      </x:c>
    </x:row>
    <x:row r="286">
      <x:c r="A286" s="88" t="str">
        <x:v>CTA-LCSW-MQB-0285</x:v>
      </x:c>
      <x:c r="B286" s="83" t="str">
        <x:v>LCSW-MQB-FA-VE-005</x:v>
      </x:c>
      <x:c r="C286" s="102" t="n">
        <x:v>46228</x:v>
      </x:c>
      <x:c r="D286" s="83" t="str">
        <x:v>Imported into LCSW master inventory</x:v>
      </x:c>
      <x:c r="E286" s="83" t="str">
        <x:v>LCSW 2026 Comprehensive Simulation Form A</x:v>
      </x:c>
      <x:c r="F286" s="83" t="str">
        <x:v>1.0</x:v>
      </x:c>
      <x:c r="G286" s="83" t="n">
        <x:v>1</x:v>
      </x:c>
      <x:c r="H286" s="83" t="str">
        <x:v>Clinical Training Academy</x:v>
      </x:c>
      <x:c r="I286" s="89" t="str">
        <x:v>Source wording and option count preserved; no silent item-content revision during inventory build.</x:v>
      </x:c>
    </x:row>
    <x:row r="287">
      <x:c r="A287" s="88" t="str">
        <x:v>CTA-LCSW-MQB-0286</x:v>
      </x:c>
      <x:c r="B287" s="83" t="str">
        <x:v>LCSW-MQB-FA-IP-032</x:v>
      </x:c>
      <x:c r="C287" s="102" t="n">
        <x:v>46228</x:v>
      </x:c>
      <x:c r="D287" s="83" t="str">
        <x:v>Imported into LCSW master inventory</x:v>
      </x:c>
      <x:c r="E287" s="83" t="str">
        <x:v>LCSW 2026 Comprehensive Simulation Form A</x:v>
      </x:c>
      <x:c r="F287" s="83" t="str">
        <x:v>1.0</x:v>
      </x:c>
      <x:c r="G287" s="83" t="n">
        <x:v>1</x:v>
      </x:c>
      <x:c r="H287" s="83" t="str">
        <x:v>Clinical Training Academy</x:v>
      </x:c>
      <x:c r="I287" s="89" t="str">
        <x:v>Source wording and option count preserved; no silent item-content revision during inventory build.</x:v>
      </x:c>
    </x:row>
    <x:row r="288">
      <x:c r="A288" s="88" t="str">
        <x:v>CTA-LCSW-MQB-0287</x:v>
      </x:c>
      <x:c r="B288" s="83" t="str">
        <x:v>LCSW-MQB-FA-VE-019</x:v>
      </x:c>
      <x:c r="C288" s="102" t="n">
        <x:v>46228</x:v>
      </x:c>
      <x:c r="D288" s="83" t="str">
        <x:v>Imported into LCSW master inventory</x:v>
      </x:c>
      <x:c r="E288" s="83" t="str">
        <x:v>LCSW 2026 Comprehensive Simulation Form A</x:v>
      </x:c>
      <x:c r="F288" s="83" t="str">
        <x:v>1.0</x:v>
      </x:c>
      <x:c r="G288" s="83" t="n">
        <x:v>1</x:v>
      </x:c>
      <x:c r="H288" s="83" t="str">
        <x:v>Clinical Training Academy</x:v>
      </x:c>
      <x:c r="I288" s="89" t="str">
        <x:v>Source wording and option count preserved; no silent item-content revision during inventory build.</x:v>
      </x:c>
    </x:row>
    <x:row r="289">
      <x:c r="A289" s="88" t="str">
        <x:v>CTA-LCSW-MQB-0288</x:v>
      </x:c>
      <x:c r="B289" s="83" t="str">
        <x:v>LCSW-MQB-FA-AP-027</x:v>
      </x:c>
      <x:c r="C289" s="102" t="n">
        <x:v>46228</x:v>
      </x:c>
      <x:c r="D289" s="83" t="str">
        <x:v>Imported into LCSW master inventory</x:v>
      </x:c>
      <x:c r="E289" s="83" t="str">
        <x:v>LCSW 2026 Comprehensive Simulation Form A</x:v>
      </x:c>
      <x:c r="F289" s="83" t="str">
        <x:v>1.0</x:v>
      </x:c>
      <x:c r="G289" s="83" t="n">
        <x:v>1</x:v>
      </x:c>
      <x:c r="H289" s="83" t="str">
        <x:v>Clinical Training Academy</x:v>
      </x:c>
      <x:c r="I289" s="89" t="str">
        <x:v>Source wording and option count preserved; no silent item-content revision during inventory build.</x:v>
      </x:c>
    </x:row>
    <x:row r="290">
      <x:c r="A290" s="88" t="str">
        <x:v>CTA-LCSW-MQB-0289</x:v>
      </x:c>
      <x:c r="B290" s="83" t="str">
        <x:v>LCSW-MQB-FA-IP-006</x:v>
      </x:c>
      <x:c r="C290" s="102" t="n">
        <x:v>46228</x:v>
      </x:c>
      <x:c r="D290" s="83" t="str">
        <x:v>Imported into LCSW master inventory</x:v>
      </x:c>
      <x:c r="E290" s="83" t="str">
        <x:v>LCSW 2026 Comprehensive Simulation Form A</x:v>
      </x:c>
      <x:c r="F290" s="83" t="str">
        <x:v>1.0</x:v>
      </x:c>
      <x:c r="G290" s="83" t="n">
        <x:v>1</x:v>
      </x:c>
      <x:c r="H290" s="83" t="str">
        <x:v>Clinical Training Academy</x:v>
      </x:c>
      <x:c r="I290" s="89" t="str">
        <x:v>Source wording and option count preserved; no silent item-content revision during inventory build.</x:v>
      </x:c>
    </x:row>
    <x:row r="291">
      <x:c r="A291" s="88" t="str">
        <x:v>CTA-LCSW-MQB-0290</x:v>
      </x:c>
      <x:c r="B291" s="83" t="str">
        <x:v>LCSW-MQB-FA-IP-007</x:v>
      </x:c>
      <x:c r="C291" s="102" t="n">
        <x:v>46228</x:v>
      </x:c>
      <x:c r="D291" s="83" t="str">
        <x:v>Imported into LCSW master inventory</x:v>
      </x:c>
      <x:c r="E291" s="83" t="str">
        <x:v>LCSW 2026 Comprehensive Simulation Form A</x:v>
      </x:c>
      <x:c r="F291" s="83" t="str">
        <x:v>1.0</x:v>
      </x:c>
      <x:c r="G291" s="83" t="n">
        <x:v>1</x:v>
      </x:c>
      <x:c r="H291" s="83" t="str">
        <x:v>Clinical Training Academy</x:v>
      </x:c>
      <x:c r="I291" s="89" t="str">
        <x:v>Source wording and option count preserved; no silent item-content revision during inventory build.</x:v>
      </x:c>
    </x:row>
    <x:row r="292">
      <x:c r="A292" s="88" t="str">
        <x:v>CTA-LCSW-MQB-0291</x:v>
      </x:c>
      <x:c r="B292" s="83" t="str">
        <x:v>LCSW-MQB-FA-VE-024</x:v>
      </x:c>
      <x:c r="C292" s="102" t="n">
        <x:v>46228</x:v>
      </x:c>
      <x:c r="D292" s="83" t="str">
        <x:v>Imported into LCSW master inventory</x:v>
      </x:c>
      <x:c r="E292" s="83" t="str">
        <x:v>LCSW 2026 Comprehensive Simulation Form A</x:v>
      </x:c>
      <x:c r="F292" s="83" t="str">
        <x:v>1.0</x:v>
      </x:c>
      <x:c r="G292" s="83" t="n">
        <x:v>1</x:v>
      </x:c>
      <x:c r="H292" s="83" t="str">
        <x:v>Clinical Training Academy</x:v>
      </x:c>
      <x:c r="I292" s="89" t="str">
        <x:v>Source wording and option count preserved; no silent item-content revision during inventory build.</x:v>
      </x:c>
    </x:row>
    <x:row r="293">
      <x:c r="A293" s="88" t="str">
        <x:v>CTA-LCSW-MQB-0292</x:v>
      </x:c>
      <x:c r="B293" s="83" t="str">
        <x:v>LCSW-MQB-FA-IP-037</x:v>
      </x:c>
      <x:c r="C293" s="102" t="n">
        <x:v>46228</x:v>
      </x:c>
      <x:c r="D293" s="83" t="str">
        <x:v>Imported into LCSW master inventory</x:v>
      </x:c>
      <x:c r="E293" s="83" t="str">
        <x:v>LCSW 2026 Comprehensive Simulation Form A</x:v>
      </x:c>
      <x:c r="F293" s="83" t="str">
        <x:v>1.0</x:v>
      </x:c>
      <x:c r="G293" s="83" t="n">
        <x:v>1</x:v>
      </x:c>
      <x:c r="H293" s="83" t="str">
        <x:v>Clinical Training Academy</x:v>
      </x:c>
      <x:c r="I293" s="89" t="str">
        <x:v>Source wording and option count preserved; no silent item-content revision during inventory build.</x:v>
      </x:c>
    </x:row>
    <x:row r="294">
      <x:c r="A294" s="88" t="str">
        <x:v>CTA-LCSW-MQB-0293</x:v>
      </x:c>
      <x:c r="B294" s="83" t="str">
        <x:v>LCSW-MQB-FA-AP-016</x:v>
      </x:c>
      <x:c r="C294" s="102" t="n">
        <x:v>46228</x:v>
      </x:c>
      <x:c r="D294" s="83" t="str">
        <x:v>Imported into LCSW master inventory</x:v>
      </x:c>
      <x:c r="E294" s="83" t="str">
        <x:v>LCSW 2026 Comprehensive Simulation Form A</x:v>
      </x:c>
      <x:c r="F294" s="83" t="str">
        <x:v>1.0</x:v>
      </x:c>
      <x:c r="G294" s="83" t="n">
        <x:v>1</x:v>
      </x:c>
      <x:c r="H294" s="83" t="str">
        <x:v>Clinical Training Academy</x:v>
      </x:c>
      <x:c r="I294" s="89" t="str">
        <x:v>Source wording and option count preserved; no silent item-content revision during inventory build.</x:v>
      </x:c>
    </x:row>
    <x:row r="295">
      <x:c r="A295" s="88" t="str">
        <x:v>CTA-LCSW-MQB-0294</x:v>
      </x:c>
      <x:c r="B295" s="83" t="str">
        <x:v>LCSW-MQB-FA-AP-015</x:v>
      </x:c>
      <x:c r="C295" s="102" t="n">
        <x:v>46228</x:v>
      </x:c>
      <x:c r="D295" s="83" t="str">
        <x:v>Imported into LCSW master inventory</x:v>
      </x:c>
      <x:c r="E295" s="83" t="str">
        <x:v>LCSW 2026 Comprehensive Simulation Form A</x:v>
      </x:c>
      <x:c r="F295" s="83" t="str">
        <x:v>1.0</x:v>
      </x:c>
      <x:c r="G295" s="83" t="n">
        <x:v>1</x:v>
      </x:c>
      <x:c r="H295" s="83" t="str">
        <x:v>Clinical Training Academy</x:v>
      </x:c>
      <x:c r="I295" s="89" t="str">
        <x:v>Source wording and option count preserved; no silent item-content revision during inventory build.</x:v>
      </x:c>
    </x:row>
    <x:row r="296">
      <x:c r="A296" s="88" t="str">
        <x:v>CTA-LCSW-MQB-0295</x:v>
      </x:c>
      <x:c r="B296" s="83" t="str">
        <x:v>LCSW-MQB-FA-VE-042</x:v>
      </x:c>
      <x:c r="C296" s="102" t="n">
        <x:v>46228</x:v>
      </x:c>
      <x:c r="D296" s="83" t="str">
        <x:v>Imported into LCSW master inventory</x:v>
      </x:c>
      <x:c r="E296" s="83" t="str">
        <x:v>LCSW 2026 Comprehensive Simulation Form A</x:v>
      </x:c>
      <x:c r="F296" s="83" t="str">
        <x:v>1.0</x:v>
      </x:c>
      <x:c r="G296" s="83" t="n">
        <x:v>1</x:v>
      </x:c>
      <x:c r="H296" s="83" t="str">
        <x:v>Clinical Training Academy</x:v>
      </x:c>
      <x:c r="I296" s="89" t="str">
        <x:v>Source wording and option count preserved; no silent item-content revision during inventory build.</x:v>
      </x:c>
    </x:row>
    <x:row r="297">
      <x:c r="A297" s="88" t="str">
        <x:v>CTA-LCSW-MQB-0296</x:v>
      </x:c>
      <x:c r="B297" s="83" t="str">
        <x:v>LCSW-MQB-FA-VE-016</x:v>
      </x:c>
      <x:c r="C297" s="102" t="n">
        <x:v>46228</x:v>
      </x:c>
      <x:c r="D297" s="83" t="str">
        <x:v>Imported into LCSW master inventory</x:v>
      </x:c>
      <x:c r="E297" s="83" t="str">
        <x:v>LCSW 2026 Comprehensive Simulation Form A</x:v>
      </x:c>
      <x:c r="F297" s="83" t="str">
        <x:v>1.0</x:v>
      </x:c>
      <x:c r="G297" s="83" t="n">
        <x:v>1</x:v>
      </x:c>
      <x:c r="H297" s="83" t="str">
        <x:v>Clinical Training Academy</x:v>
      </x:c>
      <x:c r="I297" s="89" t="str">
        <x:v>Source wording and option count preserved; no silent item-content revision during inventory build.</x:v>
      </x:c>
    </x:row>
    <x:row r="298">
      <x:c r="A298" s="88" t="str">
        <x:v>CTA-LCSW-MQB-0297</x:v>
      </x:c>
      <x:c r="B298" s="83" t="str">
        <x:v>LCSW-MQB-FA-IP-015</x:v>
      </x:c>
      <x:c r="C298" s="102" t="n">
        <x:v>46228</x:v>
      </x:c>
      <x:c r="D298" s="83" t="str">
        <x:v>Imported into LCSW master inventory</x:v>
      </x:c>
      <x:c r="E298" s="83" t="str">
        <x:v>LCSW 2026 Comprehensive Simulation Form A</x:v>
      </x:c>
      <x:c r="F298" s="83" t="str">
        <x:v>1.0</x:v>
      </x:c>
      <x:c r="G298" s="83" t="n">
        <x:v>1</x:v>
      </x:c>
      <x:c r="H298" s="83" t="str">
        <x:v>Clinical Training Academy</x:v>
      </x:c>
      <x:c r="I298" s="89" t="str">
        <x:v>Source wording and option count preserved; no silent item-content revision during inventory build.</x:v>
      </x:c>
    </x:row>
    <x:row r="299">
      <x:c r="A299" s="88" t="str">
        <x:v>CTA-LCSW-MQB-0298</x:v>
      </x:c>
      <x:c r="B299" s="83" t="str">
        <x:v>LCSW-MQB-FA-IP-013</x:v>
      </x:c>
      <x:c r="C299" s="102" t="n">
        <x:v>46228</x:v>
      </x:c>
      <x:c r="D299" s="83" t="str">
        <x:v>Imported into LCSW master inventory</x:v>
      </x:c>
      <x:c r="E299" s="83" t="str">
        <x:v>LCSW 2026 Comprehensive Simulation Form A</x:v>
      </x:c>
      <x:c r="F299" s="83" t="str">
        <x:v>1.0</x:v>
      </x:c>
      <x:c r="G299" s="83" t="n">
        <x:v>1</x:v>
      </x:c>
      <x:c r="H299" s="83" t="str">
        <x:v>Clinical Training Academy</x:v>
      </x:c>
      <x:c r="I299" s="89" t="str">
        <x:v>Source wording and option count preserved; no silent item-content revision during inventory build.</x:v>
      </x:c>
    </x:row>
    <x:row r="300">
      <x:c r="A300" s="88" t="str">
        <x:v>CTA-LCSW-MQB-0299</x:v>
      </x:c>
      <x:c r="B300" s="83" t="str">
        <x:v>LCSW-MQB-FA-AP-031</x:v>
      </x:c>
      <x:c r="C300" s="102" t="n">
        <x:v>46228</x:v>
      </x:c>
      <x:c r="D300" s="83" t="str">
        <x:v>Imported into LCSW master inventory</x:v>
      </x:c>
      <x:c r="E300" s="83" t="str">
        <x:v>LCSW 2026 Comprehensive Simulation Form A</x:v>
      </x:c>
      <x:c r="F300" s="83" t="str">
        <x:v>1.0</x:v>
      </x:c>
      <x:c r="G300" s="83" t="n">
        <x:v>1</x:v>
      </x:c>
      <x:c r="H300" s="83" t="str">
        <x:v>Clinical Training Academy</x:v>
      </x:c>
      <x:c r="I300" s="89" t="str">
        <x:v>Source wording and option count preserved; no silent item-content revision during inventory build.</x:v>
      </x:c>
    </x:row>
    <x:row r="301">
      <x:c r="A301" s="88" t="str">
        <x:v>CTA-LCSW-MQB-0300</x:v>
      </x:c>
      <x:c r="B301" s="83" t="str">
        <x:v>LCSW-MQB-FA-AP-003</x:v>
      </x:c>
      <x:c r="C301" s="102" t="n">
        <x:v>46228</x:v>
      </x:c>
      <x:c r="D301" s="83" t="str">
        <x:v>Imported into LCSW master inventory</x:v>
      </x:c>
      <x:c r="E301" s="83" t="str">
        <x:v>LCSW 2026 Comprehensive Simulation Form A</x:v>
      </x:c>
      <x:c r="F301" s="83" t="str">
        <x:v>1.0</x:v>
      </x:c>
      <x:c r="G301" s="83" t="n">
        <x:v>1</x:v>
      </x:c>
      <x:c r="H301" s="83" t="str">
        <x:v>Clinical Training Academy</x:v>
      </x:c>
      <x:c r="I301" s="89" t="str">
        <x:v>Source wording and option count preserved; no silent item-content revision during inventory build.</x:v>
      </x:c>
    </x:row>
    <x:row r="302">
      <x:c r="A302" s="88" t="str">
        <x:v>CTA-LCSW-MQB-0301</x:v>
      </x:c>
      <x:c r="B302" s="83" t="str">
        <x:v>LCSW-MQB-FA-VE-037</x:v>
      </x:c>
      <x:c r="C302" s="102" t="n">
        <x:v>46228</x:v>
      </x:c>
      <x:c r="D302" s="83" t="str">
        <x:v>Imported into LCSW master inventory</x:v>
      </x:c>
      <x:c r="E302" s="83" t="str">
        <x:v>LCSW 2026 Comprehensive Simulation Form A</x:v>
      </x:c>
      <x:c r="F302" s="83" t="str">
        <x:v>1.0</x:v>
      </x:c>
      <x:c r="G302" s="83" t="n">
        <x:v>1</x:v>
      </x:c>
      <x:c r="H302" s="83" t="str">
        <x:v>Clinical Training Academy</x:v>
      </x:c>
      <x:c r="I302" s="89" t="str">
        <x:v>Source wording and option count preserved; no silent item-content revision during inventory build.</x:v>
      </x:c>
    </x:row>
    <x:row r="303">
      <x:c r="A303" s="88" t="str">
        <x:v>CTA-LCSW-MQB-0302</x:v>
      </x:c>
      <x:c r="B303" s="83" t="str">
        <x:v>LCSW-MQB-FA-IP-001</x:v>
      </x:c>
      <x:c r="C303" s="102" t="n">
        <x:v>46228</x:v>
      </x:c>
      <x:c r="D303" s="83" t="str">
        <x:v>Imported into LCSW master inventory</x:v>
      </x:c>
      <x:c r="E303" s="83" t="str">
        <x:v>LCSW 2026 Comprehensive Simulation Form A</x:v>
      </x:c>
      <x:c r="F303" s="83" t="str">
        <x:v>1.0</x:v>
      </x:c>
      <x:c r="G303" s="83" t="n">
        <x:v>1</x:v>
      </x:c>
      <x:c r="H303" s="83" t="str">
        <x:v>Clinical Training Academy</x:v>
      </x:c>
      <x:c r="I303" s="89" t="str">
        <x:v>Source wording and option count preserved; no silent item-content revision during inventory build.</x:v>
      </x:c>
    </x:row>
    <x:row r="304">
      <x:c r="A304" s="88" t="str">
        <x:v>CTA-LCSW-MQB-0303</x:v>
      </x:c>
      <x:c r="B304" s="83" t="str">
        <x:v>LCSW-MQB-FA-IP-010</x:v>
      </x:c>
      <x:c r="C304" s="102" t="n">
        <x:v>46228</x:v>
      </x:c>
      <x:c r="D304" s="83" t="str">
        <x:v>Imported into LCSW master inventory</x:v>
      </x:c>
      <x:c r="E304" s="83" t="str">
        <x:v>LCSW 2026 Comprehensive Simulation Form A</x:v>
      </x:c>
      <x:c r="F304" s="83" t="str">
        <x:v>1.0</x:v>
      </x:c>
      <x:c r="G304" s="83" t="n">
        <x:v>1</x:v>
      </x:c>
      <x:c r="H304" s="83" t="str">
        <x:v>Clinical Training Academy</x:v>
      </x:c>
      <x:c r="I304" s="89" t="str">
        <x:v>Source wording and option count preserved; no silent item-content revision during inventory build.</x:v>
      </x:c>
    </x:row>
    <x:row r="305">
      <x:c r="A305" s="88" t="str">
        <x:v>CTA-LCSW-MQB-0304</x:v>
      </x:c>
      <x:c r="B305" s="83" t="str">
        <x:v>LCSW-MQB-FA-AP-030</x:v>
      </x:c>
      <x:c r="C305" s="102" t="n">
        <x:v>46228</x:v>
      </x:c>
      <x:c r="D305" s="83" t="str">
        <x:v>Imported into LCSW master inventory</x:v>
      </x:c>
      <x:c r="E305" s="83" t="str">
        <x:v>LCSW 2026 Comprehensive Simulation Form A</x:v>
      </x:c>
      <x:c r="F305" s="83" t="str">
        <x:v>1.0</x:v>
      </x:c>
      <x:c r="G305" s="83" t="n">
        <x:v>1</x:v>
      </x:c>
      <x:c r="H305" s="83" t="str">
        <x:v>Clinical Training Academy</x:v>
      </x:c>
      <x:c r="I305" s="89" t="str">
        <x:v>Source wording and option count preserved; no silent item-content revision during inventory build.</x:v>
      </x:c>
    </x:row>
    <x:row r="306">
      <x:c r="A306" s="88" t="str">
        <x:v>CTA-LCSW-MQB-0305</x:v>
      </x:c>
      <x:c r="B306" s="83" t="str">
        <x:v>LCSW-MQB-FA-VE-011</x:v>
      </x:c>
      <x:c r="C306" s="102" t="n">
        <x:v>46228</x:v>
      </x:c>
      <x:c r="D306" s="83" t="str">
        <x:v>Imported into LCSW master inventory</x:v>
      </x:c>
      <x:c r="E306" s="83" t="str">
        <x:v>LCSW 2026 Comprehensive Simulation Form A</x:v>
      </x:c>
      <x:c r="F306" s="83" t="str">
        <x:v>1.0</x:v>
      </x:c>
      <x:c r="G306" s="83" t="n">
        <x:v>1</x:v>
      </x:c>
      <x:c r="H306" s="83" t="str">
        <x:v>Clinical Training Academy</x:v>
      </x:c>
      <x:c r="I306" s="89" t="str">
        <x:v>Source wording and option count preserved; no silent item-content revision during inventory build.</x:v>
      </x:c>
    </x:row>
    <x:row r="307">
      <x:c r="A307" s="88" t="str">
        <x:v>CTA-LCSW-MQB-0306</x:v>
      </x:c>
      <x:c r="B307" s="83" t="str">
        <x:v>LCSW-MQB-FA-VE-012</x:v>
      </x:c>
      <x:c r="C307" s="102" t="n">
        <x:v>46228</x:v>
      </x:c>
      <x:c r="D307" s="83" t="str">
        <x:v>Imported into LCSW master inventory</x:v>
      </x:c>
      <x:c r="E307" s="83" t="str">
        <x:v>LCSW 2026 Comprehensive Simulation Form A</x:v>
      </x:c>
      <x:c r="F307" s="83" t="str">
        <x:v>1.0</x:v>
      </x:c>
      <x:c r="G307" s="83" t="n">
        <x:v>1</x:v>
      </x:c>
      <x:c r="H307" s="83" t="str">
        <x:v>Clinical Training Academy</x:v>
      </x:c>
      <x:c r="I307" s="89" t="str">
        <x:v>Source wording and option count preserved; no silent item-content revision during inventory build.</x:v>
      </x:c>
    </x:row>
    <x:row r="308">
      <x:c r="A308" s="88" t="str">
        <x:v>CTA-LCSW-MQB-0307</x:v>
      </x:c>
      <x:c r="B308" s="83" t="str">
        <x:v>LCSW-MQB-FA-AP-033</x:v>
      </x:c>
      <x:c r="C308" s="102" t="n">
        <x:v>46228</x:v>
      </x:c>
      <x:c r="D308" s="83" t="str">
        <x:v>Imported into LCSW master inventory</x:v>
      </x:c>
      <x:c r="E308" s="83" t="str">
        <x:v>LCSW 2026 Comprehensive Simulation Form A</x:v>
      </x:c>
      <x:c r="F308" s="83" t="str">
        <x:v>1.0</x:v>
      </x:c>
      <x:c r="G308" s="83" t="n">
        <x:v>1</x:v>
      </x:c>
      <x:c r="H308" s="83" t="str">
        <x:v>Clinical Training Academy</x:v>
      </x:c>
      <x:c r="I308" s="89" t="str">
        <x:v>Source wording and option count preserved; no silent item-content revision during inventory build.</x:v>
      </x:c>
    </x:row>
    <x:row r="309">
      <x:c r="A309" s="88" t="str">
        <x:v>CTA-LCSW-MQB-0308</x:v>
      </x:c>
      <x:c r="B309" s="83" t="str">
        <x:v>LCSW-MQB-FA-VE-028</x:v>
      </x:c>
      <x:c r="C309" s="102" t="n">
        <x:v>46228</x:v>
      </x:c>
      <x:c r="D309" s="83" t="str">
        <x:v>Imported into LCSW master inventory</x:v>
      </x:c>
      <x:c r="E309" s="83" t="str">
        <x:v>LCSW 2026 Comprehensive Simulation Form A</x:v>
      </x:c>
      <x:c r="F309" s="83" t="str">
        <x:v>1.0</x:v>
      </x:c>
      <x:c r="G309" s="83" t="n">
        <x:v>1</x:v>
      </x:c>
      <x:c r="H309" s="83" t="str">
        <x:v>Clinical Training Academy</x:v>
      </x:c>
      <x:c r="I309" s="89" t="str">
        <x:v>Source wording and option count preserved; no silent item-content revision during inventory build.</x:v>
      </x:c>
    </x:row>
    <x:row r="310">
      <x:c r="A310" s="88" t="str">
        <x:v>CTA-LCSW-MQB-0309</x:v>
      </x:c>
      <x:c r="B310" s="83" t="str">
        <x:v>LCSW-MQB-FA-AP-002</x:v>
      </x:c>
      <x:c r="C310" s="102" t="n">
        <x:v>46228</x:v>
      </x:c>
      <x:c r="D310" s="83" t="str">
        <x:v>Imported into LCSW master inventory</x:v>
      </x:c>
      <x:c r="E310" s="83" t="str">
        <x:v>LCSW 2026 Comprehensive Simulation Form A</x:v>
      </x:c>
      <x:c r="F310" s="83" t="str">
        <x:v>1.0</x:v>
      </x:c>
      <x:c r="G310" s="83" t="n">
        <x:v>1</x:v>
      </x:c>
      <x:c r="H310" s="83" t="str">
        <x:v>Clinical Training Academy</x:v>
      </x:c>
      <x:c r="I310" s="89" t="str">
        <x:v>Source wording and option count preserved; no silent item-content revision during inventory build.</x:v>
      </x:c>
    </x:row>
    <x:row r="311">
      <x:c r="A311" s="88" t="str">
        <x:v>CTA-LCSW-MQB-0310</x:v>
      </x:c>
      <x:c r="B311" s="83" t="str">
        <x:v>LCSW-MQB-FA-AP-005</x:v>
      </x:c>
      <x:c r="C311" s="102" t="n">
        <x:v>46228</x:v>
      </x:c>
      <x:c r="D311" s="83" t="str">
        <x:v>Imported into LCSW master inventory</x:v>
      </x:c>
      <x:c r="E311" s="83" t="str">
        <x:v>LCSW 2026 Comprehensive Simulation Form A</x:v>
      </x:c>
      <x:c r="F311" s="83" t="str">
        <x:v>1.0</x:v>
      </x:c>
      <x:c r="G311" s="83" t="n">
        <x:v>1</x:v>
      </x:c>
      <x:c r="H311" s="83" t="str">
        <x:v>Clinical Training Academy</x:v>
      </x:c>
      <x:c r="I311" s="89" t="str">
        <x:v>Source wording and option count preserved; no silent item-content revision during inventory build.</x:v>
      </x:c>
    </x:row>
    <x:row r="312">
      <x:c r="A312" s="88" t="str">
        <x:v>CTA-LCSW-MQB-0311</x:v>
      </x:c>
      <x:c r="B312" s="83" t="str">
        <x:v>LCSW-MQB-FA-VE-027</x:v>
      </x:c>
      <x:c r="C312" s="102" t="n">
        <x:v>46228</x:v>
      </x:c>
      <x:c r="D312" s="83" t="str">
        <x:v>Imported into LCSW master inventory</x:v>
      </x:c>
      <x:c r="E312" s="83" t="str">
        <x:v>LCSW 2026 Comprehensive Simulation Form A</x:v>
      </x:c>
      <x:c r="F312" s="83" t="str">
        <x:v>1.0</x:v>
      </x:c>
      <x:c r="G312" s="83" t="n">
        <x:v>1</x:v>
      </x:c>
      <x:c r="H312" s="83" t="str">
        <x:v>Clinical Training Academy</x:v>
      </x:c>
      <x:c r="I312" s="89" t="str">
        <x:v>Source wording and option count preserved; no silent item-content revision during inventory build.</x:v>
      </x:c>
    </x:row>
    <x:row r="313">
      <x:c r="A313" s="88" t="str">
        <x:v>CTA-LCSW-MQB-0312</x:v>
      </x:c>
      <x:c r="B313" s="83" t="str">
        <x:v>LCSW-MQB-FA-IP-014</x:v>
      </x:c>
      <x:c r="C313" s="102" t="n">
        <x:v>46228</x:v>
      </x:c>
      <x:c r="D313" s="83" t="str">
        <x:v>Imported into LCSW master inventory</x:v>
      </x:c>
      <x:c r="E313" s="83" t="str">
        <x:v>LCSW 2026 Comprehensive Simulation Form A</x:v>
      </x:c>
      <x:c r="F313" s="83" t="str">
        <x:v>1.0</x:v>
      </x:c>
      <x:c r="G313" s="83" t="n">
        <x:v>1</x:v>
      </x:c>
      <x:c r="H313" s="83" t="str">
        <x:v>Clinical Training Academy</x:v>
      </x:c>
      <x:c r="I313" s="89" t="str">
        <x:v>Source wording and option count preserved; no silent item-content revision during inventory build.</x:v>
      </x:c>
    </x:row>
    <x:row r="314">
      <x:c r="A314" s="88" t="str">
        <x:v>CTA-LCSW-MQB-0313</x:v>
      </x:c>
      <x:c r="B314" s="83" t="str">
        <x:v>LCSW-MQB-FA-VE-035</x:v>
      </x:c>
      <x:c r="C314" s="102" t="n">
        <x:v>46228</x:v>
      </x:c>
      <x:c r="D314" s="83" t="str">
        <x:v>Imported into LCSW master inventory</x:v>
      </x:c>
      <x:c r="E314" s="83" t="str">
        <x:v>LCSW 2026 Comprehensive Simulation Form A</x:v>
      </x:c>
      <x:c r="F314" s="83" t="str">
        <x:v>1.0</x:v>
      </x:c>
      <x:c r="G314" s="83" t="n">
        <x:v>1</x:v>
      </x:c>
      <x:c r="H314" s="83" t="str">
        <x:v>Clinical Training Academy</x:v>
      </x:c>
      <x:c r="I314" s="89" t="str">
        <x:v>Source wording and option count preserved; no silent item-content revision during inventory build.</x:v>
      </x:c>
    </x:row>
    <x:row r="315">
      <x:c r="A315" s="88" t="str">
        <x:v>CTA-LCSW-MQB-0314</x:v>
      </x:c>
      <x:c r="B315" s="83" t="str">
        <x:v>LCSW-MQB-FA-AP-037</x:v>
      </x:c>
      <x:c r="C315" s="102" t="n">
        <x:v>46228</x:v>
      </x:c>
      <x:c r="D315" s="83" t="str">
        <x:v>Imported into LCSW master inventory</x:v>
      </x:c>
      <x:c r="E315" s="83" t="str">
        <x:v>LCSW 2026 Comprehensive Simulation Form A</x:v>
      </x:c>
      <x:c r="F315" s="83" t="str">
        <x:v>1.0</x:v>
      </x:c>
      <x:c r="G315" s="83" t="n">
        <x:v>1</x:v>
      </x:c>
      <x:c r="H315" s="83" t="str">
        <x:v>Clinical Training Academy</x:v>
      </x:c>
      <x:c r="I315" s="89" t="str">
        <x:v>Source wording and option count preserved; no silent item-content revision during inventory build.</x:v>
      </x:c>
    </x:row>
    <x:row r="316">
      <x:c r="A316" s="88" t="str">
        <x:v>CTA-LCSW-MQB-0315</x:v>
      </x:c>
      <x:c r="B316" s="83" t="str">
        <x:v>LCSW-MQB-FA-IP-026</x:v>
      </x:c>
      <x:c r="C316" s="102" t="n">
        <x:v>46228</x:v>
      </x:c>
      <x:c r="D316" s="83" t="str">
        <x:v>Imported into LCSW master inventory</x:v>
      </x:c>
      <x:c r="E316" s="83" t="str">
        <x:v>LCSW 2026 Comprehensive Simulation Form A</x:v>
      </x:c>
      <x:c r="F316" s="83" t="str">
        <x:v>1.0</x:v>
      </x:c>
      <x:c r="G316" s="83" t="n">
        <x:v>1</x:v>
      </x:c>
      <x:c r="H316" s="83" t="str">
        <x:v>Clinical Training Academy</x:v>
      </x:c>
      <x:c r="I316" s="89" t="str">
        <x:v>Source wording and option count preserved; no silent item-content revision during inventory build.</x:v>
      </x:c>
    </x:row>
    <x:row r="317">
      <x:c r="A317" s="88" t="str">
        <x:v>CTA-LCSW-MQB-0316</x:v>
      </x:c>
      <x:c r="B317" s="83" t="str">
        <x:v>LCSW-MQB-FA-AP-014</x:v>
      </x:c>
      <x:c r="C317" s="102" t="n">
        <x:v>46228</x:v>
      </x:c>
      <x:c r="D317" s="83" t="str">
        <x:v>Imported into LCSW master inventory</x:v>
      </x:c>
      <x:c r="E317" s="83" t="str">
        <x:v>LCSW 2026 Comprehensive Simulation Form A</x:v>
      </x:c>
      <x:c r="F317" s="83" t="str">
        <x:v>1.0</x:v>
      </x:c>
      <x:c r="G317" s="83" t="n">
        <x:v>1</x:v>
      </x:c>
      <x:c r="H317" s="83" t="str">
        <x:v>Clinical Training Academy</x:v>
      </x:c>
      <x:c r="I317" s="89" t="str">
        <x:v>Source wording and option count preserved; no silent item-content revision during inventory build.</x:v>
      </x:c>
    </x:row>
    <x:row r="318">
      <x:c r="A318" s="88" t="str">
        <x:v>CTA-LCSW-MQB-0317</x:v>
      </x:c>
      <x:c r="B318" s="83" t="str">
        <x:v>LCSW-MQB-FA-IP-016</x:v>
      </x:c>
      <x:c r="C318" s="102" t="n">
        <x:v>46228</x:v>
      </x:c>
      <x:c r="D318" s="83" t="str">
        <x:v>Imported into LCSW master inventory</x:v>
      </x:c>
      <x:c r="E318" s="83" t="str">
        <x:v>LCSW 2026 Comprehensive Simulation Form A</x:v>
      </x:c>
      <x:c r="F318" s="83" t="str">
        <x:v>1.0</x:v>
      </x:c>
      <x:c r="G318" s="83" t="n">
        <x:v>1</x:v>
      </x:c>
      <x:c r="H318" s="83" t="str">
        <x:v>Clinical Training Academy</x:v>
      </x:c>
      <x:c r="I318" s="89" t="str">
        <x:v>Source wording and option count preserved; no silent item-content revision during inventory build.</x:v>
      </x:c>
    </x:row>
    <x:row r="319">
      <x:c r="A319" s="88" t="str">
        <x:v>CTA-LCSW-MQB-0318</x:v>
      </x:c>
      <x:c r="B319" s="83" t="str">
        <x:v>LCSW-MQB-FA-AP-006</x:v>
      </x:c>
      <x:c r="C319" s="102" t="n">
        <x:v>46228</x:v>
      </x:c>
      <x:c r="D319" s="83" t="str">
        <x:v>Imported into LCSW master inventory</x:v>
      </x:c>
      <x:c r="E319" s="83" t="str">
        <x:v>LCSW 2026 Comprehensive Simulation Form A</x:v>
      </x:c>
      <x:c r="F319" s="83" t="str">
        <x:v>1.0</x:v>
      </x:c>
      <x:c r="G319" s="83" t="n">
        <x:v>1</x:v>
      </x:c>
      <x:c r="H319" s="83" t="str">
        <x:v>Clinical Training Academy</x:v>
      </x:c>
      <x:c r="I319" s="89" t="str">
        <x:v>Source wording and option count preserved; no silent item-content revision during inventory build.</x:v>
      </x:c>
    </x:row>
    <x:row r="320">
      <x:c r="A320" s="88" t="str">
        <x:v>CTA-LCSW-MQB-0319</x:v>
      </x:c>
      <x:c r="B320" s="83" t="str">
        <x:v>LCSW-MQB-FA-IP-027</x:v>
      </x:c>
      <x:c r="C320" s="102" t="n">
        <x:v>46228</x:v>
      </x:c>
      <x:c r="D320" s="83" t="str">
        <x:v>Imported into LCSW master inventory</x:v>
      </x:c>
      <x:c r="E320" s="83" t="str">
        <x:v>LCSW 2026 Comprehensive Simulation Form A</x:v>
      </x:c>
      <x:c r="F320" s="83" t="str">
        <x:v>1.0</x:v>
      </x:c>
      <x:c r="G320" s="83" t="n">
        <x:v>1</x:v>
      </x:c>
      <x:c r="H320" s="83" t="str">
        <x:v>Clinical Training Academy</x:v>
      </x:c>
      <x:c r="I320" s="89" t="str">
        <x:v>Source wording and option count preserved; no silent item-content revision during inventory build.</x:v>
      </x:c>
    </x:row>
    <x:row r="321">
      <x:c r="A321" s="88" t="str">
        <x:v>CTA-LCSW-MQB-0320</x:v>
      </x:c>
      <x:c r="B321" s="83" t="str">
        <x:v>LCSW-MQB-FA-VE-041</x:v>
      </x:c>
      <x:c r="C321" s="102" t="n">
        <x:v>46228</x:v>
      </x:c>
      <x:c r="D321" s="83" t="str">
        <x:v>Imported into LCSW master inventory</x:v>
      </x:c>
      <x:c r="E321" s="83" t="str">
        <x:v>LCSW 2026 Comprehensive Simulation Form A</x:v>
      </x:c>
      <x:c r="F321" s="83" t="str">
        <x:v>1.0</x:v>
      </x:c>
      <x:c r="G321" s="83" t="n">
        <x:v>1</x:v>
      </x:c>
      <x:c r="H321" s="83" t="str">
        <x:v>Clinical Training Academy</x:v>
      </x:c>
      <x:c r="I321" s="89" t="str">
        <x:v>Source wording and option count preserved; no silent item-content revision during inventory build.</x:v>
      </x:c>
    </x:row>
    <x:row r="322">
      <x:c r="A322" s="88" t="str">
        <x:v>CTA-LCSW-MQB-0321</x:v>
      </x:c>
      <x:c r="B322" s="83" t="str">
        <x:v>LCSW-MQB-FA-VE-040</x:v>
      </x:c>
      <x:c r="C322" s="102" t="n">
        <x:v>46228</x:v>
      </x:c>
      <x:c r="D322" s="83" t="str">
        <x:v>Imported into LCSW master inventory</x:v>
      </x:c>
      <x:c r="E322" s="83" t="str">
        <x:v>LCSW 2026 Comprehensive Simulation Form A</x:v>
      </x:c>
      <x:c r="F322" s="83" t="str">
        <x:v>1.0</x:v>
      </x:c>
      <x:c r="G322" s="83" t="n">
        <x:v>1</x:v>
      </x:c>
      <x:c r="H322" s="83" t="str">
        <x:v>Clinical Training Academy</x:v>
      </x:c>
      <x:c r="I322" s="89" t="str">
        <x:v>Source wording and option count preserved; no silent item-content revision during inventory build.</x:v>
      </x:c>
    </x:row>
    <x:row r="323">
      <x:c r="A323" s="88" t="str">
        <x:v>CTA-LCSW-MQB-0322</x:v>
      </x:c>
      <x:c r="B323" s="83" t="str">
        <x:v>LCSW-MQB-FA-IP-025</x:v>
      </x:c>
      <x:c r="C323" s="102" t="n">
        <x:v>46228</x:v>
      </x:c>
      <x:c r="D323" s="83" t="str">
        <x:v>Imported into LCSW master inventory</x:v>
      </x:c>
      <x:c r="E323" s="83" t="str">
        <x:v>LCSW 2026 Comprehensive Simulation Form A</x:v>
      </x:c>
      <x:c r="F323" s="83" t="str">
        <x:v>1.0</x:v>
      </x:c>
      <x:c r="G323" s="83" t="n">
        <x:v>1</x:v>
      </x:c>
      <x:c r="H323" s="83" t="str">
        <x:v>Clinical Training Academy</x:v>
      </x:c>
      <x:c r="I323" s="89" t="str">
        <x:v>Source wording and option count preserved; no silent item-content revision during inventory build.</x:v>
      </x:c>
    </x:row>
    <x:row r="324">
      <x:c r="A324" s="88" t="str">
        <x:v>CTA-LCSW-MQB-0323</x:v>
      </x:c>
      <x:c r="B324" s="83" t="str">
        <x:v>LCSW-MQB-FA-IP-018</x:v>
      </x:c>
      <x:c r="C324" s="102" t="n">
        <x:v>46228</x:v>
      </x:c>
      <x:c r="D324" s="83" t="str">
        <x:v>Imported into LCSW master inventory</x:v>
      </x:c>
      <x:c r="E324" s="83" t="str">
        <x:v>LCSW 2026 Comprehensive Simulation Form A</x:v>
      </x:c>
      <x:c r="F324" s="83" t="str">
        <x:v>1.0</x:v>
      </x:c>
      <x:c r="G324" s="83" t="n">
        <x:v>1</x:v>
      </x:c>
      <x:c r="H324" s="83" t="str">
        <x:v>Clinical Training Academy</x:v>
      </x:c>
      <x:c r="I324" s="89" t="str">
        <x:v>Source wording and option count preserved; no silent item-content revision during inventory build.</x:v>
      </x:c>
    </x:row>
    <x:row r="325">
      <x:c r="A325" s="88" t="str">
        <x:v>CTA-LCSW-MQB-0324</x:v>
      </x:c>
      <x:c r="B325" s="83" t="str">
        <x:v>LCSW-MQB-FA-AP-026</x:v>
      </x:c>
      <x:c r="C325" s="102" t="n">
        <x:v>46228</x:v>
      </x:c>
      <x:c r="D325" s="83" t="str">
        <x:v>Imported into LCSW master inventory</x:v>
      </x:c>
      <x:c r="E325" s="83" t="str">
        <x:v>LCSW 2026 Comprehensive Simulation Form A</x:v>
      </x:c>
      <x:c r="F325" s="83" t="str">
        <x:v>1.0</x:v>
      </x:c>
      <x:c r="G325" s="83" t="n">
        <x:v>1</x:v>
      </x:c>
      <x:c r="H325" s="83" t="str">
        <x:v>Clinical Training Academy</x:v>
      </x:c>
      <x:c r="I325" s="89" t="str">
        <x:v>Source wording and option count preserved; no silent item-content revision during inventory build.</x:v>
      </x:c>
    </x:row>
    <x:row r="326">
      <x:c r="A326" s="88" t="str">
        <x:v>CTA-LCSW-MQB-0325</x:v>
      </x:c>
      <x:c r="B326" s="83" t="str">
        <x:v>LCSW-MQB-FA-AP-017</x:v>
      </x:c>
      <x:c r="C326" s="102" t="n">
        <x:v>46228</x:v>
      </x:c>
      <x:c r="D326" s="83" t="str">
        <x:v>Imported into LCSW master inventory</x:v>
      </x:c>
      <x:c r="E326" s="83" t="str">
        <x:v>LCSW 2026 Comprehensive Simulation Form A</x:v>
      </x:c>
      <x:c r="F326" s="83" t="str">
        <x:v>1.0</x:v>
      </x:c>
      <x:c r="G326" s="83" t="n">
        <x:v>1</x:v>
      </x:c>
      <x:c r="H326" s="83" t="str">
        <x:v>Clinical Training Academy</x:v>
      </x:c>
      <x:c r="I326" s="89" t="str">
        <x:v>Source wording and option count preserved; no silent item-content revision during inventory build.</x:v>
      </x:c>
    </x:row>
    <x:row r="327">
      <x:c r="A327" s="88" t="str">
        <x:v>CTA-LCSW-MQB-0326</x:v>
      </x:c>
      <x:c r="B327" s="83" t="str">
        <x:v>LCSW-MQB-FA-IP-034</x:v>
      </x:c>
      <x:c r="C327" s="102" t="n">
        <x:v>46228</x:v>
      </x:c>
      <x:c r="D327" s="83" t="str">
        <x:v>Imported into LCSW master inventory</x:v>
      </x:c>
      <x:c r="E327" s="83" t="str">
        <x:v>LCSW 2026 Comprehensive Simulation Form A</x:v>
      </x:c>
      <x:c r="F327" s="83" t="str">
        <x:v>1.0</x:v>
      </x:c>
      <x:c r="G327" s="83" t="n">
        <x:v>1</x:v>
      </x:c>
      <x:c r="H327" s="83" t="str">
        <x:v>Clinical Training Academy</x:v>
      </x:c>
      <x:c r="I327" s="89" t="str">
        <x:v>Source wording and option count preserved; no silent item-content revision during inventory build.</x:v>
      </x:c>
    </x:row>
    <x:row r="328">
      <x:c r="A328" s="88" t="str">
        <x:v>CTA-LCSW-MQB-0327</x:v>
      </x:c>
      <x:c r="B328" s="83" t="str">
        <x:v>LCSW-MQB-FB-AP-034</x:v>
      </x:c>
      <x:c r="C328" s="102" t="n">
        <x:v>46228</x:v>
      </x:c>
      <x:c r="D328" s="83" t="str">
        <x:v>Imported into LCSW master inventory</x:v>
      </x:c>
      <x:c r="E328" s="83" t="str">
        <x:v>LCSW 2026 Comprehensive Simulation Form B</x:v>
      </x:c>
      <x:c r="F328" s="83" t="str">
        <x:v>1.0</x:v>
      </x:c>
      <x:c r="G328" s="83" t="n">
        <x:v>1</x:v>
      </x:c>
      <x:c r="H328" s="83" t="str">
        <x:v>Clinical Training Academy</x:v>
      </x:c>
      <x:c r="I328" s="89" t="str">
        <x:v>Source wording and option count preserved; no silent item-content revision during inventory build.</x:v>
      </x:c>
    </x:row>
    <x:row r="329">
      <x:c r="A329" s="88" t="str">
        <x:v>CTA-LCSW-MQB-0328</x:v>
      </x:c>
      <x:c r="B329" s="83" t="str">
        <x:v>LCSW-MQB-FB-IP-008</x:v>
      </x:c>
      <x:c r="C329" s="102" t="n">
        <x:v>46228</x:v>
      </x:c>
      <x:c r="D329" s="83" t="str">
        <x:v>Imported into LCSW master inventory</x:v>
      </x:c>
      <x:c r="E329" s="83" t="str">
        <x:v>LCSW 2026 Comprehensive Simulation Form B</x:v>
      </x:c>
      <x:c r="F329" s="83" t="str">
        <x:v>1.0</x:v>
      </x:c>
      <x:c r="G329" s="83" t="n">
        <x:v>1</x:v>
      </x:c>
      <x:c r="H329" s="83" t="str">
        <x:v>Clinical Training Academy</x:v>
      </x:c>
      <x:c r="I329" s="89" t="str">
        <x:v>Source wording and option count preserved; no silent item-content revision during inventory build.</x:v>
      </x:c>
    </x:row>
    <x:row r="330">
      <x:c r="A330" s="88" t="str">
        <x:v>CTA-LCSW-MQB-0329</x:v>
      </x:c>
      <x:c r="B330" s="83" t="str">
        <x:v>LCSW-MQB-FB-AP-018</x:v>
      </x:c>
      <x:c r="C330" s="102" t="n">
        <x:v>46228</x:v>
      </x:c>
      <x:c r="D330" s="83" t="str">
        <x:v>Imported into LCSW master inventory</x:v>
      </x:c>
      <x:c r="E330" s="83" t="str">
        <x:v>LCSW 2026 Comprehensive Simulation Form B</x:v>
      </x:c>
      <x:c r="F330" s="83" t="str">
        <x:v>1.0</x:v>
      </x:c>
      <x:c r="G330" s="83" t="n">
        <x:v>1</x:v>
      </x:c>
      <x:c r="H330" s="83" t="str">
        <x:v>Clinical Training Academy</x:v>
      </x:c>
      <x:c r="I330" s="89" t="str">
        <x:v>Source wording and option count preserved; no silent item-content revision during inventory build.</x:v>
      </x:c>
    </x:row>
    <x:row r="331">
      <x:c r="A331" s="88" t="str">
        <x:v>CTA-LCSW-MQB-0330</x:v>
      </x:c>
      <x:c r="B331" s="83" t="str">
        <x:v>LCSW-MQB-FB-VE-029</x:v>
      </x:c>
      <x:c r="C331" s="102" t="n">
        <x:v>46228</x:v>
      </x:c>
      <x:c r="D331" s="83" t="str">
        <x:v>Imported into LCSW master inventory</x:v>
      </x:c>
      <x:c r="E331" s="83" t="str">
        <x:v>LCSW 2026 Comprehensive Simulation Form B</x:v>
      </x:c>
      <x:c r="F331" s="83" t="str">
        <x:v>1.0</x:v>
      </x:c>
      <x:c r="G331" s="83" t="n">
        <x:v>1</x:v>
      </x:c>
      <x:c r="H331" s="83" t="str">
        <x:v>Clinical Training Academy</x:v>
      </x:c>
      <x:c r="I331" s="89" t="str">
        <x:v>Source wording and option count preserved; no silent item-content revision during inventory build.</x:v>
      </x:c>
    </x:row>
    <x:row r="332">
      <x:c r="A332" s="88" t="str">
        <x:v>CTA-LCSW-MQB-0331</x:v>
      </x:c>
      <x:c r="B332" s="83" t="str">
        <x:v>LCSW-MQB-FB-VE-009</x:v>
      </x:c>
      <x:c r="C332" s="102" t="n">
        <x:v>46228</x:v>
      </x:c>
      <x:c r="D332" s="83" t="str">
        <x:v>Imported into LCSW master inventory</x:v>
      </x:c>
      <x:c r="E332" s="83" t="str">
        <x:v>LCSW 2026 Comprehensive Simulation Form B</x:v>
      </x:c>
      <x:c r="F332" s="83" t="str">
        <x:v>1.0</x:v>
      </x:c>
      <x:c r="G332" s="83" t="n">
        <x:v>1</x:v>
      </x:c>
      <x:c r="H332" s="83" t="str">
        <x:v>Clinical Training Academy</x:v>
      </x:c>
      <x:c r="I332" s="89" t="str">
        <x:v>Source wording and option count preserved; no silent item-content revision during inventory build.</x:v>
      </x:c>
    </x:row>
    <x:row r="333">
      <x:c r="A333" s="88" t="str">
        <x:v>CTA-LCSW-MQB-0332</x:v>
      </x:c>
      <x:c r="B333" s="83" t="str">
        <x:v>LCSW-MQB-FB-AP-033</x:v>
      </x:c>
      <x:c r="C333" s="102" t="n">
        <x:v>46228</x:v>
      </x:c>
      <x:c r="D333" s="83" t="str">
        <x:v>Imported into LCSW master inventory</x:v>
      </x:c>
      <x:c r="E333" s="83" t="str">
        <x:v>LCSW 2026 Comprehensive Simulation Form B</x:v>
      </x:c>
      <x:c r="F333" s="83" t="str">
        <x:v>1.0</x:v>
      </x:c>
      <x:c r="G333" s="83" t="n">
        <x:v>1</x:v>
      </x:c>
      <x:c r="H333" s="83" t="str">
        <x:v>Clinical Training Academy</x:v>
      </x:c>
      <x:c r="I333" s="89" t="str">
        <x:v>Source wording and option count preserved; no silent item-content revision during inventory build.</x:v>
      </x:c>
    </x:row>
    <x:row r="334">
      <x:c r="A334" s="88" t="str">
        <x:v>CTA-LCSW-MQB-0333</x:v>
      </x:c>
      <x:c r="B334" s="83" t="str">
        <x:v>LCSW-MQB-FB-VE-025</x:v>
      </x:c>
      <x:c r="C334" s="102" t="n">
        <x:v>46228</x:v>
      </x:c>
      <x:c r="D334" s="83" t="str">
        <x:v>Imported into LCSW master inventory</x:v>
      </x:c>
      <x:c r="E334" s="83" t="str">
        <x:v>LCSW 2026 Comprehensive Simulation Form B</x:v>
      </x:c>
      <x:c r="F334" s="83" t="str">
        <x:v>1.0</x:v>
      </x:c>
      <x:c r="G334" s="83" t="n">
        <x:v>1</x:v>
      </x:c>
      <x:c r="H334" s="83" t="str">
        <x:v>Clinical Training Academy</x:v>
      </x:c>
      <x:c r="I334" s="89" t="str">
        <x:v>Source wording and option count preserved; no silent item-content revision during inventory build.</x:v>
      </x:c>
    </x:row>
    <x:row r="335">
      <x:c r="A335" s="88" t="str">
        <x:v>CTA-LCSW-MQB-0334</x:v>
      </x:c>
      <x:c r="B335" s="83" t="str">
        <x:v>LCSW-MQB-FB-VE-040</x:v>
      </x:c>
      <x:c r="C335" s="102" t="n">
        <x:v>46228</x:v>
      </x:c>
      <x:c r="D335" s="83" t="str">
        <x:v>Imported into LCSW master inventory</x:v>
      </x:c>
      <x:c r="E335" s="83" t="str">
        <x:v>LCSW 2026 Comprehensive Simulation Form B</x:v>
      </x:c>
      <x:c r="F335" s="83" t="str">
        <x:v>1.0</x:v>
      </x:c>
      <x:c r="G335" s="83" t="n">
        <x:v>1</x:v>
      </x:c>
      <x:c r="H335" s="83" t="str">
        <x:v>Clinical Training Academy</x:v>
      </x:c>
      <x:c r="I335" s="89" t="str">
        <x:v>Source wording and option count preserved; no silent item-content revision during inventory build.</x:v>
      </x:c>
    </x:row>
    <x:row r="336">
      <x:c r="A336" s="88" t="str">
        <x:v>CTA-LCSW-MQB-0335</x:v>
      </x:c>
      <x:c r="B336" s="83" t="str">
        <x:v>LCSW-MQB-FB-IP-014</x:v>
      </x:c>
      <x:c r="C336" s="102" t="n">
        <x:v>46228</x:v>
      </x:c>
      <x:c r="D336" s="83" t="str">
        <x:v>Imported into LCSW master inventory</x:v>
      </x:c>
      <x:c r="E336" s="83" t="str">
        <x:v>LCSW 2026 Comprehensive Simulation Form B</x:v>
      </x:c>
      <x:c r="F336" s="83" t="str">
        <x:v>1.0</x:v>
      </x:c>
      <x:c r="G336" s="83" t="n">
        <x:v>1</x:v>
      </x:c>
      <x:c r="H336" s="83" t="str">
        <x:v>Clinical Training Academy</x:v>
      </x:c>
      <x:c r="I336" s="89" t="str">
        <x:v>Source wording and option count preserved; no silent item-content revision during inventory build.</x:v>
      </x:c>
    </x:row>
    <x:row r="337">
      <x:c r="A337" s="88" t="str">
        <x:v>CTA-LCSW-MQB-0336</x:v>
      </x:c>
      <x:c r="B337" s="83" t="str">
        <x:v>LCSW-MQB-FB-VE-031</x:v>
      </x:c>
      <x:c r="C337" s="102" t="n">
        <x:v>46228</x:v>
      </x:c>
      <x:c r="D337" s="83" t="str">
        <x:v>Imported into LCSW master inventory</x:v>
      </x:c>
      <x:c r="E337" s="83" t="str">
        <x:v>LCSW 2026 Comprehensive Simulation Form B</x:v>
      </x:c>
      <x:c r="F337" s="83" t="str">
        <x:v>1.0</x:v>
      </x:c>
      <x:c r="G337" s="83" t="n">
        <x:v>1</x:v>
      </x:c>
      <x:c r="H337" s="83" t="str">
        <x:v>Clinical Training Academy</x:v>
      </x:c>
      <x:c r="I337" s="89" t="str">
        <x:v>Source wording and option count preserved; no silent item-content revision during inventory build.</x:v>
      </x:c>
    </x:row>
    <x:row r="338">
      <x:c r="A338" s="88" t="str">
        <x:v>CTA-LCSW-MQB-0337</x:v>
      </x:c>
      <x:c r="B338" s="83" t="str">
        <x:v>LCSW-MQB-FB-AP-022</x:v>
      </x:c>
      <x:c r="C338" s="102" t="n">
        <x:v>46228</x:v>
      </x:c>
      <x:c r="D338" s="83" t="str">
        <x:v>Imported into LCSW master inventory</x:v>
      </x:c>
      <x:c r="E338" s="83" t="str">
        <x:v>LCSW 2026 Comprehensive Simulation Form B</x:v>
      </x:c>
      <x:c r="F338" s="83" t="str">
        <x:v>1.0</x:v>
      </x:c>
      <x:c r="G338" s="83" t="n">
        <x:v>1</x:v>
      </x:c>
      <x:c r="H338" s="83" t="str">
        <x:v>Clinical Training Academy</x:v>
      </x:c>
      <x:c r="I338" s="89" t="str">
        <x:v>Source wording and option count preserved; no silent item-content revision during inventory build.</x:v>
      </x:c>
    </x:row>
    <x:row r="339">
      <x:c r="A339" s="88" t="str">
        <x:v>CTA-LCSW-MQB-0338</x:v>
      </x:c>
      <x:c r="B339" s="83" t="str">
        <x:v>LCSW-MQB-FB-IP-006</x:v>
      </x:c>
      <x:c r="C339" s="102" t="n">
        <x:v>46228</x:v>
      </x:c>
      <x:c r="D339" s="83" t="str">
        <x:v>Imported into LCSW master inventory</x:v>
      </x:c>
      <x:c r="E339" s="83" t="str">
        <x:v>LCSW 2026 Comprehensive Simulation Form B</x:v>
      </x:c>
      <x:c r="F339" s="83" t="str">
        <x:v>1.0</x:v>
      </x:c>
      <x:c r="G339" s="83" t="n">
        <x:v>1</x:v>
      </x:c>
      <x:c r="H339" s="83" t="str">
        <x:v>Clinical Training Academy</x:v>
      </x:c>
      <x:c r="I339" s="89" t="str">
        <x:v>Source wording and option count preserved; no silent item-content revision during inventory build.</x:v>
      </x:c>
    </x:row>
    <x:row r="340">
      <x:c r="A340" s="88" t="str">
        <x:v>CTA-LCSW-MQB-0339</x:v>
      </x:c>
      <x:c r="B340" s="83" t="str">
        <x:v>LCSW-MQB-FB-VE-032</x:v>
      </x:c>
      <x:c r="C340" s="102" t="n">
        <x:v>46228</x:v>
      </x:c>
      <x:c r="D340" s="83" t="str">
        <x:v>Imported into LCSW master inventory</x:v>
      </x:c>
      <x:c r="E340" s="83" t="str">
        <x:v>LCSW 2026 Comprehensive Simulation Form B</x:v>
      </x:c>
      <x:c r="F340" s="83" t="str">
        <x:v>1.0</x:v>
      </x:c>
      <x:c r="G340" s="83" t="n">
        <x:v>1</x:v>
      </x:c>
      <x:c r="H340" s="83" t="str">
        <x:v>Clinical Training Academy</x:v>
      </x:c>
      <x:c r="I340" s="89" t="str">
        <x:v>Source wording and option count preserved; no silent item-content revision during inventory build.</x:v>
      </x:c>
    </x:row>
    <x:row r="341">
      <x:c r="A341" s="88" t="str">
        <x:v>CTA-LCSW-MQB-0340</x:v>
      </x:c>
      <x:c r="B341" s="83" t="str">
        <x:v>LCSW-MQB-FB-AP-004</x:v>
      </x:c>
      <x:c r="C341" s="102" t="n">
        <x:v>46228</x:v>
      </x:c>
      <x:c r="D341" s="83" t="str">
        <x:v>Imported into LCSW master inventory</x:v>
      </x:c>
      <x:c r="E341" s="83" t="str">
        <x:v>LCSW 2026 Comprehensive Simulation Form B</x:v>
      </x:c>
      <x:c r="F341" s="83" t="str">
        <x:v>1.0</x:v>
      </x:c>
      <x:c r="G341" s="83" t="n">
        <x:v>1</x:v>
      </x:c>
      <x:c r="H341" s="83" t="str">
        <x:v>Clinical Training Academy</x:v>
      </x:c>
      <x:c r="I341" s="89" t="str">
        <x:v>Source wording and option count preserved; no silent item-content revision during inventory build.</x:v>
      </x:c>
    </x:row>
    <x:row r="342">
      <x:c r="A342" s="88" t="str">
        <x:v>CTA-LCSW-MQB-0341</x:v>
      </x:c>
      <x:c r="B342" s="83" t="str">
        <x:v>LCSW-MQB-FB-IP-037</x:v>
      </x:c>
      <x:c r="C342" s="102" t="n">
        <x:v>46228</x:v>
      </x:c>
      <x:c r="D342" s="83" t="str">
        <x:v>Imported into LCSW master inventory</x:v>
      </x:c>
      <x:c r="E342" s="83" t="str">
        <x:v>LCSW 2026 Comprehensive Simulation Form B</x:v>
      </x:c>
      <x:c r="F342" s="83" t="str">
        <x:v>1.0</x:v>
      </x:c>
      <x:c r="G342" s="83" t="n">
        <x:v>1</x:v>
      </x:c>
      <x:c r="H342" s="83" t="str">
        <x:v>Clinical Training Academy</x:v>
      </x:c>
      <x:c r="I342" s="89" t="str">
        <x:v>Source wording and option count preserved; no silent item-content revision during inventory build.</x:v>
      </x:c>
    </x:row>
    <x:row r="343">
      <x:c r="A343" s="88" t="str">
        <x:v>CTA-LCSW-MQB-0342</x:v>
      </x:c>
      <x:c r="B343" s="83" t="str">
        <x:v>LCSW-MQB-FB-AP-024</x:v>
      </x:c>
      <x:c r="C343" s="102" t="n">
        <x:v>46228</x:v>
      </x:c>
      <x:c r="D343" s="83" t="str">
        <x:v>Imported into LCSW master inventory</x:v>
      </x:c>
      <x:c r="E343" s="83" t="str">
        <x:v>LCSW 2026 Comprehensive Simulation Form B</x:v>
      </x:c>
      <x:c r="F343" s="83" t="str">
        <x:v>1.0</x:v>
      </x:c>
      <x:c r="G343" s="83" t="n">
        <x:v>1</x:v>
      </x:c>
      <x:c r="H343" s="83" t="str">
        <x:v>Clinical Training Academy</x:v>
      </x:c>
      <x:c r="I343" s="89" t="str">
        <x:v>Source wording and option count preserved; no silent item-content revision during inventory build.</x:v>
      </x:c>
    </x:row>
    <x:row r="344">
      <x:c r="A344" s="88" t="str">
        <x:v>CTA-LCSW-MQB-0343</x:v>
      </x:c>
      <x:c r="B344" s="83" t="str">
        <x:v>LCSW-MQB-FB-IP-022</x:v>
      </x:c>
      <x:c r="C344" s="102" t="n">
        <x:v>46228</x:v>
      </x:c>
      <x:c r="D344" s="83" t="str">
        <x:v>Imported into LCSW master inventory</x:v>
      </x:c>
      <x:c r="E344" s="83" t="str">
        <x:v>LCSW 2026 Comprehensive Simulation Form B</x:v>
      </x:c>
      <x:c r="F344" s="83" t="str">
        <x:v>1.0</x:v>
      </x:c>
      <x:c r="G344" s="83" t="n">
        <x:v>1</x:v>
      </x:c>
      <x:c r="H344" s="83" t="str">
        <x:v>Clinical Training Academy</x:v>
      </x:c>
      <x:c r="I344" s="89" t="str">
        <x:v>Source wording and option count preserved; no silent item-content revision during inventory build.</x:v>
      </x:c>
    </x:row>
    <x:row r="345">
      <x:c r="A345" s="88" t="str">
        <x:v>CTA-LCSW-MQB-0344</x:v>
      </x:c>
      <x:c r="B345" s="83" t="str">
        <x:v>LCSW-MQB-FB-VE-008</x:v>
      </x:c>
      <x:c r="C345" s="102" t="n">
        <x:v>46228</x:v>
      </x:c>
      <x:c r="D345" s="83" t="str">
        <x:v>Imported into LCSW master inventory</x:v>
      </x:c>
      <x:c r="E345" s="83" t="str">
        <x:v>LCSW 2026 Comprehensive Simulation Form B</x:v>
      </x:c>
      <x:c r="F345" s="83" t="str">
        <x:v>1.0</x:v>
      </x:c>
      <x:c r="G345" s="83" t="n">
        <x:v>1</x:v>
      </x:c>
      <x:c r="H345" s="83" t="str">
        <x:v>Clinical Training Academy</x:v>
      </x:c>
      <x:c r="I345" s="89" t="str">
        <x:v>Source wording and option count preserved; no silent item-content revision during inventory build.</x:v>
      </x:c>
    </x:row>
    <x:row r="346">
      <x:c r="A346" s="88" t="str">
        <x:v>CTA-LCSW-MQB-0345</x:v>
      </x:c>
      <x:c r="B346" s="83" t="str">
        <x:v>LCSW-MQB-FB-AP-038</x:v>
      </x:c>
      <x:c r="C346" s="102" t="n">
        <x:v>46228</x:v>
      </x:c>
      <x:c r="D346" s="83" t="str">
        <x:v>Imported into LCSW master inventory</x:v>
      </x:c>
      <x:c r="E346" s="83" t="str">
        <x:v>LCSW 2026 Comprehensive Simulation Form B</x:v>
      </x:c>
      <x:c r="F346" s="83" t="str">
        <x:v>1.0</x:v>
      </x:c>
      <x:c r="G346" s="83" t="n">
        <x:v>1</x:v>
      </x:c>
      <x:c r="H346" s="83" t="str">
        <x:v>Clinical Training Academy</x:v>
      </x:c>
      <x:c r="I346" s="89" t="str">
        <x:v>Source wording and option count preserved; no silent item-content revision during inventory build.</x:v>
      </x:c>
    </x:row>
    <x:row r="347">
      <x:c r="A347" s="88" t="str">
        <x:v>CTA-LCSW-MQB-0346</x:v>
      </x:c>
      <x:c r="B347" s="83" t="str">
        <x:v>LCSW-MQB-FB-VE-039</x:v>
      </x:c>
      <x:c r="C347" s="102" t="n">
        <x:v>46228</x:v>
      </x:c>
      <x:c r="D347" s="83" t="str">
        <x:v>Imported into LCSW master inventory</x:v>
      </x:c>
      <x:c r="E347" s="83" t="str">
        <x:v>LCSW 2026 Comprehensive Simulation Form B</x:v>
      </x:c>
      <x:c r="F347" s="83" t="str">
        <x:v>1.0</x:v>
      </x:c>
      <x:c r="G347" s="83" t="n">
        <x:v>1</x:v>
      </x:c>
      <x:c r="H347" s="83" t="str">
        <x:v>Clinical Training Academy</x:v>
      </x:c>
      <x:c r="I347" s="89" t="str">
        <x:v>Source wording and option count preserved; no silent item-content revision during inventory build.</x:v>
      </x:c>
    </x:row>
    <x:row r="348">
      <x:c r="A348" s="88" t="str">
        <x:v>CTA-LCSW-MQB-0347</x:v>
      </x:c>
      <x:c r="B348" s="83" t="str">
        <x:v>LCSW-MQB-FB-IP-034</x:v>
      </x:c>
      <x:c r="C348" s="102" t="n">
        <x:v>46228</x:v>
      </x:c>
      <x:c r="D348" s="83" t="str">
        <x:v>Imported into LCSW master inventory</x:v>
      </x:c>
      <x:c r="E348" s="83" t="str">
        <x:v>LCSW 2026 Comprehensive Simulation Form B</x:v>
      </x:c>
      <x:c r="F348" s="83" t="str">
        <x:v>1.0</x:v>
      </x:c>
      <x:c r="G348" s="83" t="n">
        <x:v>1</x:v>
      </x:c>
      <x:c r="H348" s="83" t="str">
        <x:v>Clinical Training Academy</x:v>
      </x:c>
      <x:c r="I348" s="89" t="str">
        <x:v>Source wording and option count preserved; no silent item-content revision during inventory build.</x:v>
      </x:c>
    </x:row>
    <x:row r="349">
      <x:c r="A349" s="88" t="str">
        <x:v>CTA-LCSW-MQB-0348</x:v>
      </x:c>
      <x:c r="B349" s="83" t="str">
        <x:v>LCSW-MQB-FB-AP-039</x:v>
      </x:c>
      <x:c r="C349" s="102" t="n">
        <x:v>46228</x:v>
      </x:c>
      <x:c r="D349" s="83" t="str">
        <x:v>Imported into LCSW master inventory</x:v>
      </x:c>
      <x:c r="E349" s="83" t="str">
        <x:v>LCSW 2026 Comprehensive Simulation Form B</x:v>
      </x:c>
      <x:c r="F349" s="83" t="str">
        <x:v>1.0</x:v>
      </x:c>
      <x:c r="G349" s="83" t="n">
        <x:v>1</x:v>
      </x:c>
      <x:c r="H349" s="83" t="str">
        <x:v>Clinical Training Academy</x:v>
      </x:c>
      <x:c r="I349" s="89" t="str">
        <x:v>Source wording and option count preserved; no silent item-content revision during inventory build.</x:v>
      </x:c>
    </x:row>
    <x:row r="350">
      <x:c r="A350" s="88" t="str">
        <x:v>CTA-LCSW-MQB-0349</x:v>
      </x:c>
      <x:c r="B350" s="83" t="str">
        <x:v>LCSW-MQB-FB-AP-008</x:v>
      </x:c>
      <x:c r="C350" s="102" t="n">
        <x:v>46228</x:v>
      </x:c>
      <x:c r="D350" s="83" t="str">
        <x:v>Imported into LCSW master inventory</x:v>
      </x:c>
      <x:c r="E350" s="83" t="str">
        <x:v>LCSW 2026 Comprehensive Simulation Form B</x:v>
      </x:c>
      <x:c r="F350" s="83" t="str">
        <x:v>1.0</x:v>
      </x:c>
      <x:c r="G350" s="83" t="n">
        <x:v>1</x:v>
      </x:c>
      <x:c r="H350" s="83" t="str">
        <x:v>Clinical Training Academy</x:v>
      </x:c>
      <x:c r="I350" s="89" t="str">
        <x:v>Source wording and option count preserved; no silent item-content revision during inventory build.</x:v>
      </x:c>
    </x:row>
    <x:row r="351">
      <x:c r="A351" s="88" t="str">
        <x:v>CTA-LCSW-MQB-0350</x:v>
      </x:c>
      <x:c r="B351" s="83" t="str">
        <x:v>LCSW-MQB-FB-IP-012</x:v>
      </x:c>
      <x:c r="C351" s="102" t="n">
        <x:v>46228</x:v>
      </x:c>
      <x:c r="D351" s="83" t="str">
        <x:v>Imported into LCSW master inventory</x:v>
      </x:c>
      <x:c r="E351" s="83" t="str">
        <x:v>LCSW 2026 Comprehensive Simulation Form B</x:v>
      </x:c>
      <x:c r="F351" s="83" t="str">
        <x:v>1.0</x:v>
      </x:c>
      <x:c r="G351" s="83" t="n">
        <x:v>1</x:v>
      </x:c>
      <x:c r="H351" s="83" t="str">
        <x:v>Clinical Training Academy</x:v>
      </x:c>
      <x:c r="I351" s="89" t="str">
        <x:v>Source wording and option count preserved; no silent item-content revision during inventory build.</x:v>
      </x:c>
    </x:row>
    <x:row r="352">
      <x:c r="A352" s="88" t="str">
        <x:v>CTA-LCSW-MQB-0351</x:v>
      </x:c>
      <x:c r="B352" s="83" t="str">
        <x:v>LCSW-MQB-FB-VE-020</x:v>
      </x:c>
      <x:c r="C352" s="102" t="n">
        <x:v>46228</x:v>
      </x:c>
      <x:c r="D352" s="83" t="str">
        <x:v>Imported into LCSW master inventory</x:v>
      </x:c>
      <x:c r="E352" s="83" t="str">
        <x:v>LCSW 2026 Comprehensive Simulation Form B</x:v>
      </x:c>
      <x:c r="F352" s="83" t="str">
        <x:v>1.0</x:v>
      </x:c>
      <x:c r="G352" s="83" t="n">
        <x:v>1</x:v>
      </x:c>
      <x:c r="H352" s="83" t="str">
        <x:v>Clinical Training Academy</x:v>
      </x:c>
      <x:c r="I352" s="89" t="str">
        <x:v>Source wording and option count preserved; no silent item-content revision during inventory build.</x:v>
      </x:c>
    </x:row>
    <x:row r="353">
      <x:c r="A353" s="88" t="str">
        <x:v>CTA-LCSW-MQB-0352</x:v>
      </x:c>
      <x:c r="B353" s="83" t="str">
        <x:v>LCSW-MQB-FB-VE-036</x:v>
      </x:c>
      <x:c r="C353" s="102" t="n">
        <x:v>46228</x:v>
      </x:c>
      <x:c r="D353" s="83" t="str">
        <x:v>Imported into LCSW master inventory</x:v>
      </x:c>
      <x:c r="E353" s="83" t="str">
        <x:v>LCSW 2026 Comprehensive Simulation Form B</x:v>
      </x:c>
      <x:c r="F353" s="83" t="str">
        <x:v>1.0</x:v>
      </x:c>
      <x:c r="G353" s="83" t="n">
        <x:v>1</x:v>
      </x:c>
      <x:c r="H353" s="83" t="str">
        <x:v>Clinical Training Academy</x:v>
      </x:c>
      <x:c r="I353" s="89" t="str">
        <x:v>Source wording and option count preserved; no silent item-content revision during inventory build.</x:v>
      </x:c>
    </x:row>
    <x:row r="354">
      <x:c r="A354" s="88" t="str">
        <x:v>CTA-LCSW-MQB-0353</x:v>
      </x:c>
      <x:c r="B354" s="83" t="str">
        <x:v>LCSW-MQB-FB-AP-011</x:v>
      </x:c>
      <x:c r="C354" s="102" t="n">
        <x:v>46228</x:v>
      </x:c>
      <x:c r="D354" s="83" t="str">
        <x:v>Imported into LCSW master inventory</x:v>
      </x:c>
      <x:c r="E354" s="83" t="str">
        <x:v>LCSW 2026 Comprehensive Simulation Form B</x:v>
      </x:c>
      <x:c r="F354" s="83" t="str">
        <x:v>1.0</x:v>
      </x:c>
      <x:c r="G354" s="83" t="n">
        <x:v>1</x:v>
      </x:c>
      <x:c r="H354" s="83" t="str">
        <x:v>Clinical Training Academy</x:v>
      </x:c>
      <x:c r="I354" s="89" t="str">
        <x:v>Source wording and option count preserved; no silent item-content revision during inventory build.</x:v>
      </x:c>
    </x:row>
    <x:row r="355">
      <x:c r="A355" s="88" t="str">
        <x:v>CTA-LCSW-MQB-0354</x:v>
      </x:c>
      <x:c r="B355" s="83" t="str">
        <x:v>LCSW-MQB-FB-VE-038</x:v>
      </x:c>
      <x:c r="C355" s="102" t="n">
        <x:v>46228</x:v>
      </x:c>
      <x:c r="D355" s="83" t="str">
        <x:v>Imported into LCSW master inventory</x:v>
      </x:c>
      <x:c r="E355" s="83" t="str">
        <x:v>LCSW 2026 Comprehensive Simulation Form B</x:v>
      </x:c>
      <x:c r="F355" s="83" t="str">
        <x:v>1.0</x:v>
      </x:c>
      <x:c r="G355" s="83" t="n">
        <x:v>1</x:v>
      </x:c>
      <x:c r="H355" s="83" t="str">
        <x:v>Clinical Training Academy</x:v>
      </x:c>
      <x:c r="I355" s="89" t="str">
        <x:v>Source wording and option count preserved; no silent item-content revision during inventory build.</x:v>
      </x:c>
    </x:row>
    <x:row r="356">
      <x:c r="A356" s="88" t="str">
        <x:v>CTA-LCSW-MQB-0355</x:v>
      </x:c>
      <x:c r="B356" s="83" t="str">
        <x:v>LCSW-MQB-FB-IP-002</x:v>
      </x:c>
      <x:c r="C356" s="102" t="n">
        <x:v>46228</x:v>
      </x:c>
      <x:c r="D356" s="83" t="str">
        <x:v>Imported into LCSW master inventory</x:v>
      </x:c>
      <x:c r="E356" s="83" t="str">
        <x:v>LCSW 2026 Comprehensive Simulation Form B</x:v>
      </x:c>
      <x:c r="F356" s="83" t="str">
        <x:v>1.0</x:v>
      </x:c>
      <x:c r="G356" s="83" t="n">
        <x:v>1</x:v>
      </x:c>
      <x:c r="H356" s="83" t="str">
        <x:v>Clinical Training Academy</x:v>
      </x:c>
      <x:c r="I356" s="89" t="str">
        <x:v>Source wording and option count preserved; no silent item-content revision during inventory build.</x:v>
      </x:c>
    </x:row>
    <x:row r="357">
      <x:c r="A357" s="88" t="str">
        <x:v>CTA-LCSW-MQB-0356</x:v>
      </x:c>
      <x:c r="B357" s="83" t="str">
        <x:v>LCSW-MQB-FB-VE-030</x:v>
      </x:c>
      <x:c r="C357" s="102" t="n">
        <x:v>46228</x:v>
      </x:c>
      <x:c r="D357" s="83" t="str">
        <x:v>Imported into LCSW master inventory</x:v>
      </x:c>
      <x:c r="E357" s="83" t="str">
        <x:v>LCSW 2026 Comprehensive Simulation Form B</x:v>
      </x:c>
      <x:c r="F357" s="83" t="str">
        <x:v>1.0</x:v>
      </x:c>
      <x:c r="G357" s="83" t="n">
        <x:v>1</x:v>
      </x:c>
      <x:c r="H357" s="83" t="str">
        <x:v>Clinical Training Academy</x:v>
      </x:c>
      <x:c r="I357" s="89" t="str">
        <x:v>Source wording and option count preserved; no silent item-content revision during inventory build.</x:v>
      </x:c>
    </x:row>
    <x:row r="358">
      <x:c r="A358" s="88" t="str">
        <x:v>CTA-LCSW-MQB-0357</x:v>
      </x:c>
      <x:c r="B358" s="83" t="str">
        <x:v>LCSW-MQB-FB-VE-002</x:v>
      </x:c>
      <x:c r="C358" s="102" t="n">
        <x:v>46228</x:v>
      </x:c>
      <x:c r="D358" s="83" t="str">
        <x:v>Imported into LCSW master inventory</x:v>
      </x:c>
      <x:c r="E358" s="83" t="str">
        <x:v>LCSW 2026 Comprehensive Simulation Form B</x:v>
      </x:c>
      <x:c r="F358" s="83" t="str">
        <x:v>1.0</x:v>
      </x:c>
      <x:c r="G358" s="83" t="n">
        <x:v>1</x:v>
      </x:c>
      <x:c r="H358" s="83" t="str">
        <x:v>Clinical Training Academy</x:v>
      </x:c>
      <x:c r="I358" s="89" t="str">
        <x:v>Source wording and option count preserved; no silent item-content revision during inventory build.</x:v>
      </x:c>
    </x:row>
    <x:row r="359">
      <x:c r="A359" s="88" t="str">
        <x:v>CTA-LCSW-MQB-0358</x:v>
      </x:c>
      <x:c r="B359" s="83" t="str">
        <x:v>LCSW-MQB-FB-IP-007</x:v>
      </x:c>
      <x:c r="C359" s="102" t="n">
        <x:v>46228</x:v>
      </x:c>
      <x:c r="D359" s="83" t="str">
        <x:v>Imported into LCSW master inventory</x:v>
      </x:c>
      <x:c r="E359" s="83" t="str">
        <x:v>LCSW 2026 Comprehensive Simulation Form B</x:v>
      </x:c>
      <x:c r="F359" s="83" t="str">
        <x:v>1.0</x:v>
      </x:c>
      <x:c r="G359" s="83" t="n">
        <x:v>1</x:v>
      </x:c>
      <x:c r="H359" s="83" t="str">
        <x:v>Clinical Training Academy</x:v>
      </x:c>
      <x:c r="I359" s="89" t="str">
        <x:v>Source wording and option count preserved; no silent item-content revision during inventory build.</x:v>
      </x:c>
    </x:row>
    <x:row r="360">
      <x:c r="A360" s="88" t="str">
        <x:v>CTA-LCSW-MQB-0359</x:v>
      </x:c>
      <x:c r="B360" s="83" t="str">
        <x:v>LCSW-MQB-FB-AP-027</x:v>
      </x:c>
      <x:c r="C360" s="102" t="n">
        <x:v>46228</x:v>
      </x:c>
      <x:c r="D360" s="83" t="str">
        <x:v>Imported into LCSW master inventory</x:v>
      </x:c>
      <x:c r="E360" s="83" t="str">
        <x:v>LCSW 2026 Comprehensive Simulation Form B</x:v>
      </x:c>
      <x:c r="F360" s="83" t="str">
        <x:v>1.0</x:v>
      </x:c>
      <x:c r="G360" s="83" t="n">
        <x:v>1</x:v>
      </x:c>
      <x:c r="H360" s="83" t="str">
        <x:v>Clinical Training Academy</x:v>
      </x:c>
      <x:c r="I360" s="89" t="str">
        <x:v>Source wording and option count preserved; no silent item-content revision during inventory build.</x:v>
      </x:c>
    </x:row>
    <x:row r="361">
      <x:c r="A361" s="88" t="str">
        <x:v>CTA-LCSW-MQB-0360</x:v>
      </x:c>
      <x:c r="B361" s="83" t="str">
        <x:v>LCSW-MQB-FB-AP-005</x:v>
      </x:c>
      <x:c r="C361" s="102" t="n">
        <x:v>46228</x:v>
      </x:c>
      <x:c r="D361" s="83" t="str">
        <x:v>Imported into LCSW master inventory</x:v>
      </x:c>
      <x:c r="E361" s="83" t="str">
        <x:v>LCSW 2026 Comprehensive Simulation Form B</x:v>
      </x:c>
      <x:c r="F361" s="83" t="str">
        <x:v>1.0</x:v>
      </x:c>
      <x:c r="G361" s="83" t="n">
        <x:v>1</x:v>
      </x:c>
      <x:c r="H361" s="83" t="str">
        <x:v>Clinical Training Academy</x:v>
      </x:c>
      <x:c r="I361" s="89" t="str">
        <x:v>Source wording and option count preserved; no silent item-content revision during inventory build.</x:v>
      </x:c>
    </x:row>
    <x:row r="362">
      <x:c r="A362" s="88" t="str">
        <x:v>CTA-LCSW-MQB-0361</x:v>
      </x:c>
      <x:c r="B362" s="83" t="str">
        <x:v>LCSW-MQB-FB-IP-031</x:v>
      </x:c>
      <x:c r="C362" s="102" t="n">
        <x:v>46228</x:v>
      </x:c>
      <x:c r="D362" s="83" t="str">
        <x:v>Imported into LCSW master inventory</x:v>
      </x:c>
      <x:c r="E362" s="83" t="str">
        <x:v>LCSW 2026 Comprehensive Simulation Form B</x:v>
      </x:c>
      <x:c r="F362" s="83" t="str">
        <x:v>1.0</x:v>
      </x:c>
      <x:c r="G362" s="83" t="n">
        <x:v>1</x:v>
      </x:c>
      <x:c r="H362" s="83" t="str">
        <x:v>Clinical Training Academy</x:v>
      </x:c>
      <x:c r="I362" s="89" t="str">
        <x:v>Source wording and option count preserved; no silent item-content revision during inventory build.</x:v>
      </x:c>
    </x:row>
    <x:row r="363">
      <x:c r="A363" s="88" t="str">
        <x:v>CTA-LCSW-MQB-0362</x:v>
      </x:c>
      <x:c r="B363" s="83" t="str">
        <x:v>LCSW-MQB-FB-VE-004</x:v>
      </x:c>
      <x:c r="C363" s="102" t="n">
        <x:v>46228</x:v>
      </x:c>
      <x:c r="D363" s="83" t="str">
        <x:v>Imported into LCSW master inventory</x:v>
      </x:c>
      <x:c r="E363" s="83" t="str">
        <x:v>LCSW 2026 Comprehensive Simulation Form B</x:v>
      </x:c>
      <x:c r="F363" s="83" t="str">
        <x:v>1.0</x:v>
      </x:c>
      <x:c r="G363" s="83" t="n">
        <x:v>1</x:v>
      </x:c>
      <x:c r="H363" s="83" t="str">
        <x:v>Clinical Training Academy</x:v>
      </x:c>
      <x:c r="I363" s="89" t="str">
        <x:v>Source wording and option count preserved; no silent item-content revision during inventory build.</x:v>
      </x:c>
    </x:row>
    <x:row r="364">
      <x:c r="A364" s="88" t="str">
        <x:v>CTA-LCSW-MQB-0363</x:v>
      </x:c>
      <x:c r="B364" s="83" t="str">
        <x:v>LCSW-MQB-FB-VE-043</x:v>
      </x:c>
      <x:c r="C364" s="102" t="n">
        <x:v>46228</x:v>
      </x:c>
      <x:c r="D364" s="83" t="str">
        <x:v>Imported into LCSW master inventory</x:v>
      </x:c>
      <x:c r="E364" s="83" t="str">
        <x:v>LCSW 2026 Comprehensive Simulation Form B</x:v>
      </x:c>
      <x:c r="F364" s="83" t="str">
        <x:v>1.0</x:v>
      </x:c>
      <x:c r="G364" s="83" t="n">
        <x:v>1</x:v>
      </x:c>
      <x:c r="H364" s="83" t="str">
        <x:v>Clinical Training Academy</x:v>
      </x:c>
      <x:c r="I364" s="89" t="str">
        <x:v>Source wording and option count preserved; no silent item-content revision during inventory build.</x:v>
      </x:c>
    </x:row>
    <x:row r="365">
      <x:c r="A365" s="88" t="str">
        <x:v>CTA-LCSW-MQB-0364</x:v>
      </x:c>
      <x:c r="B365" s="83" t="str">
        <x:v>LCSW-MQB-FB-AP-016</x:v>
      </x:c>
      <x:c r="C365" s="102" t="n">
        <x:v>46228</x:v>
      </x:c>
      <x:c r="D365" s="83" t="str">
        <x:v>Imported into LCSW master inventory</x:v>
      </x:c>
      <x:c r="E365" s="83" t="str">
        <x:v>LCSW 2026 Comprehensive Simulation Form B</x:v>
      </x:c>
      <x:c r="F365" s="83" t="str">
        <x:v>1.0</x:v>
      </x:c>
      <x:c r="G365" s="83" t="n">
        <x:v>1</x:v>
      </x:c>
      <x:c r="H365" s="83" t="str">
        <x:v>Clinical Training Academy</x:v>
      </x:c>
      <x:c r="I365" s="89" t="str">
        <x:v>Source wording and option count preserved; no silent item-content revision during inventory build.</x:v>
      </x:c>
    </x:row>
    <x:row r="366">
      <x:c r="A366" s="88" t="str">
        <x:v>CTA-LCSW-MQB-0365</x:v>
      </x:c>
      <x:c r="B366" s="83" t="str">
        <x:v>LCSW-MQB-FB-VE-024</x:v>
      </x:c>
      <x:c r="C366" s="102" t="n">
        <x:v>46228</x:v>
      </x:c>
      <x:c r="D366" s="83" t="str">
        <x:v>Imported into LCSW master inventory</x:v>
      </x:c>
      <x:c r="E366" s="83" t="str">
        <x:v>LCSW 2026 Comprehensive Simulation Form B</x:v>
      </x:c>
      <x:c r="F366" s="83" t="str">
        <x:v>1.0</x:v>
      </x:c>
      <x:c r="G366" s="83" t="n">
        <x:v>1</x:v>
      </x:c>
      <x:c r="H366" s="83" t="str">
        <x:v>Clinical Training Academy</x:v>
      </x:c>
      <x:c r="I366" s="89" t="str">
        <x:v>Source wording and option count preserved; no silent item-content revision during inventory build.</x:v>
      </x:c>
    </x:row>
    <x:row r="367">
      <x:c r="A367" s="88" t="str">
        <x:v>CTA-LCSW-MQB-0366</x:v>
      </x:c>
      <x:c r="B367" s="83" t="str">
        <x:v>LCSW-MQB-FB-IP-032</x:v>
      </x:c>
      <x:c r="C367" s="102" t="n">
        <x:v>46228</x:v>
      </x:c>
      <x:c r="D367" s="83" t="str">
        <x:v>Imported into LCSW master inventory</x:v>
      </x:c>
      <x:c r="E367" s="83" t="str">
        <x:v>LCSW 2026 Comprehensive Simulation Form B</x:v>
      </x:c>
      <x:c r="F367" s="83" t="str">
        <x:v>1.0</x:v>
      </x:c>
      <x:c r="G367" s="83" t="n">
        <x:v>1</x:v>
      </x:c>
      <x:c r="H367" s="83" t="str">
        <x:v>Clinical Training Academy</x:v>
      </x:c>
      <x:c r="I367" s="89" t="str">
        <x:v>Source wording and option count preserved; no silent item-content revision during inventory build.</x:v>
      </x:c>
    </x:row>
    <x:row r="368">
      <x:c r="A368" s="88" t="str">
        <x:v>CTA-LCSW-MQB-0367</x:v>
      </x:c>
      <x:c r="B368" s="83" t="str">
        <x:v>LCSW-MQB-FB-IP-024</x:v>
      </x:c>
      <x:c r="C368" s="102" t="n">
        <x:v>46228</x:v>
      </x:c>
      <x:c r="D368" s="83" t="str">
        <x:v>Imported into LCSW master inventory</x:v>
      </x:c>
      <x:c r="E368" s="83" t="str">
        <x:v>LCSW 2026 Comprehensive Simulation Form B</x:v>
      </x:c>
      <x:c r="F368" s="83" t="str">
        <x:v>1.0</x:v>
      </x:c>
      <x:c r="G368" s="83" t="n">
        <x:v>1</x:v>
      </x:c>
      <x:c r="H368" s="83" t="str">
        <x:v>Clinical Training Academy</x:v>
      </x:c>
      <x:c r="I368" s="89" t="str">
        <x:v>Source wording and option count preserved; no silent item-content revision during inventory build.</x:v>
      </x:c>
    </x:row>
    <x:row r="369">
      <x:c r="A369" s="88" t="str">
        <x:v>CTA-LCSW-MQB-0368</x:v>
      </x:c>
      <x:c r="B369" s="83" t="str">
        <x:v>LCSW-MQB-FB-VE-007</x:v>
      </x:c>
      <x:c r="C369" s="102" t="n">
        <x:v>46228</x:v>
      </x:c>
      <x:c r="D369" s="83" t="str">
        <x:v>Imported into LCSW master inventory</x:v>
      </x:c>
      <x:c r="E369" s="83" t="str">
        <x:v>LCSW 2026 Comprehensive Simulation Form B</x:v>
      </x:c>
      <x:c r="F369" s="83" t="str">
        <x:v>1.0</x:v>
      </x:c>
      <x:c r="G369" s="83" t="n">
        <x:v>1</x:v>
      </x:c>
      <x:c r="H369" s="83" t="str">
        <x:v>Clinical Training Academy</x:v>
      </x:c>
      <x:c r="I369" s="89" t="str">
        <x:v>Source wording and option count preserved; no silent item-content revision during inventory build.</x:v>
      </x:c>
    </x:row>
    <x:row r="370">
      <x:c r="A370" s="88" t="str">
        <x:v>CTA-LCSW-MQB-0369</x:v>
      </x:c>
      <x:c r="B370" s="83" t="str">
        <x:v>LCSW-MQB-FB-AP-030</x:v>
      </x:c>
      <x:c r="C370" s="102" t="n">
        <x:v>46228</x:v>
      </x:c>
      <x:c r="D370" s="83" t="str">
        <x:v>Imported into LCSW master inventory</x:v>
      </x:c>
      <x:c r="E370" s="83" t="str">
        <x:v>LCSW 2026 Comprehensive Simulation Form B</x:v>
      </x:c>
      <x:c r="F370" s="83" t="str">
        <x:v>1.0</x:v>
      </x:c>
      <x:c r="G370" s="83" t="n">
        <x:v>1</x:v>
      </x:c>
      <x:c r="H370" s="83" t="str">
        <x:v>Clinical Training Academy</x:v>
      </x:c>
      <x:c r="I370" s="89" t="str">
        <x:v>Source wording and option count preserved; no silent item-content revision during inventory build.</x:v>
      </x:c>
    </x:row>
    <x:row r="371">
      <x:c r="A371" s="88" t="str">
        <x:v>CTA-LCSW-MQB-0370</x:v>
      </x:c>
      <x:c r="B371" s="83" t="str">
        <x:v>LCSW-MQB-FB-IP-021</x:v>
      </x:c>
      <x:c r="C371" s="102" t="n">
        <x:v>46228</x:v>
      </x:c>
      <x:c r="D371" s="83" t="str">
        <x:v>Imported into LCSW master inventory</x:v>
      </x:c>
      <x:c r="E371" s="83" t="str">
        <x:v>LCSW 2026 Comprehensive Simulation Form B</x:v>
      </x:c>
      <x:c r="F371" s="83" t="str">
        <x:v>1.0</x:v>
      </x:c>
      <x:c r="G371" s="83" t="n">
        <x:v>1</x:v>
      </x:c>
      <x:c r="H371" s="83" t="str">
        <x:v>Clinical Training Academy</x:v>
      </x:c>
      <x:c r="I371" s="89" t="str">
        <x:v>Source wording and option count preserved; no silent item-content revision during inventory build.</x:v>
      </x:c>
    </x:row>
    <x:row r="372">
      <x:c r="A372" s="88" t="str">
        <x:v>CTA-LCSW-MQB-0371</x:v>
      </x:c>
      <x:c r="B372" s="83" t="str">
        <x:v>LCSW-MQB-FB-VE-005</x:v>
      </x:c>
      <x:c r="C372" s="102" t="n">
        <x:v>46228</x:v>
      </x:c>
      <x:c r="D372" s="83" t="str">
        <x:v>Imported into LCSW master inventory</x:v>
      </x:c>
      <x:c r="E372" s="83" t="str">
        <x:v>LCSW 2026 Comprehensive Simulation Form B</x:v>
      </x:c>
      <x:c r="F372" s="83" t="str">
        <x:v>1.0</x:v>
      </x:c>
      <x:c r="G372" s="83" t="n">
        <x:v>1</x:v>
      </x:c>
      <x:c r="H372" s="83" t="str">
        <x:v>Clinical Training Academy</x:v>
      </x:c>
      <x:c r="I372" s="89" t="str">
        <x:v>Source wording and option count preserved; no silent item-content revision during inventory build.</x:v>
      </x:c>
    </x:row>
    <x:row r="373">
      <x:c r="A373" s="88" t="str">
        <x:v>CTA-LCSW-MQB-0372</x:v>
      </x:c>
      <x:c r="B373" s="83" t="str">
        <x:v>LCSW-MQB-FB-AP-026</x:v>
      </x:c>
      <x:c r="C373" s="102" t="n">
        <x:v>46228</x:v>
      </x:c>
      <x:c r="D373" s="83" t="str">
        <x:v>Imported into LCSW master inventory</x:v>
      </x:c>
      <x:c r="E373" s="83" t="str">
        <x:v>LCSW 2026 Comprehensive Simulation Form B</x:v>
      </x:c>
      <x:c r="F373" s="83" t="str">
        <x:v>1.0</x:v>
      </x:c>
      <x:c r="G373" s="83" t="n">
        <x:v>1</x:v>
      </x:c>
      <x:c r="H373" s="83" t="str">
        <x:v>Clinical Training Academy</x:v>
      </x:c>
      <x:c r="I373" s="89" t="str">
        <x:v>Source wording and option count preserved; no silent item-content revision during inventory build.</x:v>
      </x:c>
    </x:row>
    <x:row r="374">
      <x:c r="A374" s="88" t="str">
        <x:v>CTA-LCSW-MQB-0373</x:v>
      </x:c>
      <x:c r="B374" s="83" t="str">
        <x:v>LCSW-MQB-FB-VE-001</x:v>
      </x:c>
      <x:c r="C374" s="102" t="n">
        <x:v>46228</x:v>
      </x:c>
      <x:c r="D374" s="83" t="str">
        <x:v>Imported into LCSW master inventory</x:v>
      </x:c>
      <x:c r="E374" s="83" t="str">
        <x:v>LCSW 2026 Comprehensive Simulation Form B</x:v>
      </x:c>
      <x:c r="F374" s="83" t="str">
        <x:v>1.0</x:v>
      </x:c>
      <x:c r="G374" s="83" t="n">
        <x:v>1</x:v>
      </x:c>
      <x:c r="H374" s="83" t="str">
        <x:v>Clinical Training Academy</x:v>
      </x:c>
      <x:c r="I374" s="89" t="str">
        <x:v>Source wording and option count preserved; no silent item-content revision during inventory build.</x:v>
      </x:c>
    </x:row>
    <x:row r="375">
      <x:c r="A375" s="88" t="str">
        <x:v>CTA-LCSW-MQB-0374</x:v>
      </x:c>
      <x:c r="B375" s="83" t="str">
        <x:v>LCSW-MQB-FB-AP-019</x:v>
      </x:c>
      <x:c r="C375" s="102" t="n">
        <x:v>46228</x:v>
      </x:c>
      <x:c r="D375" s="83" t="str">
        <x:v>Imported into LCSW master inventory</x:v>
      </x:c>
      <x:c r="E375" s="83" t="str">
        <x:v>LCSW 2026 Comprehensive Simulation Form B</x:v>
      </x:c>
      <x:c r="F375" s="83" t="str">
        <x:v>1.0</x:v>
      </x:c>
      <x:c r="G375" s="83" t="n">
        <x:v>1</x:v>
      </x:c>
      <x:c r="H375" s="83" t="str">
        <x:v>Clinical Training Academy</x:v>
      </x:c>
      <x:c r="I375" s="89" t="str">
        <x:v>Source wording and option count preserved; no silent item-content revision during inventory build.</x:v>
      </x:c>
    </x:row>
    <x:row r="376">
      <x:c r="A376" s="88" t="str">
        <x:v>CTA-LCSW-MQB-0375</x:v>
      </x:c>
      <x:c r="B376" s="83" t="str">
        <x:v>LCSW-MQB-FB-AP-023</x:v>
      </x:c>
      <x:c r="C376" s="102" t="n">
        <x:v>46228</x:v>
      </x:c>
      <x:c r="D376" s="83" t="str">
        <x:v>Imported into LCSW master inventory</x:v>
      </x:c>
      <x:c r="E376" s="83" t="str">
        <x:v>LCSW 2026 Comprehensive Simulation Form B</x:v>
      </x:c>
      <x:c r="F376" s="83" t="str">
        <x:v>1.0</x:v>
      </x:c>
      <x:c r="G376" s="83" t="n">
        <x:v>1</x:v>
      </x:c>
      <x:c r="H376" s="83" t="str">
        <x:v>Clinical Training Academy</x:v>
      </x:c>
      <x:c r="I376" s="89" t="str">
        <x:v>Source wording and option count preserved; no silent item-content revision during inventory build.</x:v>
      </x:c>
    </x:row>
    <x:row r="377">
      <x:c r="A377" s="88" t="str">
        <x:v>CTA-LCSW-MQB-0376</x:v>
      </x:c>
      <x:c r="B377" s="83" t="str">
        <x:v>LCSW-MQB-FB-IP-003</x:v>
      </x:c>
      <x:c r="C377" s="102" t="n">
        <x:v>46228</x:v>
      </x:c>
      <x:c r="D377" s="83" t="str">
        <x:v>Imported into LCSW master inventory</x:v>
      </x:c>
      <x:c r="E377" s="83" t="str">
        <x:v>LCSW 2026 Comprehensive Simulation Form B</x:v>
      </x:c>
      <x:c r="F377" s="83" t="str">
        <x:v>1.0</x:v>
      </x:c>
      <x:c r="G377" s="83" t="n">
        <x:v>1</x:v>
      </x:c>
      <x:c r="H377" s="83" t="str">
        <x:v>Clinical Training Academy</x:v>
      </x:c>
      <x:c r="I377" s="89" t="str">
        <x:v>Source wording and option count preserved; no silent item-content revision during inventory build.</x:v>
      </x:c>
    </x:row>
    <x:row r="378">
      <x:c r="A378" s="88" t="str">
        <x:v>CTA-LCSW-MQB-0377</x:v>
      </x:c>
      <x:c r="B378" s="83" t="str">
        <x:v>LCSW-MQB-FB-VE-044</x:v>
      </x:c>
      <x:c r="C378" s="102" t="n">
        <x:v>46228</x:v>
      </x:c>
      <x:c r="D378" s="83" t="str">
        <x:v>Imported into LCSW master inventory</x:v>
      </x:c>
      <x:c r="E378" s="83" t="str">
        <x:v>LCSW 2026 Comprehensive Simulation Form B</x:v>
      </x:c>
      <x:c r="F378" s="83" t="str">
        <x:v>1.0</x:v>
      </x:c>
      <x:c r="G378" s="83" t="n">
        <x:v>1</x:v>
      </x:c>
      <x:c r="H378" s="83" t="str">
        <x:v>Clinical Training Academy</x:v>
      </x:c>
      <x:c r="I378" s="89" t="str">
        <x:v>Source wording and option count preserved; no silent item-content revision during inventory build.</x:v>
      </x:c>
    </x:row>
    <x:row r="379">
      <x:c r="A379" s="88" t="str">
        <x:v>CTA-LCSW-MQB-0378</x:v>
      </x:c>
      <x:c r="B379" s="83" t="str">
        <x:v>LCSW-MQB-FB-IP-011</x:v>
      </x:c>
      <x:c r="C379" s="102" t="n">
        <x:v>46228</x:v>
      </x:c>
      <x:c r="D379" s="83" t="str">
        <x:v>Imported into LCSW master inventory</x:v>
      </x:c>
      <x:c r="E379" s="83" t="str">
        <x:v>LCSW 2026 Comprehensive Simulation Form B</x:v>
      </x:c>
      <x:c r="F379" s="83" t="str">
        <x:v>1.0</x:v>
      </x:c>
      <x:c r="G379" s="83" t="n">
        <x:v>1</x:v>
      </x:c>
      <x:c r="H379" s="83" t="str">
        <x:v>Clinical Training Academy</x:v>
      </x:c>
      <x:c r="I379" s="89" t="str">
        <x:v>Source wording and option count preserved; no silent item-content revision during inventory build.</x:v>
      </x:c>
    </x:row>
    <x:row r="380">
      <x:c r="A380" s="88" t="str">
        <x:v>CTA-LCSW-MQB-0379</x:v>
      </x:c>
      <x:c r="B380" s="83" t="str">
        <x:v>LCSW-MQB-FB-AP-001</x:v>
      </x:c>
      <x:c r="C380" s="102" t="n">
        <x:v>46228</x:v>
      </x:c>
      <x:c r="D380" s="83" t="str">
        <x:v>Imported into LCSW master inventory</x:v>
      </x:c>
      <x:c r="E380" s="83" t="str">
        <x:v>LCSW 2026 Comprehensive Simulation Form B</x:v>
      </x:c>
      <x:c r="F380" s="83" t="str">
        <x:v>1.0</x:v>
      </x:c>
      <x:c r="G380" s="83" t="n">
        <x:v>1</x:v>
      </x:c>
      <x:c r="H380" s="83" t="str">
        <x:v>Clinical Training Academy</x:v>
      </x:c>
      <x:c r="I380" s="89" t="str">
        <x:v>Source wording and option count preserved; no silent item-content revision during inventory build.</x:v>
      </x:c>
    </x:row>
    <x:row r="381">
      <x:c r="A381" s="88" t="str">
        <x:v>CTA-LCSW-MQB-0380</x:v>
      </x:c>
      <x:c r="B381" s="83" t="str">
        <x:v>LCSW-MQB-FB-IP-033</x:v>
      </x:c>
      <x:c r="C381" s="102" t="n">
        <x:v>46228</x:v>
      </x:c>
      <x:c r="D381" s="83" t="str">
        <x:v>Imported into LCSW master inventory</x:v>
      </x:c>
      <x:c r="E381" s="83" t="str">
        <x:v>LCSW 2026 Comprehensive Simulation Form B</x:v>
      </x:c>
      <x:c r="F381" s="83" t="str">
        <x:v>1.0</x:v>
      </x:c>
      <x:c r="G381" s="83" t="n">
        <x:v>1</x:v>
      </x:c>
      <x:c r="H381" s="83" t="str">
        <x:v>Clinical Training Academy</x:v>
      </x:c>
      <x:c r="I381" s="89" t="str">
        <x:v>Source wording and option count preserved; no silent item-content revision during inventory build.</x:v>
      </x:c>
    </x:row>
    <x:row r="382">
      <x:c r="A382" s="88" t="str">
        <x:v>CTA-LCSW-MQB-0381</x:v>
      </x:c>
      <x:c r="B382" s="83" t="str">
        <x:v>LCSW-MQB-FB-IP-010</x:v>
      </x:c>
      <x:c r="C382" s="102" t="n">
        <x:v>46228</x:v>
      </x:c>
      <x:c r="D382" s="83" t="str">
        <x:v>Imported into LCSW master inventory</x:v>
      </x:c>
      <x:c r="E382" s="83" t="str">
        <x:v>LCSW 2026 Comprehensive Simulation Form B</x:v>
      </x:c>
      <x:c r="F382" s="83" t="str">
        <x:v>1.0</x:v>
      </x:c>
      <x:c r="G382" s="83" t="n">
        <x:v>1</x:v>
      </x:c>
      <x:c r="H382" s="83" t="str">
        <x:v>Clinical Training Academy</x:v>
      </x:c>
      <x:c r="I382" s="89" t="str">
        <x:v>Source wording and option count preserved; no silent item-content revision during inventory build.</x:v>
      </x:c>
    </x:row>
    <x:row r="383">
      <x:c r="A383" s="88" t="str">
        <x:v>CTA-LCSW-MQB-0382</x:v>
      </x:c>
      <x:c r="B383" s="83" t="str">
        <x:v>LCSW-MQB-FB-VE-018</x:v>
      </x:c>
      <x:c r="C383" s="102" t="n">
        <x:v>46228</x:v>
      </x:c>
      <x:c r="D383" s="83" t="str">
        <x:v>Imported into LCSW master inventory</x:v>
      </x:c>
      <x:c r="E383" s="83" t="str">
        <x:v>LCSW 2026 Comprehensive Simulation Form B</x:v>
      </x:c>
      <x:c r="F383" s="83" t="str">
        <x:v>1.0</x:v>
      </x:c>
      <x:c r="G383" s="83" t="n">
        <x:v>1</x:v>
      </x:c>
      <x:c r="H383" s="83" t="str">
        <x:v>Clinical Training Academy</x:v>
      </x:c>
      <x:c r="I383" s="89" t="str">
        <x:v>Source wording and option count preserved; no silent item-content revision during inventory build.</x:v>
      </x:c>
    </x:row>
    <x:row r="384">
      <x:c r="A384" s="88" t="str">
        <x:v>CTA-LCSW-MQB-0383</x:v>
      </x:c>
      <x:c r="B384" s="83" t="str">
        <x:v>LCSW-MQB-FB-AP-017</x:v>
      </x:c>
      <x:c r="C384" s="102" t="n">
        <x:v>46228</x:v>
      </x:c>
      <x:c r="D384" s="83" t="str">
        <x:v>Imported into LCSW master inventory</x:v>
      </x:c>
      <x:c r="E384" s="83" t="str">
        <x:v>LCSW 2026 Comprehensive Simulation Form B</x:v>
      </x:c>
      <x:c r="F384" s="83" t="str">
        <x:v>1.0</x:v>
      </x:c>
      <x:c r="G384" s="83" t="n">
        <x:v>1</x:v>
      </x:c>
      <x:c r="H384" s="83" t="str">
        <x:v>Clinical Training Academy</x:v>
      </x:c>
      <x:c r="I384" s="89" t="str">
        <x:v>Source wording and option count preserved; no silent item-content revision during inventory build.</x:v>
      </x:c>
    </x:row>
    <x:row r="385">
      <x:c r="A385" s="88" t="str">
        <x:v>CTA-LCSW-MQB-0384</x:v>
      </x:c>
      <x:c r="B385" s="83" t="str">
        <x:v>LCSW-MQB-FB-IP-017</x:v>
      </x:c>
      <x:c r="C385" s="102" t="n">
        <x:v>46228</x:v>
      </x:c>
      <x:c r="D385" s="83" t="str">
        <x:v>Imported into LCSW master inventory</x:v>
      </x:c>
      <x:c r="E385" s="83" t="str">
        <x:v>LCSW 2026 Comprehensive Simulation Form B</x:v>
      </x:c>
      <x:c r="F385" s="83" t="str">
        <x:v>1.0</x:v>
      </x:c>
      <x:c r="G385" s="83" t="n">
        <x:v>1</x:v>
      </x:c>
      <x:c r="H385" s="83" t="str">
        <x:v>Clinical Training Academy</x:v>
      </x:c>
      <x:c r="I385" s="89" t="str">
        <x:v>Source wording and option count preserved; no silent item-content revision during inventory build.</x:v>
      </x:c>
    </x:row>
    <x:row r="386">
      <x:c r="A386" s="88" t="str">
        <x:v>CTA-LCSW-MQB-0385</x:v>
      </x:c>
      <x:c r="B386" s="83" t="str">
        <x:v>LCSW-MQB-FB-IP-026</x:v>
      </x:c>
      <x:c r="C386" s="102" t="n">
        <x:v>46228</x:v>
      </x:c>
      <x:c r="D386" s="83" t="str">
        <x:v>Imported into LCSW master inventory</x:v>
      </x:c>
      <x:c r="E386" s="83" t="str">
        <x:v>LCSW 2026 Comprehensive Simulation Form B</x:v>
      </x:c>
      <x:c r="F386" s="83" t="str">
        <x:v>1.0</x:v>
      </x:c>
      <x:c r="G386" s="83" t="n">
        <x:v>1</x:v>
      </x:c>
      <x:c r="H386" s="83" t="str">
        <x:v>Clinical Training Academy</x:v>
      </x:c>
      <x:c r="I386" s="89" t="str">
        <x:v>Source wording and option count preserved; no silent item-content revision during inventory build.</x:v>
      </x:c>
    </x:row>
    <x:row r="387">
      <x:c r="A387" s="88" t="str">
        <x:v>CTA-LCSW-MQB-0386</x:v>
      </x:c>
      <x:c r="B387" s="83" t="str">
        <x:v>LCSW-MQB-FB-VE-022</x:v>
      </x:c>
      <x:c r="C387" s="102" t="n">
        <x:v>46228</x:v>
      </x:c>
      <x:c r="D387" s="83" t="str">
        <x:v>Imported into LCSW master inventory</x:v>
      </x:c>
      <x:c r="E387" s="83" t="str">
        <x:v>LCSW 2026 Comprehensive Simulation Form B</x:v>
      </x:c>
      <x:c r="F387" s="83" t="str">
        <x:v>1.0</x:v>
      </x:c>
      <x:c r="G387" s="83" t="n">
        <x:v>1</x:v>
      </x:c>
      <x:c r="H387" s="83" t="str">
        <x:v>Clinical Training Academy</x:v>
      </x:c>
      <x:c r="I387" s="89" t="str">
        <x:v>Source wording and option count preserved; no silent item-content revision during inventory build.</x:v>
      </x:c>
    </x:row>
    <x:row r="388">
      <x:c r="A388" s="88" t="str">
        <x:v>CTA-LCSW-MQB-0387</x:v>
      </x:c>
      <x:c r="B388" s="83" t="str">
        <x:v>LCSW-MQB-FB-IP-028</x:v>
      </x:c>
      <x:c r="C388" s="102" t="n">
        <x:v>46228</x:v>
      </x:c>
      <x:c r="D388" s="83" t="str">
        <x:v>Imported into LCSW master inventory</x:v>
      </x:c>
      <x:c r="E388" s="83" t="str">
        <x:v>LCSW 2026 Comprehensive Simulation Form B</x:v>
      </x:c>
      <x:c r="F388" s="83" t="str">
        <x:v>1.0</x:v>
      </x:c>
      <x:c r="G388" s="83" t="n">
        <x:v>1</x:v>
      </x:c>
      <x:c r="H388" s="83" t="str">
        <x:v>Clinical Training Academy</x:v>
      </x:c>
      <x:c r="I388" s="89" t="str">
        <x:v>Source wording and option count preserved; no silent item-content revision during inventory build.</x:v>
      </x:c>
    </x:row>
    <x:row r="389">
      <x:c r="A389" s="88" t="str">
        <x:v>CTA-LCSW-MQB-0388</x:v>
      </x:c>
      <x:c r="B389" s="83" t="str">
        <x:v>LCSW-MQB-FB-AP-002</x:v>
      </x:c>
      <x:c r="C389" s="102" t="n">
        <x:v>46228</x:v>
      </x:c>
      <x:c r="D389" s="83" t="str">
        <x:v>Imported into LCSW master inventory</x:v>
      </x:c>
      <x:c r="E389" s="83" t="str">
        <x:v>LCSW 2026 Comprehensive Simulation Form B</x:v>
      </x:c>
      <x:c r="F389" s="83" t="str">
        <x:v>1.0</x:v>
      </x:c>
      <x:c r="G389" s="83" t="n">
        <x:v>1</x:v>
      </x:c>
      <x:c r="H389" s="83" t="str">
        <x:v>Clinical Training Academy</x:v>
      </x:c>
      <x:c r="I389" s="89" t="str">
        <x:v>Source wording and option count preserved; no silent item-content revision during inventory build.</x:v>
      </x:c>
    </x:row>
    <x:row r="390">
      <x:c r="A390" s="88" t="str">
        <x:v>CTA-LCSW-MQB-0389</x:v>
      </x:c>
      <x:c r="B390" s="83" t="str">
        <x:v>LCSW-MQB-FB-AP-007</x:v>
      </x:c>
      <x:c r="C390" s="102" t="n">
        <x:v>46228</x:v>
      </x:c>
      <x:c r="D390" s="83" t="str">
        <x:v>Imported into LCSW master inventory</x:v>
      </x:c>
      <x:c r="E390" s="83" t="str">
        <x:v>LCSW 2026 Comprehensive Simulation Form B</x:v>
      </x:c>
      <x:c r="F390" s="83" t="str">
        <x:v>1.0</x:v>
      </x:c>
      <x:c r="G390" s="83" t="n">
        <x:v>1</x:v>
      </x:c>
      <x:c r="H390" s="83" t="str">
        <x:v>Clinical Training Academy</x:v>
      </x:c>
      <x:c r="I390" s="89" t="str">
        <x:v>Source wording and option count preserved; no silent item-content revision during inventory build.</x:v>
      </x:c>
    </x:row>
    <x:row r="391">
      <x:c r="A391" s="88" t="str">
        <x:v>CTA-LCSW-MQB-0390</x:v>
      </x:c>
      <x:c r="B391" s="83" t="str">
        <x:v>LCSW-MQB-FB-VE-028</x:v>
      </x:c>
      <x:c r="C391" s="102" t="n">
        <x:v>46228</x:v>
      </x:c>
      <x:c r="D391" s="83" t="str">
        <x:v>Imported into LCSW master inventory</x:v>
      </x:c>
      <x:c r="E391" s="83" t="str">
        <x:v>LCSW 2026 Comprehensive Simulation Form B</x:v>
      </x:c>
      <x:c r="F391" s="83" t="str">
        <x:v>1.0</x:v>
      </x:c>
      <x:c r="G391" s="83" t="n">
        <x:v>1</x:v>
      </x:c>
      <x:c r="H391" s="83" t="str">
        <x:v>Clinical Training Academy</x:v>
      </x:c>
      <x:c r="I391" s="89" t="str">
        <x:v>Source wording and option count preserved; no silent item-content revision during inventory build.</x:v>
      </x:c>
    </x:row>
    <x:row r="392">
      <x:c r="A392" s="88" t="str">
        <x:v>CTA-LCSW-MQB-0391</x:v>
      </x:c>
      <x:c r="B392" s="83" t="str">
        <x:v>LCSW-MQB-FB-IP-025</x:v>
      </x:c>
      <x:c r="C392" s="102" t="n">
        <x:v>46228</x:v>
      </x:c>
      <x:c r="D392" s="83" t="str">
        <x:v>Imported into LCSW master inventory</x:v>
      </x:c>
      <x:c r="E392" s="83" t="str">
        <x:v>LCSW 2026 Comprehensive Simulation Form B</x:v>
      </x:c>
      <x:c r="F392" s="83" t="str">
        <x:v>1.0</x:v>
      </x:c>
      <x:c r="G392" s="83" t="n">
        <x:v>1</x:v>
      </x:c>
      <x:c r="H392" s="83" t="str">
        <x:v>Clinical Training Academy</x:v>
      </x:c>
      <x:c r="I392" s="89" t="str">
        <x:v>Source wording and option count preserved; no silent item-content revision during inventory build.</x:v>
      </x:c>
    </x:row>
    <x:row r="393">
      <x:c r="A393" s="88" t="str">
        <x:v>CTA-LCSW-MQB-0392</x:v>
      </x:c>
      <x:c r="B393" s="83" t="str">
        <x:v>LCSW-MQB-FB-VE-033</x:v>
      </x:c>
      <x:c r="C393" s="102" t="n">
        <x:v>46228</x:v>
      </x:c>
      <x:c r="D393" s="83" t="str">
        <x:v>Imported into LCSW master inventory</x:v>
      </x:c>
      <x:c r="E393" s="83" t="str">
        <x:v>LCSW 2026 Comprehensive Simulation Form B</x:v>
      </x:c>
      <x:c r="F393" s="83" t="str">
        <x:v>1.0</x:v>
      </x:c>
      <x:c r="G393" s="83" t="n">
        <x:v>1</x:v>
      </x:c>
      <x:c r="H393" s="83" t="str">
        <x:v>Clinical Training Academy</x:v>
      </x:c>
      <x:c r="I393" s="89" t="str">
        <x:v>Source wording and option count preserved; no silent item-content revision during inventory build.</x:v>
      </x:c>
    </x:row>
    <x:row r="394">
      <x:c r="A394" s="88" t="str">
        <x:v>CTA-LCSW-MQB-0393</x:v>
      </x:c>
      <x:c r="B394" s="83" t="str">
        <x:v>LCSW-MQB-FB-IP-015</x:v>
      </x:c>
      <x:c r="C394" s="102" t="n">
        <x:v>46228</x:v>
      </x:c>
      <x:c r="D394" s="83" t="str">
        <x:v>Imported into LCSW master inventory</x:v>
      </x:c>
      <x:c r="E394" s="83" t="str">
        <x:v>LCSW 2026 Comprehensive Simulation Form B</x:v>
      </x:c>
      <x:c r="F394" s="83" t="str">
        <x:v>1.0</x:v>
      </x:c>
      <x:c r="G394" s="83" t="n">
        <x:v>1</x:v>
      </x:c>
      <x:c r="H394" s="83" t="str">
        <x:v>Clinical Training Academy</x:v>
      </x:c>
      <x:c r="I394" s="89" t="str">
        <x:v>Source wording and option count preserved; no silent item-content revision during inventory build.</x:v>
      </x:c>
    </x:row>
    <x:row r="395">
      <x:c r="A395" s="88" t="str">
        <x:v>CTA-LCSW-MQB-0394</x:v>
      </x:c>
      <x:c r="B395" s="83" t="str">
        <x:v>LCSW-MQB-FB-VE-023</x:v>
      </x:c>
      <x:c r="C395" s="102" t="n">
        <x:v>46228</x:v>
      </x:c>
      <x:c r="D395" s="83" t="str">
        <x:v>Imported into LCSW master inventory</x:v>
      </x:c>
      <x:c r="E395" s="83" t="str">
        <x:v>LCSW 2026 Comprehensive Simulation Form B</x:v>
      </x:c>
      <x:c r="F395" s="83" t="str">
        <x:v>1.0</x:v>
      </x:c>
      <x:c r="G395" s="83" t="n">
        <x:v>1</x:v>
      </x:c>
      <x:c r="H395" s="83" t="str">
        <x:v>Clinical Training Academy</x:v>
      </x:c>
      <x:c r="I395" s="89" t="str">
        <x:v>Source wording and option count preserved; no silent item-content revision during inventory build.</x:v>
      </x:c>
    </x:row>
    <x:row r="396">
      <x:c r="A396" s="88" t="str">
        <x:v>CTA-LCSW-MQB-0395</x:v>
      </x:c>
      <x:c r="B396" s="83" t="str">
        <x:v>LCSW-MQB-FB-VE-034</x:v>
      </x:c>
      <x:c r="C396" s="102" t="n">
        <x:v>46228</x:v>
      </x:c>
      <x:c r="D396" s="83" t="str">
        <x:v>Imported into LCSW master inventory</x:v>
      </x:c>
      <x:c r="E396" s="83" t="str">
        <x:v>LCSW 2026 Comprehensive Simulation Form B</x:v>
      </x:c>
      <x:c r="F396" s="83" t="str">
        <x:v>1.0</x:v>
      </x:c>
      <x:c r="G396" s="83" t="n">
        <x:v>1</x:v>
      </x:c>
      <x:c r="H396" s="83" t="str">
        <x:v>Clinical Training Academy</x:v>
      </x:c>
      <x:c r="I396" s="89" t="str">
        <x:v>Source wording and option count preserved; no silent item-content revision during inventory build.</x:v>
      </x:c>
    </x:row>
    <x:row r="397">
      <x:c r="A397" s="88" t="str">
        <x:v>CTA-LCSW-MQB-0396</x:v>
      </x:c>
      <x:c r="B397" s="83" t="str">
        <x:v>LCSW-MQB-FB-IP-039</x:v>
      </x:c>
      <x:c r="C397" s="102" t="n">
        <x:v>46228</x:v>
      </x:c>
      <x:c r="D397" s="83" t="str">
        <x:v>Imported into LCSW master inventory</x:v>
      </x:c>
      <x:c r="E397" s="83" t="str">
        <x:v>LCSW 2026 Comprehensive Simulation Form B</x:v>
      </x:c>
      <x:c r="F397" s="83" t="str">
        <x:v>1.0</x:v>
      </x:c>
      <x:c r="G397" s="83" t="n">
        <x:v>1</x:v>
      </x:c>
      <x:c r="H397" s="83" t="str">
        <x:v>Clinical Training Academy</x:v>
      </x:c>
      <x:c r="I397" s="89" t="str">
        <x:v>Source wording and option count preserved; no silent item-content revision during inventory build.</x:v>
      </x:c>
    </x:row>
    <x:row r="398">
      <x:c r="A398" s="88" t="str">
        <x:v>CTA-LCSW-MQB-0397</x:v>
      </x:c>
      <x:c r="B398" s="83" t="str">
        <x:v>LCSW-MQB-FB-IP-005</x:v>
      </x:c>
      <x:c r="C398" s="102" t="n">
        <x:v>46228</x:v>
      </x:c>
      <x:c r="D398" s="83" t="str">
        <x:v>Imported into LCSW master inventory</x:v>
      </x:c>
      <x:c r="E398" s="83" t="str">
        <x:v>LCSW 2026 Comprehensive Simulation Form B</x:v>
      </x:c>
      <x:c r="F398" s="83" t="str">
        <x:v>1.0</x:v>
      </x:c>
      <x:c r="G398" s="83" t="n">
        <x:v>1</x:v>
      </x:c>
      <x:c r="H398" s="83" t="str">
        <x:v>Clinical Training Academy</x:v>
      </x:c>
      <x:c r="I398" s="89" t="str">
        <x:v>Source wording and option count preserved; no silent item-content revision during inventory build.</x:v>
      </x:c>
    </x:row>
    <x:row r="399">
      <x:c r="A399" s="88" t="str">
        <x:v>CTA-LCSW-MQB-0398</x:v>
      </x:c>
      <x:c r="B399" s="83" t="str">
        <x:v>LCSW-MQB-FB-AP-009</x:v>
      </x:c>
      <x:c r="C399" s="102" t="n">
        <x:v>46228</x:v>
      </x:c>
      <x:c r="D399" s="83" t="str">
        <x:v>Imported into LCSW master inventory</x:v>
      </x:c>
      <x:c r="E399" s="83" t="str">
        <x:v>LCSW 2026 Comprehensive Simulation Form B</x:v>
      </x:c>
      <x:c r="F399" s="83" t="str">
        <x:v>1.0</x:v>
      </x:c>
      <x:c r="G399" s="83" t="n">
        <x:v>1</x:v>
      </x:c>
      <x:c r="H399" s="83" t="str">
        <x:v>Clinical Training Academy</x:v>
      </x:c>
      <x:c r="I399" s="89" t="str">
        <x:v>Source wording and option count preserved; no silent item-content revision during inventory build.</x:v>
      </x:c>
    </x:row>
    <x:row r="400">
      <x:c r="A400" s="88" t="str">
        <x:v>CTA-LCSW-MQB-0399</x:v>
      </x:c>
      <x:c r="B400" s="83" t="str">
        <x:v>LCSW-MQB-FB-VE-017</x:v>
      </x:c>
      <x:c r="C400" s="102" t="n">
        <x:v>46228</x:v>
      </x:c>
      <x:c r="D400" s="83" t="str">
        <x:v>Imported into LCSW master inventory</x:v>
      </x:c>
      <x:c r="E400" s="83" t="str">
        <x:v>LCSW 2026 Comprehensive Simulation Form B</x:v>
      </x:c>
      <x:c r="F400" s="83" t="str">
        <x:v>1.0</x:v>
      </x:c>
      <x:c r="G400" s="83" t="n">
        <x:v>1</x:v>
      </x:c>
      <x:c r="H400" s="83" t="str">
        <x:v>Clinical Training Academy</x:v>
      </x:c>
      <x:c r="I400" s="89" t="str">
        <x:v>Source wording and option count preserved; no silent item-content revision during inventory build.</x:v>
      </x:c>
    </x:row>
    <x:row r="401">
      <x:c r="A401" s="88" t="str">
        <x:v>CTA-LCSW-MQB-0400</x:v>
      </x:c>
      <x:c r="B401" s="83" t="str">
        <x:v>LCSW-MQB-FB-AP-025</x:v>
      </x:c>
      <x:c r="C401" s="102" t="n">
        <x:v>46228</x:v>
      </x:c>
      <x:c r="D401" s="83" t="str">
        <x:v>Imported into LCSW master inventory</x:v>
      </x:c>
      <x:c r="E401" s="83" t="str">
        <x:v>LCSW 2026 Comprehensive Simulation Form B</x:v>
      </x:c>
      <x:c r="F401" s="83" t="str">
        <x:v>1.0</x:v>
      </x:c>
      <x:c r="G401" s="83" t="n">
        <x:v>1</x:v>
      </x:c>
      <x:c r="H401" s="83" t="str">
        <x:v>Clinical Training Academy</x:v>
      </x:c>
      <x:c r="I401" s="89" t="str">
        <x:v>Source wording and option count preserved; no silent item-content revision during inventory build.</x:v>
      </x:c>
    </x:row>
    <x:row r="402">
      <x:c r="A402" s="88" t="str">
        <x:v>CTA-LCSW-MQB-0401</x:v>
      </x:c>
      <x:c r="B402" s="83" t="str">
        <x:v>LCSW-MQB-FB-VE-042</x:v>
      </x:c>
      <x:c r="C402" s="102" t="n">
        <x:v>46228</x:v>
      </x:c>
      <x:c r="D402" s="83" t="str">
        <x:v>Imported into LCSW master inventory</x:v>
      </x:c>
      <x:c r="E402" s="83" t="str">
        <x:v>LCSW 2026 Comprehensive Simulation Form B</x:v>
      </x:c>
      <x:c r="F402" s="83" t="str">
        <x:v>1.0</x:v>
      </x:c>
      <x:c r="G402" s="83" t="n">
        <x:v>1</x:v>
      </x:c>
      <x:c r="H402" s="83" t="str">
        <x:v>Clinical Training Academy</x:v>
      </x:c>
      <x:c r="I402" s="89" t="str">
        <x:v>Source wording and option count preserved; no silent item-content revision during inventory build.</x:v>
      </x:c>
    </x:row>
    <x:row r="403">
      <x:c r="A403" s="88" t="str">
        <x:v>CTA-LCSW-MQB-0402</x:v>
      </x:c>
      <x:c r="B403" s="83" t="str">
        <x:v>LCSW-MQB-FB-VE-035</x:v>
      </x:c>
      <x:c r="C403" s="102" t="n">
        <x:v>46228</x:v>
      </x:c>
      <x:c r="D403" s="83" t="str">
        <x:v>Imported into LCSW master inventory</x:v>
      </x:c>
      <x:c r="E403" s="83" t="str">
        <x:v>LCSW 2026 Comprehensive Simulation Form B</x:v>
      </x:c>
      <x:c r="F403" s="83" t="str">
        <x:v>1.0</x:v>
      </x:c>
      <x:c r="G403" s="83" t="n">
        <x:v>1</x:v>
      </x:c>
      <x:c r="H403" s="83" t="str">
        <x:v>Clinical Training Academy</x:v>
      </x:c>
      <x:c r="I403" s="89" t="str">
        <x:v>Source wording and option count preserved; no silent item-content revision during inventory build.</x:v>
      </x:c>
    </x:row>
    <x:row r="404">
      <x:c r="A404" s="88" t="str">
        <x:v>CTA-LCSW-MQB-0403</x:v>
      </x:c>
      <x:c r="B404" s="83" t="str">
        <x:v>LCSW-MQB-FB-IP-001</x:v>
      </x:c>
      <x:c r="C404" s="102" t="n">
        <x:v>46228</x:v>
      </x:c>
      <x:c r="D404" s="83" t="str">
        <x:v>Imported into LCSW master inventory</x:v>
      </x:c>
      <x:c r="E404" s="83" t="str">
        <x:v>LCSW 2026 Comprehensive Simulation Form B</x:v>
      </x:c>
      <x:c r="F404" s="83" t="str">
        <x:v>1.0</x:v>
      </x:c>
      <x:c r="G404" s="83" t="n">
        <x:v>1</x:v>
      </x:c>
      <x:c r="H404" s="83" t="str">
        <x:v>Clinical Training Academy</x:v>
      </x:c>
      <x:c r="I404" s="89" t="str">
        <x:v>Source wording and option count preserved; no silent item-content revision during inventory build.</x:v>
      </x:c>
    </x:row>
    <x:row r="405">
      <x:c r="A405" s="88" t="str">
        <x:v>CTA-LCSW-MQB-0404</x:v>
      </x:c>
      <x:c r="B405" s="83" t="str">
        <x:v>LCSW-MQB-FB-AP-020</x:v>
      </x:c>
      <x:c r="C405" s="102" t="n">
        <x:v>46228</x:v>
      </x:c>
      <x:c r="D405" s="83" t="str">
        <x:v>Imported into LCSW master inventory</x:v>
      </x:c>
      <x:c r="E405" s="83" t="str">
        <x:v>LCSW 2026 Comprehensive Simulation Form B</x:v>
      </x:c>
      <x:c r="F405" s="83" t="str">
        <x:v>1.0</x:v>
      </x:c>
      <x:c r="G405" s="83" t="n">
        <x:v>1</x:v>
      </x:c>
      <x:c r="H405" s="83" t="str">
        <x:v>Clinical Training Academy</x:v>
      </x:c>
      <x:c r="I405" s="89" t="str">
        <x:v>Source wording and option count preserved; no silent item-content revision during inventory build.</x:v>
      </x:c>
    </x:row>
    <x:row r="406">
      <x:c r="A406" s="88" t="str">
        <x:v>CTA-LCSW-MQB-0405</x:v>
      </x:c>
      <x:c r="B406" s="83" t="str">
        <x:v>LCSW-MQB-FB-AP-012</x:v>
      </x:c>
      <x:c r="C406" s="102" t="n">
        <x:v>46228</x:v>
      </x:c>
      <x:c r="D406" s="83" t="str">
        <x:v>Imported into LCSW master inventory</x:v>
      </x:c>
      <x:c r="E406" s="83" t="str">
        <x:v>LCSW 2026 Comprehensive Simulation Form B</x:v>
      </x:c>
      <x:c r="F406" s="83" t="str">
        <x:v>1.0</x:v>
      </x:c>
      <x:c r="G406" s="83" t="n">
        <x:v>1</x:v>
      </x:c>
      <x:c r="H406" s="83" t="str">
        <x:v>Clinical Training Academy</x:v>
      </x:c>
      <x:c r="I406" s="89" t="str">
        <x:v>Source wording and option count preserved; no silent item-content revision during inventory build.</x:v>
      </x:c>
    </x:row>
    <x:row r="407">
      <x:c r="A407" s="88" t="str">
        <x:v>CTA-LCSW-MQB-0406</x:v>
      </x:c>
      <x:c r="B407" s="83" t="str">
        <x:v>LCSW-MQB-FB-VE-041</x:v>
      </x:c>
      <x:c r="C407" s="102" t="n">
        <x:v>46228</x:v>
      </x:c>
      <x:c r="D407" s="83" t="str">
        <x:v>Imported into LCSW master inventory</x:v>
      </x:c>
      <x:c r="E407" s="83" t="str">
        <x:v>LCSW 2026 Comprehensive Simulation Form B</x:v>
      </x:c>
      <x:c r="F407" s="83" t="str">
        <x:v>1.0</x:v>
      </x:c>
      <x:c r="G407" s="83" t="n">
        <x:v>1</x:v>
      </x:c>
      <x:c r="H407" s="83" t="str">
        <x:v>Clinical Training Academy</x:v>
      </x:c>
      <x:c r="I407" s="89" t="str">
        <x:v>Source wording and option count preserved; no silent item-content revision during inventory build.</x:v>
      </x:c>
    </x:row>
    <x:row r="408">
      <x:c r="A408" s="88" t="str">
        <x:v>CTA-LCSW-MQB-0407</x:v>
      </x:c>
      <x:c r="B408" s="83" t="str">
        <x:v>LCSW-MQB-FB-AP-036</x:v>
      </x:c>
      <x:c r="C408" s="102" t="n">
        <x:v>46228</x:v>
      </x:c>
      <x:c r="D408" s="83" t="str">
        <x:v>Imported into LCSW master inventory</x:v>
      </x:c>
      <x:c r="E408" s="83" t="str">
        <x:v>LCSW 2026 Comprehensive Simulation Form B</x:v>
      </x:c>
      <x:c r="F408" s="83" t="str">
        <x:v>1.0</x:v>
      </x:c>
      <x:c r="G408" s="83" t="n">
        <x:v>1</x:v>
      </x:c>
      <x:c r="H408" s="83" t="str">
        <x:v>Clinical Training Academy</x:v>
      </x:c>
      <x:c r="I408" s="89" t="str">
        <x:v>Source wording and option count preserved; no silent item-content revision during inventory build.</x:v>
      </x:c>
    </x:row>
    <x:row r="409">
      <x:c r="A409" s="88" t="str">
        <x:v>CTA-LCSW-MQB-0408</x:v>
      </x:c>
      <x:c r="B409" s="83" t="str">
        <x:v>LCSW-MQB-FB-VE-003</x:v>
      </x:c>
      <x:c r="C409" s="102" t="n">
        <x:v>46228</x:v>
      </x:c>
      <x:c r="D409" s="83" t="str">
        <x:v>Imported into LCSW master inventory</x:v>
      </x:c>
      <x:c r="E409" s="83" t="str">
        <x:v>LCSW 2026 Comprehensive Simulation Form B</x:v>
      </x:c>
      <x:c r="F409" s="83" t="str">
        <x:v>1.0</x:v>
      </x:c>
      <x:c r="G409" s="83" t="n">
        <x:v>1</x:v>
      </x:c>
      <x:c r="H409" s="83" t="str">
        <x:v>Clinical Training Academy</x:v>
      </x:c>
      <x:c r="I409" s="89" t="str">
        <x:v>Source wording and option count preserved; no silent item-content revision during inventory build.</x:v>
      </x:c>
    </x:row>
    <x:row r="410">
      <x:c r="A410" s="88" t="str">
        <x:v>CTA-LCSW-MQB-0409</x:v>
      </x:c>
      <x:c r="B410" s="83" t="str">
        <x:v>LCSW-MQB-FB-VE-026</x:v>
      </x:c>
      <x:c r="C410" s="102" t="n">
        <x:v>46228</x:v>
      </x:c>
      <x:c r="D410" s="83" t="str">
        <x:v>Imported into LCSW master inventory</x:v>
      </x:c>
      <x:c r="E410" s="83" t="str">
        <x:v>LCSW 2026 Comprehensive Simulation Form B</x:v>
      </x:c>
      <x:c r="F410" s="83" t="str">
        <x:v>1.0</x:v>
      </x:c>
      <x:c r="G410" s="83" t="n">
        <x:v>1</x:v>
      </x:c>
      <x:c r="H410" s="83" t="str">
        <x:v>Clinical Training Academy</x:v>
      </x:c>
      <x:c r="I410" s="89" t="str">
        <x:v>Source wording and option count preserved; no silent item-content revision during inventory build.</x:v>
      </x:c>
    </x:row>
    <x:row r="411">
      <x:c r="A411" s="88" t="str">
        <x:v>CTA-LCSW-MQB-0410</x:v>
      </x:c>
      <x:c r="B411" s="83" t="str">
        <x:v>LCSW-MQB-FB-AP-028</x:v>
      </x:c>
      <x:c r="C411" s="102" t="n">
        <x:v>46228</x:v>
      </x:c>
      <x:c r="D411" s="83" t="str">
        <x:v>Imported into LCSW master inventory</x:v>
      </x:c>
      <x:c r="E411" s="83" t="str">
        <x:v>LCSW 2026 Comprehensive Simulation Form B</x:v>
      </x:c>
      <x:c r="F411" s="83" t="str">
        <x:v>1.0</x:v>
      </x:c>
      <x:c r="G411" s="83" t="n">
        <x:v>1</x:v>
      </x:c>
      <x:c r="H411" s="83" t="str">
        <x:v>Clinical Training Academy</x:v>
      </x:c>
      <x:c r="I411" s="89" t="str">
        <x:v>Source wording and option count preserved; no silent item-content revision during inventory build.</x:v>
      </x:c>
    </x:row>
    <x:row r="412">
      <x:c r="A412" s="88" t="str">
        <x:v>CTA-LCSW-MQB-0411</x:v>
      </x:c>
      <x:c r="B412" s="83" t="str">
        <x:v>LCSW-MQB-FB-IP-013</x:v>
      </x:c>
      <x:c r="C412" s="102" t="n">
        <x:v>46228</x:v>
      </x:c>
      <x:c r="D412" s="83" t="str">
        <x:v>Imported into LCSW master inventory</x:v>
      </x:c>
      <x:c r="E412" s="83" t="str">
        <x:v>LCSW 2026 Comprehensive Simulation Form B</x:v>
      </x:c>
      <x:c r="F412" s="83" t="str">
        <x:v>1.0</x:v>
      </x:c>
      <x:c r="G412" s="83" t="n">
        <x:v>1</x:v>
      </x:c>
      <x:c r="H412" s="83" t="str">
        <x:v>Clinical Training Academy</x:v>
      </x:c>
      <x:c r="I412" s="89" t="str">
        <x:v>Source wording and option count preserved; no silent item-content revision during inventory build.</x:v>
      </x:c>
    </x:row>
    <x:row r="413">
      <x:c r="A413" s="88" t="str">
        <x:v>CTA-LCSW-MQB-0412</x:v>
      </x:c>
      <x:c r="B413" s="83" t="str">
        <x:v>LCSW-MQB-FB-IP-036</x:v>
      </x:c>
      <x:c r="C413" s="102" t="n">
        <x:v>46228</x:v>
      </x:c>
      <x:c r="D413" s="83" t="str">
        <x:v>Imported into LCSW master inventory</x:v>
      </x:c>
      <x:c r="E413" s="83" t="str">
        <x:v>LCSW 2026 Comprehensive Simulation Form B</x:v>
      </x:c>
      <x:c r="F413" s="83" t="str">
        <x:v>1.0</x:v>
      </x:c>
      <x:c r="G413" s="83" t="n">
        <x:v>1</x:v>
      </x:c>
      <x:c r="H413" s="83" t="str">
        <x:v>Clinical Training Academy</x:v>
      </x:c>
      <x:c r="I413" s="89" t="str">
        <x:v>Source wording and option count preserved; no silent item-content revision during inventory build.</x:v>
      </x:c>
    </x:row>
    <x:row r="414">
      <x:c r="A414" s="88" t="str">
        <x:v>CTA-LCSW-MQB-0413</x:v>
      </x:c>
      <x:c r="B414" s="83" t="str">
        <x:v>LCSW-MQB-FB-AP-035</x:v>
      </x:c>
      <x:c r="C414" s="102" t="n">
        <x:v>46228</x:v>
      </x:c>
      <x:c r="D414" s="83" t="str">
        <x:v>Imported into LCSW master inventory</x:v>
      </x:c>
      <x:c r="E414" s="83" t="str">
        <x:v>LCSW 2026 Comprehensive Simulation Form B</x:v>
      </x:c>
      <x:c r="F414" s="83" t="str">
        <x:v>1.0</x:v>
      </x:c>
      <x:c r="G414" s="83" t="n">
        <x:v>1</x:v>
      </x:c>
      <x:c r="H414" s="83" t="str">
        <x:v>Clinical Training Academy</x:v>
      </x:c>
      <x:c r="I414" s="89" t="str">
        <x:v>Source wording and option count preserved; no silent item-content revision during inventory build.</x:v>
      </x:c>
    </x:row>
    <x:row r="415">
      <x:c r="A415" s="88" t="str">
        <x:v>CTA-LCSW-MQB-0414</x:v>
      </x:c>
      <x:c r="B415" s="83" t="str">
        <x:v>LCSW-MQB-FB-VE-011</x:v>
      </x:c>
      <x:c r="C415" s="102" t="n">
        <x:v>46228</x:v>
      </x:c>
      <x:c r="D415" s="83" t="str">
        <x:v>Imported into LCSW master inventory</x:v>
      </x:c>
      <x:c r="E415" s="83" t="str">
        <x:v>LCSW 2026 Comprehensive Simulation Form B</x:v>
      </x:c>
      <x:c r="F415" s="83" t="str">
        <x:v>1.0</x:v>
      </x:c>
      <x:c r="G415" s="83" t="n">
        <x:v>1</x:v>
      </x:c>
      <x:c r="H415" s="83" t="str">
        <x:v>Clinical Training Academy</x:v>
      </x:c>
      <x:c r="I415" s="89" t="str">
        <x:v>Source wording and option count preserved; no silent item-content revision during inventory build.</x:v>
      </x:c>
    </x:row>
    <x:row r="416">
      <x:c r="A416" s="88" t="str">
        <x:v>CTA-LCSW-MQB-0415</x:v>
      </x:c>
      <x:c r="B416" s="83" t="str">
        <x:v>LCSW-MQB-FB-VE-014</x:v>
      </x:c>
      <x:c r="C416" s="102" t="n">
        <x:v>46228</x:v>
      </x:c>
      <x:c r="D416" s="83" t="str">
        <x:v>Imported into LCSW master inventory</x:v>
      </x:c>
      <x:c r="E416" s="83" t="str">
        <x:v>LCSW 2026 Comprehensive Simulation Form B</x:v>
      </x:c>
      <x:c r="F416" s="83" t="str">
        <x:v>1.0</x:v>
      </x:c>
      <x:c r="G416" s="83" t="n">
        <x:v>1</x:v>
      </x:c>
      <x:c r="H416" s="83" t="str">
        <x:v>Clinical Training Academy</x:v>
      </x:c>
      <x:c r="I416" s="89" t="str">
        <x:v>Source wording and option count preserved; no silent item-content revision during inventory build.</x:v>
      </x:c>
    </x:row>
    <x:row r="417">
      <x:c r="A417" s="88" t="str">
        <x:v>CTA-LCSW-MQB-0416</x:v>
      </x:c>
      <x:c r="B417" s="83" t="str">
        <x:v>LCSW-MQB-FB-IP-027</x:v>
      </x:c>
      <x:c r="C417" s="102" t="n">
        <x:v>46228</x:v>
      </x:c>
      <x:c r="D417" s="83" t="str">
        <x:v>Imported into LCSW master inventory</x:v>
      </x:c>
      <x:c r="E417" s="83" t="str">
        <x:v>LCSW 2026 Comprehensive Simulation Form B</x:v>
      </x:c>
      <x:c r="F417" s="83" t="str">
        <x:v>1.0</x:v>
      </x:c>
      <x:c r="G417" s="83" t="n">
        <x:v>1</x:v>
      </x:c>
      <x:c r="H417" s="83" t="str">
        <x:v>Clinical Training Academy</x:v>
      </x:c>
      <x:c r="I417" s="89" t="str">
        <x:v>Source wording and option count preserved; no silent item-content revision during inventory build.</x:v>
      </x:c>
    </x:row>
    <x:row r="418">
      <x:c r="A418" s="88" t="str">
        <x:v>CTA-LCSW-MQB-0417</x:v>
      </x:c>
      <x:c r="B418" s="83" t="str">
        <x:v>LCSW-MQB-FB-AP-031</x:v>
      </x:c>
      <x:c r="C418" s="102" t="n">
        <x:v>46228</x:v>
      </x:c>
      <x:c r="D418" s="83" t="str">
        <x:v>Imported into LCSW master inventory</x:v>
      </x:c>
      <x:c r="E418" s="83" t="str">
        <x:v>LCSW 2026 Comprehensive Simulation Form B</x:v>
      </x:c>
      <x:c r="F418" s="83" t="str">
        <x:v>1.0</x:v>
      </x:c>
      <x:c r="G418" s="83" t="n">
        <x:v>1</x:v>
      </x:c>
      <x:c r="H418" s="83" t="str">
        <x:v>Clinical Training Academy</x:v>
      </x:c>
      <x:c r="I418" s="89" t="str">
        <x:v>Source wording and option count preserved; no silent item-content revision during inventory build.</x:v>
      </x:c>
    </x:row>
    <x:row r="419">
      <x:c r="A419" s="88" t="str">
        <x:v>CTA-LCSW-MQB-0418</x:v>
      </x:c>
      <x:c r="B419" s="83" t="str">
        <x:v>LCSW-MQB-FB-IP-020</x:v>
      </x:c>
      <x:c r="C419" s="102" t="n">
        <x:v>46228</x:v>
      </x:c>
      <x:c r="D419" s="83" t="str">
        <x:v>Imported into LCSW master inventory</x:v>
      </x:c>
      <x:c r="E419" s="83" t="str">
        <x:v>LCSW 2026 Comprehensive Simulation Form B</x:v>
      </x:c>
      <x:c r="F419" s="83" t="str">
        <x:v>1.0</x:v>
      </x:c>
      <x:c r="G419" s="83" t="n">
        <x:v>1</x:v>
      </x:c>
      <x:c r="H419" s="83" t="str">
        <x:v>Clinical Training Academy</x:v>
      </x:c>
      <x:c r="I419" s="89" t="str">
        <x:v>Source wording and option count preserved; no silent item-content revision during inventory build.</x:v>
      </x:c>
    </x:row>
    <x:row r="420">
      <x:c r="A420" s="88" t="str">
        <x:v>CTA-LCSW-MQB-0419</x:v>
      </x:c>
      <x:c r="B420" s="83" t="str">
        <x:v>LCSW-MQB-FB-VE-010</x:v>
      </x:c>
      <x:c r="C420" s="102" t="n">
        <x:v>46228</x:v>
      </x:c>
      <x:c r="D420" s="83" t="str">
        <x:v>Imported into LCSW master inventory</x:v>
      </x:c>
      <x:c r="E420" s="83" t="str">
        <x:v>LCSW 2026 Comprehensive Simulation Form B</x:v>
      </x:c>
      <x:c r="F420" s="83" t="str">
        <x:v>1.0</x:v>
      </x:c>
      <x:c r="G420" s="83" t="n">
        <x:v>1</x:v>
      </x:c>
      <x:c r="H420" s="83" t="str">
        <x:v>Clinical Training Academy</x:v>
      </x:c>
      <x:c r="I420" s="89" t="str">
        <x:v>Source wording and option count preserved; no silent item-content revision during inventory build.</x:v>
      </x:c>
    </x:row>
    <x:row r="421">
      <x:c r="A421" s="88" t="str">
        <x:v>CTA-LCSW-MQB-0420</x:v>
      </x:c>
      <x:c r="B421" s="83" t="str">
        <x:v>LCSW-MQB-FB-VE-019</x:v>
      </x:c>
      <x:c r="C421" s="102" t="n">
        <x:v>46228</x:v>
      </x:c>
      <x:c r="D421" s="83" t="str">
        <x:v>Imported into LCSW master inventory</x:v>
      </x:c>
      <x:c r="E421" s="83" t="str">
        <x:v>LCSW 2026 Comprehensive Simulation Form B</x:v>
      </x:c>
      <x:c r="F421" s="83" t="str">
        <x:v>1.0</x:v>
      </x:c>
      <x:c r="G421" s="83" t="n">
        <x:v>1</x:v>
      </x:c>
      <x:c r="H421" s="83" t="str">
        <x:v>Clinical Training Academy</x:v>
      </x:c>
      <x:c r="I421" s="89" t="str">
        <x:v>Source wording and option count preserved; no silent item-content revision during inventory build.</x:v>
      </x:c>
    </x:row>
    <x:row r="422">
      <x:c r="A422" s="88" t="str">
        <x:v>CTA-LCSW-MQB-0421</x:v>
      </x:c>
      <x:c r="B422" s="83" t="str">
        <x:v>LCSW-MQB-FB-AP-021</x:v>
      </x:c>
      <x:c r="C422" s="102" t="n">
        <x:v>46228</x:v>
      </x:c>
      <x:c r="D422" s="83" t="str">
        <x:v>Imported into LCSW master inventory</x:v>
      </x:c>
      <x:c r="E422" s="83" t="str">
        <x:v>LCSW 2026 Comprehensive Simulation Form B</x:v>
      </x:c>
      <x:c r="F422" s="83" t="str">
        <x:v>1.0</x:v>
      </x:c>
      <x:c r="G422" s="83" t="n">
        <x:v>1</x:v>
      </x:c>
      <x:c r="H422" s="83" t="str">
        <x:v>Clinical Training Academy</x:v>
      </x:c>
      <x:c r="I422" s="89" t="str">
        <x:v>Source wording and option count preserved; no silent item-content revision during inventory build.</x:v>
      </x:c>
    </x:row>
    <x:row r="423">
      <x:c r="A423" s="88" t="str">
        <x:v>CTA-LCSW-MQB-0422</x:v>
      </x:c>
      <x:c r="B423" s="83" t="str">
        <x:v>LCSW-MQB-FB-IP-023</x:v>
      </x:c>
      <x:c r="C423" s="102" t="n">
        <x:v>46228</x:v>
      </x:c>
      <x:c r="D423" s="83" t="str">
        <x:v>Imported into LCSW master inventory</x:v>
      </x:c>
      <x:c r="E423" s="83" t="str">
        <x:v>LCSW 2026 Comprehensive Simulation Form B</x:v>
      </x:c>
      <x:c r="F423" s="83" t="str">
        <x:v>1.0</x:v>
      </x:c>
      <x:c r="G423" s="83" t="n">
        <x:v>1</x:v>
      </x:c>
      <x:c r="H423" s="83" t="str">
        <x:v>Clinical Training Academy</x:v>
      </x:c>
      <x:c r="I423" s="89" t="str">
        <x:v>Source wording and option count preserved; no silent item-content revision during inventory build.</x:v>
      </x:c>
    </x:row>
    <x:row r="424">
      <x:c r="A424" s="88" t="str">
        <x:v>CTA-LCSW-MQB-0423</x:v>
      </x:c>
      <x:c r="B424" s="83" t="str">
        <x:v>LCSW-MQB-FB-VE-006</x:v>
      </x:c>
      <x:c r="C424" s="102" t="n">
        <x:v>46228</x:v>
      </x:c>
      <x:c r="D424" s="83" t="str">
        <x:v>Imported into LCSW master inventory</x:v>
      </x:c>
      <x:c r="E424" s="83" t="str">
        <x:v>LCSW 2026 Comprehensive Simulation Form B</x:v>
      </x:c>
      <x:c r="F424" s="83" t="str">
        <x:v>1.0</x:v>
      </x:c>
      <x:c r="G424" s="83" t="n">
        <x:v>1</x:v>
      </x:c>
      <x:c r="H424" s="83" t="str">
        <x:v>Clinical Training Academy</x:v>
      </x:c>
      <x:c r="I424" s="89" t="str">
        <x:v>Source wording and option count preserved; no silent item-content revision during inventory build.</x:v>
      </x:c>
    </x:row>
    <x:row r="425">
      <x:c r="A425" s="88" t="str">
        <x:v>CTA-LCSW-MQB-0424</x:v>
      </x:c>
      <x:c r="B425" s="83" t="str">
        <x:v>LCSW-MQB-FB-IP-004</x:v>
      </x:c>
      <x:c r="C425" s="102" t="n">
        <x:v>46228</x:v>
      </x:c>
      <x:c r="D425" s="83" t="str">
        <x:v>Imported into LCSW master inventory</x:v>
      </x:c>
      <x:c r="E425" s="83" t="str">
        <x:v>LCSW 2026 Comprehensive Simulation Form B</x:v>
      </x:c>
      <x:c r="F425" s="83" t="str">
        <x:v>1.0</x:v>
      </x:c>
      <x:c r="G425" s="83" t="n">
        <x:v>1</x:v>
      </x:c>
      <x:c r="H425" s="83" t="str">
        <x:v>Clinical Training Academy</x:v>
      </x:c>
      <x:c r="I425" s="89" t="str">
        <x:v>Source wording and option count preserved; no silent item-content revision during inventory build.</x:v>
      </x:c>
    </x:row>
    <x:row r="426">
      <x:c r="A426" s="88" t="str">
        <x:v>CTA-LCSW-MQB-0425</x:v>
      </x:c>
      <x:c r="B426" s="83" t="str">
        <x:v>LCSW-MQB-FB-VE-037</x:v>
      </x:c>
      <x:c r="C426" s="102" t="n">
        <x:v>46228</x:v>
      </x:c>
      <x:c r="D426" s="83" t="str">
        <x:v>Imported into LCSW master inventory</x:v>
      </x:c>
      <x:c r="E426" s="83" t="str">
        <x:v>LCSW 2026 Comprehensive Simulation Form B</x:v>
      </x:c>
      <x:c r="F426" s="83" t="str">
        <x:v>1.0</x:v>
      </x:c>
      <x:c r="G426" s="83" t="n">
        <x:v>1</x:v>
      </x:c>
      <x:c r="H426" s="83" t="str">
        <x:v>Clinical Training Academy</x:v>
      </x:c>
      <x:c r="I426" s="89" t="str">
        <x:v>Source wording and option count preserved; no silent item-content revision during inventory build.</x:v>
      </x:c>
    </x:row>
    <x:row r="427">
      <x:c r="A427" s="88" t="str">
        <x:v>CTA-LCSW-MQB-0426</x:v>
      </x:c>
      <x:c r="B427" s="83" t="str">
        <x:v>LCSW-MQB-FB-IP-019</x:v>
      </x:c>
      <x:c r="C427" s="102" t="n">
        <x:v>46228</x:v>
      </x:c>
      <x:c r="D427" s="83" t="str">
        <x:v>Imported into LCSW master inventory</x:v>
      </x:c>
      <x:c r="E427" s="83" t="str">
        <x:v>LCSW 2026 Comprehensive Simulation Form B</x:v>
      </x:c>
      <x:c r="F427" s="83" t="str">
        <x:v>1.0</x:v>
      </x:c>
      <x:c r="G427" s="83" t="n">
        <x:v>1</x:v>
      </x:c>
      <x:c r="H427" s="83" t="str">
        <x:v>Clinical Training Academy</x:v>
      </x:c>
      <x:c r="I427" s="89" t="str">
        <x:v>Source wording and option count preserved; no silent item-content revision during inventory build.</x:v>
      </x:c>
    </x:row>
    <x:row r="428">
      <x:c r="A428" s="88" t="str">
        <x:v>CTA-LCSW-MQB-0427</x:v>
      </x:c>
      <x:c r="B428" s="83" t="str">
        <x:v>LCSW-MQB-FB-VE-016</x:v>
      </x:c>
      <x:c r="C428" s="102" t="n">
        <x:v>46228</x:v>
      </x:c>
      <x:c r="D428" s="83" t="str">
        <x:v>Imported into LCSW master inventory</x:v>
      </x:c>
      <x:c r="E428" s="83" t="str">
        <x:v>LCSW 2026 Comprehensive Simulation Form B</x:v>
      </x:c>
      <x:c r="F428" s="83" t="str">
        <x:v>1.0</x:v>
      </x:c>
      <x:c r="G428" s="83" t="n">
        <x:v>1</x:v>
      </x:c>
      <x:c r="H428" s="83" t="str">
        <x:v>Clinical Training Academy</x:v>
      </x:c>
      <x:c r="I428" s="89" t="str">
        <x:v>Source wording and option count preserved; no silent item-content revision during inventory build.</x:v>
      </x:c>
    </x:row>
    <x:row r="429">
      <x:c r="A429" s="88" t="str">
        <x:v>CTA-LCSW-MQB-0428</x:v>
      </x:c>
      <x:c r="B429" s="83" t="str">
        <x:v>LCSW-MQB-FB-AP-014</x:v>
      </x:c>
      <x:c r="C429" s="102" t="n">
        <x:v>46228</x:v>
      </x:c>
      <x:c r="D429" s="83" t="str">
        <x:v>Imported into LCSW master inventory</x:v>
      </x:c>
      <x:c r="E429" s="83" t="str">
        <x:v>LCSW 2026 Comprehensive Simulation Form B</x:v>
      </x:c>
      <x:c r="F429" s="83" t="str">
        <x:v>1.0</x:v>
      </x:c>
      <x:c r="G429" s="83" t="n">
        <x:v>1</x:v>
      </x:c>
      <x:c r="H429" s="83" t="str">
        <x:v>Clinical Training Academy</x:v>
      </x:c>
      <x:c r="I429" s="89" t="str">
        <x:v>Source wording and option count preserved; no silent item-content revision during inventory build.</x:v>
      </x:c>
    </x:row>
    <x:row r="430">
      <x:c r="A430" s="88" t="str">
        <x:v>CTA-LCSW-MQB-0429</x:v>
      </x:c>
      <x:c r="B430" s="83" t="str">
        <x:v>LCSW-MQB-FB-IP-035</x:v>
      </x:c>
      <x:c r="C430" s="102" t="n">
        <x:v>46228</x:v>
      </x:c>
      <x:c r="D430" s="83" t="str">
        <x:v>Imported into LCSW master inventory</x:v>
      </x:c>
      <x:c r="E430" s="83" t="str">
        <x:v>LCSW 2026 Comprehensive Simulation Form B</x:v>
      </x:c>
      <x:c r="F430" s="83" t="str">
        <x:v>1.0</x:v>
      </x:c>
      <x:c r="G430" s="83" t="n">
        <x:v>1</x:v>
      </x:c>
      <x:c r="H430" s="83" t="str">
        <x:v>Clinical Training Academy</x:v>
      </x:c>
      <x:c r="I430" s="89" t="str">
        <x:v>Source wording and option count preserved; no silent item-content revision during inventory build.</x:v>
      </x:c>
    </x:row>
    <x:row r="431">
      <x:c r="A431" s="88" t="str">
        <x:v>CTA-LCSW-MQB-0430</x:v>
      </x:c>
      <x:c r="B431" s="83" t="str">
        <x:v>LCSW-MQB-FB-IP-016</x:v>
      </x:c>
      <x:c r="C431" s="102" t="n">
        <x:v>46228</x:v>
      </x:c>
      <x:c r="D431" s="83" t="str">
        <x:v>Imported into LCSW master inventory</x:v>
      </x:c>
      <x:c r="E431" s="83" t="str">
        <x:v>LCSW 2026 Comprehensive Simulation Form B</x:v>
      </x:c>
      <x:c r="F431" s="83" t="str">
        <x:v>1.0</x:v>
      </x:c>
      <x:c r="G431" s="83" t="n">
        <x:v>1</x:v>
      </x:c>
      <x:c r="H431" s="83" t="str">
        <x:v>Clinical Training Academy</x:v>
      </x:c>
      <x:c r="I431" s="89" t="str">
        <x:v>Source wording and option count preserved; no silent item-content revision during inventory build.</x:v>
      </x:c>
    </x:row>
    <x:row r="432">
      <x:c r="A432" s="88" t="str">
        <x:v>CTA-LCSW-MQB-0431</x:v>
      </x:c>
      <x:c r="B432" s="83" t="str">
        <x:v>LCSW-MQB-FB-AP-006</x:v>
      </x:c>
      <x:c r="C432" s="102" t="n">
        <x:v>46228</x:v>
      </x:c>
      <x:c r="D432" s="83" t="str">
        <x:v>Imported into LCSW master inventory</x:v>
      </x:c>
      <x:c r="E432" s="83" t="str">
        <x:v>LCSW 2026 Comprehensive Simulation Form B</x:v>
      </x:c>
      <x:c r="F432" s="83" t="str">
        <x:v>1.0</x:v>
      </x:c>
      <x:c r="G432" s="83" t="n">
        <x:v>1</x:v>
      </x:c>
      <x:c r="H432" s="83" t="str">
        <x:v>Clinical Training Academy</x:v>
      </x:c>
      <x:c r="I432" s="89" t="str">
        <x:v>Source wording and option count preserved; no silent item-content revision during inventory build.</x:v>
      </x:c>
    </x:row>
    <x:row r="433">
      <x:c r="A433" s="88" t="str">
        <x:v>CTA-LCSW-MQB-0432</x:v>
      </x:c>
      <x:c r="B433" s="83" t="str">
        <x:v>LCSW-MQB-FB-IP-009</x:v>
      </x:c>
      <x:c r="C433" s="102" t="n">
        <x:v>46228</x:v>
      </x:c>
      <x:c r="D433" s="83" t="str">
        <x:v>Imported into LCSW master inventory</x:v>
      </x:c>
      <x:c r="E433" s="83" t="str">
        <x:v>LCSW 2026 Comprehensive Simulation Form B</x:v>
      </x:c>
      <x:c r="F433" s="83" t="str">
        <x:v>1.0</x:v>
      </x:c>
      <x:c r="G433" s="83" t="n">
        <x:v>1</x:v>
      </x:c>
      <x:c r="H433" s="83" t="str">
        <x:v>Clinical Training Academy</x:v>
      </x:c>
      <x:c r="I433" s="89" t="str">
        <x:v>Source wording and option count preserved; no silent item-content revision during inventory build.</x:v>
      </x:c>
    </x:row>
    <x:row r="434">
      <x:c r="A434" s="88" t="str">
        <x:v>CTA-LCSW-MQB-0433</x:v>
      </x:c>
      <x:c r="B434" s="83" t="str">
        <x:v>LCSW-MQB-FB-AP-029</x:v>
      </x:c>
      <x:c r="C434" s="102" t="n">
        <x:v>46228</x:v>
      </x:c>
      <x:c r="D434" s="83" t="str">
        <x:v>Imported into LCSW master inventory</x:v>
      </x:c>
      <x:c r="E434" s="83" t="str">
        <x:v>LCSW 2026 Comprehensive Simulation Form B</x:v>
      </x:c>
      <x:c r="F434" s="83" t="str">
        <x:v>1.0</x:v>
      </x:c>
      <x:c r="G434" s="83" t="n">
        <x:v>1</x:v>
      </x:c>
      <x:c r="H434" s="83" t="str">
        <x:v>Clinical Training Academy</x:v>
      </x:c>
      <x:c r="I434" s="89" t="str">
        <x:v>Source wording and option count preserved; no silent item-content revision during inventory build.</x:v>
      </x:c>
    </x:row>
    <x:row r="435">
      <x:c r="A435" s="88" t="str">
        <x:v>CTA-LCSW-MQB-0434</x:v>
      </x:c>
      <x:c r="B435" s="83" t="str">
        <x:v>LCSW-MQB-FB-VE-027</x:v>
      </x:c>
      <x:c r="C435" s="102" t="n">
        <x:v>46228</x:v>
      </x:c>
      <x:c r="D435" s="83" t="str">
        <x:v>Imported into LCSW master inventory</x:v>
      </x:c>
      <x:c r="E435" s="83" t="str">
        <x:v>LCSW 2026 Comprehensive Simulation Form B</x:v>
      </x:c>
      <x:c r="F435" s="83" t="str">
        <x:v>1.0</x:v>
      </x:c>
      <x:c r="G435" s="83" t="n">
        <x:v>1</x:v>
      </x:c>
      <x:c r="H435" s="83" t="str">
        <x:v>Clinical Training Academy</x:v>
      </x:c>
      <x:c r="I435" s="89" t="str">
        <x:v>Source wording and option count preserved; no silent item-content revision during inventory build.</x:v>
      </x:c>
    </x:row>
    <x:row r="436">
      <x:c r="A436" s="88" t="str">
        <x:v>CTA-LCSW-MQB-0435</x:v>
      </x:c>
      <x:c r="B436" s="83" t="str">
        <x:v>LCSW-MQB-FB-IP-030</x:v>
      </x:c>
      <x:c r="C436" s="102" t="n">
        <x:v>46228</x:v>
      </x:c>
      <x:c r="D436" s="83" t="str">
        <x:v>Imported into LCSW master inventory</x:v>
      </x:c>
      <x:c r="E436" s="83" t="str">
        <x:v>LCSW 2026 Comprehensive Simulation Form B</x:v>
      </x:c>
      <x:c r="F436" s="83" t="str">
        <x:v>1.0</x:v>
      </x:c>
      <x:c r="G436" s="83" t="n">
        <x:v>1</x:v>
      </x:c>
      <x:c r="H436" s="83" t="str">
        <x:v>Clinical Training Academy</x:v>
      </x:c>
      <x:c r="I436" s="89" t="str">
        <x:v>Source wording and option count preserved; no silent item-content revision during inventory build.</x:v>
      </x:c>
    </x:row>
    <x:row r="437">
      <x:c r="A437" s="88" t="str">
        <x:v>CTA-LCSW-MQB-0436</x:v>
      </x:c>
      <x:c r="B437" s="83" t="str">
        <x:v>LCSW-MQB-FB-AP-003</x:v>
      </x:c>
      <x:c r="C437" s="102" t="n">
        <x:v>46228</x:v>
      </x:c>
      <x:c r="D437" s="83" t="str">
        <x:v>Imported into LCSW master inventory</x:v>
      </x:c>
      <x:c r="E437" s="83" t="str">
        <x:v>LCSW 2026 Comprehensive Simulation Form B</x:v>
      </x:c>
      <x:c r="F437" s="83" t="str">
        <x:v>1.0</x:v>
      </x:c>
      <x:c r="G437" s="83" t="n">
        <x:v>1</x:v>
      </x:c>
      <x:c r="H437" s="83" t="str">
        <x:v>Clinical Training Academy</x:v>
      </x:c>
      <x:c r="I437" s="89" t="str">
        <x:v>Source wording and option count preserved; no silent item-content revision during inventory build.</x:v>
      </x:c>
    </x:row>
    <x:row r="438">
      <x:c r="A438" s="88" t="str">
        <x:v>CTA-LCSW-MQB-0437</x:v>
      </x:c>
      <x:c r="B438" s="83" t="str">
        <x:v>LCSW-MQB-FB-AP-032</x:v>
      </x:c>
      <x:c r="C438" s="102" t="n">
        <x:v>46228</x:v>
      </x:c>
      <x:c r="D438" s="83" t="str">
        <x:v>Imported into LCSW master inventory</x:v>
      </x:c>
      <x:c r="E438" s="83" t="str">
        <x:v>LCSW 2026 Comprehensive Simulation Form B</x:v>
      </x:c>
      <x:c r="F438" s="83" t="str">
        <x:v>1.0</x:v>
      </x:c>
      <x:c r="G438" s="83" t="n">
        <x:v>1</x:v>
      </x:c>
      <x:c r="H438" s="83" t="str">
        <x:v>Clinical Training Academy</x:v>
      </x:c>
      <x:c r="I438" s="89" t="str">
        <x:v>Source wording and option count preserved; no silent item-content revision during inventory build.</x:v>
      </x:c>
    </x:row>
    <x:row r="439">
      <x:c r="A439" s="88" t="str">
        <x:v>CTA-LCSW-MQB-0438</x:v>
      </x:c>
      <x:c r="B439" s="83" t="str">
        <x:v>LCSW-MQB-FB-VE-013</x:v>
      </x:c>
      <x:c r="C439" s="102" t="n">
        <x:v>46228</x:v>
      </x:c>
      <x:c r="D439" s="83" t="str">
        <x:v>Imported into LCSW master inventory</x:v>
      </x:c>
      <x:c r="E439" s="83" t="str">
        <x:v>LCSW 2026 Comprehensive Simulation Form B</x:v>
      </x:c>
      <x:c r="F439" s="83" t="str">
        <x:v>1.0</x:v>
      </x:c>
      <x:c r="G439" s="83" t="n">
        <x:v>1</x:v>
      </x:c>
      <x:c r="H439" s="83" t="str">
        <x:v>Clinical Training Academy</x:v>
      </x:c>
      <x:c r="I439" s="89" t="str">
        <x:v>Source wording and option count preserved; no silent item-content revision during inventory build.</x:v>
      </x:c>
    </x:row>
    <x:row r="440">
      <x:c r="A440" s="88" t="str">
        <x:v>CTA-LCSW-MQB-0439</x:v>
      </x:c>
      <x:c r="B440" s="83" t="str">
        <x:v>LCSW-MQB-FB-VE-021</x:v>
      </x:c>
      <x:c r="C440" s="102" t="n">
        <x:v>46228</x:v>
      </x:c>
      <x:c r="D440" s="83" t="str">
        <x:v>Imported into LCSW master inventory</x:v>
      </x:c>
      <x:c r="E440" s="83" t="str">
        <x:v>LCSW 2026 Comprehensive Simulation Form B</x:v>
      </x:c>
      <x:c r="F440" s="83" t="str">
        <x:v>1.0</x:v>
      </x:c>
      <x:c r="G440" s="83" t="n">
        <x:v>1</x:v>
      </x:c>
      <x:c r="H440" s="83" t="str">
        <x:v>Clinical Training Academy</x:v>
      </x:c>
      <x:c r="I440" s="89" t="str">
        <x:v>Source wording and option count preserved; no silent item-content revision during inventory build.</x:v>
      </x:c>
    </x:row>
    <x:row r="441">
      <x:c r="A441" s="88" t="str">
        <x:v>CTA-LCSW-MQB-0440</x:v>
      </x:c>
      <x:c r="B441" s="83" t="str">
        <x:v>LCSW-MQB-FB-AP-010</x:v>
      </x:c>
      <x:c r="C441" s="102" t="n">
        <x:v>46228</x:v>
      </x:c>
      <x:c r="D441" s="83" t="str">
        <x:v>Imported into LCSW master inventory</x:v>
      </x:c>
      <x:c r="E441" s="83" t="str">
        <x:v>LCSW 2026 Comprehensive Simulation Form B</x:v>
      </x:c>
      <x:c r="F441" s="83" t="str">
        <x:v>1.0</x:v>
      </x:c>
      <x:c r="G441" s="83" t="n">
        <x:v>1</x:v>
      </x:c>
      <x:c r="H441" s="83" t="str">
        <x:v>Clinical Training Academy</x:v>
      </x:c>
      <x:c r="I441" s="89" t="str">
        <x:v>Source wording and option count preserved; no silent item-content revision during inventory build.</x:v>
      </x:c>
    </x:row>
    <x:row r="442">
      <x:c r="A442" s="88" t="str">
        <x:v>CTA-LCSW-MQB-0441</x:v>
      </x:c>
      <x:c r="B442" s="83" t="str">
        <x:v>LCSW-MQB-FB-VE-012</x:v>
      </x:c>
      <x:c r="C442" s="102" t="n">
        <x:v>46228</x:v>
      </x:c>
      <x:c r="D442" s="83" t="str">
        <x:v>Imported into LCSW master inventory</x:v>
      </x:c>
      <x:c r="E442" s="83" t="str">
        <x:v>LCSW 2026 Comprehensive Simulation Form B</x:v>
      </x:c>
      <x:c r="F442" s="83" t="str">
        <x:v>1.0</x:v>
      </x:c>
      <x:c r="G442" s="83" t="n">
        <x:v>1</x:v>
      </x:c>
      <x:c r="H442" s="83" t="str">
        <x:v>Clinical Training Academy</x:v>
      </x:c>
      <x:c r="I442" s="89" t="str">
        <x:v>Source wording and option count preserved; no silent item-content revision during inventory build.</x:v>
      </x:c>
    </x:row>
    <x:row r="443">
      <x:c r="A443" s="88" t="str">
        <x:v>CTA-LCSW-MQB-0442</x:v>
      </x:c>
      <x:c r="B443" s="83" t="str">
        <x:v>LCSW-MQB-FB-AP-037</x:v>
      </x:c>
      <x:c r="C443" s="102" t="n">
        <x:v>46228</x:v>
      </x:c>
      <x:c r="D443" s="83" t="str">
        <x:v>Imported into LCSW master inventory</x:v>
      </x:c>
      <x:c r="E443" s="83" t="str">
        <x:v>LCSW 2026 Comprehensive Simulation Form B</x:v>
      </x:c>
      <x:c r="F443" s="83" t="str">
        <x:v>1.0</x:v>
      </x:c>
      <x:c r="G443" s="83" t="n">
        <x:v>1</x:v>
      </x:c>
      <x:c r="H443" s="83" t="str">
        <x:v>Clinical Training Academy</x:v>
      </x:c>
      <x:c r="I443" s="89" t="str">
        <x:v>Source wording and option count preserved; no silent item-content revision during inventory build.</x:v>
      </x:c>
    </x:row>
    <x:row r="444">
      <x:c r="A444" s="88" t="str">
        <x:v>CTA-LCSW-MQB-0443</x:v>
      </x:c>
      <x:c r="B444" s="83" t="str">
        <x:v>LCSW-MQB-FB-AP-013</x:v>
      </x:c>
      <x:c r="C444" s="102" t="n">
        <x:v>46228</x:v>
      </x:c>
      <x:c r="D444" s="83" t="str">
        <x:v>Imported into LCSW master inventory</x:v>
      </x:c>
      <x:c r="E444" s="83" t="str">
        <x:v>LCSW 2026 Comprehensive Simulation Form B</x:v>
      </x:c>
      <x:c r="F444" s="83" t="str">
        <x:v>1.0</x:v>
      </x:c>
      <x:c r="G444" s="83" t="n">
        <x:v>1</x:v>
      </x:c>
      <x:c r="H444" s="83" t="str">
        <x:v>Clinical Training Academy</x:v>
      </x:c>
      <x:c r="I444" s="89" t="str">
        <x:v>Source wording and option count preserved; no silent item-content revision during inventory build.</x:v>
      </x:c>
    </x:row>
    <x:row r="445">
      <x:c r="A445" s="88" t="str">
        <x:v>CTA-LCSW-MQB-0444</x:v>
      </x:c>
      <x:c r="B445" s="83" t="str">
        <x:v>LCSW-MQB-FB-VE-015</x:v>
      </x:c>
      <x:c r="C445" s="102" t="n">
        <x:v>46228</x:v>
      </x:c>
      <x:c r="D445" s="83" t="str">
        <x:v>Imported into LCSW master inventory</x:v>
      </x:c>
      <x:c r="E445" s="83" t="str">
        <x:v>LCSW 2026 Comprehensive Simulation Form B</x:v>
      </x:c>
      <x:c r="F445" s="83" t="str">
        <x:v>1.0</x:v>
      </x:c>
      <x:c r="G445" s="83" t="n">
        <x:v>1</x:v>
      </x:c>
      <x:c r="H445" s="83" t="str">
        <x:v>Clinical Training Academy</x:v>
      </x:c>
      <x:c r="I445" s="89" t="str">
        <x:v>Source wording and option count preserved; no silent item-content revision during inventory build.</x:v>
      </x:c>
    </x:row>
    <x:row r="446">
      <x:c r="A446" s="88" t="str">
        <x:v>CTA-LCSW-MQB-0445</x:v>
      </x:c>
      <x:c r="B446" s="83" t="str">
        <x:v>LCSW-MQB-FB-IP-038</x:v>
      </x:c>
      <x:c r="C446" s="102" t="n">
        <x:v>46228</x:v>
      </x:c>
      <x:c r="D446" s="83" t="str">
        <x:v>Imported into LCSW master inventory</x:v>
      </x:c>
      <x:c r="E446" s="83" t="str">
        <x:v>LCSW 2026 Comprehensive Simulation Form B</x:v>
      </x:c>
      <x:c r="F446" s="83" t="str">
        <x:v>1.0</x:v>
      </x:c>
      <x:c r="G446" s="83" t="n">
        <x:v>1</x:v>
      </x:c>
      <x:c r="H446" s="83" t="str">
        <x:v>Clinical Training Academy</x:v>
      </x:c>
      <x:c r="I446" s="89" t="str">
        <x:v>Source wording and option count preserved; no silent item-content revision during inventory build.</x:v>
      </x:c>
    </x:row>
    <x:row r="447">
      <x:c r="A447" s="88" t="str">
        <x:v>CTA-LCSW-MQB-0446</x:v>
      </x:c>
      <x:c r="B447" s="83" t="str">
        <x:v>LCSW-MQB-FB-IP-018</x:v>
      </x:c>
      <x:c r="C447" s="102" t="n">
        <x:v>46228</x:v>
      </x:c>
      <x:c r="D447" s="83" t="str">
        <x:v>Imported into LCSW master inventory</x:v>
      </x:c>
      <x:c r="E447" s="83" t="str">
        <x:v>LCSW 2026 Comprehensive Simulation Form B</x:v>
      </x:c>
      <x:c r="F447" s="83" t="str">
        <x:v>1.0</x:v>
      </x:c>
      <x:c r="G447" s="83" t="n">
        <x:v>1</x:v>
      </x:c>
      <x:c r="H447" s="83" t="str">
        <x:v>Clinical Training Academy</x:v>
      </x:c>
      <x:c r="I447" s="89" t="str">
        <x:v>Source wording and option count preserved; no silent item-content revision during inventory build.</x:v>
      </x:c>
    </x:row>
    <x:row r="448">
      <x:c r="A448" s="88" t="str">
        <x:v>CTA-LCSW-MQB-0447</x:v>
      </x:c>
      <x:c r="B448" s="83" t="str">
        <x:v>LCSW-MQB-FB-AP-015</x:v>
      </x:c>
      <x:c r="C448" s="102" t="n">
        <x:v>46228</x:v>
      </x:c>
      <x:c r="D448" s="83" t="str">
        <x:v>Imported into LCSW master inventory</x:v>
      </x:c>
      <x:c r="E448" s="83" t="str">
        <x:v>LCSW 2026 Comprehensive Simulation Form B</x:v>
      </x:c>
      <x:c r="F448" s="83" t="str">
        <x:v>1.0</x:v>
      </x:c>
      <x:c r="G448" s="83" t="n">
        <x:v>1</x:v>
      </x:c>
      <x:c r="H448" s="83" t="str">
        <x:v>Clinical Training Academy</x:v>
      </x:c>
      <x:c r="I448" s="89" t="str">
        <x:v>Source wording and option count preserved; no silent item-content revision during inventory build.</x:v>
      </x:c>
    </x:row>
    <x:row r="449">
      <x:c r="A449" s="90" t="str">
        <x:v>CTA-LCSW-MQB-0448</x:v>
      </x:c>
      <x:c r="B449" s="91" t="str">
        <x:v>LCSW-MQB-FB-IP-029</x:v>
      </x:c>
      <x:c r="C449" s="103" t="n">
        <x:v>46228</x:v>
      </x:c>
      <x:c r="D449" s="91" t="str">
        <x:v>Imported into LCSW master inventory</x:v>
      </x:c>
      <x:c r="E449" s="91" t="str">
        <x:v>LCSW 2026 Comprehensive Simulation Form B</x:v>
      </x:c>
      <x:c r="F449" s="91" t="str">
        <x:v>1.0</x:v>
      </x:c>
      <x:c r="G449" s="91" t="n">
        <x:v>1</x:v>
      </x:c>
      <x:c r="H449" s="91" t="str">
        <x:v>Clinical Training Academy</x:v>
      </x:c>
      <x:c r="I449" s="92" t="str">
        <x:v>Source wording and option count preserved; no silent item-content revision during inventory build.</x:v>
      </x:c>
    </x:row>
  </x:sheetData>
  <x:pageMargins left="0.7" right="0.7" top="0.75" bottom="0.75" header="0.3" footer="0.3"/>
  <x:tableParts count="1">
    <x:tablePart xmlns:r="http://schemas.openxmlformats.org/officeDocument/2006/relationships" r:id="Rfe761192d74d484d"/>
  </x:tableParts>
</x:worksheet>
</file>

<file path=xl/worksheets/sheet10.xml><?xml version="1.0" encoding="utf-8"?>
<x:worksheet xmlns:x="http://schemas.openxmlformats.org/spreadsheetml/2006/main">
  <x:sheetFormatPr defaultRowHeight="15"/>
  <x:cols>
    <x:col min="1" max="1" width="22" hidden="0" customWidth="1"/>
    <x:col min="2" max="2" width="30" hidden="0" customWidth="1"/>
    <x:col min="3" max="3" width="60" hidden="0" customWidth="1"/>
    <x:col min="4" max="4" width="56" hidden="0" customWidth="1"/>
  </x:cols>
  <x:sheetData>
    <x:row r="1">
      <x:c r="A1" s="5" t="str">
        <x:v>LCSW 2026 Master Question Bank Taxonomy and Controlled Lists</x:v>
      </x:c>
      <x:c r="B1" s="5"/>
      <x:c r="C1" s="5"/>
      <x:c r="D1" s="5"/>
    </x:row>
    <x:row r="3">
      <x:c r="A3" s="34" t="str">
        <x:v>Field / List</x:v>
      </x:c>
      <x:c r="B3" s="34" t="str">
        <x:v>Value</x:v>
      </x:c>
      <x:c r="C3" s="34" t="str">
        <x:v>Definition</x:v>
      </x:c>
      <x:c r="D3" s="34" t="str">
        <x:v>Use Note</x:v>
      </x:c>
    </x:row>
    <x:row r="4">
      <x:c r="A4" s="85" t="str">
        <x:v>Approval Status</x:v>
      </x:c>
      <x:c r="B4" s="86" t="str">
        <x:v>Approved</x:v>
      </x:c>
      <x:c r="C4" s="86" t="str">
        <x:v>Cleared for current controlled use.</x:v>
      </x:c>
      <x:c r="D4" s="87" t="str">
        <x:v>Re-review before material revision or new form placement.</x:v>
      </x:c>
    </x:row>
    <x:row r="5">
      <x:c r="A5" s="88" t="str">
        <x:v>Approval Status</x:v>
      </x:c>
      <x:c r="B5" s="83" t="str">
        <x:v>Revise</x:v>
      </x:c>
      <x:c r="C5" s="83" t="str">
        <x:v>Retain the concept but revise wording, distractors, rationale, option count, or metadata.</x:v>
      </x:c>
      <x:c r="D5" s="89" t="str">
        <x:v>Do not release until revision is approved.</x:v>
      </x:c>
    </x:row>
    <x:row r="6">
      <x:c r="A6" s="88" t="str">
        <x:v>Approval Status</x:v>
      </x:c>
      <x:c r="B6" s="83" t="str">
        <x:v>Hold</x:v>
      </x:c>
      <x:c r="C6" s="83" t="str">
        <x:v>Temporarily unavailable pending review.</x:v>
      </x:c>
      <x:c r="D6" s="89" t="str">
        <x:v>Use for clinical, legal, bias, option-format, or overlap questions.</x:v>
      </x:c>
    </x:row>
    <x:row r="7">
      <x:c r="A7" s="88" t="str">
        <x:v>Approval Status</x:v>
      </x:c>
      <x:c r="B7" s="83" t="str">
        <x:v>Retire</x:v>
      </x:c>
      <x:c r="C7" s="83" t="str">
        <x:v>Removed from active use while preserving history.</x:v>
      </x:c>
      <x:c r="D7" s="89" t="str">
        <x:v>Do not delete the historical record.</x:v>
      </x:c>
    </x:row>
    <x:row r="8">
      <x:c r="A8" s="88" t="str">
        <x:v>Item Status</x:v>
      </x:c>
      <x:c r="B8" s="83" t="str">
        <x:v>Active</x:v>
      </x:c>
      <x:c r="C8" s="83" t="str">
        <x:v>Currently published or eligible for controlled use.</x:v>
      </x:c>
      <x:c r="D8" s="89" t="str"/>
    </x:row>
    <x:row r="9">
      <x:c r="A9" s="88" t="str">
        <x:v>Item Status</x:v>
      </x:c>
      <x:c r="B9" s="83" t="str">
        <x:v>Reserve</x:v>
      </x:c>
      <x:c r="C9" s="83" t="str">
        <x:v>Not on a current released product but retained for future development.</x:v>
      </x:c>
      <x:c r="D9" s="89" t="str"/>
    </x:row>
    <x:row r="10">
      <x:c r="A10" s="88" t="str">
        <x:v>Item Status</x:v>
      </x:c>
      <x:c r="B10" s="83" t="str">
        <x:v>Retired</x:v>
      </x:c>
      <x:c r="C10" s="83" t="str">
        <x:v>Inactive and not eligible for reuse without formal reinstatement.</x:v>
      </x:c>
      <x:c r="D10" s="89" t="str"/>
    </x:row>
    <x:row r="11">
      <x:c r="A11" s="88" t="str">
        <x:v>CTA Status</x:v>
      </x:c>
      <x:c r="B11" s="83" t="str">
        <x:v>Workbook Bank</x:v>
      </x:c>
      <x:c r="C11" s="83" t="str">
        <x:v>One of the 17 items released with a student workbook.</x:v>
      </x:c>
      <x:c r="D11" s="89" t="str">
        <x:v>Five Easy, seven Moderate, five Difficult per workbook.</x:v>
      </x:c>
    </x:row>
    <x:row r="12">
      <x:c r="A12" s="88" t="str">
        <x:v>CTA Status</x:v>
      </x:c>
      <x:c r="B12" s="83" t="str">
        <x:v>Scored-Style</x:v>
      </x:c>
      <x:c r="C12" s="83" t="str">
        <x:v>Comprehensive-form item counted in CTA educational scoring.</x:v>
      </x:c>
      <x:c r="D12" s="89" t="str">
        <x:v>Not an official psychometric designation.</x:v>
      </x:c>
    </x:row>
    <x:row r="13">
      <x:c r="A13" s="88" t="str">
        <x:v>CTA Status</x:v>
      </x:c>
      <x:c r="B13" s="83" t="str">
        <x:v>Pretest-Style</x:v>
      </x:c>
      <x:c r="C13" s="83" t="str">
        <x:v>Comprehensive-form item excluded from CTA educational scoring.</x:v>
      </x:c>
      <x:c r="D13" s="89" t="str">
        <x:v>Never identify these items in the student exam.</x:v>
      </x:c>
    </x:row>
    <x:row r="14">
      <x:c r="A14" s="88" t="str">
        <x:v>Option Format</x:v>
      </x:c>
      <x:c r="B14" s="83" t="str">
        <x:v>3</x:v>
      </x:c>
      <x:c r="C14" s="83" t="str">
        <x:v>Question contains answer choices A, B, and C.</x:v>
      </x:c>
      <x:c r="D14" s="89" t="str">
        <x:v>Do not create a blank or artificial D option.</x:v>
      </x:c>
    </x:row>
    <x:row r="15">
      <x:c r="A15" s="88" t="str">
        <x:v>Option Format</x:v>
      </x:c>
      <x:c r="B15" s="83" t="str">
        <x:v>4</x:v>
      </x:c>
      <x:c r="C15" s="83" t="str">
        <x:v>Question contains answer choices A, B, C, and D.</x:v>
      </x:c>
      <x:c r="D15" s="89" t="str"/>
    </x:row>
    <x:row r="16">
      <x:c r="A16" s="88" t="str">
        <x:v>Overlap</x:v>
      </x:c>
      <x:c r="B16" s="83" t="str">
        <x:v>Alternate Form</x:v>
      </x:c>
      <x:c r="C16" s="83" t="str">
        <x:v>Parallel concept retained on a separate comprehensive form.</x:v>
      </x:c>
      <x:c r="D16" s="89" t="str">
        <x:v>Revise paired items together.</x:v>
      </x:c>
    </x:row>
    <x:row r="17">
      <x:c r="A17" s="88" t="str">
        <x:v>Overlap</x:v>
      </x:c>
      <x:c r="B17" s="83" t="str">
        <x:v>Review Candidate</x:v>
      </x:c>
      <x:c r="C17" s="83" t="str">
        <x:v>Similarity threshold indicates a manual comparison is needed.</x:v>
      </x:c>
      <x:c r="D17" s="89" t="str">
        <x:v>Do not auto-delete or auto-merge.</x:v>
      </x:c>
    </x:row>
    <x:row r="18">
      <x:c r="A18" s="88" t="str">
        <x:v>Difficulty</x:v>
      </x:c>
      <x:c r="B18" s="83" t="str">
        <x:v>Easy</x:v>
      </x:c>
      <x:c r="C18" s="83" t="str">
        <x:v>Foundational distinction or direct application.</x:v>
      </x:c>
      <x:c r="D18" s="89" t="str"/>
    </x:row>
    <x:row r="19">
      <x:c r="A19" s="88" t="str">
        <x:v>Difficulty</x:v>
      </x:c>
      <x:c r="B19" s="83" t="str">
        <x:v>Moderate</x:v>
      </x:c>
      <x:c r="C19" s="83" t="str">
        <x:v>Applied or scenario-based reasoning with plausible distractors.</x:v>
      </x:c>
      <x:c r="D19" s="89" t="str"/>
    </x:row>
    <x:row r="20">
      <x:c r="A20" s="88" t="str">
        <x:v>Difficulty</x:v>
      </x:c>
      <x:c r="B20" s="83" t="str">
        <x:v>Difficult</x:v>
      </x:c>
      <x:c r="C20" s="83" t="str">
        <x:v>Integrated reasoning, competing priorities, or complex sequencing.</x:v>
      </x:c>
      <x:c r="D20" s="89" t="str"/>
    </x:row>
    <x:row r="21">
      <x:c r="A21" s="88" t="str">
        <x:v>Reasoning</x:v>
      </x:c>
      <x:c r="B21" s="83" t="str">
        <x:v>Knowledge &amp; Recall</x:v>
      </x:c>
      <x:c r="C21" s="83" t="str">
        <x:v>Direct recognition of a concept, definition, or distinction.</x:v>
      </x:c>
      <x:c r="D21" s="89" t="str"/>
    </x:row>
    <x:row r="22">
      <x:c r="A22" s="88" t="str">
        <x:v>Reasoning</x:v>
      </x:c>
      <x:c r="B22" s="83" t="str">
        <x:v>Application</x:v>
      </x:c>
      <x:c r="C22" s="83" t="str">
        <x:v>Apply a concept to a bounded social-work situation.</x:v>
      </x:c>
      <x:c r="D22" s="89" t="str"/>
    </x:row>
    <x:row r="23">
      <x:c r="A23" s="88" t="str">
        <x:v>Reasoning</x:v>
      </x:c>
      <x:c r="B23" s="83" t="str">
        <x:v>Scenario-Based</x:v>
      </x:c>
      <x:c r="C23" s="83" t="str">
        <x:v>Use timing, role, ethics, safety, client system, or context in a vignette.</x:v>
      </x:c>
      <x:c r="D23" s="89" t="str"/>
    </x:row>
    <x:row r="24">
      <x:c r="A24" s="88" t="str">
        <x:v>Reasoning</x:v>
      </x:c>
      <x:c r="B24" s="83" t="str">
        <x:v>Integrated Clinical Reasoning</x:v>
      </x:c>
      <x:c r="C24" s="83" t="str">
        <x:v>Coordinate multiple clinical, ethical, systemic, or practice factors.</x:v>
      </x:c>
      <x:c r="D24" s="89" t="str"/>
    </x:row>
    <x:row r="25">
      <x:c r="A25" s="88" t="str">
        <x:v>Build Principle</x:v>
      </x:c>
      <x:c r="B25" s="83" t="str">
        <x:v>Source Preservation</x:v>
      </x:c>
      <x:c r="C25" s="83" t="str">
        <x:v>Original question wording, option count, rationales, and strategy are preserved.</x:v>
      </x:c>
      <x:c r="D25" s="89" t="str">
        <x:v>Inventory flags issues rather than silently correcting them.</x:v>
      </x:c>
    </x:row>
    <x:row r="26">
      <x:c r="A26" s="90" t="str">
        <x:v>Build Principle</x:v>
      </x:c>
      <x:c r="B26" s="91" t="str">
        <x:v>Accuracy Scope</x:v>
      </x:c>
      <x:c r="C26" s="91" t="str">
        <x:v>The inventory is a structural consolidation of approved source files.</x:v>
      </x:c>
      <x:c r="D26" s="92" t="str">
        <x:v>Current-content re-verification is tracked separately.</x:v>
      </x:c>
    </x:row>
  </x:sheetData>
  <x:mergeCells>
    <x:mergeCell ref="A1:D1"/>
  </x:mergeCells>
  <x:pageMargins left="0.7" right="0.7" top="0.75" bottom="0.75" header="0.3" footer="0.3"/>
</x:worksheet>
</file>