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8eab8d1bfd44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c173c09ca9d34de8"/>
    <x:sheet xmlns:r="http://schemas.openxmlformats.org/officeDocument/2006/relationships" name="File Manifest" sheetId="2" r:id="R11ace1e6fd9f46c3"/>
    <x:sheet xmlns:r="http://schemas.openxmlformats.org/officeDocument/2006/relationships" name="LMS Map" sheetId="3" r:id="Rfa4948f6ab134e6d"/>
    <x:sheet xmlns:r="http://schemas.openxmlformats.org/officeDocument/2006/relationships" name="Open Decisions" sheetId="4" r:id="Rafbe1b9547eb4f78"/>
    <x:sheet xmlns:r="http://schemas.openxmlformats.org/officeDocument/2006/relationships" name="Handoff Checklist" sheetId="5" r:id="Ra64cd0edf21d49da"/>
    <x:sheet xmlns:r="http://schemas.openxmlformats.org/officeDocument/2006/relationships" name="Sync Matrix" sheetId="6" r:id="Ra15af77da1794e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8">
    <x:font>
      <x:sz val="11"/>
      <x:name val="Carlito"/>
    </x:font>
    <x:font>
      <x:b/>
      <x:sz val="18"/>
      <x:color rgb="FFFFFFFF"/>
      <x:name val="Carlito"/>
    </x:font>
    <x:font>
      <x:b/>
      <x:sz val="10"/>
      <x:color rgb="FF13A89E"/>
      <x:name val="Carlito"/>
    </x:font>
    <x:font>
      <x:b/>
      <x:sz val="11"/>
      <x:color rgb="FFFFFFFF"/>
      <x:name val="Carlito"/>
    </x:font>
    <x:font>
      <x:sz val="9"/>
      <x:color rgb="FF0B2545"/>
      <x:name val="Carlito"/>
    </x:font>
    <x:font>
      <x:b/>
      <x:sz val="9"/>
      <x:color rgb="FF0B2545"/>
      <x:name val="Carlito"/>
    </x:font>
    <x:font>
      <x:b/>
      <x:sz val="11"/>
      <x:color rgb="FF9B1C1C"/>
      <x:name val="Carlito"/>
    </x:font>
    <x:font>
      <x:b/>
      <x:sz val="9"/>
      <x:color rgb="FF13A89E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F6F4"/>
      </x:patternFill>
    </x:fill>
    <x:fill>
      <x:patternFill patternType="solid">
        <x:fgColor rgb="FFFDECEC"/>
      </x:patternFill>
    </x:fill>
    <x:fill>
      <x:patternFill patternType="solid">
        <x:fgColor rgb="FFFFF7D6"/>
      </x:patternFill>
    </x:fill>
    <x:fill>
      <x:patternFill patternType="solid">
        <x:fgColor rgb="FFE8EEF5"/>
      </x:patternFill>
    </x:fill>
  </x:fills>
  <x:borders count="5">
    <x:border/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medium">
        <x:color rgb="FF9B1C1C"/>
      </x:left>
      <x:top style="medium">
        <x:color rgb="FF9B1C1C"/>
      </x:top>
      <x:bottom style="medium">
        <x:color rgb="FF9B1C1C"/>
      </x:bottom>
    </x:border>
    <x:border>
      <x:top style="medium">
        <x:color rgb="FF9B1C1C"/>
      </x:top>
      <x:bottom style="medium">
        <x:color rgb="FF9B1C1C"/>
      </x:bottom>
    </x:border>
    <x:border>
      <x:right style="medium">
        <x:color rgb="FF9B1C1C"/>
      </x:right>
      <x:top style="medium">
        <x:color rgb="FF9B1C1C"/>
      </x:top>
      <x:bottom style="medium">
        <x:color rgb="FF9B1C1C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200" fontId="4" fillId="0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2" xfId="0" applyNumberFormat="1" applyFont="1" applyFill="1" applyBorder="1"/>
    <x:xf numFmtId="0" fontId="6" fillId="4" borderId="3" xfId="0" applyNumberFormat="1" applyFont="1" applyFill="1" applyBorder="1"/>
    <x:xf numFmtId="0" fontId="6" fillId="4" borderId="4" xfId="0" applyNumberFormat="1" applyFont="1" applyFill="1" applyBorder="1"/>
    <x:xf numFmtId="0" fontId="6" fillId="4" borderId="2" xfId="0" applyNumberFormat="1" applyFont="1" applyFill="1" applyBorder="1" applyAlignment="1">
      <x:alignment wrapText="1"/>
    </x:xf>
    <x:xf numFmtId="0" fontId="6" fillId="4" borderId="3" xfId="0" applyNumberFormat="1" applyFont="1" applyFill="1" applyBorder="1" applyAlignment="1">
      <x:alignment wrapText="1"/>
    </x:xf>
    <x:xf numFmtId="0" fontId="6" fillId="4" borderId="4" xfId="0" applyNumberFormat="1" applyFont="1" applyFill="1" applyBorder="1" applyAlignment="1">
      <x:alignment wrapText="1"/>
    </x:xf>
    <x:xf numFmtId="0" fontId="6" fillId="4" borderId="2" xfId="0" applyNumberFormat="1" applyFont="1" applyFill="1" applyBorder="1" applyAlignment="1">
      <x:alignment vertical="center" wrapText="1"/>
    </x:xf>
    <x:xf numFmtId="0" fontId="6" fillId="4" borderId="3" xfId="0" applyNumberFormat="1" applyFont="1" applyFill="1" applyBorder="1" applyAlignment="1">
      <x:alignment vertical="center" wrapText="1"/>
    </x:xf>
    <x:xf numFmtId="0" fontId="6" fillId="4" borderId="4" xfId="0" applyNumberFormat="1" applyFont="1" applyFill="1" applyBorder="1" applyAlignment="1">
      <x:alignment vertical="center"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6" borderId="1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color rgb="FF7A5A00"/>
      </x:font>
      <x:fill>
        <x:patternFill>
          <x:bgColor rgb="FFFFF7D6"/>
        </x:patternFill>
      </x:fill>
    </x:dxf>
    <x:dxf>
      <x:font>
        <x:color rgb="FF9B1C1C"/>
      </x:font>
      <x:fill>
        <x:patternFill>
          <x:bgColor rgb="FFFDECEC"/>
        </x:patternFill>
      </x:fill>
    </x:dxf>
    <x:dxf>
      <x:font>
        <x:color rgb="FF7A5A00"/>
      </x:font>
      <x:fill>
        <x:patternFill>
          <x:bgColor rgb="FFFFF7D6"/>
        </x:patternFill>
      </x:fill>
    </x:dxf>
    <x:dxf>
      <x:font>
        <x:color rgb="FF216E39"/>
      </x:font>
      <x:fill>
        <x:patternFill>
          <x:bgColor rgb="FFE8F6F4"/>
        </x:patternFill>
      </x:fill>
    </x:dxf>
    <x:dxf>
      <x:font>
        <x:color rgb="FF9B1C1C"/>
      </x:font>
      <x:fill>
        <x:patternFill>
          <x:bgColor rgb="FFFDECEC"/>
        </x:patternFill>
      </x:fill>
    </x:dxf>
    <x:dxf>
      <x:font>
        <x:color rgb="FF216E39"/>
      </x:font>
      <x:fill>
        <x:patternFill>
          <x:bgColor rgb="FFE8F6F4"/>
        </x:patternFill>
      </x:fill>
    </x:dxf>
    <x:dxf>
      <x:font>
        <x:color rgb="FF9B1C1C"/>
      </x:font>
      <x:fill>
        <x:patternFill>
          <x:bgColor rgb="FFFDECEC"/>
        </x:patternFill>
      </x:fill>
    </x:dxf>
    <x:dxf>
      <x:font>
        <x:color rgb="FF7A5A00"/>
      </x:font>
      <x:fill>
        <x:patternFill>
          <x:bgColor rgb="FFFFF7D6"/>
        </x:patternFill>
      </x:fill>
    </x:dxf>
    <x:dxf>
      <x:font>
        <x:color rgb="FF216E39"/>
      </x:font>
      <x:fill>
        <x:patternFill>
          <x:bgColor rgb="FFE8F6F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6a666d63a44ee" /><Relationship Type="http://schemas.openxmlformats.org/officeDocument/2006/relationships/theme" Target="/xl/theme/theme1.xml" Id="R0f1c1403fe0b418e" /><Relationship Type="http://schemas.openxmlformats.org/officeDocument/2006/relationships/sharedStrings" Target="/xl/sharedStrings.xml" Id="Rfea603d74add4622" /><Relationship Type="http://schemas.openxmlformats.org/officeDocument/2006/relationships/worksheet" Target="/xl/worksheets/sheet1.xml" Id="Rc173c09ca9d34de8" /><Relationship Type="http://schemas.openxmlformats.org/officeDocument/2006/relationships/worksheet" Target="/xl/worksheets/sheet2.xml" Id="R11ace1e6fd9f46c3" /><Relationship Type="http://schemas.openxmlformats.org/officeDocument/2006/relationships/worksheet" Target="/xl/worksheets/sheet3.xml" Id="Rfa4948f6ab134e6d" /><Relationship Type="http://schemas.openxmlformats.org/officeDocument/2006/relationships/worksheet" Target="/xl/worksheets/sheet4.xml" Id="Rafbe1b9547eb4f78" /><Relationship Type="http://schemas.openxmlformats.org/officeDocument/2006/relationships/worksheet" Target="/xl/worksheets/sheet5.xml" Id="Ra64cd0edf21d49da" /><Relationship Type="http://schemas.openxmlformats.org/officeDocument/2006/relationships/worksheet" Target="/xl/worksheets/sheet6.xml" Id="Ra15af77da1794e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8" hidden="0" customWidth="1"/>
    <x:col min="3" max="3" width="42" hidden="0" customWidth="1"/>
    <x:col min="4" max="4" width="18" hidden="0" customWidth="1"/>
    <x:col min="5" max="5" width="24" hidden="0" customWidth="1"/>
    <x:col min="6" max="6" width="18" hidden="0" customWidth="1"/>
  </x:cols>
  <x:sheetData>
    <x:row r="1" ht="34" customHeight="1">
      <x:c r="A1" s="3" t="str">
        <x:v>CTA LMFT Law &amp; Ethics - Final Handoff Dashboard</x:v>
      </x:c>
      <x:c r="B1" s="3"/>
      <x:c r="C1" s="3"/>
      <x:c r="D1" s="3"/>
      <x:c r="E1" s="3"/>
      <x:c r="F1" s="3"/>
    </x:row>
    <x:row r="2" ht="30" customHeight="1">
      <x:c r="A2" s="7" t="str">
        <x:v>CTA-EP-001 | Six approved decisions applied | Public release remains blocked</x:v>
      </x:c>
      <x:c r="B2" s="7"/>
      <x:c r="C2" s="7"/>
      <x:c r="D2" s="7"/>
      <x:c r="E2" s="7"/>
      <x:c r="F2" s="7"/>
    </x:row>
    <x:row r="4" ht="32" customHeight="1">
      <x:c r="A4" s="11" t="str">
        <x:v>PROGRAM CONTROL</x:v>
      </x:c>
      <x:c r="B4" s="11" t="str">
        <x:v>CURRENT VALUE</x:v>
      </x:c>
    </x:row>
    <x:row r="5">
      <x:c r="A5" s="16" t="str">
        <x:v>Program</x:v>
      </x:c>
      <x:c r="B5" s="15" t="str">
        <x:v>CTA LMFT California Law &amp; Ethics Exam Preparation Program</x:v>
      </x:c>
    </x:row>
    <x:row r="6">
      <x:c r="A6" s="16" t="str">
        <x:v>Launch price</x:v>
      </x:c>
      <x:c r="B6" s="17" t="n">
        <x:v>199</x:v>
      </x:c>
    </x:row>
    <x:row r="7">
      <x:c r="A7" s="16" t="str">
        <x:v>Access</x:v>
      </x:c>
      <x:c r="B7" s="15" t="str">
        <x:v>Six months</x:v>
      </x:c>
    </x:row>
    <x:row r="8">
      <x:c r="A8" s="16" t="str">
        <x:v>Manifest records</x:v>
      </x:c>
      <x:c r="B8" s="15" t="n">
        <x:f>COUNTA('File Manifest'!A5:A74)</x:f>
        <x:v>70</x:v>
      </x:c>
    </x:row>
    <x:row r="9">
      <x:c r="A9" s="16" t="str">
        <x:v>Learner-file handoff</x:v>
      </x:c>
      <x:c r="B9" s="15" t="n">
        <x:f>COUNTIF('File Manifest'!D5:D74,"Include - learner files")</x:f>
        <x:v>35</x:v>
      </x:c>
    </x:row>
    <x:row r="10">
      <x:c r="A10" s="16" t="str">
        <x:v>Controlled-file handoff</x:v>
      </x:c>
      <x:c r="B10" s="15" t="n">
        <x:f>COUNTIF('File Manifest'!D5:D74,"Include - controlled files")</x:f>
        <x:v>13</x:v>
      </x:c>
    </x:row>
    <x:row r="11">
      <x:c r="A11" s="16" t="str">
        <x:v>Implementation-file handoff</x:v>
      </x:c>
      <x:c r="B11" s="15" t="n">
        <x:f>COUNTIF('File Manifest'!D5:D74,"Include - implementation files")</x:f>
        <x:v>11</x:v>
      </x:c>
    </x:row>
    <x:row r="12">
      <x:c r="A12" s="16" t="str">
        <x:v>Open approval decisions</x:v>
      </x:c>
      <x:c r="B12" s="15" t="n">
        <x:f>COUNTIF('Open Decisions'!$E$5:$E$10,"Open")</x:f>
        <x:v>0</x:v>
      </x:c>
    </x:row>
    <x:row r="13">
      <x:c r="A13" s="16" t="str">
        <x:v>Handoff status</x:v>
      </x:c>
      <x:c r="B13" s="15" t="str">
        <x:f>IF(B12=0,"READY FOR CANDICE HANDOFF REVIEW","NOT READY FOR HANDOFF")</x:f>
        <x:v>READY FOR CANDICE HANDOFF REVIEW</x:v>
      </x:c>
    </x:row>
    <x:row r="15" ht="42" customHeight="1">
      <x:c r="A15" s="26" t="str">
        <x:v>PUBLIC RELEASE: NOT APPROVED - PRIVATE STAGING, EVIDENCE, ROLLBACK VERIFICATION, AND CANDICE'S FINAL SIGN-OFF ARE STILL REQUIRED.</x:v>
      </x:c>
      <x:c r="B15" s="27"/>
      <x:c r="C15" s="27"/>
      <x:c r="D15" s="27"/>
      <x:c r="E15" s="27"/>
      <x:c r="F15" s="28"/>
    </x:row>
    <x:row r="17" ht="32" customHeight="1">
      <x:c r="A17" s="11" t="str">
        <x:v>REMAINING GATE</x:v>
      </x:c>
      <x:c r="B17" s="11" t="str">
        <x:v>OWNER</x:v>
      </x:c>
      <x:c r="C17" s="11" t="str">
        <x:v>WHY IT MATTERS</x:v>
      </x:c>
      <x:c r="D17" s="11" t="str">
        <x:v>CURRENT STATUS</x:v>
      </x:c>
      <x:c r="E17" s="11" t="str">
        <x:v>EVIDENCE</x:v>
      </x:c>
      <x:c r="F17" s="11" t="str">
        <x:v>BLOCKS HANDOFF?</x:v>
      </x:c>
    </x:row>
    <x:row r="18" ht="36" customHeight="1">
      <x:c r="A18" s="29" t="str">
        <x:v>Finalize LMFT module placement</x:v>
      </x:c>
      <x:c r="B18" s="29" t="str">
        <x:v>Candice / CTA</x:v>
      </x:c>
      <x:c r="C18" s="29" t="str">
        <x:v>Required sequence must be synchronized</x:v>
      </x:c>
      <x:c r="D18" s="29" t="str">
        <x:v>Complete</x:v>
      </x:c>
      <x:c r="E18" s="29" t="str">
        <x:v>Approved decision record</x:v>
      </x:c>
      <x:c r="F18" s="29" t="str">
        <x:v>No</x:v>
      </x:c>
    </x:row>
    <x:row r="19" ht="36" customHeight="1">
      <x:c r="A19" s="29" t="str">
        <x:v>Finalize Practice Act status files</x:v>
      </x:c>
      <x:c r="B19" s="29" t="str">
        <x:v>CTA Production</x:v>
      </x:c>
      <x:c r="C19" s="29" t="str">
        <x:v>Draft labels must not remain</x:v>
      </x:c>
      <x:c r="D19" s="29" t="str">
        <x:v>Complete</x:v>
      </x:c>
      <x:c r="E19" s="29" t="str">
        <x:v>Final internal v1.1 files</x:v>
      </x:c>
      <x:c r="F19" s="29" t="str">
        <x:v>No</x:v>
      </x:c>
    </x:row>
    <x:row r="20" ht="36" customHeight="1">
      <x:c r="A20" s="29" t="str">
        <x:v>Apply business and assessment rules</x:v>
      </x:c>
      <x:c r="B20" s="29" t="str">
        <x:v>Candice / CTA</x:v>
      </x:c>
      <x:c r="C20" s="29" t="str">
        <x:v>Public and LMS promises must be fixed</x:v>
      </x:c>
      <x:c r="D20" s="29" t="str">
        <x:v>Complete</x:v>
      </x:c>
      <x:c r="E20" s="29" t="str">
        <x:v>Approved v1.1 copy and controls</x:v>
      </x:c>
      <x:c r="F20" s="29" t="str">
        <x:v>No</x:v>
      </x:c>
    </x:row>
    <x:row r="21" ht="36" customHeight="1">
      <x:c r="A21" s="30" t="str">
        <x:v>Review assembled package for David</x:v>
      </x:c>
      <x:c r="B21" s="30" t="str">
        <x:v>Candice</x:v>
      </x:c>
      <x:c r="C21" s="30" t="str">
        <x:v>Final handoff approval is still required</x:v>
      </x:c>
      <x:c r="D21" s="30" t="str">
        <x:v>Pending Review</x:v>
      </x:c>
      <x:c r="E21" s="30" t="str">
        <x:v>Manifest and complete package</x:v>
      </x:c>
      <x:c r="F21" s="30" t="str">
        <x:v>Yes</x:v>
      </x:c>
    </x:row>
  </x:sheetData>
  <x:mergeCells>
    <x:mergeCell ref="A1:F1"/>
    <x:mergeCell ref="A2:F2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24" hidden="0" customWidth="1"/>
    <x:col min="4" max="4" width="28" hidden="0" customWidth="1"/>
    <x:col min="5" max="5" width="13" hidden="0" customWidth="1"/>
    <x:col min="6" max="6" width="54" hidden="0" customWidth="1"/>
    <x:col min="7" max="7" width="54" hidden="0" customWidth="1"/>
    <x:col min="8" max="8" width="28" hidden="0" customWidth="1"/>
    <x:col min="9" max="9" width="34" hidden="0" customWidth="1"/>
    <x:col min="10" max="10" width="42" hidden="0" customWidth="1"/>
  </x:cols>
  <x:sheetData>
    <x:row r="1" ht="34" customHeight="1">
      <x:c r="A1" s="3" t="str">
        <x:v>File-Level Handoff Manifest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0" customHeight="1">
      <x:c r="A2" s="7" t="str">
        <x:v>70 current and required records | Parenthetical upload suffixes are removed from public display names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2" customHeight="1">
      <x:c r="A4" s="11" t="str">
        <x:v>ID</x:v>
      </x:c>
      <x:c r="B4" s="11" t="str">
        <x:v>Category</x:v>
      </x:c>
      <x:c r="C4" s="11" t="str">
        <x:v>Access Class</x:v>
      </x:c>
      <x:c r="D4" s="11" t="str">
        <x:v>Handoff Scope</x:v>
      </x:c>
      <x:c r="E4" s="11" t="str">
        <x:v>LMS Unit</x:v>
      </x:c>
      <x:c r="F4" s="11" t="str">
        <x:v>Source Filename</x:v>
      </x:c>
      <x:c r="G4" s="11" t="str">
        <x:v>Release Filename</x:v>
      </x:c>
      <x:c r="H4" s="11" t="str">
        <x:v>Library ID</x:v>
      </x:c>
      <x:c r="I4" s="11" t="str">
        <x:v>Status</x:v>
      </x:c>
      <x:c r="J4" s="11" t="str">
        <x:v>Control Note</x:v>
      </x:c>
    </x:row>
    <x:row r="5">
      <x:c r="A5" s="31" t="str">
        <x:v>F-001</x:v>
      </x:c>
      <x:c r="B5" s="15" t="str">
        <x:v>Flashcard Learner Resource</x:v>
      </x:c>
      <x:c r="C5" s="15" t="str">
        <x:v>Enrolled Learner</x:v>
      </x:c>
      <x:c r="D5" s="15" t="str">
        <x:v>Include - learner files</x:v>
      </x:c>
      <x:c r="E5" s="15" t="str">
        <x:v>14</x:v>
      </x:c>
      <x:c r="F5" s="15" t="str">
        <x:v>CTA_LMFT_Law_and_Ethics_EP_Master_Flashcard_Study_Center_v1.1.html</x:v>
      </x:c>
      <x:c r="G5" s="15" t="str">
        <x:v>CTA_LMFT_Law_and_Ethics_EP_Master_Flashcard_Study_Center_v1.1.html</x:v>
      </x:c>
      <x:c r="H5" s="15" t="str">
        <x:v>libfile_72ec99ca2a648191bb302a50a132a3b3</x:v>
      </x:c>
      <x:c r="I5" s="15" t="str">
        <x:v>807-card QA complete</x:v>
      </x:c>
      <x:c r="J5" s="15" t="str">
        <x:v>No source IDs or difficulty metadata in learner formats.</x:v>
      </x:c>
    </x:row>
    <x:row r="6">
      <x:c r="A6" s="31" t="str">
        <x:v>F-002</x:v>
      </x:c>
      <x:c r="B6" s="15" t="str">
        <x:v>Flashcard Internal Control</x:v>
      </x:c>
      <x:c r="C6" s="15" t="str">
        <x:v>CTA Admin / Implementer</x:v>
      </x:c>
      <x:c r="D6" s="15" t="str">
        <x:v>Include - implementation files</x:v>
      </x:c>
      <x:c r="E6" s="15" t="str">
        <x:v>14</x:v>
      </x:c>
      <x:c r="F6" s="15" t="str">
        <x:v>CTA_LMFT_Law_and_Ethics_EP_Flashcard_Verification_and_Release_Control_v1.0.docx</x:v>
      </x:c>
      <x:c r="G6" s="15" t="str">
        <x:v>CTA_LMFT_Law_and_Ethics_EP_Flashcard_Verification_and_Release_Control_v1.0.docx</x:v>
      </x:c>
      <x:c r="H6" s="15" t="str">
        <x:v>libfile_8fe121c08b388191b4745a6cb405da56</x:v>
      </x:c>
      <x:c r="I6" s="15" t="str">
        <x:v>Internal QA complete</x:v>
      </x:c>
      <x:c r="J6" s="15" t="str">
        <x:v>Deployment/control file; never public.</x:v>
      </x:c>
    </x:row>
    <x:row r="7">
      <x:c r="A7" s="31" t="str">
        <x:v>F-003</x:v>
      </x:c>
      <x:c r="B7" s="15" t="str">
        <x:v>Flashcard Learner Resource</x:v>
      </x:c>
      <x:c r="C7" s="15" t="str">
        <x:v>Enrolled Learner</x:v>
      </x:c>
      <x:c r="D7" s="15" t="str">
        <x:v>Include - learner files</x:v>
      </x:c>
      <x:c r="E7" s="15" t="str">
        <x:v>14</x:v>
      </x:c>
      <x:c r="F7" s="15" t="str">
        <x:v>CTA_LMFT_Law_and_Ethics_EP_Master_Flashcard_Library_Printable_Duplex_Cut_Apart_v1.1.docx</x:v>
      </x:c>
      <x:c r="G7" s="15" t="str">
        <x:v>CTA_LMFT_Law_and_Ethics_EP_Master_Flashcard_Library_Printable_Duplex_Cut_Apart_v1.1.docx</x:v>
      </x:c>
      <x:c r="H7" s="15" t="str">
        <x:v>libfile_ac6ed68f77c08191a8d71f768f159fae</x:v>
      </x:c>
      <x:c r="I7" s="15" t="str">
        <x:v>807-card QA complete</x:v>
      </x:c>
      <x:c r="J7" s="15" t="str">
        <x:v>No source IDs or difficulty metadata in learner formats.</x:v>
      </x:c>
    </x:row>
    <x:row r="8">
      <x:c r="A8" s="31" t="str">
        <x:v>F-004</x:v>
      </x:c>
      <x:c r="B8" s="15" t="str">
        <x:v>Flashcard Internal Control</x:v>
      </x:c>
      <x:c r="C8" s="15" t="str">
        <x:v>CTA Admin / Implementer</x:v>
      </x:c>
      <x:c r="D8" s="15" t="str">
        <x:v>Include - implementation files</x:v>
      </x:c>
      <x:c r="E8" s="15" t="str">
        <x:v>14</x:v>
      </x:c>
      <x:c r="F8" s="15" t="str">
        <x:v>CTA_LMFT_Law_and_Ethics_EP_Master_Flashcard_Library_Internal_Deployment_v1.1.json</x:v>
      </x:c>
      <x:c r="G8" s="15" t="str">
        <x:v>CTA_LMFT_Law_and_Ethics_EP_Master_Flashcard_Library_Internal_Deployment_v1.1.json</x:v>
      </x:c>
      <x:c r="H8" s="15" t="str">
        <x:v>libfile_e77a043db904819196ceda68da17503c</x:v>
      </x:c>
      <x:c r="I8" s="15" t="str">
        <x:v>Internal QA complete</x:v>
      </x:c>
      <x:c r="J8" s="15" t="str">
        <x:v>Deployment/control file; never public.</x:v>
      </x:c>
    </x:row>
    <x:row r="9">
      <x:c r="A9" s="31" t="str">
        <x:v>F-005</x:v>
      </x:c>
      <x:c r="B9" s="15" t="str">
        <x:v>Flashcard Learner Resource</x:v>
      </x:c>
      <x:c r="C9" s="15" t="str">
        <x:v>Enrolled Learner</x:v>
      </x:c>
      <x:c r="D9" s="15" t="str">
        <x:v>Include - learner files</x:v>
      </x:c>
      <x:c r="E9" s="15" t="str">
        <x:v>14</x:v>
      </x:c>
      <x:c r="F9" s="15" t="str">
        <x:v>CTA_LMFT_Law_and_Ethics_EP_Master_Flashcard_Library_Printable_Single_Sided_Study_Edition_v1.1.docx</x:v>
      </x:c>
      <x:c r="G9" s="15" t="str">
        <x:v>CTA_LMFT_Law_and_Ethics_EP_Master_Flashcard_Library_Printable_Single_Sided_Study_Edition_v1.1.docx</x:v>
      </x:c>
      <x:c r="H9" s="15" t="str">
        <x:v>libfile_e7568ca05b9c8191aac295528198b558</x:v>
      </x:c>
      <x:c r="I9" s="15" t="str">
        <x:v>807-card QA complete</x:v>
      </x:c>
      <x:c r="J9" s="15" t="str">
        <x:v>No source IDs or difficulty metadata in learner formats.</x:v>
      </x:c>
    </x:row>
    <x:row r="10">
      <x:c r="A10" s="31" t="str">
        <x:v>F-006</x:v>
      </x:c>
      <x:c r="B10" s="15" t="str">
        <x:v>Flashcard Internal Control</x:v>
      </x:c>
      <x:c r="C10" s="15" t="str">
        <x:v>CTA Admin / Implementer</x:v>
      </x:c>
      <x:c r="D10" s="15" t="str">
        <x:v>Include - implementation files</x:v>
      </x:c>
      <x:c r="E10" s="15" t="str">
        <x:v>14</x:v>
      </x:c>
      <x:c r="F10" s="15" t="str">
        <x:v>CTA_LMFT_Law_and_Ethics_EP_Master_Flashcard_Library_Internal_LMS_Import_v1.1.csv</x:v>
      </x:c>
      <x:c r="G10" s="15" t="str">
        <x:v>CTA_LMFT_Law_and_Ethics_EP_Master_Flashcard_Library_Internal_LMS_Import_v1.1.csv</x:v>
      </x:c>
      <x:c r="H10" s="15" t="str">
        <x:v>libfile_ba092bec607c8191836be33f894373aa</x:v>
      </x:c>
      <x:c r="I10" s="15" t="str">
        <x:v>Internal QA complete</x:v>
      </x:c>
      <x:c r="J10" s="15" t="str">
        <x:v>Deployment/control file; never public.</x:v>
      </x:c>
    </x:row>
    <x:row r="11">
      <x:c r="A11" s="31" t="str">
        <x:v>F-007</x:v>
      </x:c>
      <x:c r="B11" s="15" t="str">
        <x:v>Flashcard Internal Control</x:v>
      </x:c>
      <x:c r="C11" s="15" t="str">
        <x:v>CTA Admin / Implementer</x:v>
      </x:c>
      <x:c r="D11" s="15" t="str">
        <x:v>Include - implementation files</x:v>
      </x:c>
      <x:c r="E11" s="15" t="str">
        <x:v>14</x:v>
      </x:c>
      <x:c r="F11" s="15" t="str">
        <x:v>CTA_LMFT_Law_and_Ethics_EP_Master_Flashcard_Library_Internal_Control_v1.1.xlsx</x:v>
      </x:c>
      <x:c r="G11" s="15" t="str">
        <x:v>CTA_LMFT_Law_and_Ethics_EP_Master_Flashcard_Library_Internal_Control_v1.1.xlsx</x:v>
      </x:c>
      <x:c r="H11" s="15" t="str">
        <x:v>libfile_2e36817eba488191a56293f42c12e8b2</x:v>
      </x:c>
      <x:c r="I11" s="15" t="str">
        <x:v>Internal QA complete</x:v>
      </x:c>
      <x:c r="J11" s="15" t="str">
        <x:v>Deployment/control file; never public.</x:v>
      </x:c>
    </x:row>
    <x:row r="12">
      <x:c r="A12" s="31" t="str">
        <x:v>F-008</x:v>
      </x:c>
      <x:c r="B12" s="15" t="str">
        <x:v>Performance Worksheet</x:v>
      </x:c>
      <x:c r="C12" s="15" t="str">
        <x:v>Post-Attempt Learner</x:v>
      </x:c>
      <x:c r="D12" s="15" t="str">
        <x:v>Include - learner files</x:v>
      </x:c>
      <x:c r="E12" s="15" t="str">
        <x:v>13</x:v>
      </x:c>
      <x:c r="F12" s="15" t="str">
        <x:v>CTA_LMFT_Law_and_Ethics_EP_Comprehensive_Final_Examination_Performance_Analysis_and_Targeted_Study_Worksheet_v1.0.docx</x:v>
      </x:c>
      <x:c r="G12" s="15" t="str">
        <x:v>CTA_LMFT_Law_and_Ethics_EP_Comprehensive_Final_Examination_Performance_Analysis_and_Targeted_Study_Worksheet_v1.0.docx</x:v>
      </x:c>
      <x:c r="H12" s="15" t="str">
        <x:v>libfile_dcfaed2fe9f88191b753e4acc92b2bc2</x:v>
      </x:c>
      <x:c r="I12" s="15" t="str">
        <x:v>Content QA complete</x:v>
      </x:c>
      <x:c r="J12" s="15" t="str">
        <x:v>Release with matching post-attempt review.</x:v>
      </x:c>
    </x:row>
    <x:row r="13">
      <x:c r="A13" s="31" t="str">
        <x:v>F-009</x:v>
      </x:c>
      <x:c r="B13" s="15" t="str">
        <x:v>Cumulative Controlled Review</x:v>
      </x:c>
      <x:c r="C13" s="15" t="str">
        <x:v>Post-Attempt / CTA Admin</x:v>
      </x:c>
      <x:c r="D13" s="15" t="str">
        <x:v>Include - controlled files</x:v>
      </x:c>
      <x:c r="E13" s="15" t="str">
        <x:v>13</x:v>
      </x:c>
      <x:c r="F13" s="15" t="str">
        <x:v>CTA_LMFT_Law_and_Ethics_EP_Comprehensive_Final_Examination_Controlled_Answer_Key_and_Detailed_Rationales_v1.0.docx</x:v>
      </x:c>
      <x:c r="G13" s="15" t="str">
        <x:v>CTA_LMFT_Law_and_Ethics_EP_Comprehensive_Final_Examination_Controlled_Answer_Key_and_Detailed_Rationales_v1.0.docx</x:v>
      </x:c>
      <x:c r="H13" s="15" t="str">
        <x:v>libfile_3f9c1957c424819194c8b66ff48bd3e8</x:v>
      </x:c>
      <x:c r="I13" s="15" t="str">
        <x:v>Content QA complete</x:v>
      </x:c>
      <x:c r="J13" s="15" t="str">
        <x:v>Gate after submission.</x:v>
      </x:c>
    </x:row>
    <x:row r="14">
      <x:c r="A14" s="31" t="str">
        <x:v>F-010</x:v>
      </x:c>
      <x:c r="B14" s="15" t="str">
        <x:v>Cumulative Learner Exam</x:v>
      </x:c>
      <x:c r="C14" s="15" t="str">
        <x:v>Enrolled Learner</x:v>
      </x:c>
      <x:c r="D14" s="15" t="str">
        <x:v>Include - learner files</x:v>
      </x:c>
      <x:c r="E14" s="15" t="str">
        <x:v>13</x:v>
      </x:c>
      <x:c r="F14" s="15" t="str">
        <x:v>CTA_LMFT_Law_and_Ethics_EP_Comprehensive_Final_Examination_Learner_Booklet_v1.0.docx</x:v>
      </x:c>
      <x:c r="G14" s="15" t="str">
        <x:v>CTA_LMFT_Law_and_Ethics_EP_Comprehensive_Final_Examination_Learner_Booklet_v1.0.docx</x:v>
      </x:c>
      <x:c r="H14" s="15" t="str">
        <x:v>libfile_5f1f31025908819181d83092272e2b07</x:v>
      </x:c>
      <x:c r="I14" s="15" t="str">
        <x:v>Content QA complete</x:v>
      </x:c>
      <x:c r="J14" s="15" t="str">
        <x:v>Answer-hidden learner form.</x:v>
      </x:c>
    </x:row>
    <x:row r="15">
      <x:c r="A15" s="31" t="str">
        <x:v>F-011</x:v>
      </x:c>
      <x:c r="B15" s="15" t="str">
        <x:v>Performance Worksheet</x:v>
      </x:c>
      <x:c r="C15" s="15" t="str">
        <x:v>Post-Attempt Learner</x:v>
      </x:c>
      <x:c r="D15" s="15" t="str">
        <x:v>Include - learner files</x:v>
      </x:c>
      <x:c r="E15" s="15" t="str">
        <x:v>12</x:v>
      </x:c>
      <x:c r="F15" s="15" t="str">
        <x:v>CTA_LMFT_Law_and_Ethics_EP_Practice_Examination_B_Performance_Analysis_and_Targeted_Study_Worksheet_v1.0.docx</x:v>
      </x:c>
      <x:c r="G15" s="15" t="str">
        <x:v>CTA_LMFT_Law_and_Ethics_EP_Practice_Examination_B_Performance_Analysis_and_Targeted_Study_Worksheet_v1.0.docx</x:v>
      </x:c>
      <x:c r="H15" s="15" t="str">
        <x:v>libfile_2e2952e826a481919c446f4d5d8fa032</x:v>
      </x:c>
      <x:c r="I15" s="15" t="str">
        <x:v>Content QA complete</x:v>
      </x:c>
      <x:c r="J15" s="15" t="str">
        <x:v>Release with matching post-attempt review.</x:v>
      </x:c>
    </x:row>
    <x:row r="16">
      <x:c r="A16" s="31" t="str">
        <x:v>F-012</x:v>
      </x:c>
      <x:c r="B16" s="15" t="str">
        <x:v>Cumulative Controlled Review</x:v>
      </x:c>
      <x:c r="C16" s="15" t="str">
        <x:v>Post-Attempt / CTA Admin</x:v>
      </x:c>
      <x:c r="D16" s="15" t="str">
        <x:v>Include - controlled files</x:v>
      </x:c>
      <x:c r="E16" s="15" t="str">
        <x:v>12</x:v>
      </x:c>
      <x:c r="F16" s="15" t="str">
        <x:v>CTA_LMFT_Law_and_Ethics_EP_Practice_Examination_B_Controlled_Answer_Key_and_Detailed_Rationales_v1.0.docx</x:v>
      </x:c>
      <x:c r="G16" s="15" t="str">
        <x:v>CTA_LMFT_Law_and_Ethics_EP_Practice_Examination_B_Controlled_Answer_Key_and_Detailed_Rationales_v1.0.docx</x:v>
      </x:c>
      <x:c r="H16" s="15" t="str">
        <x:v>libfile_c057f457af0481918cc66ce5bd7d7366</x:v>
      </x:c>
      <x:c r="I16" s="15" t="str">
        <x:v>Content QA complete</x:v>
      </x:c>
      <x:c r="J16" s="15" t="str">
        <x:v>Gate after submission.</x:v>
      </x:c>
    </x:row>
    <x:row r="17">
      <x:c r="A17" s="31" t="str">
        <x:v>F-013</x:v>
      </x:c>
      <x:c r="B17" s="15" t="str">
        <x:v>Cumulative Learner Exam</x:v>
      </x:c>
      <x:c r="C17" s="15" t="str">
        <x:v>Enrolled Learner</x:v>
      </x:c>
      <x:c r="D17" s="15" t="str">
        <x:v>Include - learner files</x:v>
      </x:c>
      <x:c r="E17" s="15" t="str">
        <x:v>12</x:v>
      </x:c>
      <x:c r="F17" s="15" t="str">
        <x:v>CTA_LMFT_Law_and_Ethics_EP_Practice_Examination_B_Learner_Booklet_v1.0.docx</x:v>
      </x:c>
      <x:c r="G17" s="15" t="str">
        <x:v>CTA_LMFT_Law_and_Ethics_EP_Practice_Examination_B_Learner_Booklet_v1.0.docx</x:v>
      </x:c>
      <x:c r="H17" s="15" t="str">
        <x:v>libfile_39385c1b5a2c8191aae21a1094a7a32b</x:v>
      </x:c>
      <x:c r="I17" s="15" t="str">
        <x:v>Content QA complete</x:v>
      </x:c>
      <x:c r="J17" s="15" t="str">
        <x:v>Answer-hidden learner form.</x:v>
      </x:c>
    </x:row>
    <x:row r="18">
      <x:c r="A18" s="31" t="str">
        <x:v>F-014</x:v>
      </x:c>
      <x:c r="B18" s="15" t="str">
        <x:v>Performance Worksheet</x:v>
      </x:c>
      <x:c r="C18" s="15" t="str">
        <x:v>Post-Attempt Learner</x:v>
      </x:c>
      <x:c r="D18" s="15" t="str">
        <x:v>Include - learner files</x:v>
      </x:c>
      <x:c r="E18" s="15" t="str">
        <x:v>11</x:v>
      </x:c>
      <x:c r="F18" s="15" t="str">
        <x:v>CTA_LMFT_Law_and_Ethics_EP_Practice_Examination_A_Performance_Analysis_and_Targeted_Study_Worksheet_v1.0.docx</x:v>
      </x:c>
      <x:c r="G18" s="15" t="str">
        <x:v>CTA_LMFT_Law_and_Ethics_EP_Practice_Examination_A_Performance_Analysis_and_Targeted_Study_Worksheet_v1.0.docx</x:v>
      </x:c>
      <x:c r="H18" s="15" t="str">
        <x:v>libfile_4792fee2adac81919ca7593bb389ef92</x:v>
      </x:c>
      <x:c r="I18" s="15" t="str">
        <x:v>Content QA complete</x:v>
      </x:c>
      <x:c r="J18" s="15" t="str">
        <x:v>Release with matching post-attempt review.</x:v>
      </x:c>
    </x:row>
    <x:row r="19">
      <x:c r="A19" s="31" t="str">
        <x:v>F-015</x:v>
      </x:c>
      <x:c r="B19" s="15" t="str">
        <x:v>Cumulative Controlled Review</x:v>
      </x:c>
      <x:c r="C19" s="15" t="str">
        <x:v>Post-Attempt / CTA Admin</x:v>
      </x:c>
      <x:c r="D19" s="15" t="str">
        <x:v>Include - controlled files</x:v>
      </x:c>
      <x:c r="E19" s="15" t="str">
        <x:v>11</x:v>
      </x:c>
      <x:c r="F19" s="15" t="str">
        <x:v>CTA_LMFT_Law_and_Ethics_EP_Practice_Examination_A_Controlled_Answer_Key_and_Detailed_Rationales_v1.0.docx</x:v>
      </x:c>
      <x:c r="G19" s="15" t="str">
        <x:v>CTA_LMFT_Law_and_Ethics_EP_Practice_Examination_A_Controlled_Answer_Key_and_Detailed_Rationales_v1.0.docx</x:v>
      </x:c>
      <x:c r="H19" s="15" t="str">
        <x:v>libfile_a323234de2448191ae2ba8ca8a57e3bd</x:v>
      </x:c>
      <x:c r="I19" s="15" t="str">
        <x:v>Content QA complete</x:v>
      </x:c>
      <x:c r="J19" s="15" t="str">
        <x:v>Gate after submission.</x:v>
      </x:c>
    </x:row>
    <x:row r="20">
      <x:c r="A20" s="31" t="str">
        <x:v>F-016</x:v>
      </x:c>
      <x:c r="B20" s="15" t="str">
        <x:v>Cumulative Learner Exam</x:v>
      </x:c>
      <x:c r="C20" s="15" t="str">
        <x:v>Enrolled Learner</x:v>
      </x:c>
      <x:c r="D20" s="15" t="str">
        <x:v>Include - learner files</x:v>
      </x:c>
      <x:c r="E20" s="15" t="str">
        <x:v>11</x:v>
      </x:c>
      <x:c r="F20" s="15" t="str">
        <x:v>CTA_LMFT_Law_and_Ethics_EP_Practice_Examination_A_Learner_Booklet_v1.0.docx</x:v>
      </x:c>
      <x:c r="G20" s="15" t="str">
        <x:v>CTA_LMFT_Law_and_Ethics_EP_Practice_Examination_A_Learner_Booklet_v1.0.docx</x:v>
      </x:c>
      <x:c r="H20" s="15" t="str">
        <x:v>libfile_669e1942db588191abccfe69acf798d9</x:v>
      </x:c>
      <x:c r="I20" s="15" t="str">
        <x:v>Content QA complete</x:v>
      </x:c>
      <x:c r="J20" s="15" t="str">
        <x:v>Answer-hidden learner form.</x:v>
      </x:c>
    </x:row>
    <x:row r="21">
      <x:c r="A21" s="31" t="str">
        <x:v>F-017</x:v>
      </x:c>
      <x:c r="B21" s="15" t="str">
        <x:v>Implementation / Staging</x:v>
      </x:c>
      <x:c r="C21" s="15" t="str">
        <x:v>David / CTA Review</x:v>
      </x:c>
      <x:c r="D21" s="15" t="str">
        <x:v>Include - implementation files</x:v>
      </x:c>
      <x:c r="E21" s="15" t="str">
        <x:v>00_Admin</x:v>
      </x:c>
      <x:c r="F21" s="15" t="str">
        <x:v>CTA_LMFT_Law_and_Ethics_EP_Stage8_Staging_Evidence_Defect_and_Rollback_Register_v1.1.xlsx</x:v>
      </x:c>
      <x:c r="G21" s="15" t="str">
        <x:v>CTA_LMFT_Law_and_Ethics_EP_Stage8_Staging_Evidence_Defect_and_Rollback_Register_v1.1.xlsx</x:v>
      </x:c>
      <x:c r="H21" s="15" t="str">
        <x:v>libfile_c40c917d51c88191b736bc671e7e8fc6</x:v>
      </x:c>
      <x:c r="I21" s="15" t="str">
        <x:v>Not executed - private staging required</x:v>
      </x:c>
      <x:c r="J21" s="15" t="str">
        <x:v>No public release until completed evidence and final sign-off</x:v>
      </x:c>
    </x:row>
    <x:row r="22">
      <x:c r="A22" s="31" t="str">
        <x:v>F-018</x:v>
      </x:c>
      <x:c r="B22" s="15" t="str">
        <x:v>Implementation / Staging</x:v>
      </x:c>
      <x:c r="C22" s="15" t="str">
        <x:v>David / CTA Review</x:v>
      </x:c>
      <x:c r="D22" s="15" t="str">
        <x:v>Include - implementation files</x:v>
      </x:c>
      <x:c r="E22" s="15" t="str">
        <x:v>00_Admin</x:v>
      </x:c>
      <x:c r="F22" s="15" t="str">
        <x:v>CTA_LMFT_Law_and_Ethics_EP_Stage8_LMS_Implementation_Staging_and_Release_Readiness_Package_v1.1.docx</x:v>
      </x:c>
      <x:c r="G22" s="15" t="str">
        <x:v>CTA_LMFT_Law_and_Ethics_EP_Stage8_LMS_Implementation_Staging_and_Release_Readiness_Package_v1.1.docx</x:v>
      </x:c>
      <x:c r="H22" s="15" t="str">
        <x:v>libfile_05cb06b5008c8191b1b7bfab2c996790</x:v>
      </x:c>
      <x:c r="I22" s="15" t="str">
        <x:v>Policy and placement synchronized v1.1</x:v>
      </x:c>
      <x:c r="J22" s="15" t="str">
        <x:v>No public release until completed evidence and final sign-off</x:v>
      </x:c>
    </x:row>
    <x:row r="23">
      <x:c r="A23" s="31" t="str">
        <x:v>F-019</x:v>
      </x:c>
      <x:c r="B23" s="15" t="str">
        <x:v>Assessment Control</x:v>
      </x:c>
      <x:c r="C23" s="15" t="str">
        <x:v>CTA Admin / Implementer</x:v>
      </x:c>
      <x:c r="D23" s="15" t="str">
        <x:v>Include - implementation files</x:v>
      </x:c>
      <x:c r="E23" s="15" t="str">
        <x:v>00_Admin</x:v>
      </x:c>
      <x:c r="F23" s="15" t="str">
        <x:v>CTA_LMFT_Law_and_Ethics_EP_Master_Assessment_Inventory_and_Controlled_Release_Crosswalk_v1.0.docx</x:v>
      </x:c>
      <x:c r="G23" s="15" t="str">
        <x:v>CTA_LMFT_Law_and_Ethics_EP_Master_Assessment_Inventory_and_Controlled_Release_Crosswalk_v1.0.docx</x:v>
      </x:c>
      <x:c r="H23" s="15" t="str">
        <x:v>libfile_55d4e39839648191957bf6f9d6aff622</x:v>
      </x:c>
      <x:c r="I23" s="15" t="str">
        <x:v>QA complete</x:v>
      </x:c>
      <x:c r="J23" s="15" t="str">
        <x:v>Released controlled forms govern scoring.</x:v>
      </x:c>
    </x:row>
    <x:row r="24">
      <x:c r="A24" s="31" t="str">
        <x:v>F-020</x:v>
      </x:c>
      <x:c r="B24" s="15" t="str">
        <x:v>Assessment Control</x:v>
      </x:c>
      <x:c r="C24" s="15" t="str">
        <x:v>CTA Admin / Implementer</x:v>
      </x:c>
      <x:c r="D24" s="15" t="str">
        <x:v>Include - implementation files</x:v>
      </x:c>
      <x:c r="E24" s="15" t="str">
        <x:v>00_Admin</x:v>
      </x:c>
      <x:c r="F24" s="15" t="str">
        <x:v>CTA_LMFT_Law_and_Ethics_EP_Master_Assessment_Inventory_and_Controlled_Release_Crosswalk_v1.0.xlsx</x:v>
      </x:c>
      <x:c r="G24" s="15" t="str">
        <x:v>CTA_LMFT_Law_and_Ethics_EP_Master_Assessment_Inventory_and_Controlled_Release_Crosswalk_v1.0.xlsx</x:v>
      </x:c>
      <x:c r="H24" s="15" t="str">
        <x:v>libfile_62a438baf0808191b74e63d825890c99</x:v>
      </x:c>
      <x:c r="I24" s="15" t="str">
        <x:v>QA complete</x:v>
      </x:c>
      <x:c r="J24" s="15" t="str">
        <x:v>Released controlled forms govern scoring.</x:v>
      </x:c>
    </x:row>
    <x:row r="25">
      <x:c r="A25" s="31" t="str">
        <x:v>F-021</x:v>
      </x:c>
      <x:c r="B25" s="15" t="str">
        <x:v>Candidate Assessment</x:v>
      </x:c>
      <x:c r="C25" s="15" t="str">
        <x:v>Enrolled Learner</x:v>
      </x:c>
      <x:c r="D25" s="15" t="str">
        <x:v>Include - learner files</x:v>
      </x:c>
      <x:c r="E25" s="15" t="str">
        <x:v>10</x:v>
      </x:c>
      <x:c r="F25" s="15" t="str">
        <x:v>CTA_LMFT_Law_and_Ethics_EP_WB9_68_Question_Assessment_Candidate_Form_v1.0.docx</x:v>
      </x:c>
      <x:c r="G25" s="15" t="str">
        <x:v>CTA_LMFT_Law_and_Ethics_EP_WB9_68_Question_Assessment_Candidate_Form_v1.0.docx</x:v>
      </x:c>
      <x:c r="H25" s="15" t="str">
        <x:v>libfile_947111bae65c81918118ba5e95d21802</x:v>
      </x:c>
      <x:c r="I25" s="15" t="str">
        <x:v>Content QA complete</x:v>
      </x:c>
      <x:c r="J25" s="15" t="str">
        <x:v>Answer-hidden; place before controlled review.</x:v>
      </x:c>
    </x:row>
    <x:row r="26">
      <x:c r="A26" s="31" t="str">
        <x:v>F-022</x:v>
      </x:c>
      <x:c r="B26" s="15" t="str">
        <x:v>Controlled Assessment</x:v>
      </x:c>
      <x:c r="C26" s="15" t="str">
        <x:v>Post-Attempt / CTA Admin</x:v>
      </x:c>
      <x:c r="D26" s="15" t="str">
        <x:v>Include - controlled files</x:v>
      </x:c>
      <x:c r="E26" s="15" t="str">
        <x:v>10</x:v>
      </x:c>
      <x:c r="F26" s="15" t="str">
        <x:v>CTA_LMFT_Law_and_Ethics_EP_WB9_68_Question_Assessment_Controlled_Answer_Key_and_Detailed_Rationales_v1.0.docx</x:v>
      </x:c>
      <x:c r="G26" s="15" t="str">
        <x:v>CTA_LMFT_Law_and_Ethics_EP_WB9_68_Question_Assessment_Controlled_Answer_Key_and_Detailed_Rationales_v1.0.docx</x:v>
      </x:c>
      <x:c r="H26" s="15" t="str">
        <x:v>libfile_43f85d9276188191855d41640bad23ae</x:v>
      </x:c>
      <x:c r="I26" s="15" t="str">
        <x:v>Content QA complete</x:v>
      </x:c>
      <x:c r="J26" s="15" t="str">
        <x:v>Gate after submission; never public.</x:v>
      </x:c>
    </x:row>
    <x:row r="27">
      <x:c r="A27" s="31" t="str">
        <x:v>F-023</x:v>
      </x:c>
      <x:c r="B27" s="15" t="str">
        <x:v>Controlled Assessment</x:v>
      </x:c>
      <x:c r="C27" s="15" t="str">
        <x:v>Post-Attempt / CTA Admin</x:v>
      </x:c>
      <x:c r="D27" s="15" t="str">
        <x:v>Include - controlled files</x:v>
      </x:c>
      <x:c r="E27" s="15" t="str">
        <x:v>09</x:v>
      </x:c>
      <x:c r="F27" s="15" t="str">
        <x:v>CTA_LMFT_Law_and_Ethics_EP_WB8_68_Question_Assessment_Controlled_Answer_Key_and_Detailed_Rationales_v1.0.docx</x:v>
      </x:c>
      <x:c r="G27" s="15" t="str">
        <x:v>CTA_LMFT_Law_and_Ethics_EP_WB8_68_Question_Assessment_Controlled_Answer_Key_and_Detailed_Rationales_v1.0.docx</x:v>
      </x:c>
      <x:c r="H27" s="15" t="str">
        <x:v>libfile_e638978ab40c8191ac2d615ebdc06bf5</x:v>
      </x:c>
      <x:c r="I27" s="15" t="str">
        <x:v>Content QA complete</x:v>
      </x:c>
      <x:c r="J27" s="15" t="str">
        <x:v>Gate after submission; never public.</x:v>
      </x:c>
    </x:row>
    <x:row r="28">
      <x:c r="A28" s="31" t="str">
        <x:v>F-024</x:v>
      </x:c>
      <x:c r="B28" s="15" t="str">
        <x:v>Candidate Assessment</x:v>
      </x:c>
      <x:c r="C28" s="15" t="str">
        <x:v>Enrolled Learner</x:v>
      </x:c>
      <x:c r="D28" s="15" t="str">
        <x:v>Include - learner files</x:v>
      </x:c>
      <x:c r="E28" s="15" t="str">
        <x:v>09</x:v>
      </x:c>
      <x:c r="F28" s="15" t="str">
        <x:v>CTA_LMFT_Law_and_Ethics_EP_WB8_68_Question_Assessment_Candidate_Form_v1.0.docx</x:v>
      </x:c>
      <x:c r="G28" s="15" t="str">
        <x:v>CTA_LMFT_Law_and_Ethics_EP_WB8_68_Question_Assessment_Candidate_Form_v1.0.docx</x:v>
      </x:c>
      <x:c r="H28" s="15" t="str">
        <x:v>libfile_b893d08787848191a296684ac1d3413c</x:v>
      </x:c>
      <x:c r="I28" s="15" t="str">
        <x:v>Content QA complete</x:v>
      </x:c>
      <x:c r="J28" s="15" t="str">
        <x:v>Answer-hidden; place before controlled review.</x:v>
      </x:c>
    </x:row>
    <x:row r="29">
      <x:c r="A29" s="31" t="str">
        <x:v>F-025</x:v>
      </x:c>
      <x:c r="B29" s="15" t="str">
        <x:v>Candidate Assessment</x:v>
      </x:c>
      <x:c r="C29" s="15" t="str">
        <x:v>Enrolled Learner</x:v>
      </x:c>
      <x:c r="D29" s="15" t="str">
        <x:v>Include - learner files</x:v>
      </x:c>
      <x:c r="E29" s="15" t="str">
        <x:v>08</x:v>
      </x:c>
      <x:c r="F29" s="15" t="str">
        <x:v>CTA_LMFT_Law_and_Ethics_EP_WB7_51_Question_Assessment_Candidate_Form_v1.0.docx</x:v>
      </x:c>
      <x:c r="G29" s="15" t="str">
        <x:v>CTA_LMFT_Law_and_Ethics_EP_WB7_51_Question_Assessment_Candidate_Form_v1.0.docx</x:v>
      </x:c>
      <x:c r="H29" s="15" t="str">
        <x:v>libfile_02d7f5f7894881918aa8b21864ad7199</x:v>
      </x:c>
      <x:c r="I29" s="15" t="str">
        <x:v>Content QA complete</x:v>
      </x:c>
      <x:c r="J29" s="15" t="str">
        <x:v>Answer-hidden; place before controlled review.</x:v>
      </x:c>
    </x:row>
    <x:row r="30">
      <x:c r="A30" s="31" t="str">
        <x:v>F-026</x:v>
      </x:c>
      <x:c r="B30" s="15" t="str">
        <x:v>Controlled Assessment</x:v>
      </x:c>
      <x:c r="C30" s="15" t="str">
        <x:v>Post-Attempt / CTA Admin</x:v>
      </x:c>
      <x:c r="D30" s="15" t="str">
        <x:v>Include - controlled files</x:v>
      </x:c>
      <x:c r="E30" s="15" t="str">
        <x:v>08</x:v>
      </x:c>
      <x:c r="F30" s="15" t="str">
        <x:v>CTA_LMFT_Law_and_Ethics_EP_WB7_51_Question_Assessment_Controlled_Answer_Key_and_Detailed_Rationales_v1.0.docx</x:v>
      </x:c>
      <x:c r="G30" s="15" t="str">
        <x:v>CTA_LMFT_Law_and_Ethics_EP_WB7_51_Question_Assessment_Controlled_Answer_Key_and_Detailed_Rationales_v1.0.docx</x:v>
      </x:c>
      <x:c r="H30" s="15" t="str">
        <x:v>libfile_4a6b0e5b76c4819197696069cbcd3573</x:v>
      </x:c>
      <x:c r="I30" s="15" t="str">
        <x:v>Content QA complete</x:v>
      </x:c>
      <x:c r="J30" s="15" t="str">
        <x:v>Gate after submission; never public.</x:v>
      </x:c>
    </x:row>
    <x:row r="31">
      <x:c r="A31" s="31" t="str">
        <x:v>F-027</x:v>
      </x:c>
      <x:c r="B31" s="15" t="str">
        <x:v>Candidate Assessment</x:v>
      </x:c>
      <x:c r="C31" s="15" t="str">
        <x:v>Enrolled Learner</x:v>
      </x:c>
      <x:c r="D31" s="15" t="str">
        <x:v>Include - learner files</x:v>
      </x:c>
      <x:c r="E31" s="15" t="str">
        <x:v>07</x:v>
      </x:c>
      <x:c r="F31" s="15" t="str">
        <x:v>CTA_LMFT_Law_and_Ethics_EP_WB6_85_Question_Assessment_Candidate_Form_v1.0.docx</x:v>
      </x:c>
      <x:c r="G31" s="15" t="str">
        <x:v>CTA_LMFT_Law_and_Ethics_EP_WB6_85_Question_Assessment_Candidate_Form_v1.0.docx</x:v>
      </x:c>
      <x:c r="H31" s="15" t="str">
        <x:v>libfile_f43d68e05b348191b74c2ac17ce5f059</x:v>
      </x:c>
      <x:c r="I31" s="15" t="str">
        <x:v>Content QA complete</x:v>
      </x:c>
      <x:c r="J31" s="15" t="str">
        <x:v>Answer-hidden; place before controlled review.</x:v>
      </x:c>
    </x:row>
    <x:row r="32">
      <x:c r="A32" s="31" t="str">
        <x:v>F-028</x:v>
      </x:c>
      <x:c r="B32" s="15" t="str">
        <x:v>Controlled Assessment</x:v>
      </x:c>
      <x:c r="C32" s="15" t="str">
        <x:v>Post-Attempt / CTA Admin</x:v>
      </x:c>
      <x:c r="D32" s="15" t="str">
        <x:v>Include - controlled files</x:v>
      </x:c>
      <x:c r="E32" s="15" t="str">
        <x:v>07</x:v>
      </x:c>
      <x:c r="F32" s="15" t="str">
        <x:v>CTA_LMFT_Law_and_Ethics_EP_WB6_85_Question_Assessment_Controlled_Answer_Key_and_Detailed_Rationales_v1.0.docx</x:v>
      </x:c>
      <x:c r="G32" s="15" t="str">
        <x:v>CTA_LMFT_Law_and_Ethics_EP_WB6_85_Question_Assessment_Controlled_Answer_Key_and_Detailed_Rationales_v1.0.docx</x:v>
      </x:c>
      <x:c r="H32" s="15" t="str">
        <x:v>libfile_68d1c7f996b481918fa75dae57a149c1</x:v>
      </x:c>
      <x:c r="I32" s="15" t="str">
        <x:v>Content QA complete</x:v>
      </x:c>
      <x:c r="J32" s="15" t="str">
        <x:v>Gate after submission; never public.</x:v>
      </x:c>
    </x:row>
    <x:row r="33">
      <x:c r="A33" s="31" t="str">
        <x:v>F-029</x:v>
      </x:c>
      <x:c r="B33" s="15" t="str">
        <x:v>Controlled Assessment</x:v>
      </x:c>
      <x:c r="C33" s="15" t="str">
        <x:v>Post-Attempt / CTA Admin</x:v>
      </x:c>
      <x:c r="D33" s="15" t="str">
        <x:v>Include - controlled files</x:v>
      </x:c>
      <x:c r="E33" s="15" t="str">
        <x:v>06</x:v>
      </x:c>
      <x:c r="F33" s="15" t="str">
        <x:v>CTA_LMFT_Law_and_Ethics_EP_WB5_85_Question_Assessment_Controlled_Answer_Key_and_Detailed_Rationales_v1.0.docx</x:v>
      </x:c>
      <x:c r="G33" s="15" t="str">
        <x:v>CTA_LMFT_Law_and_Ethics_EP_WB5_85_Question_Assessment_Controlled_Answer_Key_and_Detailed_Rationales_v1.0.docx</x:v>
      </x:c>
      <x:c r="H33" s="15" t="str">
        <x:v>libfile_083bd68928988191958c3db87e31239f</x:v>
      </x:c>
      <x:c r="I33" s="15" t="str">
        <x:v>Content QA complete</x:v>
      </x:c>
      <x:c r="J33" s="15" t="str">
        <x:v>Gate after submission; never public.</x:v>
      </x:c>
    </x:row>
    <x:row r="34">
      <x:c r="A34" s="31" t="str">
        <x:v>F-030</x:v>
      </x:c>
      <x:c r="B34" s="15" t="str">
        <x:v>Candidate Assessment</x:v>
      </x:c>
      <x:c r="C34" s="15" t="str">
        <x:v>Enrolled Learner</x:v>
      </x:c>
      <x:c r="D34" s="15" t="str">
        <x:v>Include - learner files</x:v>
      </x:c>
      <x:c r="E34" s="15" t="str">
        <x:v>06</x:v>
      </x:c>
      <x:c r="F34" s="15" t="str">
        <x:v>CTA_LMFT_Law_and_Ethics_EP_WB5_85_Question_Assessment_Candidate_Form_v1.0.docx</x:v>
      </x:c>
      <x:c r="G34" s="15" t="str">
        <x:v>CTA_LMFT_Law_and_Ethics_EP_WB5_85_Question_Assessment_Candidate_Form_v1.0.docx</x:v>
      </x:c>
      <x:c r="H34" s="15" t="str">
        <x:v>libfile_a50e14d307448191bf2112633a7b933d</x:v>
      </x:c>
      <x:c r="I34" s="15" t="str">
        <x:v>Content QA complete</x:v>
      </x:c>
      <x:c r="J34" s="15" t="str">
        <x:v>Answer-hidden; place before controlled review.</x:v>
      </x:c>
    </x:row>
    <x:row r="35">
      <x:c r="A35" s="31" t="str">
        <x:v>F-031</x:v>
      </x:c>
      <x:c r="B35" s="15" t="str">
        <x:v>Controlled Assessment</x:v>
      </x:c>
      <x:c r="C35" s="15" t="str">
        <x:v>Post-Attempt / CTA Admin</x:v>
      </x:c>
      <x:c r="D35" s="15" t="str">
        <x:v>Include - controlled files</x:v>
      </x:c>
      <x:c r="E35" s="15" t="str">
        <x:v>05</x:v>
      </x:c>
      <x:c r="F35" s="15" t="str">
        <x:v>CTA_LMFT_Law_and_Ethics_EP_WB4_85_Question_Assessment_Controlled_Answer_Key_and_Detailed_Rationales_v1.0.docx</x:v>
      </x:c>
      <x:c r="G35" s="15" t="str">
        <x:v>CTA_LMFT_Law_and_Ethics_EP_WB4_85_Question_Assessment_Controlled_Answer_Key_and_Detailed_Rationales_v1.0.docx</x:v>
      </x:c>
      <x:c r="H35" s="15" t="str">
        <x:v>libfile_24141167e45c81919ec9b76115e186e1</x:v>
      </x:c>
      <x:c r="I35" s="15" t="str">
        <x:v>Content QA complete</x:v>
      </x:c>
      <x:c r="J35" s="15" t="str">
        <x:v>Gate after submission; never public.</x:v>
      </x:c>
    </x:row>
    <x:row r="36">
      <x:c r="A36" s="31" t="str">
        <x:v>F-032</x:v>
      </x:c>
      <x:c r="B36" s="15" t="str">
        <x:v>Candidate Assessment</x:v>
      </x:c>
      <x:c r="C36" s="15" t="str">
        <x:v>Enrolled Learner</x:v>
      </x:c>
      <x:c r="D36" s="15" t="str">
        <x:v>Include - learner files</x:v>
      </x:c>
      <x:c r="E36" s="15" t="str">
        <x:v>05</x:v>
      </x:c>
      <x:c r="F36" s="15" t="str">
        <x:v>CTA_LMFT_Law_and_Ethics_EP_WB4_85_Question_Assessment_Candidate_Form_v1.0.docx</x:v>
      </x:c>
      <x:c r="G36" s="15" t="str">
        <x:v>CTA_LMFT_Law_and_Ethics_EP_WB4_85_Question_Assessment_Candidate_Form_v1.0.docx</x:v>
      </x:c>
      <x:c r="H36" s="15" t="str">
        <x:v>libfile_4db7459e72b4819195fb834846d77509</x:v>
      </x:c>
      <x:c r="I36" s="15" t="str">
        <x:v>Content QA complete</x:v>
      </x:c>
      <x:c r="J36" s="15" t="str">
        <x:v>Answer-hidden; place before controlled review.</x:v>
      </x:c>
    </x:row>
    <x:row r="37">
      <x:c r="A37" s="31" t="str">
        <x:v>F-033</x:v>
      </x:c>
      <x:c r="B37" s="15" t="str">
        <x:v>Candidate Assessment</x:v>
      </x:c>
      <x:c r="C37" s="15" t="str">
        <x:v>Enrolled Learner</x:v>
      </x:c>
      <x:c r="D37" s="15" t="str">
        <x:v>Include - learner files</x:v>
      </x:c>
      <x:c r="E37" s="15" t="str">
        <x:v>04</x:v>
      </x:c>
      <x:c r="F37" s="15" t="str">
        <x:v>CTA_LMFT_Law_and_Ethics_EP_WB3_102_Question_Assessment_Candidate_Form_v1.0.docx</x:v>
      </x:c>
      <x:c r="G37" s="15" t="str">
        <x:v>CTA_LMFT_Law_and_Ethics_EP_WB3_102_Question_Assessment_Candidate_Form_v1.0.docx</x:v>
      </x:c>
      <x:c r="H37" s="15" t="str">
        <x:v>libfile_1aa944c9e60081919b470995b527d590</x:v>
      </x:c>
      <x:c r="I37" s="15" t="str">
        <x:v>Content QA complete</x:v>
      </x:c>
      <x:c r="J37" s="15" t="str">
        <x:v>Answer-hidden; place before controlled review.</x:v>
      </x:c>
    </x:row>
    <x:row r="38">
      <x:c r="A38" s="31" t="str">
        <x:v>F-034</x:v>
      </x:c>
      <x:c r="B38" s="15" t="str">
        <x:v>Controlled Assessment</x:v>
      </x:c>
      <x:c r="C38" s="15" t="str">
        <x:v>Post-Attempt / CTA Admin</x:v>
      </x:c>
      <x:c r="D38" s="15" t="str">
        <x:v>Include - controlled files</x:v>
      </x:c>
      <x:c r="E38" s="15" t="str">
        <x:v>04</x:v>
      </x:c>
      <x:c r="F38" s="15" t="str">
        <x:v>CTA_LMFT_Law_and_Ethics_EP_WB3_102_Question_Assessment_Controlled_Answer_Key_and_Detailed_Rationales_v1.0.docx</x:v>
      </x:c>
      <x:c r="G38" s="15" t="str">
        <x:v>CTA_LMFT_Law_and_Ethics_EP_WB3_102_Question_Assessment_Controlled_Answer_Key_and_Detailed_Rationales_v1.0.docx</x:v>
      </x:c>
      <x:c r="H38" s="15" t="str">
        <x:v>libfile_73b28b4df3a4819193c3c5c4abd54169</x:v>
      </x:c>
      <x:c r="I38" s="15" t="str">
        <x:v>Content QA complete</x:v>
      </x:c>
      <x:c r="J38" s="15" t="str">
        <x:v>Gate after submission; never public.</x:v>
      </x:c>
    </x:row>
    <x:row r="39">
      <x:c r="A39" s="31" t="str">
        <x:v>F-035</x:v>
      </x:c>
      <x:c r="B39" s="15" t="str">
        <x:v>Candidate Assessment</x:v>
      </x:c>
      <x:c r="C39" s="15" t="str">
        <x:v>Enrolled Learner</x:v>
      </x:c>
      <x:c r="D39" s="15" t="str">
        <x:v>Include - learner files</x:v>
      </x:c>
      <x:c r="E39" s="15" t="str">
        <x:v>03</x:v>
      </x:c>
      <x:c r="F39" s="15" t="str">
        <x:v>CTA_LMFT_Law_and_Ethics_EP_WB2_102_Question_Assessment_Candidate_Form_v1.0.docx</x:v>
      </x:c>
      <x:c r="G39" s="15" t="str">
        <x:v>CTA_LMFT_Law_and_Ethics_EP_WB2_102_Question_Assessment_Candidate_Form_v1.0.docx</x:v>
      </x:c>
      <x:c r="H39" s="15" t="str">
        <x:v>libfile_f445aba17a18819196c5c5c4022ab09a</x:v>
      </x:c>
      <x:c r="I39" s="15" t="str">
        <x:v>Content QA complete</x:v>
      </x:c>
      <x:c r="J39" s="15" t="str">
        <x:v>Answer-hidden; place before controlled review.</x:v>
      </x:c>
    </x:row>
    <x:row r="40">
      <x:c r="A40" s="31" t="str">
        <x:v>F-036</x:v>
      </x:c>
      <x:c r="B40" s="15" t="str">
        <x:v>Controlled Assessment</x:v>
      </x:c>
      <x:c r="C40" s="15" t="str">
        <x:v>Post-Attempt / CTA Admin</x:v>
      </x:c>
      <x:c r="D40" s="15" t="str">
        <x:v>Include - controlled files</x:v>
      </x:c>
      <x:c r="E40" s="15" t="str">
        <x:v>03</x:v>
      </x:c>
      <x:c r="F40" s="15" t="str">
        <x:v>CTA_LMFT_Law_and_Ethics_EP_WB2_102_Question_Assessment_Controlled_Answer_Key_and_Detailed_Rationales_v1.0.docx</x:v>
      </x:c>
      <x:c r="G40" s="15" t="str">
        <x:v>CTA_LMFT_Law_and_Ethics_EP_WB2_102_Question_Assessment_Controlled_Answer_Key_and_Detailed_Rationales_v1.0.docx</x:v>
      </x:c>
      <x:c r="H40" s="15" t="str">
        <x:v>libfile_422c138bf95c8191a8647e1941756cb0</x:v>
      </x:c>
      <x:c r="I40" s="15" t="str">
        <x:v>Content QA complete</x:v>
      </x:c>
      <x:c r="J40" s="15" t="str">
        <x:v>Gate after submission; never public.</x:v>
      </x:c>
    </x:row>
    <x:row r="41">
      <x:c r="A41" s="31" t="str">
        <x:v>F-037</x:v>
      </x:c>
      <x:c r="B41" s="15" t="str">
        <x:v>Candidate Assessment</x:v>
      </x:c>
      <x:c r="C41" s="15" t="str">
        <x:v>Enrolled Learner</x:v>
      </x:c>
      <x:c r="D41" s="15" t="str">
        <x:v>Include - learner files</x:v>
      </x:c>
      <x:c r="E41" s="15" t="str">
        <x:v>02</x:v>
      </x:c>
      <x:c r="F41" s="15" t="str">
        <x:v>CTA_LMFT_Law_and_Ethics_EP_WB1_119_Question_Assessment_Candidate_Form_v1.0.docx</x:v>
      </x:c>
      <x:c r="G41" s="15" t="str">
        <x:v>CTA_LMFT_Law_and_Ethics_EP_WB1_119_Question_Assessment_Candidate_Form_v1.0.docx</x:v>
      </x:c>
      <x:c r="H41" s="15" t="str">
        <x:v>libfile_9ff192d54ab88191a76a61c0d71be259</x:v>
      </x:c>
      <x:c r="I41" s="15" t="str">
        <x:v>Content QA complete</x:v>
      </x:c>
      <x:c r="J41" s="15" t="str">
        <x:v>Answer-hidden; place before controlled review.</x:v>
      </x:c>
    </x:row>
    <x:row r="42">
      <x:c r="A42" s="31" t="str">
        <x:v>F-038</x:v>
      </x:c>
      <x:c r="B42" s="15" t="str">
        <x:v>Controlled Assessment</x:v>
      </x:c>
      <x:c r="C42" s="15" t="str">
        <x:v>Post-Attempt / CTA Admin</x:v>
      </x:c>
      <x:c r="D42" s="15" t="str">
        <x:v>Include - controlled files</x:v>
      </x:c>
      <x:c r="E42" s="15" t="str">
        <x:v>02</x:v>
      </x:c>
      <x:c r="F42" s="15" t="str">
        <x:v>CTA_LMFT_Law_and_Ethics_EP_WB1_119_Question_Assessment_Controlled_Answer_Key_and_Detailed_Rationales_v1.0.docx</x:v>
      </x:c>
      <x:c r="G42" s="15" t="str">
        <x:v>CTA_LMFT_Law_and_Ethics_EP_WB1_119_Question_Assessment_Controlled_Answer_Key_and_Detailed_Rationales_v1.0.docx</x:v>
      </x:c>
      <x:c r="H42" s="15" t="str">
        <x:v>libfile_b05e6b8ff7f48191a81995b7f2dd4941</x:v>
      </x:c>
      <x:c r="I42" s="15" t="str">
        <x:v>Content QA complete</x:v>
      </x:c>
      <x:c r="J42" s="15" t="str">
        <x:v>Gate after submission; never public.</x:v>
      </x:c>
    </x:row>
    <x:row r="43">
      <x:c r="A43" s="31" t="str">
        <x:v>F-039</x:v>
      </x:c>
      <x:c r="B43" s="15" t="str">
        <x:v>Learner Workbook</x:v>
      </x:c>
      <x:c r="C43" s="15" t="str">
        <x:v>Enrolled Learner</x:v>
      </x:c>
      <x:c r="D43" s="15" t="str">
        <x:v>Include - learner files</x:v>
      </x:c>
      <x:c r="E43" s="15" t="str">
        <x:v>10</x:v>
      </x:c>
      <x:c r="F43" s="15" t="str">
        <x:v>CTA_LMFT_Law_and_Ethics_EP_WB9_Clinical_Documentation_Record_Management_Candidate_Edition_v1.0.docx</x:v>
      </x:c>
      <x:c r="G43" s="15" t="str">
        <x:v>CTA_LMFT_Law_and_Ethics_EP_WB9_Clinical_Documentation_Record_Management_Candidate_Edition_v1.0.docx</x:v>
      </x:c>
      <x:c r="H43" s="15" t="str">
        <x:v>libfile_decaf4daeec08191a93b4ee55fb3265e</x:v>
      </x:c>
      <x:c r="I43" s="15" t="str">
        <x:v>Content QA complete</x:v>
      </x:c>
      <x:c r="J43" s="15" t="str">
        <x:v>Protected learner download during active access.</x:v>
      </x:c>
    </x:row>
    <x:row r="44">
      <x:c r="A44" s="31" t="str">
        <x:v>F-040</x:v>
      </x:c>
      <x:c r="B44" s="15" t="str">
        <x:v>Learner Workbook</x:v>
      </x:c>
      <x:c r="C44" s="15" t="str">
        <x:v>Enrolled Learner</x:v>
      </x:c>
      <x:c r="D44" s="15" t="str">
        <x:v>Include - learner files</x:v>
      </x:c>
      <x:c r="E44" s="15" t="str">
        <x:v>09</x:v>
      </x:c>
      <x:c r="F44" s="15" t="str">
        <x:v>CTA_LMFT_Law_and_Ethics_EP_WB8_Confidentiality_Privacy_and_Information_Sharing_Candidate_Edition_v1.0.docx</x:v>
      </x:c>
      <x:c r="G44" s="15" t="str">
        <x:v>CTA_LMFT_Law_and_Ethics_EP_WB8_Confidentiality_Privacy_and_Information_Sharing_Candidate_Edition_v1.0.docx</x:v>
      </x:c>
      <x:c r="H44" s="15" t="str">
        <x:v>libfile_90e17743b98081919b3a3d3f1a849144</x:v>
      </x:c>
      <x:c r="I44" s="15" t="str">
        <x:v>Content QA complete</x:v>
      </x:c>
      <x:c r="J44" s="15" t="str">
        <x:v>Protected learner download during active access.</x:v>
      </x:c>
    </x:row>
    <x:row r="45">
      <x:c r="A45" s="31" t="str">
        <x:v>F-041</x:v>
      </x:c>
      <x:c r="B45" s="15" t="str">
        <x:v>Learner Workbook</x:v>
      </x:c>
      <x:c r="C45" s="15" t="str">
        <x:v>Enrolled Learner</x:v>
      </x:c>
      <x:c r="D45" s="15" t="str">
        <x:v>Include - learner files</x:v>
      </x:c>
      <x:c r="E45" s="15" t="str">
        <x:v>08</x:v>
      </x:c>
      <x:c r="F45" s="15" t="str">
        <x:v>CTA_LMFT_Law_and_Ethics_EP_WB7_Cultural_Humility_Candidate_Edition_v1.0.docx</x:v>
      </x:c>
      <x:c r="G45" s="15" t="str">
        <x:v>CTA_LMFT_Law_and_Ethics_EP_WB7_Cultural_Humility_Candidate_Edition_v1.0.docx</x:v>
      </x:c>
      <x:c r="H45" s="15" t="str">
        <x:v>libfile_f9ac0c0487a481918e7b3d9faa592953</x:v>
      </x:c>
      <x:c r="I45" s="15" t="str">
        <x:v>Content QA complete</x:v>
      </x:c>
      <x:c r="J45" s="15" t="str">
        <x:v>Protected learner download during active access.</x:v>
      </x:c>
    </x:row>
    <x:row r="46">
      <x:c r="A46" s="31" t="str">
        <x:v>F-042</x:v>
      </x:c>
      <x:c r="B46" s="15" t="str">
        <x:v>Learner Workbook</x:v>
      </x:c>
      <x:c r="C46" s="15" t="str">
        <x:v>Enrolled Learner</x:v>
      </x:c>
      <x:c r="D46" s="15" t="str">
        <x:v>Include - learner files</x:v>
      </x:c>
      <x:c r="E46" s="15" t="str">
        <x:v>07</x:v>
      </x:c>
      <x:c r="F46" s="15" t="str">
        <x:v>CTA_LMFT_Law_and_Ethics_EP_WB6_Professional_Boundaries_Candidate_Edition_v1.0.docx</x:v>
      </x:c>
      <x:c r="G46" s="15" t="str">
        <x:v>CTA_LMFT_Law_and_Ethics_EP_WB6_Professional_Boundaries_Candidate_Edition_v1.0.docx</x:v>
      </x:c>
      <x:c r="H46" s="15" t="str">
        <x:v>libfile_81e5a52179788191935bf22a1f391e93</x:v>
      </x:c>
      <x:c r="I46" s="15" t="str">
        <x:v>Content QA complete</x:v>
      </x:c>
      <x:c r="J46" s="15" t="str">
        <x:v>Protected learner download during active access.</x:v>
      </x:c>
    </x:row>
    <x:row r="47">
      <x:c r="A47" s="31" t="str">
        <x:v>F-043</x:v>
      </x:c>
      <x:c r="B47" s="15" t="str">
        <x:v>Learner Workbook</x:v>
      </x:c>
      <x:c r="C47" s="15" t="str">
        <x:v>Enrolled Learner</x:v>
      </x:c>
      <x:c r="D47" s="15" t="str">
        <x:v>Include - learner files</x:v>
      </x:c>
      <x:c r="E47" s="15" t="str">
        <x:v>06</x:v>
      </x:c>
      <x:c r="F47" s="15" t="str">
        <x:v>CTA_LMFT_Law_and_Ethics_EP_WB5_Preventing_Harm_Candidate_Edition_v1.0.docx</x:v>
      </x:c>
      <x:c r="G47" s="15" t="str">
        <x:v>CTA_LMFT_Law_and_Ethics_EP_WB5_Preventing_Harm_Candidate_Edition_v1.0.docx</x:v>
      </x:c>
      <x:c r="H47" s="15" t="str">
        <x:v>libfile_b2be6086d860819183837d463ad3c7b8</x:v>
      </x:c>
      <x:c r="I47" s="15" t="str">
        <x:v>Content QA complete</x:v>
      </x:c>
      <x:c r="J47" s="15" t="str">
        <x:v>Protected learner download during active access.</x:v>
      </x:c>
    </x:row>
    <x:row r="48">
      <x:c r="A48" s="31" t="str">
        <x:v>F-044</x:v>
      </x:c>
      <x:c r="B48" s="15" t="str">
        <x:v>Learner Workbook</x:v>
      </x:c>
      <x:c r="C48" s="15" t="str">
        <x:v>Enrolled Learner</x:v>
      </x:c>
      <x:c r="D48" s="15" t="str">
        <x:v>Include - learner files</x:v>
      </x:c>
      <x:c r="E48" s="15" t="str">
        <x:v>05</x:v>
      </x:c>
      <x:c r="F48" s="15" t="str">
        <x:v>CTA_LMFT_Law_and_Ethics_EP_WB4_Professional_Impairment_Candidate_Edition_v1.0.docx</x:v>
      </x:c>
      <x:c r="G48" s="15" t="str">
        <x:v>CTA_LMFT_Law_and_Ethics_EP_WB4_Professional_Impairment_Candidate_Edition_v1.0.docx</x:v>
      </x:c>
      <x:c r="H48" s="15" t="str">
        <x:v>libfile_60fc21c35f1c8191b72e01d311bd79f5</x:v>
      </x:c>
      <x:c r="I48" s="15" t="str">
        <x:v>Content QA complete</x:v>
      </x:c>
      <x:c r="J48" s="15" t="str">
        <x:v>Protected learner download during active access.</x:v>
      </x:c>
    </x:row>
    <x:row r="49">
      <x:c r="A49" s="31" t="str">
        <x:v>F-045</x:v>
      </x:c>
      <x:c r="B49" s="15" t="str">
        <x:v>Learner Workbook</x:v>
      </x:c>
      <x:c r="C49" s="15" t="str">
        <x:v>Enrolled Learner</x:v>
      </x:c>
      <x:c r="D49" s="15" t="str">
        <x:v>Include - learner files</x:v>
      </x:c>
      <x:c r="E49" s="15" t="str">
        <x:v>04</x:v>
      </x:c>
      <x:c r="F49" s="15" t="str">
        <x:v>CTA_LMFT_Law_and_Ethics_EP_WB3_Professional_Competence_Candidate_Edition_v1.0.docx</x:v>
      </x:c>
      <x:c r="G49" s="15" t="str">
        <x:v>CTA_LMFT_Law_and_Ethics_EP_WB3_Professional_Competence_Candidate_Edition_v1.0.docx</x:v>
      </x:c>
      <x:c r="H49" s="15" t="str">
        <x:v>libfile_cdfbfe89653481918356fab1e47b7d9f</x:v>
      </x:c>
      <x:c r="I49" s="15" t="str">
        <x:v>Content QA complete</x:v>
      </x:c>
      <x:c r="J49" s="15" t="str">
        <x:v>Protected learner download during active access.</x:v>
      </x:c>
    </x:row>
    <x:row r="50">
      <x:c r="A50" s="31" t="str">
        <x:v>F-046</x:v>
      </x:c>
      <x:c r="B50" s="15" t="str">
        <x:v>Learner Workbook</x:v>
      </x:c>
      <x:c r="C50" s="15" t="str">
        <x:v>Enrolled Learner</x:v>
      </x:c>
      <x:c r="D50" s="15" t="str">
        <x:v>Include - learner files</x:v>
      </x:c>
      <x:c r="E50" s="15" t="str">
        <x:v>03</x:v>
      </x:c>
      <x:c r="F50" s="15" t="str">
        <x:v>CTA_LMFT_Law_and_Ethics_EP_WB2_Telehealth_Law_and_Ethics_Candidate_Edition_v1.0.docx</x:v>
      </x:c>
      <x:c r="G50" s="15" t="str">
        <x:v>CTA_LMFT_Law_and_Ethics_EP_WB2_Telehealth_Law_and_Ethics_Candidate_Edition_v1.0.docx</x:v>
      </x:c>
      <x:c r="H50" s="15" t="str">
        <x:v>libfile_65efe0d510e88191b7de8e5401ec6f0f</x:v>
      </x:c>
      <x:c r="I50" s="15" t="str">
        <x:v>Content QA complete</x:v>
      </x:c>
      <x:c r="J50" s="15" t="str">
        <x:v>Protected learner download during active access.</x:v>
      </x:c>
    </x:row>
    <x:row r="51">
      <x:c r="A51" s="31" t="str">
        <x:v>F-047</x:v>
      </x:c>
      <x:c r="B51" s="15" t="str">
        <x:v>Learner Workbook</x:v>
      </x:c>
      <x:c r="C51" s="15" t="str">
        <x:v>Enrolled Learner</x:v>
      </x:c>
      <x:c r="D51" s="15" t="str">
        <x:v>Include - learner files</x:v>
      </x:c>
      <x:c r="E51" s="15" t="str">
        <x:v>02</x:v>
      </x:c>
      <x:c r="F51" s="15" t="str">
        <x:v>CTA_LMFT_Law_and_Ethics_EP_WB1_Informed_Consent_Minors_and_Family_Involvement_Candidate_Edition_v1.0.docx</x:v>
      </x:c>
      <x:c r="G51" s="15" t="str">
        <x:v>CTA_LMFT_Law_and_Ethics_EP_WB1_Informed_Consent_Minors_and_Family_Involvement_Candidate_Edition_v1.0.docx</x:v>
      </x:c>
      <x:c r="H51" s="15" t="str">
        <x:v>libfile_a4eae230ee0c819190b0cd5b7fcaca91</x:v>
      </x:c>
      <x:c r="I51" s="15" t="str">
        <x:v>Content QA complete</x:v>
      </x:c>
      <x:c r="J51" s="15" t="str">
        <x:v>Protected learner download during active access.</x:v>
      </x:c>
    </x:row>
    <x:row r="52">
      <x:c r="A52" s="31" t="str">
        <x:v>F-048</x:v>
      </x:c>
      <x:c r="B52" s="15" t="str">
        <x:v>Controlled Assessment</x:v>
      </x:c>
      <x:c r="C52" s="15" t="str">
        <x:v>Post-Attempt / CTA Admin</x:v>
      </x:c>
      <x:c r="D52" s="15" t="str">
        <x:v>Include - controlled files</x:v>
      </x:c>
      <x:c r="E52" s="15" t="str">
        <x:v>01</x:v>
      </x:c>
      <x:c r="F52" s="15" t="str">
        <x:v>CTA_LMFT_Law_and_Ethics_EP_Practice_Act_Module_25_Question_Assessment_Controlled_Answer_Key_and_Detailed_Rationales_v1.1.docx</x:v>
      </x:c>
      <x:c r="G52" s="15" t="str">
        <x:v>CTA_LMFT_Law_and_Ethics_EP_Practice_Act_Module_25_Question_Assessment_Controlled_Answer_Key_and_Detailed_Rationales_v1.1.docx</x:v>
      </x:c>
      <x:c r="H52" s="15" t="str">
        <x:v>libfile_a18969dfaeac8191855e1f8c037851a4</x:v>
      </x:c>
      <x:c r="I52" s="15" t="str">
        <x:v>Final internal v1.1</x:v>
      </x:c>
      <x:c r="J52" s="15" t="str">
        <x:v>Restricted after submission</x:v>
      </x:c>
    </x:row>
    <x:row r="53">
      <x:c r="A53" s="31" t="str">
        <x:v>F-049</x:v>
      </x:c>
      <x:c r="B53" s="15" t="str">
        <x:v>Candidate Assessment</x:v>
      </x:c>
      <x:c r="C53" s="15" t="str">
        <x:v>Enrolled Learner</x:v>
      </x:c>
      <x:c r="D53" s="15" t="str">
        <x:v>Include - learner files</x:v>
      </x:c>
      <x:c r="E53" s="15" t="str">
        <x:v>01</x:v>
      </x:c>
      <x:c r="F53" s="15" t="str">
        <x:v>CTA_LMFT_Law_and_Ethics_EP_Practice_Act_Module_25_Question_Assessment_Candidate_Form_v1.1.docx</x:v>
      </x:c>
      <x:c r="G53" s="15" t="str">
        <x:v>CTA_LMFT_Law_and_Ethics_EP_Practice_Act_Module_25_Question_Assessment_Candidate_Form_v1.1.docx</x:v>
      </x:c>
      <x:c r="H53" s="15" t="str">
        <x:v>libfile_079ddf026aa48191b3ab71811cbdd3da</x:v>
      </x:c>
      <x:c r="I53" s="15" t="str">
        <x:v>Final internal v1.1</x:v>
      </x:c>
      <x:c r="J53" s="15" t="str">
        <x:v>Answer-hidden learner form</x:v>
      </x:c>
    </x:row>
    <x:row r="54">
      <x:c r="A54" s="31" t="str">
        <x:v>F-050</x:v>
      </x:c>
      <x:c r="B54" s="15" t="str">
        <x:v>Learner Module</x:v>
      </x:c>
      <x:c r="C54" s="15" t="str">
        <x:v>Enrolled Learner</x:v>
      </x:c>
      <x:c r="D54" s="15" t="str">
        <x:v>Include - learner files</x:v>
      </x:c>
      <x:c r="E54" s="15" t="str">
        <x:v>01</x:v>
      </x:c>
      <x:c r="F54" s="15" t="str">
        <x:v>CTA_LMFT_Law_and_Ethics_EP_Practice_Act_AMFT_Professional_Identity_and_California_Examination_Distinctions_Module_v1.1.docx</x:v>
      </x:c>
      <x:c r="G54" s="15" t="str">
        <x:v>CTA_LMFT_Law_and_Ethics_EP_Practice_Act_AMFT_Professional_Identity_and_California_Examination_Distinctions_Module_v1.1.docx</x:v>
      </x:c>
      <x:c r="H54" s="15" t="str">
        <x:v>libfile_2a71de10e4e08191a91d57309e3c9e88</x:v>
      </x:c>
      <x:c r="I54" s="15" t="str">
        <x:v>Final internal v1.1</x:v>
      </x:c>
      <x:c r="J54" s="15" t="str">
        <x:v>Approved after Start Here and before Workbook 1</x:v>
      </x:c>
    </x:row>
    <x:row r="55">
      <x:c r="A55" s="31" t="str">
        <x:v>F-051</x:v>
      </x:c>
      <x:c r="B55" s="15" t="str">
        <x:v>Governance / Control</x:v>
      </x:c>
      <x:c r="C55" s="15" t="str">
        <x:v>CTA Internal Only</x:v>
      </x:c>
      <x:c r="D55" s="15" t="str">
        <x:v>Reference only</x:v>
      </x:c>
      <x:c r="E55" s="15" t="str">
        <x:v>00_Admin</x:v>
      </x:c>
      <x:c r="F55" s="15" t="str">
        <x:v>CTA_LMFT_Law_and_Ethics_EP_Authoritative_Source_Inventory_and_Duplicate_Control_Register_v1.0.docx</x:v>
      </x:c>
      <x:c r="G55" s="15" t="str">
        <x:v>CTA_LMFT_Law_and_Ethics_EP_Authoritative_Source_Inventory_and_Duplicate_Control_Register_v1.0.docx</x:v>
      </x:c>
      <x:c r="H55" s="15" t="str">
        <x:v>libfile_784f3bfb88bc8191a4733d7af025d796</x:v>
      </x:c>
      <x:c r="I55" s="15" t="str">
        <x:v>Historical baseline; final manifest supersedes remaining-work status</x:v>
      </x:c>
      <x:c r="J55" s="15" t="str">
        <x:v>Do not expose to learners.</x:v>
      </x:c>
    </x:row>
    <x:row r="56">
      <x:c r="A56" s="31" t="str">
        <x:v>F-052</x:v>
      </x:c>
      <x:c r="B56" s="15" t="str">
        <x:v>Module Control</x:v>
      </x:c>
      <x:c r="C56" s="15" t="str">
        <x:v>CTA Internal Only</x:v>
      </x:c>
      <x:c r="D56" s="15" t="str">
        <x:v>Reference only</x:v>
      </x:c>
      <x:c r="E56" s="15" t="str">
        <x:v>00_Admin</x:v>
      </x:c>
      <x:c r="F56" s="15" t="str">
        <x:v>CTA_LMFT_Law_and_Ethics_EP_Practice_Act_Module_Master_Content_Map_and_Learning_Objectives_v1.1.docx</x:v>
      </x:c>
      <x:c r="G56" s="15" t="str">
        <x:v>CTA_LMFT_Law_and_Ethics_EP_Practice_Act_Module_Master_Content_Map_and_Learning_Objectives_v1.1.docx</x:v>
      </x:c>
      <x:c r="H56" s="15" t="str">
        <x:v>libfile_599c3aaced38819192b10a9468296d3e</x:v>
      </x:c>
      <x:c r="I56" s="15" t="str">
        <x:v>Final internal source-of-truth map v1.1</x:v>
      </x:c>
      <x:c r="J56" s="15" t="str">
        <x:v>Approved August 3, 2026</x:v>
      </x:c>
    </x:row>
    <x:row r="57">
      <x:c r="A57" s="31" t="str">
        <x:v>F-053</x:v>
      </x:c>
      <x:c r="B57" s="15" t="str">
        <x:v>Governance / Control</x:v>
      </x:c>
      <x:c r="C57" s="15" t="str">
        <x:v>CTA Internal Only</x:v>
      </x:c>
      <x:c r="D57" s="15" t="str">
        <x:v>Reference only</x:v>
      </x:c>
      <x:c r="E57" s="15" t="str">
        <x:v>00_Admin</x:v>
      </x:c>
      <x:c r="F57" s="15" t="str">
        <x:v>CTA_LMFT_Law_and_Ethics_EP_Fast_Track_License_Specific_Conversion_and_Release_Blueprint_v1.0.docx</x:v>
      </x:c>
      <x:c r="G57" s="15" t="str">
        <x:v>CTA_LMFT_Law_and_Ethics_EP_Fast_Track_License_Specific_Conversion_and_Release_Blueprint_v1.0.docx</x:v>
      </x:c>
      <x:c r="H57" s="15" t="str">
        <x:v>libfile_d0b4e1898488819185dcdbb02095afe5</x:v>
      </x:c>
      <x:c r="I57" s="15" t="str">
        <x:v>Architecture baseline; final placement decision pending</x:v>
      </x:c>
      <x:c r="J57" s="15" t="str">
        <x:v>Do not expose to learners.</x:v>
      </x:c>
    </x:row>
    <x:row r="58">
      <x:c r="A58" s="31" t="str">
        <x:v>F-054</x:v>
      </x:c>
      <x:c r="B58" s="15" t="str">
        <x:v>Learner Toolkit</x:v>
      </x:c>
      <x:c r="C58" s="15" t="str">
        <x:v>Enrolled Learner</x:v>
      </x:c>
      <x:c r="D58" s="15" t="str">
        <x:v>Include - learner files</x:v>
      </x:c>
      <x:c r="E58" s="15" t="str">
        <x:v>14</x:v>
      </x:c>
      <x:c r="F58" s="15" t="str">
        <x:v>CTA_LE_LMFT_45_Chapter_Master_Study_Map_and_Readiness_Checklist_Toolkit_v1.1_Corrected(1).docx</x:v>
      </x:c>
      <x:c r="G58" s="15" t="str">
        <x:v>CTA_LE_LMFT_45_Chapter_Master_Study_Map_and_Readiness_Checklist_Toolkit_v1.1_Corrected.docx</x:v>
      </x:c>
      <x:c r="H58" s="15" t="str">
        <x:v>libfile_4d996a78f21081918f9d69c8cf4dc437</x:v>
      </x:c>
      <x:c r="I58" s="15" t="str">
        <x:v>Approved LMFT v1.1 Corrected edition</x:v>
      </x:c>
      <x:c r="J58" s="15" t="str">
        <x:v>Display title must omit upload-copy suffix.</x:v>
      </x:c>
    </x:row>
    <x:row r="59">
      <x:c r="A59" s="31" t="str">
        <x:v>F-055</x:v>
      </x:c>
      <x:c r="B59" s="15" t="str">
        <x:v>Learner Toolkit</x:v>
      </x:c>
      <x:c r="C59" s="15" t="str">
        <x:v>Enrolled Learner</x:v>
      </x:c>
      <x:c r="D59" s="15" t="str">
        <x:v>Include - learner files</x:v>
      </x:c>
      <x:c r="E59" s="15" t="str">
        <x:v>14</x:v>
      </x:c>
      <x:c r="F59" s="15" t="str">
        <x:v>CTA_LE_LMFT_High_Yield_Numbers_Timelines_and_Trigger_Words_Toolkit_v1.1_Corrected(1).docx</x:v>
      </x:c>
      <x:c r="G59" s="15" t="str">
        <x:v>CTA_LE_LMFT_High_Yield_Numbers_Timelines_and_Trigger_Words_Toolkit_v1.1_Corrected.docx</x:v>
      </x:c>
      <x:c r="H59" s="15" t="str">
        <x:v>libfile_2320375a6c548191abff9a11a489e40b</x:v>
      </x:c>
      <x:c r="I59" s="15" t="str">
        <x:v>Approved LMFT v1.1 Corrected edition</x:v>
      </x:c>
      <x:c r="J59" s="15" t="str">
        <x:v>Display title must omit upload-copy suffix.</x:v>
      </x:c>
    </x:row>
    <x:row r="60">
      <x:c r="A60" s="31" t="str">
        <x:v>F-056</x:v>
      </x:c>
      <x:c r="B60" s="15" t="str">
        <x:v>Learner Toolkit</x:v>
      </x:c>
      <x:c r="C60" s="15" t="str">
        <x:v>Enrolled Learner</x:v>
      </x:c>
      <x:c r="D60" s="15" t="str">
        <x:v>Include - learner files</x:v>
      </x:c>
      <x:c r="E60" s="15" t="str">
        <x:v>14</x:v>
      </x:c>
      <x:c r="F60" s="15" t="str">
        <x:v>CTA_LE_LMFT_High_Yield_California_Law_Decision_Guides_Toolkit_v1.1_Corrected(1).docx</x:v>
      </x:c>
      <x:c r="G60" s="15" t="str">
        <x:v>CTA_LE_LMFT_High_Yield_California_Law_Decision_Guides_Toolkit_v1.1_Corrected.docx</x:v>
      </x:c>
      <x:c r="H60" s="15" t="str">
        <x:v>libfile_978c8b4802f48191a125058100093b7a</x:v>
      </x:c>
      <x:c r="I60" s="15" t="str">
        <x:v>Approved LMFT v1.1 Corrected edition</x:v>
      </x:c>
      <x:c r="J60" s="15" t="str">
        <x:v>Display title must omit upload-copy suffix.</x:v>
      </x:c>
    </x:row>
    <x:row r="61">
      <x:c r="A61" s="31" t="str">
        <x:v>F-057</x:v>
      </x:c>
      <x:c r="B61" s="15" t="str">
        <x:v>Learner Toolkit</x:v>
      </x:c>
      <x:c r="C61" s="15" t="str">
        <x:v>Enrolled Learner</x:v>
      </x:c>
      <x:c r="D61" s="15" t="str">
        <x:v>Include - learner files</x:v>
      </x:c>
      <x:c r="E61" s="15" t="str">
        <x:v>14</x:v>
      </x:c>
      <x:c r="F61" s="15" t="str">
        <x:v>CTA_LE_LMFT_High_Yield_California_Ethics_Decision_Guides_Toolkit_v1.1_Corrected(1).docx</x:v>
      </x:c>
      <x:c r="G61" s="15" t="str">
        <x:v>CTA_LE_LMFT_High_Yield_California_Ethics_Decision_Guides_Toolkit_v1.1_Corrected.docx</x:v>
      </x:c>
      <x:c r="H61" s="15" t="str">
        <x:v>libfile_00b48109004c8191b819dd76fe00a043</x:v>
      </x:c>
      <x:c r="I61" s="15" t="str">
        <x:v>Approved LMFT v1.1 Corrected edition</x:v>
      </x:c>
      <x:c r="J61" s="15" t="str">
        <x:v>Display title must omit upload-copy suffix.</x:v>
      </x:c>
    </x:row>
    <x:row r="62">
      <x:c r="A62" s="31" t="str">
        <x:v>F-058</x:v>
      </x:c>
      <x:c r="B62" s="15" t="str">
        <x:v>Learner Toolkit</x:v>
      </x:c>
      <x:c r="C62" s="15" t="str">
        <x:v>Enrolled Learner</x:v>
      </x:c>
      <x:c r="D62" s="15" t="str">
        <x:v>Include - learner files</x:v>
      </x:c>
      <x:c r="E62" s="15" t="str">
        <x:v>14</x:v>
      </x:c>
      <x:c r="F62" s="15" t="str">
        <x:v>CTA_LE_LMFT_Exam_Strategy_and_Study_Planning_Toolkit_v1.1_Corrected(1).docx</x:v>
      </x:c>
      <x:c r="G62" s="15" t="str">
        <x:v>CTA_LE_LMFT_Exam_Strategy_and_Study_Planning_Toolkit_v1.1_Corrected.docx</x:v>
      </x:c>
      <x:c r="H62" s="15" t="str">
        <x:v>libfile_0a589fa5a4448191bfed3ee5e69aba17</x:v>
      </x:c>
      <x:c r="I62" s="15" t="str">
        <x:v>Approved LMFT v1.1 Corrected edition</x:v>
      </x:c>
      <x:c r="J62" s="15" t="str">
        <x:v>Display title must omit upload-copy suffix.</x:v>
      </x:c>
    </x:row>
    <x:row r="63">
      <x:c r="A63" s="31" t="str">
        <x:v>F-059</x:v>
      </x:c>
      <x:c r="B63" s="15" t="str">
        <x:v>Learner Toolkit</x:v>
      </x:c>
      <x:c r="C63" s="15" t="str">
        <x:v>Enrolled Learner</x:v>
      </x:c>
      <x:c r="D63" s="15" t="str">
        <x:v>Include - learner files</x:v>
      </x:c>
      <x:c r="E63" s="15" t="str">
        <x:v>14</x:v>
      </x:c>
      <x:c r="F63" s="15" t="str">
        <x:v>CTA_LE_LMFT_45_Chapter_Exam_Traps_and_Correction_Rules_Toolkit_v1.1_Corrected(1).docx</x:v>
      </x:c>
      <x:c r="G63" s="15" t="str">
        <x:v>CTA_LE_LMFT_45_Chapter_Exam_Traps_and_Correction_Rules_Toolkit_v1.1_Corrected.docx</x:v>
      </x:c>
      <x:c r="H63" s="15" t="str">
        <x:v>libfile_4f2c12a3d400819184fa357d8298f347</x:v>
      </x:c>
      <x:c r="I63" s="15" t="str">
        <x:v>Approved LMFT v1.1 Corrected edition</x:v>
      </x:c>
      <x:c r="J63" s="15" t="str">
        <x:v>Display title must omit upload-copy suffix.</x:v>
      </x:c>
    </x:row>
    <x:row r="64">
      <x:c r="A64" s="31" t="str">
        <x:v>F-060</x:v>
      </x:c>
      <x:c r="B64" s="15" t="str">
        <x:v>Brand Asset</x:v>
      </x:c>
      <x:c r="C64" s="15" t="str">
        <x:v>David / CTA</x:v>
      </x:c>
      <x:c r="D64" s="15" t="str">
        <x:v>Include - brand assets</x:v>
      </x:c>
      <x:c r="E64" s="15" t="str">
        <x:v>00_Brand</x:v>
      </x:c>
      <x:c r="F64" s="15" t="str">
        <x:v>CTA Branding.docx</x:v>
      </x:c>
      <x:c r="G64" s="15" t="str">
        <x:v>CTA Branding.docx</x:v>
      </x:c>
      <x:c r="H64" s="15" t="str">
        <x:v>libfile_0b8335a3d5cc81918d828dfe79876202</x:v>
      </x:c>
      <x:c r="I64" s="15" t="str">
        <x:v>Approved brand reference</x:v>
      </x:c>
      <x:c r="J64" s="15" t="str">
        <x:v>Use correct asset for background and placement.</x:v>
      </x:c>
    </x:row>
    <x:row r="65">
      <x:c r="A65" s="31" t="str">
        <x:v>F-061</x:v>
      </x:c>
      <x:c r="B65" s="15" t="str">
        <x:v>Brand Asset</x:v>
      </x:c>
      <x:c r="C65" s="15" t="str">
        <x:v>David / CTA</x:v>
      </x:c>
      <x:c r="D65" s="15" t="str">
        <x:v>Include - brand assets</x:v>
      </x:c>
      <x:c r="E65" s="15" t="str">
        <x:v>00_Brand</x:v>
      </x:c>
      <x:c r="F65" s="15" t="str">
        <x:v>CTA_Stacked_Logo.png</x:v>
      </x:c>
      <x:c r="G65" s="15" t="str">
        <x:v>CTA_Stacked_Logo.png</x:v>
      </x:c>
      <x:c r="H65" s="15" t="str">
        <x:v>libfile_42d481cb74848191a8128adb5379bef5</x:v>
      </x:c>
      <x:c r="I65" s="15" t="str">
        <x:v>Approved brand reference</x:v>
      </x:c>
      <x:c r="J65" s="15" t="str">
        <x:v>Use correct asset for background and placement.</x:v>
      </x:c>
    </x:row>
    <x:row r="66">
      <x:c r="A66" s="31" t="str">
        <x:v>F-062</x:v>
      </x:c>
      <x:c r="B66" s="15" t="str">
        <x:v>Brand Asset</x:v>
      </x:c>
      <x:c r="C66" s="15" t="str">
        <x:v>David / CTA</x:v>
      </x:c>
      <x:c r="D66" s="15" t="str">
        <x:v>Include - brand assets</x:v>
      </x:c>
      <x:c r="E66" s="15" t="str">
        <x:v>00_Brand</x:v>
      </x:c>
      <x:c r="F66" s="15" t="str">
        <x:v>Homepage Logo.png</x:v>
      </x:c>
      <x:c r="G66" s="15" t="str">
        <x:v>Homepage Logo.png</x:v>
      </x:c>
      <x:c r="H66" s="15" t="str">
        <x:v>libfile_5e58d5a7bc8c8191a9ca9bc4a391153c</x:v>
      </x:c>
      <x:c r="I66" s="15" t="str">
        <x:v>Approved brand reference</x:v>
      </x:c>
      <x:c r="J66" s="15" t="str">
        <x:v>Use correct asset for background and placement.</x:v>
      </x:c>
    </x:row>
    <x:row r="67">
      <x:c r="A67" s="31" t="str">
        <x:v>F-063</x:v>
      </x:c>
      <x:c r="B67" s="15" t="str">
        <x:v>Brand Asset</x:v>
      </x:c>
      <x:c r="C67" s="15" t="str">
        <x:v>David / CTA</x:v>
      </x:c>
      <x:c r="D67" s="15" t="str">
        <x:v>Include - brand assets</x:v>
      </x:c>
      <x:c r="E67" s="15" t="str">
        <x:v>00_Brand</x:v>
      </x:c>
      <x:c r="F67" s="15" t="str">
        <x:v>Isolated Logos Sheet.png</x:v>
      </x:c>
      <x:c r="G67" s="15" t="str">
        <x:v>Isolated Logos Sheet.png</x:v>
      </x:c>
      <x:c r="H67" s="15" t="str">
        <x:v>libfile_b64760c2ec088191bb0321d9bdfc7727</x:v>
      </x:c>
      <x:c r="I67" s="15" t="str">
        <x:v>Approved brand reference</x:v>
      </x:c>
      <x:c r="J67" s="15" t="str">
        <x:v>Use correct asset for background and placement.</x:v>
      </x:c>
    </x:row>
    <x:row r="68">
      <x:c r="A68" s="31" t="str">
        <x:v>F-064</x:v>
      </x:c>
      <x:c r="B68" s="15" t="str">
        <x:v>Brand Asset</x:v>
      </x:c>
      <x:c r="C68" s="15" t="str">
        <x:v>David / CTA</x:v>
      </x:c>
      <x:c r="D68" s="15" t="str">
        <x:v>Include - brand assets</x:v>
      </x:c>
      <x:c r="E68" s="15" t="str">
        <x:v>00_Brand</x:v>
      </x:c>
      <x:c r="F68" s="15" t="str">
        <x:v>Primary Horizontal Logo.png</x:v>
      </x:c>
      <x:c r="G68" s="15" t="str">
        <x:v>Primary Horizontal Logo.png</x:v>
      </x:c>
      <x:c r="H68" s="15" t="str">
        <x:v>libfile_bf7b83c0964881919b6d1e96c6d1c280</x:v>
      </x:c>
      <x:c r="I68" s="15" t="str">
        <x:v>Approved brand reference</x:v>
      </x:c>
      <x:c r="J68" s="15" t="str">
        <x:v>Use correct asset for background and placement.</x:v>
      </x:c>
    </x:row>
    <x:row r="69">
      <x:c r="A69" s="31" t="str">
        <x:v>F-065</x:v>
      </x:c>
      <x:c r="B69" s="15" t="str">
        <x:v>QA Standard</x:v>
      </x:c>
      <x:c r="C69" s="15" t="str">
        <x:v>CTA Internal Only</x:v>
      </x:c>
      <x:c r="D69" s="15" t="str">
        <x:v>Reference only</x:v>
      </x:c>
      <x:c r="E69" s="15" t="str">
        <x:v>00_Admin</x:v>
      </x:c>
      <x:c r="F69" s="15" t="str">
        <x:v>CTA_Exam_Preparation_Program_Consistency_Checklist_v1.0(1).docx</x:v>
      </x:c>
      <x:c r="G69" s="15" t="str">
        <x:v>CTA_Exam_Preparation_Program_Consistency_Checklist_v1.0.docx</x:v>
      </x:c>
      <x:c r="H69" s="15" t="str">
        <x:v>libfile_cea41f29b204819181baf877badaacaa</x:v>
      </x:c>
      <x:c r="I69" s="15" t="str">
        <x:v>Current standard</x:v>
      </x:c>
      <x:c r="J69" s="15" t="str">
        <x:v>Complete after staging; retain in 00_Admin.</x:v>
      </x:c>
    </x:row>
    <x:row r="70">
      <x:c r="A70" s="31" t="str">
        <x:v>F-066</x:v>
      </x:c>
      <x:c r="B70" s="15" t="str">
        <x:v>Catalog Control</x:v>
      </x:c>
      <x:c r="C70" s="15" t="str">
        <x:v>CTA / David Reference</x:v>
      </x:c>
      <x:c r="D70" s="15" t="str">
        <x:v>Reference only</x:v>
      </x:c>
      <x:c r="E70" s="15" t="str">
        <x:v>00_Admin</x:v>
      </x:c>
      <x:c r="F70" s="15" t="str">
        <x:v>CTA_Master_Course_Catalog_v2.2.docx</x:v>
      </x:c>
      <x:c r="G70" s="15" t="str">
        <x:v>CTA_Master_Course_Catalog_v2.2.docx</x:v>
      </x:c>
      <x:c r="H70" s="15" t="str">
        <x:v>libfile_7e8f3337de8c81918db8ca2f38637477</x:v>
      </x:c>
      <x:c r="I70" s="15" t="str">
        <x:v>Current baseline; LMFT insertion pending</x:v>
      </x:c>
      <x:c r="J70" s="15" t="str">
        <x:v>Update only after public-copy approval.</x:v>
      </x:c>
    </x:row>
    <x:row r="71">
      <x:c r="A71" s="31" t="str">
        <x:v>F-067</x:v>
      </x:c>
      <x:c r="B71" s="15" t="str">
        <x:v>Catalog Control</x:v>
      </x:c>
      <x:c r="C71" s="15" t="str">
        <x:v>CTA / David Reference</x:v>
      </x:c>
      <x:c r="D71" s="15" t="str">
        <x:v>Reference only</x:v>
      </x:c>
      <x:c r="E71" s="15" t="str">
        <x:v>00_Admin</x:v>
      </x:c>
      <x:c r="F71" s="15" t="str">
        <x:v>CTA_Master_Pricing_Subscription_and_Bundle_Catalog_v3.2.docx</x:v>
      </x:c>
      <x:c r="G71" s="15" t="str">
        <x:v>CTA_Master_Pricing_Subscription_and_Bundle_Catalog_v3.2.docx</x:v>
      </x:c>
      <x:c r="H71" s="15" t="str">
        <x:v>libfile_dca3b5fa57a0819197ece97e7d18683f</x:v>
      </x:c>
      <x:c r="I71" s="15" t="str">
        <x:v>Current baseline; LMFT insertion pending</x:v>
      </x:c>
      <x:c r="J71" s="15" t="str">
        <x:v>Update only after public-copy approval.</x:v>
      </x:c>
    </x:row>
    <x:row r="72">
      <x:c r="A72" s="31" t="str">
        <x:v>F-068</x:v>
      </x:c>
      <x:c r="B72" s="15" t="str">
        <x:v>Public / LMS Copy</x:v>
      </x:c>
      <x:c r="C72" s="15" t="str">
        <x:v>David / CTA Review</x:v>
      </x:c>
      <x:c r="D72" s="15" t="str">
        <x:v>Include - implementation files</x:v>
      </x:c>
      <x:c r="E72" s="15" t="str">
        <x:v>00_Admin</x:v>
      </x:c>
      <x:c r="F72" s="15" t="str">
        <x:v>CTA_LMFT_Law_and_Ethics_EP_Website_Catalog_Checkout_FAQ_and_LMS_Copy_Package_v1.1.docx</x:v>
      </x:c>
      <x:c r="G72" s="15" t="str">
        <x:v>CTA_LMFT_Law_and_Ethics_EP_Website_Catalog_Checkout_FAQ_and_LMS_Copy_Package_v1.1.docx</x:v>
      </x:c>
      <x:c r="H72" s="15" t="str">
        <x:v>libfile_0318587dc0b4819190d0c7d8881198a9</x:v>
      </x:c>
      <x:c r="I72" s="15" t="str">
        <x:v>Internal final copy v1.1</x:v>
      </x:c>
      <x:c r="J72" s="15" t="str">
        <x:v>Activate only after staging and public-release approval</x:v>
      </x:c>
    </x:row>
    <x:row r="73">
      <x:c r="A73" s="31" t="str">
        <x:v>F-069</x:v>
      </x:c>
      <x:c r="B73" s="15" t="str">
        <x:v>Final Inventory</x:v>
      </x:c>
      <x:c r="C73" s="15" t="str">
        <x:v>David / CTA Review</x:v>
      </x:c>
      <x:c r="D73" s="15" t="str">
        <x:v>Include - implementation files</x:v>
      </x:c>
      <x:c r="E73" s="15" t="str">
        <x:v>00_Admin</x:v>
      </x:c>
      <x:c r="F73" s="15" t="str">
        <x:v>CTA_LMFT_Law_and_Ethics_EP_Final_Program_Inventory_and_Handoff_Manifest_v1.1.docx</x:v>
      </x:c>
      <x:c r="G73" s="15" t="str">
        <x:v>CTA_LMFT_Law_and_Ethics_EP_Final_Program_Inventory_and_Handoff_Manifest_v1.1.docx</x:v>
      </x:c>
      <x:c r="H73" s="15" t="str">
        <x:v>libfile_a78c18ddad8881918da4096e7def64d8</x:v>
      </x:c>
      <x:c r="I73" s="15" t="str">
        <x:v>Internal control</x:v>
      </x:c>
      <x:c r="J73" s="15" t="str">
        <x:v>Word summary and approval gate.</x:v>
      </x:c>
    </x:row>
    <x:row r="74">
      <x:c r="A74" s="31" t="str">
        <x:v>F-070</x:v>
      </x:c>
      <x:c r="B74" s="15" t="str">
        <x:v>Final Inventory</x:v>
      </x:c>
      <x:c r="C74" s="15" t="str">
        <x:v>David / CTA Review</x:v>
      </x:c>
      <x:c r="D74" s="15" t="str">
        <x:v>Include - implementation files</x:v>
      </x:c>
      <x:c r="E74" s="15" t="str">
        <x:v>00_Admin</x:v>
      </x:c>
      <x:c r="F74" s="15" t="str">
        <x:v>CTA_LMFT_Law_and_Ethics_EP_Final_Program_Inventory_and_Handoff_Register_v1.1.xlsx</x:v>
      </x:c>
      <x:c r="G74" s="15" t="str">
        <x:v>CTA_LMFT_Law_and_Ethics_EP_Final_Program_Inventory_and_Handoff_Register_v1.1.xlsx</x:v>
      </x:c>
      <x:c r="H74" s="15" t="str">
        <x:v>libfile_d8921e11b5b881918b698adbf4655361</x:v>
      </x:c>
      <x:c r="I74" s="15" t="str">
        <x:v>Internal control</x:v>
      </x:c>
      <x:c r="J74" s="15" t="str">
        <x:v>Item-level handoff register and dashboard.</x:v>
      </x:c>
    </x:row>
  </x:sheetData>
  <x:mergeCells>
    <x:mergeCell ref="A1:J1"/>
    <x:mergeCell ref="A2:J2"/>
  </x:mergeCells>
  <x:conditionalFormatting sqref="I5:I74">
    <x:cfRule type="containsText" dxfId="0" priority="1" operator="containsText" text="Draft"/>
    <x:cfRule type="containsText" dxfId="1" priority="2" operator="containsText" text="Not"/>
  </x:conditionalFormatting>
  <x:dataValidations count="1">
    <x:dataValidation type="list" sqref="D5:D74">
      <x:formula1>"Include - learner files,Include - controlled files,Include - implementation files,Include - brand assets,Reference only"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4" hidden="0" customWidth="1"/>
    <x:col min="3" max="3" width="54" hidden="0" customWidth="1"/>
    <x:col min="4" max="4" width="22" hidden="0" customWidth="1"/>
    <x:col min="5" max="5" width="22" hidden="0" customWidth="1"/>
    <x:col min="6" max="6" width="34" hidden="0" customWidth="1"/>
  </x:cols>
  <x:sheetData>
    <x:row r="1" ht="34" customHeight="1">
      <x:c r="A1" s="3" t="str">
        <x:v>Final LMS Placement Map</x:v>
      </x:c>
      <x:c r="B1" s="3"/>
      <x:c r="C1" s="3"/>
      <x:c r="D1" s="3"/>
      <x:c r="E1" s="3"/>
      <x:c r="F1" s="3"/>
    </x:row>
    <x:row r="2" ht="30" customHeight="1">
      <x:c r="A2" s="7" t="str">
        <x:v>Approved sequence places the LMFT Practice Act module after Start Here and before Workbook 1</x:v>
      </x:c>
      <x:c r="B2" s="7"/>
      <x:c r="C2" s="7"/>
      <x:c r="D2" s="7"/>
      <x:c r="E2" s="7"/>
      <x:c r="F2" s="7"/>
    </x:row>
    <x:row r="4" ht="32" customHeight="1">
      <x:c r="A4" s="11" t="str">
        <x:v>Unit</x:v>
      </x:c>
      <x:c r="B4" s="11" t="str">
        <x:v>LMS Title</x:v>
      </x:c>
      <x:c r="C4" s="11" t="str">
        <x:v>Required Content</x:v>
      </x:c>
      <x:c r="D4" s="11" t="str">
        <x:v>Learner Access</x:v>
      </x:c>
      <x:c r="E4" s="11" t="str">
        <x:v>Controlled Release</x:v>
      </x:c>
      <x:c r="F4" s="11" t="str">
        <x:v>Status / Note</x:v>
      </x:c>
    </x:row>
    <x:row r="5">
      <x:c r="A5" s="32" t="str">
        <x:v>00</x:v>
      </x:c>
      <x:c r="B5" s="30" t="str">
        <x:v>Start Here</x:v>
      </x:c>
      <x:c r="C5" s="30" t="str">
        <x:v>Welcome, orientation, no-CE notice, access dates, support and personal-use rules</x:v>
      </x:c>
      <x:c r="D5" s="30" t="str">
        <x:v>At enrollment</x:v>
      </x:c>
      <x:c r="E5" s="30" t="str">
        <x:v>None</x:v>
      </x:c>
      <x:c r="F5" s="30" t="str">
        <x:v>Internal final copy ready; insert live support and policy links during staging</x:v>
      </x:c>
    </x:row>
    <x:row r="6">
      <x:c r="A6" s="33" t="str">
        <x:v>01</x:v>
      </x:c>
      <x:c r="B6" s="29" t="str">
        <x:v>LMFT Practice Act &amp; AMFT Professional Identity</x:v>
      </x:c>
      <x:c r="C6" s="29" t="str">
        <x:v>Required module; 25-question candidate form; controlled answer review</x:v>
      </x:c>
      <x:c r="D6" s="29" t="str">
        <x:v>Required before WB1</x:v>
      </x:c>
      <x:c r="E6" s="29" t="str">
        <x:v>After submission</x:v>
      </x:c>
      <x:c r="F6" s="29" t="str">
        <x:v>Approved placement; final internal v1.1 files</x:v>
      </x:c>
    </x:row>
    <x:row r="7">
      <x:c r="A7" s="31" t="str">
        <x:v>02</x:v>
      </x:c>
      <x:c r="B7" s="15" t="str">
        <x:v>Workbook 1 - Informed Consent, Minors &amp; Family</x:v>
      </x:c>
      <x:c r="C7" s="15" t="str">
        <x:v>Candidate Edition; 119-question candidate and controlled forms</x:v>
      </x:c>
      <x:c r="D7" s="15" t="str">
        <x:v>Enrolled</x:v>
      </x:c>
      <x:c r="E7" s="15" t="str">
        <x:v>After submission</x:v>
      </x:c>
      <x:c r="F7" s="15" t="str">
        <x:v>Complete</x:v>
      </x:c>
    </x:row>
    <x:row r="8">
      <x:c r="A8" s="31" t="str">
        <x:v>03</x:v>
      </x:c>
      <x:c r="B8" s="15" t="str">
        <x:v>Workbook 2 - Telehealth Law &amp; Ethics</x:v>
      </x:c>
      <x:c r="C8" s="15" t="str">
        <x:v>Candidate Edition; 102-question candidate and controlled forms</x:v>
      </x:c>
      <x:c r="D8" s="15" t="str">
        <x:v>Enrolled</x:v>
      </x:c>
      <x:c r="E8" s="15" t="str">
        <x:v>After submission</x:v>
      </x:c>
      <x:c r="F8" s="15" t="str">
        <x:v>Complete</x:v>
      </x:c>
    </x:row>
    <x:row r="9">
      <x:c r="A9" s="31" t="str">
        <x:v>04</x:v>
      </x:c>
      <x:c r="B9" s="15" t="str">
        <x:v>Workbook 3 - Professional Competence</x:v>
      </x:c>
      <x:c r="C9" s="15" t="str">
        <x:v>Candidate Edition; 102-question candidate and controlled forms</x:v>
      </x:c>
      <x:c r="D9" s="15" t="str">
        <x:v>Enrolled</x:v>
      </x:c>
      <x:c r="E9" s="15" t="str">
        <x:v>After submission</x:v>
      </x:c>
      <x:c r="F9" s="15" t="str">
        <x:v>Complete</x:v>
      </x:c>
    </x:row>
    <x:row r="10">
      <x:c r="A10" s="31" t="str">
        <x:v>05</x:v>
      </x:c>
      <x:c r="B10" s="15" t="str">
        <x:v>Workbook 4 - Professional Impairment</x:v>
      </x:c>
      <x:c r="C10" s="15" t="str">
        <x:v>Candidate Edition; 85-question candidate and controlled forms</x:v>
      </x:c>
      <x:c r="D10" s="15" t="str">
        <x:v>Enrolled</x:v>
      </x:c>
      <x:c r="E10" s="15" t="str">
        <x:v>After submission</x:v>
      </x:c>
      <x:c r="F10" s="15" t="str">
        <x:v>Complete</x:v>
      </x:c>
    </x:row>
    <x:row r="11">
      <x:c r="A11" s="31" t="str">
        <x:v>06</x:v>
      </x:c>
      <x:c r="B11" s="15" t="str">
        <x:v>Workbook 5 - Preventing Harm</x:v>
      </x:c>
      <x:c r="C11" s="15" t="str">
        <x:v>Candidate Edition; 85-question candidate and controlled forms</x:v>
      </x:c>
      <x:c r="D11" s="15" t="str">
        <x:v>Enrolled</x:v>
      </x:c>
      <x:c r="E11" s="15" t="str">
        <x:v>After submission</x:v>
      </x:c>
      <x:c r="F11" s="15" t="str">
        <x:v>Complete</x:v>
      </x:c>
    </x:row>
    <x:row r="12">
      <x:c r="A12" s="31" t="str">
        <x:v>07</x:v>
      </x:c>
      <x:c r="B12" s="15" t="str">
        <x:v>Workbook 6 - Professional Boundaries</x:v>
      </x:c>
      <x:c r="C12" s="15" t="str">
        <x:v>Candidate Edition; 85-question candidate and controlled forms</x:v>
      </x:c>
      <x:c r="D12" s="15" t="str">
        <x:v>Enrolled</x:v>
      </x:c>
      <x:c r="E12" s="15" t="str">
        <x:v>After submission</x:v>
      </x:c>
      <x:c r="F12" s="15" t="str">
        <x:v>Released keys govern scoring</x:v>
      </x:c>
    </x:row>
    <x:row r="13">
      <x:c r="A13" s="31" t="str">
        <x:v>08</x:v>
      </x:c>
      <x:c r="B13" s="15" t="str">
        <x:v>Workbook 7 - Cultural Humility</x:v>
      </x:c>
      <x:c r="C13" s="15" t="str">
        <x:v>Candidate Edition; 51-question candidate and controlled forms</x:v>
      </x:c>
      <x:c r="D13" s="15" t="str">
        <x:v>Enrolled</x:v>
      </x:c>
      <x:c r="E13" s="15" t="str">
        <x:v>After submission</x:v>
      </x:c>
      <x:c r="F13" s="15" t="str">
        <x:v>Complete</x:v>
      </x:c>
    </x:row>
    <x:row r="14">
      <x:c r="A14" s="31" t="str">
        <x:v>09</x:v>
      </x:c>
      <x:c r="B14" s="15" t="str">
        <x:v>Workbook 8 - Confidentiality &amp; Privacy</x:v>
      </x:c>
      <x:c r="C14" s="15" t="str">
        <x:v>Candidate Edition; 68-question candidate and controlled forms</x:v>
      </x:c>
      <x:c r="D14" s="15" t="str">
        <x:v>Enrolled</x:v>
      </x:c>
      <x:c r="E14" s="15" t="str">
        <x:v>After submission</x:v>
      </x:c>
      <x:c r="F14" s="15" t="str">
        <x:v>Complete</x:v>
      </x:c>
    </x:row>
    <x:row r="15">
      <x:c r="A15" s="31" t="str">
        <x:v>10</x:v>
      </x:c>
      <x:c r="B15" s="15" t="str">
        <x:v>Workbook 9 - Documentation &amp; Records</x:v>
      </x:c>
      <x:c r="C15" s="15" t="str">
        <x:v>Candidate Edition; 68-question candidate and controlled forms</x:v>
      </x:c>
      <x:c r="D15" s="15" t="str">
        <x:v>Enrolled</x:v>
      </x:c>
      <x:c r="E15" s="15" t="str">
        <x:v>After submission</x:v>
      </x:c>
      <x:c r="F15" s="15" t="str">
        <x:v>Complete</x:v>
      </x:c>
    </x:row>
    <x:row r="16">
      <x:c r="A16" s="31" t="str">
        <x:v>11</x:v>
      </x:c>
      <x:c r="B16" s="15" t="str">
        <x:v>Practice Examination A</x:v>
      </x:c>
      <x:c r="C16" s="15" t="str">
        <x:v>50-question learner form; controlled rationale; performance worksheet</x:v>
      </x:c>
      <x:c r="D16" s="15" t="str">
        <x:v>After core</x:v>
      </x:c>
      <x:c r="E16" s="15" t="str">
        <x:v>After submission</x:v>
      </x:c>
      <x:c r="F16" s="15" t="str">
        <x:v>Complete</x:v>
      </x:c>
    </x:row>
    <x:row r="17">
      <x:c r="A17" s="31" t="str">
        <x:v>12</x:v>
      </x:c>
      <x:c r="B17" s="15" t="str">
        <x:v>Practice Examination B</x:v>
      </x:c>
      <x:c r="C17" s="15" t="str">
        <x:v>50-question learner form; controlled rationale; performance worksheet</x:v>
      </x:c>
      <x:c r="D17" s="15" t="str">
        <x:v>After Practice A</x:v>
      </x:c>
      <x:c r="E17" s="15" t="str">
        <x:v>After submission</x:v>
      </x:c>
      <x:c r="F17" s="15" t="str">
        <x:v>Complete</x:v>
      </x:c>
    </x:row>
    <x:row r="18">
      <x:c r="A18" s="31" t="str">
        <x:v>13</x:v>
      </x:c>
      <x:c r="B18" s="15" t="str">
        <x:v>Comprehensive Final Examination</x:v>
      </x:c>
      <x:c r="C18" s="15" t="str">
        <x:v>100-question learner form; controlled rationale; performance worksheet</x:v>
      </x:c>
      <x:c r="D18" s="15" t="str">
        <x:v>After Practice B</x:v>
      </x:c>
      <x:c r="E18" s="15" t="str">
        <x:v>After submission</x:v>
      </x:c>
      <x:c r="F18" s="15" t="str">
        <x:v>Complete</x:v>
      </x:c>
    </x:row>
    <x:row r="19">
      <x:c r="A19" s="31" t="str">
        <x:v>14</x:v>
      </x:c>
      <x:c r="B19" s="15" t="str">
        <x:v>Study Center &amp; Toolkits</x:v>
      </x:c>
      <x:c r="C19" s="15" t="str">
        <x:v>807 flashcards; six LMFT v1.1 Corrected toolkits</x:v>
      </x:c>
      <x:c r="D19" s="15" t="str">
        <x:v>Enrolled</x:v>
      </x:c>
      <x:c r="E19" s="15" t="str">
        <x:v>No protected keys</x:v>
      </x:c>
      <x:c r="F19" s="15" t="str">
        <x:v>Complete</x:v>
      </x:c>
    </x:row>
    <x:row r="20">
      <x:c r="A20" s="31" t="str">
        <x:v>15</x:v>
      </x:c>
      <x:c r="B20" s="15" t="str">
        <x:v>Program Close</x:v>
      </x:c>
      <x:c r="C20" s="15" t="str">
        <x:v>Completion summary; final study plan; support path; no CE certificate</x:v>
      </x:c>
      <x:c r="D20" s="15" t="str">
        <x:v>After assigned work</x:v>
      </x:c>
      <x:c r="E20" s="15" t="str">
        <x:v>None</x:v>
      </x:c>
      <x:c r="F20" s="15" t="str">
        <x:v>Internal final copy ready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0" hidden="0" customWidth="1"/>
    <x:col min="3" max="3" width="45" hidden="0" customWidth="1"/>
    <x:col min="4" max="4" width="46" hidden="0" customWidth="1"/>
    <x:col min="5" max="5" width="20" hidden="0" customWidth="1"/>
    <x:col min="6" max="6" width="34" hidden="0" customWidth="1"/>
  </x:cols>
  <x:sheetData>
    <x:row r="1" ht="34" customHeight="1">
      <x:c r="A1" s="3" t="str">
        <x:v>Approved Decisions and Final Handoff Gate</x:v>
      </x:c>
      <x:c r="B1" s="3"/>
      <x:c r="C1" s="3"/>
      <x:c r="D1" s="3"/>
      <x:c r="E1" s="3"/>
      <x:c r="F1" s="3"/>
    </x:row>
    <x:row r="2" ht="30" customHeight="1">
      <x:c r="A2" s="7" t="str">
        <x:v>All six decisions were approved on August 3, 2026; the assembled package still requires Candice's final handoff review</x:v>
      </x:c>
      <x:c r="B2" s="7"/>
      <x:c r="C2" s="7"/>
      <x:c r="D2" s="7"/>
      <x:c r="E2" s="7"/>
      <x:c r="F2" s="7"/>
    </x:row>
    <x:row r="4" ht="32" customHeight="1">
      <x:c r="A4" s="11" t="str">
        <x:v>Decision ID</x:v>
      </x:c>
      <x:c r="B4" s="11" t="str">
        <x:v>Decision</x:v>
      </x:c>
      <x:c r="C4" s="11" t="str">
        <x:v>Current Evidence</x:v>
      </x:c>
      <x:c r="D4" s="11" t="str">
        <x:v>Recommended Resolution</x:v>
      </x:c>
      <x:c r="E4" s="11" t="str">
        <x:v>Approval Status</x:v>
      </x:c>
      <x:c r="F4" s="11" t="str">
        <x:v>Candice Notes</x:v>
      </x:c>
    </x:row>
    <x:row r="5" ht="38" customHeight="1">
      <x:c r="A5" s="15" t="str">
        <x:v>D-01</x:v>
      </x:c>
      <x:c r="B5" s="15" t="str">
        <x:v>LMFT module placement</x:v>
      </x:c>
      <x:c r="C5" s="15" t="str">
        <x:v>Module and source map reviewed</x:v>
      </x:c>
      <x:c r="D5" s="15" t="str">
        <x:v>After Start Here and before Workbook 1</x:v>
      </x:c>
      <x:c r="E5" s="15" t="str">
        <x:v>Approved</x:v>
      </x:c>
      <x:c r="F5" s="15" t="str">
        <x:v>Approved August 3, 2026</x:v>
      </x:c>
    </x:row>
    <x:row r="6" ht="38" customHeight="1">
      <x:c r="A6" s="15" t="str">
        <x:v>D-02</x:v>
      </x:c>
      <x:c r="B6" s="15" t="str">
        <x:v>Module and 25-question form status</x:v>
      </x:c>
      <x:c r="C6" s="15" t="str">
        <x:v>Final internal v1.1 files issued</x:v>
      </x:c>
      <x:c r="D6" s="15" t="str">
        <x:v>Remove all Approval Draft labels</x:v>
      </x:c>
      <x:c r="E6" s="15" t="str">
        <x:v>Approved</x:v>
      </x:c>
      <x:c r="F6" s="15" t="str">
        <x:v>Approved August 3, 2026</x:v>
      </x:c>
    </x:row>
    <x:row r="7" ht="38" customHeight="1">
      <x:c r="A7" s="15" t="str">
        <x:v>D-03</x:v>
      </x:c>
      <x:c r="B7" s="15" t="str">
        <x:v>Support response commitment</x:v>
      </x:c>
      <x:c r="C7" s="15" t="str">
        <x:v>Support standard fixed</x:v>
      </x:c>
      <x:c r="D7" s="15" t="str">
        <x:v>Respond within two business days</x:v>
      </x:c>
      <x:c r="E7" s="15" t="str">
        <x:v>Approved</x:v>
      </x:c>
      <x:c r="F7" s="15" t="str">
        <x:v>Approved August 3, 2026</x:v>
      </x:c>
    </x:row>
    <x:row r="8" ht="38" customHeight="1">
      <x:c r="A8" s="15" t="str">
        <x:v>D-04</x:v>
      </x:c>
      <x:c r="B8" s="15" t="str">
        <x:v>Refund and extension rules</x:v>
      </x:c>
      <x:c r="C8" s="15" t="str">
        <x:v>Business rules fixed</x:v>
      </x:c>
      <x:c r="D8" s="15" t="str">
        <x:v>7-day/no-access refund; one complimentary 30-day extension before expiration</x:v>
      </x:c>
      <x:c r="E8" s="15" t="str">
        <x:v>Approved</x:v>
      </x:c>
      <x:c r="F8" s="15" t="str">
        <x:v>Approved August 3, 2026</x:v>
      </x:c>
    </x:row>
    <x:row r="9" ht="38" customHeight="1">
      <x:c r="A9" s="15" t="str">
        <x:v>D-05</x:v>
      </x:c>
      <x:c r="B9" s="15" t="str">
        <x:v>Update and technical-support language</x:v>
      </x:c>
      <x:c r="C9" s="15" t="str">
        <x:v>Scope and update terms fixed</x:v>
      </x:c>
      <x:c r="D9" s="15" t="str">
        <x:v>Significant updates when practicable during active access; platform/course-access support only</x:v>
      </x:c>
      <x:c r="E9" s="15" t="str">
        <x:v>Approved</x:v>
      </x:c>
      <x:c r="F9" s="15" t="str">
        <x:v>Approved August 3, 2026</x:v>
      </x:c>
    </x:row>
    <x:row r="10" ht="38" customHeight="1">
      <x:c r="A10" s="15" t="str">
        <x:v>D-06</x:v>
      </x:c>
      <x:c r="B10" s="15" t="str">
        <x:v>Assessment behavior</x:v>
      </x:c>
      <x:c r="C10" s="15" t="str">
        <x:v>LMS settings fixed</x:v>
      </x:c>
      <x:c r="D10" s="15" t="str">
        <x:v>Unlimited attempts; 80% benchmark; post-submission results; fixed question and choice order</x:v>
      </x:c>
      <x:c r="E10" s="15" t="str">
        <x:v>Approved</x:v>
      </x:c>
      <x:c r="F10" s="15" t="str">
        <x:v>Approved August 3, 2026</x:v>
      </x:c>
    </x:row>
  </x:sheetData>
  <x:mergeCells>
    <x:mergeCell ref="A1:F1"/>
    <x:mergeCell ref="A2:F2"/>
  </x:mergeCells>
  <x:conditionalFormatting sqref="E5:E10">
    <x:cfRule type="containsText" dxfId="2" priority="1" operator="containsText" text="Open"/>
    <x:cfRule type="containsText" dxfId="3" priority="2" operator="containsText" text="Approved"/>
    <x:cfRule type="containsText" dxfId="4" priority="3" operator="containsText" text="Corrections"/>
  </x:conditionalFormatting>
  <x:dataValidations count="1">
    <x:dataValidation type="list" sqref="E5:E10">
      <x:formula1>"Open,Approved,Corrections Required"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50" hidden="0" customWidth="1"/>
    <x:col min="4" max="4" width="22" hidden="0" customWidth="1"/>
    <x:col min="5" max="5" width="18" hidden="0" customWidth="1"/>
    <x:col min="6" max="6" width="34" hidden="0" customWidth="1"/>
    <x:col min="7" max="7" width="18" hidden="0" customWidth="1"/>
  </x:cols>
  <x:sheetData>
    <x:row r="1" ht="34" customHeight="1">
      <x:c r="A1" s="3" t="str">
        <x:v>Final Handoff Assembly Checklist</x:v>
      </x:c>
      <x:c r="B1" s="3"/>
      <x:c r="C1" s="3"/>
      <x:c r="D1" s="3"/>
      <x:c r="E1" s="3"/>
      <x:c r="F1" s="3"/>
      <x:c r="G1" s="3"/>
    </x:row>
    <x:row r="2" ht="30" customHeight="1">
      <x:c r="A2" s="7" t="str">
        <x:v>Six decisions are complete; use this checklist to control Candice review, David handoff, private staging, and later public release</x:v>
      </x:c>
      <x:c r="B2" s="7"/>
      <x:c r="C2" s="7"/>
      <x:c r="D2" s="7"/>
      <x:c r="E2" s="7"/>
      <x:c r="F2" s="7"/>
      <x:c r="G2" s="7"/>
    </x:row>
    <x:row r="4" ht="32" customHeight="1">
      <x:c r="A4" s="11" t="str">
        <x:v>Step</x:v>
      </x:c>
      <x:c r="B4" s="11" t="str">
        <x:v>Phase</x:v>
      </x:c>
      <x:c r="C4" s="11" t="str">
        <x:v>Required Action</x:v>
      </x:c>
      <x:c r="D4" s="11" t="str">
        <x:v>Owner</x:v>
      </x:c>
      <x:c r="E4" s="11" t="str">
        <x:v>Status</x:v>
      </x:c>
      <x:c r="F4" s="11" t="str">
        <x:v>Evidence / File</x:v>
      </x:c>
      <x:c r="G4" s="11" t="str">
        <x:v>Release Blocking</x:v>
      </x:c>
    </x:row>
    <x:row r="5">
      <x:c r="A5" s="15" t="n">
        <x:v>1</x:v>
      </x:c>
      <x:c r="B5" s="15" t="str">
        <x:v>Approval</x:v>
      </x:c>
      <x:c r="C5" s="15" t="str">
        <x:v>Resolve D-01 through D-06</x:v>
      </x:c>
      <x:c r="D5" s="15" t="str">
        <x:v>Candice</x:v>
      </x:c>
      <x:c r="E5" s="15" t="str">
        <x:v>Complete</x:v>
      </x:c>
      <x:c r="F5" s="15" t="str">
        <x:v>Approved Decisions sheet</x:v>
      </x:c>
      <x:c r="G5" s="15" t="str">
        <x:v>No</x:v>
      </x:c>
    </x:row>
    <x:row r="6">
      <x:c r="A6" s="15" t="n">
        <x:v>2</x:v>
      </x:c>
      <x:c r="B6" s="15" t="str">
        <x:v>Content</x:v>
      </x:c>
      <x:c r="C6" s="15" t="str">
        <x:v>Update module and assessment status labels</x:v>
      </x:c>
      <x:c r="D6" s="15" t="str">
        <x:v>CTA Production</x:v>
      </x:c>
      <x:c r="E6" s="15" t="str">
        <x:v>Complete</x:v>
      </x:c>
      <x:c r="F6" s="15" t="str">
        <x:v>Final internal Practice Act v1.1 files</x:v>
      </x:c>
      <x:c r="G6" s="15" t="str">
        <x:v>No</x:v>
      </x:c>
    </x:row>
    <x:row r="7">
      <x:c r="A7" s="15" t="n">
        <x:v>3</x:v>
      </x:c>
      <x:c r="B7" s="15" t="str">
        <x:v>Control</x:v>
      </x:c>
      <x:c r="C7" s="15" t="str">
        <x:v>Synchronize Stage 8 LMS placement map</x:v>
      </x:c>
      <x:c r="D7" s="15" t="str">
        <x:v>CTA Production</x:v>
      </x:c>
      <x:c r="E7" s="15" t="str">
        <x:v>Complete</x:v>
      </x:c>
      <x:c r="F7" s="15" t="str">
        <x:v>Stage 8 v1.1 plan/register</x:v>
      </x:c>
      <x:c r="G7" s="15" t="str">
        <x:v>No</x:v>
      </x:c>
    </x:row>
    <x:row r="8">
      <x:c r="A8" s="15" t="n">
        <x:v>4</x:v>
      </x:c>
      <x:c r="B8" s="15" t="str">
        <x:v>Copy</x:v>
      </x:c>
      <x:c r="C8" s="15" t="str">
        <x:v>Approve website, catalog, checkout, FAQ and LMS copy</x:v>
      </x:c>
      <x:c r="D8" s="15" t="str">
        <x:v>Candice</x:v>
      </x:c>
      <x:c r="E8" s="15" t="str">
        <x:v>Complete</x:v>
      </x:c>
      <x:c r="F8" s="15" t="str">
        <x:v>Public/LMS copy package v1.1</x:v>
      </x:c>
      <x:c r="G8" s="15" t="str">
        <x:v>No</x:v>
      </x:c>
    </x:row>
    <x:row r="9">
      <x:c r="A9" s="15" t="n">
        <x:v>5</x:v>
      </x:c>
      <x:c r="B9" s="15" t="str">
        <x:v>Policy</x:v>
      </x:c>
      <x:c r="C9" s="15" t="str">
        <x:v>Insert refund-policy URL and support contact</x:v>
      </x:c>
      <x:c r="D9" s="15" t="str">
        <x:v>CTA / David</x:v>
      </x:c>
      <x:c r="E9" s="15" t="str">
        <x:v>Ready for Implementation</x:v>
      </x:c>
      <x:c r="F9" s="15" t="str">
        <x:v>Approved policy copy; insert live URL/contact in staging</x:v>
      </x:c>
      <x:c r="G9" s="15" t="str">
        <x:v>No</x:v>
      </x:c>
    </x:row>
    <x:row r="10">
      <x:c r="A10" s="15" t="n">
        <x:v>6</x:v>
      </x:c>
      <x:c r="B10" s="15" t="str">
        <x:v>Manifest</x:v>
      </x:c>
      <x:c r="C10" s="15" t="str">
        <x:v>Freeze 70-record manifest and release filenames</x:v>
      </x:c>
      <x:c r="D10" s="15" t="str">
        <x:v>CTA Production</x:v>
      </x:c>
      <x:c r="E10" s="15" t="str">
        <x:v>Complete</x:v>
      </x:c>
      <x:c r="F10" s="15" t="str">
        <x:v>Final register v1.1</x:v>
      </x:c>
      <x:c r="G10" s="15" t="str">
        <x:v>No</x:v>
      </x:c>
    </x:row>
    <x:row r="11">
      <x:c r="A11" s="15" t="n">
        <x:v>7</x:v>
      </x:c>
      <x:c r="B11" s="15" t="str">
        <x:v>Packaging</x:v>
      </x:c>
      <x:c r="C11" s="15" t="str">
        <x:v>Assemble folders 00-07; exclude 99 protected sources</x:v>
      </x:c>
      <x:c r="D11" s="15" t="str">
        <x:v>CTA Production</x:v>
      </x:c>
      <x:c r="E11" s="15" t="str">
        <x:v>Complete</x:v>
      </x:c>
      <x:c r="F11" s="15" t="str">
        <x:v>Complete internal review package</x:v>
      </x:c>
      <x:c r="G11" s="15" t="str">
        <x:v>No</x:v>
      </x:c>
    </x:row>
    <x:row r="12">
      <x:c r="A12" s="15" t="n">
        <x:v>8</x:v>
      </x:c>
      <x:c r="B12" s="15" t="str">
        <x:v>Integrity</x:v>
      </x:c>
      <x:c r="C12" s="15" t="str">
        <x:v>Hash and count final package files</x:v>
      </x:c>
      <x:c r="D12" s="15" t="str">
        <x:v>CTA Production</x:v>
      </x:c>
      <x:c r="E12" s="15" t="str">
        <x:v>Complete</x:v>
      </x:c>
      <x:c r="F12" s="15" t="str">
        <x:v>Integrity report and package checksum</x:v>
      </x:c>
      <x:c r="G12" s="15" t="str">
        <x:v>No</x:v>
      </x:c>
    </x:row>
    <x:row r="13">
      <x:c r="A13" s="15" t="n">
        <x:v>9</x:v>
      </x:c>
      <x:c r="B13" s="15" t="str">
        <x:v>Approval</x:v>
      </x:c>
      <x:c r="C13" s="15" t="str">
        <x:v>Approve package for David handoff assembly</x:v>
      </x:c>
      <x:c r="D13" s="15" t="str">
        <x:v>Candice</x:v>
      </x:c>
      <x:c r="E13" s="15" t="str">
        <x:v>Pending Review</x:v>
      </x:c>
      <x:c r="F13" s="15" t="str">
        <x:v>Final manifest and assembled package</x:v>
      </x:c>
      <x:c r="G13" s="15" t="str">
        <x:v>Yes</x:v>
      </x:c>
    </x:row>
    <x:row r="14">
      <x:c r="A14" s="15" t="n">
        <x:v>10</x:v>
      </x:c>
      <x:c r="B14" s="15" t="str">
        <x:v>Handoff</x:v>
      </x:c>
      <x:c r="C14" s="15" t="str">
        <x:v>Provide one complete package to David</x:v>
      </x:c>
      <x:c r="D14" s="15" t="str">
        <x:v>CTA Production</x:v>
      </x:c>
      <x:c r="E14" s="15" t="str">
        <x:v>Not Started</x:v>
      </x:c>
      <x:c r="F14" s="15" t="str">
        <x:v>Transfer record</x:v>
      </x:c>
      <x:c r="G14" s="15" t="str">
        <x:v>No</x:v>
      </x:c>
    </x:row>
    <x:row r="15">
      <x:c r="A15" s="15" t="n">
        <x:v>11</x:v>
      </x:c>
      <x:c r="B15" s="15" t="str">
        <x:v>Private Build</x:v>
      </x:c>
      <x:c r="C15" s="15" t="str">
        <x:v>Create website, checkout and LMS staging shell</x:v>
      </x:c>
      <x:c r="D15" s="15" t="str">
        <x:v>David</x:v>
      </x:c>
      <x:c r="E15" s="15" t="str">
        <x:v>Not Started</x:v>
      </x:c>
      <x:c r="F15" s="15" t="str">
        <x:v>Build ID</x:v>
      </x:c>
      <x:c r="G15" s="15" t="str">
        <x:v>No</x:v>
      </x:c>
    </x:row>
    <x:row r="16">
      <x:c r="A16" s="15" t="n">
        <x:v>12</x:v>
      </x:c>
      <x:c r="B16" s="15" t="str">
        <x:v>Security</x:v>
      </x:c>
      <x:c r="C16" s="15" t="str">
        <x:v>Configure roles, gating, expiration and indexing</x:v>
      </x:c>
      <x:c r="D16" s="15" t="str">
        <x:v>David</x:v>
      </x:c>
      <x:c r="E16" s="15" t="str">
        <x:v>Not Started</x:v>
      </x:c>
      <x:c r="F16" s="15" t="str">
        <x:v>Configuration evidence</x:v>
      </x:c>
      <x:c r="G16" s="15" t="str">
        <x:v>No</x:v>
      </x:c>
    </x:row>
    <x:row r="17">
      <x:c r="A17" s="15" t="n">
        <x:v>13</x:v>
      </x:c>
      <x:c r="B17" s="15" t="str">
        <x:v>Testing</x:v>
      </x:c>
      <x:c r="C17" s="15" t="str">
        <x:v>Execute all Stage 8 test cases</x:v>
      </x:c>
      <x:c r="D17" s="15" t="str">
        <x:v>CTA Reviewer</x:v>
      </x:c>
      <x:c r="E17" s="15" t="str">
        <x:v>Not Started</x:v>
      </x:c>
      <x:c r="F17" s="15" t="str">
        <x:v>Staging register</x:v>
      </x:c>
      <x:c r="G17" s="15" t="str">
        <x:v>No</x:v>
      </x:c>
    </x:row>
    <x:row r="18">
      <x:c r="A18" s="15" t="n">
        <x:v>14</x:v>
      </x:c>
      <x:c r="B18" s="15" t="str">
        <x:v>Defects</x:v>
      </x:c>
      <x:c r="C18" s="15" t="str">
        <x:v>Close and retest all release-blocking defects</x:v>
      </x:c>
      <x:c r="D18" s="15" t="str">
        <x:v>David / CTA</x:v>
      </x:c>
      <x:c r="E18" s="15" t="str">
        <x:v>Not Started</x:v>
      </x:c>
      <x:c r="F18" s="15" t="str">
        <x:v>Defect log</x:v>
      </x:c>
      <x:c r="G18" s="15" t="str">
        <x:v>No</x:v>
      </x:c>
    </x:row>
    <x:row r="19">
      <x:c r="A19" s="15" t="n">
        <x:v>15</x:v>
      </x:c>
      <x:c r="B19" s="15" t="str">
        <x:v>Rollback</x:v>
      </x:c>
      <x:c r="C19" s="15" t="str">
        <x:v>Verify backup and rollback</x:v>
      </x:c>
      <x:c r="D19" s="15" t="str">
        <x:v>David</x:v>
      </x:c>
      <x:c r="E19" s="15" t="str">
        <x:v>Not Started</x:v>
      </x:c>
      <x:c r="F19" s="15" t="str">
        <x:v>Backup / restore evidence</x:v>
      </x:c>
      <x:c r="G19" s="15" t="str">
        <x:v>No</x:v>
      </x:c>
    </x:row>
    <x:row r="20">
      <x:c r="A20" s="15" t="n">
        <x:v>16</x:v>
      </x:c>
      <x:c r="B20" s="15" t="str">
        <x:v>Release</x:v>
      </x:c>
      <x:c r="C20" s="15" t="str">
        <x:v>Review evidence and record final decision</x:v>
      </x:c>
      <x:c r="D20" s="15" t="str">
        <x:v>Candice</x:v>
      </x:c>
      <x:c r="E20" s="15" t="str">
        <x:v>Not Started</x:v>
      </x:c>
      <x:c r="F20" s="15" t="str">
        <x:v>Final sign-off</x:v>
      </x:c>
      <x:c r="G20" s="15" t="str">
        <x:v>No</x:v>
      </x:c>
    </x:row>
  </x:sheetData>
  <x:mergeCells>
    <x:mergeCell ref="A1:G1"/>
    <x:mergeCell ref="A2:G2"/>
  </x:mergeCells>
  <x:conditionalFormatting sqref="E5:E20">
    <x:cfRule type="containsText" dxfId="5" priority="1" operator="containsText" text="Complete"/>
    <x:cfRule type="containsText" dxfId="6" priority="2" operator="containsText" text="Blocked"/>
  </x:conditionalFormatting>
  <x:dataValidations count="1">
    <x:dataValidation type="list" sqref="E5:E20">
      <x:formula1>"Not Started,In Progress,Complete,Blocked,N/A"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6" hidden="0" customWidth="1"/>
    <x:col min="4" max="4" width="16" hidden="0" customWidth="1"/>
    <x:col min="5" max="5" width="16" hidden="0" customWidth="1"/>
    <x:col min="6" max="6" width="30" hidden="0" customWidth="1"/>
    <x:col min="7" max="7" width="28" hidden="0" customWidth="1"/>
  </x:cols>
  <x:sheetData>
    <x:row r="1" ht="34" customHeight="1">
      <x:c r="A1" s="3" t="str">
        <x:v>Public Offer Synchronization Matrix</x:v>
      </x:c>
      <x:c r="B1" s="3"/>
      <x:c r="C1" s="3"/>
      <x:c r="D1" s="3"/>
      <x:c r="E1" s="3"/>
      <x:c r="F1" s="3"/>
      <x:c r="G1" s="3"/>
    </x:row>
    <x:row r="2" ht="30" customHeight="1">
      <x:c r="A2" s="7" t="str">
        <x:v>Every surface must match the approved offer before private staging</x:v>
      </x:c>
      <x:c r="B2" s="7"/>
      <x:c r="C2" s="7"/>
      <x:c r="D2" s="7"/>
      <x:c r="E2" s="7"/>
      <x:c r="F2" s="7"/>
      <x:c r="G2" s="7"/>
    </x:row>
    <x:row r="4" ht="32" customHeight="1">
      <x:c r="A4" s="11" t="str">
        <x:v>Surface</x:v>
      </x:c>
      <x:c r="B4" s="11" t="str">
        <x:v>Exact Title</x:v>
      </x:c>
      <x:c r="C4" s="11" t="str">
        <x:v>Price</x:v>
      </x:c>
      <x:c r="D4" s="11" t="str">
        <x:v>Access</x:v>
      </x:c>
      <x:c r="E4" s="11" t="str">
        <x:v>No CE</x:v>
      </x:c>
      <x:c r="F4" s="11" t="str">
        <x:v>Included Materials</x:v>
      </x:c>
      <x:c r="G4" s="11" t="str">
        <x:v>Status</x:v>
      </x:c>
    </x:row>
    <x:row r="5">
      <x:c r="A5" s="15" t="str">
        <x:v>Website product page</x:v>
      </x:c>
      <x:c r="B5" s="15" t="str">
        <x:v>Required</x:v>
      </x:c>
      <x:c r="C5" s="15" t="str">
        <x:v>$199</x:v>
      </x:c>
      <x:c r="D5" s="15" t="str">
        <x:v>Six months</x:v>
      </x:c>
      <x:c r="E5" s="15" t="str">
        <x:v>Required</x:v>
      </x:c>
      <x:c r="F5" s="15" t="str">
        <x:v>Full list</x:v>
      </x:c>
      <x:c r="G5" s="15" t="str">
        <x:v>Internal final copy ready</x:v>
      </x:c>
    </x:row>
    <x:row r="6">
      <x:c r="A6" s="15" t="str">
        <x:v>Website comparison table</x:v>
      </x:c>
      <x:c r="B6" s="15" t="str">
        <x:v>Required</x:v>
      </x:c>
      <x:c r="C6" s="15" t="str">
        <x:v>$199</x:v>
      </x:c>
      <x:c r="D6" s="15" t="str">
        <x:v>Six months</x:v>
      </x:c>
      <x:c r="E6" s="15" t="str">
        <x:v>Required</x:v>
      </x:c>
      <x:c r="F6" s="15" t="str">
        <x:v>Short list</x:v>
      </x:c>
      <x:c r="G6" s="15" t="str">
        <x:v>Pending implementation</x:v>
      </x:c>
    </x:row>
    <x:row r="7">
      <x:c r="A7" s="15" t="str">
        <x:v>Master Course Catalog</x:v>
      </x:c>
      <x:c r="B7" s="15" t="str">
        <x:v>Required</x:v>
      </x:c>
      <x:c r="C7" s="15" t="str">
        <x:v>$199</x:v>
      </x:c>
      <x:c r="D7" s="15" t="str">
        <x:v>Six months</x:v>
      </x:c>
      <x:c r="E7" s="15" t="str">
        <x:v>Required</x:v>
      </x:c>
      <x:c r="F7" s="15" t="str">
        <x:v>Catalog summary</x:v>
      </x:c>
      <x:c r="G7" s="15" t="str">
        <x:v>Insertion pending</x:v>
      </x:c>
    </x:row>
    <x:row r="8">
      <x:c r="A8" s="15" t="str">
        <x:v>Master Pricing Catalog</x:v>
      </x:c>
      <x:c r="B8" s="15" t="str">
        <x:v>Required</x:v>
      </x:c>
      <x:c r="C8" s="15" t="str">
        <x:v>$199</x:v>
      </x:c>
      <x:c r="D8" s="15" t="str">
        <x:v>Six months</x:v>
      </x:c>
      <x:c r="E8" s="15" t="str">
        <x:v>Required</x:v>
      </x:c>
      <x:c r="F8" s="15" t="str">
        <x:v>Pricing summary</x:v>
      </x:c>
      <x:c r="G8" s="15" t="str">
        <x:v>Insertion pending</x:v>
      </x:c>
    </x:row>
    <x:row r="9">
      <x:c r="A9" s="15" t="str">
        <x:v>Checkout</x:v>
      </x:c>
      <x:c r="B9" s="15" t="str">
        <x:v>Required</x:v>
      </x:c>
      <x:c r="C9" s="15" t="str">
        <x:v>$199</x:v>
      </x:c>
      <x:c r="D9" s="15" t="str">
        <x:v>Six months</x:v>
      </x:c>
      <x:c r="E9" s="15" t="str">
        <x:v>Required</x:v>
      </x:c>
      <x:c r="F9" s="15" t="str">
        <x:v>Purchase description</x:v>
      </x:c>
      <x:c r="G9" s="15" t="str">
        <x:v>Internal final copy ready</x:v>
      </x:c>
    </x:row>
    <x:row r="10">
      <x:c r="A10" s="15" t="str">
        <x:v>Receipt</x:v>
      </x:c>
      <x:c r="B10" s="15" t="str">
        <x:v>Required</x:v>
      </x:c>
      <x:c r="C10" s="15" t="str">
        <x:v>$199</x:v>
      </x:c>
      <x:c r="D10" s="15" t="str">
        <x:v>Dates shown</x:v>
      </x:c>
      <x:c r="E10" s="15" t="str">
        <x:v>Required</x:v>
      </x:c>
      <x:c r="F10" s="15" t="str">
        <x:v>Enrollment confirmation</x:v>
      </x:c>
      <x:c r="G10" s="15" t="str">
        <x:v>Internal final copy ready</x:v>
      </x:c>
    </x:row>
    <x:row r="11">
      <x:c r="A11" s="15" t="str">
        <x:v>Learner dashboard</x:v>
      </x:c>
      <x:c r="B11" s="15" t="str">
        <x:v>Required</x:v>
      </x:c>
      <x:c r="C11" s="15" t="str">
        <x:v>Optional</x:v>
      </x:c>
      <x:c r="D11" s="15" t="str">
        <x:v>Expiration date</x:v>
      </x:c>
      <x:c r="E11" s="15" t="str">
        <x:v>Required</x:v>
      </x:c>
      <x:c r="F11" s="15" t="str">
        <x:v>Course summary</x:v>
      </x:c>
      <x:c r="G11" s="15" t="str">
        <x:v>Internal final copy ready</x:v>
      </x:c>
    </x:row>
    <x:row r="12">
      <x:c r="A12" s="15" t="str">
        <x:v>Start Here</x:v>
      </x:c>
      <x:c r="B12" s="15" t="str">
        <x:v>Required</x:v>
      </x:c>
      <x:c r="C12" s="15" t="str">
        <x:v>No</x:v>
      </x:c>
      <x:c r="D12" s="15" t="str">
        <x:v>Dates shown</x:v>
      </x:c>
      <x:c r="E12" s="15" t="str">
        <x:v>Required</x:v>
      </x:c>
      <x:c r="F12" s="15" t="str">
        <x:v>Orientation</x:v>
      </x:c>
      <x:c r="G12" s="15" t="str">
        <x:v>Internal final copy ready</x:v>
      </x:c>
    </x:row>
    <x:row r="13">
      <x:c r="A13" s="15" t="str">
        <x:v>FAQ</x:v>
      </x:c>
      <x:c r="B13" s="15" t="str">
        <x:v>Required</x:v>
      </x:c>
      <x:c r="C13" s="15" t="str">
        <x:v>$199 if shown</x:v>
      </x:c>
      <x:c r="D13" s="15" t="str">
        <x:v>Six months</x:v>
      </x:c>
      <x:c r="E13" s="15" t="str">
        <x:v>Required</x:v>
      </x:c>
      <x:c r="F13" s="15" t="str">
        <x:v>Full boundaries</x:v>
      </x:c>
      <x:c r="G13" s="15" t="str">
        <x:v>Internal final copy ready</x:v>
      </x:c>
    </x:row>
    <x:row r="14">
      <x:c r="A14" s="15" t="str">
        <x:v>Support messages</x:v>
      </x:c>
      <x:c r="B14" s="15" t="str">
        <x:v>Required</x:v>
      </x:c>
      <x:c r="C14" s="15" t="str">
        <x:v>No</x:v>
      </x:c>
      <x:c r="D14" s="15" t="str">
        <x:v>Policy reference</x:v>
      </x:c>
      <x:c r="E14" s="15" t="str">
        <x:v>Required</x:v>
      </x:c>
      <x:c r="F14" s="15" t="str">
        <x:v>Technical scope</x:v>
      </x:c>
      <x:c r="G14" s="15" t="str">
        <x:v>Approved policy ready; live contact pending</x:v>
      </x:c>
    </x:row>
    <x:row r="15">
      <x:c r="A15" s="15" t="str">
        <x:v>Email confirmation</x:v>
      </x:c>
      <x:c r="B15" s="15" t="str">
        <x:v>Required</x:v>
      </x:c>
      <x:c r="C15" s="15" t="str">
        <x:v>$199 or receipt</x:v>
      </x:c>
      <x:c r="D15" s="15" t="str">
        <x:v>Dates shown</x:v>
      </x:c>
      <x:c r="E15" s="15" t="str">
        <x:v>Required</x:v>
      </x:c>
      <x:c r="F15" s="15" t="str">
        <x:v>Access instructions</x:v>
      </x:c>
      <x:c r="G15" s="15" t="str">
        <x:v>Internal final copy ready</x:v>
      </x:c>
    </x:row>
    <x:row r="16">
      <x:c r="A16" s="15" t="str">
        <x:v>LMS course map</x:v>
      </x:c>
      <x:c r="B16" s="15" t="str">
        <x:v>Required</x:v>
      </x:c>
      <x:c r="C16" s="15" t="str">
        <x:v>No</x:v>
      </x:c>
      <x:c r="D16" s="15" t="str">
        <x:v>Six months</x:v>
      </x:c>
      <x:c r="E16" s="15" t="str">
        <x:v>Required</x:v>
      </x:c>
      <x:c r="F16" s="15" t="str">
        <x:v>16 units</x:v>
      </x:c>
      <x:c r="G16" s="15" t="str">
        <x:v>Approved placement ready</x:v>
      </x:c>
    </x:row>
  </x:sheetData>
  <x:mergeCells>
    <x:mergeCell ref="A1:G1"/>
    <x:mergeCell ref="A2:G2"/>
  </x:mergeCells>
  <x:conditionalFormatting sqref="G5:G16">
    <x:cfRule type="containsText" dxfId="7" priority="1" operator="containsText" text="pending"/>
    <x:cfRule type="containsText" dxfId="8" priority="2" operator="containsText" text="ready"/>
  </x:conditionalFormatting>
  <x:pageMargins left="0.7" right="0.7" top="0.75" bottom="0.75" header="0.3" footer="0.3"/>
</x:worksheet>
</file>